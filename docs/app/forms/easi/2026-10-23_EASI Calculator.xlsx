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Override PartName="/xl/worksheets/sheet7.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firstSheet="0" activeTab="0" visibility="visible" minimized="0" showHorizontalScroll="1" showVerticalScroll="1" showSheetTabs="1" tabRatio="600" autoFilterDateGrouping="1"/>
  </bookViews>
  <sheets>
    <sheet xmlns:r="http://schemas.openxmlformats.org/officeDocument/2006/relationships" name="Instructions" sheetId="1" r:id="rId1"/>
    <sheet xmlns:r="http://schemas.openxmlformats.org/officeDocument/2006/relationships" name="Summary" sheetId="7" r:id="rId9"/>
    <sheet xmlns:r="http://schemas.openxmlformats.org/officeDocument/2006/relationships" name="Scenario" sheetId="2" r:id="rId2"/>
    <sheet xmlns:r="http://schemas.openxmlformats.org/officeDocument/2006/relationships" name="Metrics" sheetId="3" r:id="rId3"/>
    <sheet xmlns:r="http://schemas.openxmlformats.org/officeDocument/2006/relationships" name="Reference" sheetId="5" r:id="rId5"/>
    <sheet xmlns:r="http://schemas.openxmlformats.org/officeDocument/2006/relationships" name="Results" sheetId="4" state="hidden" r:id="rId4"/>
    <sheet xmlns:r="http://schemas.openxmlformats.org/officeDocument/2006/relationships" name="ChartData" sheetId="6" state="hidden" r:id="rId6"/>
  </sheets>
  <definedNames>
    <definedName name="curve_keys">'Reference'!$A$58:$A$91</definedName>
    <definedName name="curve_x1">'Reference'!$G$58:$G$91</definedName>
    <definedName name="curve_y1">'Reference'!$L$58:$L$91</definedName>
    <definedName name="curve_x2">'Reference'!$H$58:$H$91</definedName>
    <definedName name="curve_y2">'Reference'!$M$58:$M$91</definedName>
    <definedName name="curve_x3">'Reference'!$I$58:$I$91</definedName>
    <definedName name="curve_y3">'Reference'!$N$58:$N$91</definedName>
    <definedName name="curve_x4">'Reference'!$J$58:$J$91</definedName>
    <definedName name="curve_y4">'Reference'!$O$58:$O$91</definedName>
    <definedName name="curve_x5">'Reference'!$K$58:$K$91</definedName>
    <definedName name="curve_y5">'Reference'!$P$58:$P$91</definedName>
    <definedName name="curve_x39">'Reference'!$T$58:$T$91</definedName>
    <definedName name="curve_x69">'Reference'!$U$58:$U$91</definedName>
    <definedName name="anchor_good">'Reference'!$B$102</definedName>
    <definedName name="score_good">'Reference'!$C$102</definedName>
    <definedName name="anchor_fair">'Reference'!$B$103</definedName>
    <definedName name="score_fair">'Reference'!$C$103</definedName>
    <definedName name="anchor_poor">'Reference'!$B$104</definedName>
    <definedName name="score_poor">'Reference'!$C$104</definedName>
    <definedName name="nutrient_regions">'Reference'!$A$186:$A$194</definedName>
    <definedName name="nutrient_tn_gf">'Reference'!$B$186:$B$194</definedName>
    <definedName name="nutrient_tn_fp">'Reference'!$C$186:$C$194</definedName>
    <definedName name="nutrient_tp_gf">'Reference'!$D$186:$D$194</definedName>
    <definedName name="nutrient_tp_fp">'Reference'!$E$186:$E$194</definedName>
    <definedName name="attains_keys">'Reference'!$A$198:$A$204</definedName>
    <definedName name="attains_ratings">'Reference'!$B$198:$B$204</definedName>
    <definedName name="site_name">'Scenario'!$B$2</definedName>
    <definedName name="site_assessor">'Scenario'!$G$2</definedName>
    <definedName name="site_comid">'Scenario'!$K$2</definedName>
    <definedName name="site_coords">'Scenario'!$B$3</definedName>
    <definedName name="site_date">'Scenario'!$G$3</definedName>
    <definedName name="ctx_region">'Scenario'!$K$3</definedName>
    <definedName name="ctx_fcode">'Scenario'!$B$4</definedName>
    <definedName name="ctx_slope_override">'Scenario'!$G$4</definedName>
    <definedName name="calc_slope_class">'Scenario'!$K$4</definedName>
    <definedName name="in_impervious">'Scenario'!$J$8</definedName>
    <definedName name="in_agriculture">'Scenario'!$J$9</definedName>
    <definedName name="ov_m01_rating">'Scenario'!$J$10</definedName>
    <definedName name="in_woodyWetland">'Scenario'!$J$11</definedName>
    <definedName name="in_herbaceousWetland">'Scenario'!$J$12</definedName>
    <definedName name="ov_m02_rating">'Scenario'!$J$14</definedName>
    <definedName name="in_roadDensity">'Scenario'!$J$15</definedName>
    <definedName name="ov_m03_rating">'Scenario'!$J$16</definedName>
    <definedName name="in_storage">'Scenario'!$J$17</definedName>
    <definedName name="in_runoff">'Scenario'!$J$18</definedName>
    <definedName name="ov_m04_rating">'Scenario'!$J$20</definedName>
    <definedName name="in_flowCv">'Scenario'!$J$21</definedName>
    <definedName name="ov_m05_rating">'Scenario'!$J$22</definedName>
    <definedName name="in_bhr">'Scenario'!$J$23</definedName>
    <definedName name="ov_m06_rating">'Scenario'!$J$24</definedName>
    <definedName name="in_er">'Scenario'!$J$25</definedName>
    <definedName name="in_slope">'Scenario'!$J$26</definedName>
    <definedName name="ov_m07_rating">'Scenario'!$J$27</definedName>
    <definedName name="in_sinuosity">'Scenario'!$J$29</definedName>
    <definedName name="ov_m08_rating">'Scenario'!$J$30</definedName>
    <definedName name="ov_stageClass">'Scenario'!$J$33</definedName>
    <definedName name="ov_indicators">'Scenario'!$J$34</definedName>
    <definedName name="ov_m09_rating">'Scenario'!$J$35</definedName>
    <definedName name="ov_erodingBankPct">'Scenario'!$J$37</definedName>
    <definedName name="ov_armoredBankPct">'Scenario'!$J$38</definedName>
    <definedName name="ov_m10_rating">'Scenario'!$J$39</definedName>
    <definedName name="in_kFactor">'Scenario'!$J$41</definedName>
    <definedName name="ov_m11_rating">'Scenario'!$J$43</definedName>
    <definedName name="ov_m12_rating">'Scenario'!$J$45</definedName>
    <definedName name="in_woodyRiparian">'Scenario'!$J$46</definedName>
    <definedName name="ov_m13_rating">'Scenario'!$J$48</definedName>
    <definedName name="in_forest">'Scenario'!$J$49</definedName>
    <definedName name="in_shrub">'Scenario'!$J$50</definedName>
    <definedName name="in_grassland">'Scenario'!$J$51</definedName>
    <definedName name="in_wetland">'Scenario'!$J$52</definedName>
    <definedName name="ov_m14_rating">'Scenario'!$J$54</definedName>
    <definedName name="in_tn">'Scenario'!$J$55</definedName>
    <definedName name="in_tp">'Scenario'!$J$56</definedName>
    <definedName name="in_chemCatchment">'Scenario'!$J$57</definedName>
    <definedName name="in_chemWatershed">'Scenario'!$J$58</definedName>
    <definedName name="ov_m15_rating">'Scenario'!$J$59</definedName>
    <definedName name="in_category">'Scenario'!$J$60</definedName>
    <definedName name="ov_m16_rating">'Scenario'!$J$63</definedName>
    <definedName name="ov_m17_rating">'Scenario'!$J$65</definedName>
    <definedName name="in_prGBmmi">'Scenario'!$J$66</definedName>
    <definedName name="in_hydCat">'Scenario'!$J$67</definedName>
    <definedName name="in_sedCat">'Scenario'!$J$68</definedName>
    <definedName name="in_connCat">'Scenario'!$J$69</definedName>
    <definedName name="in_tempCat">'Scenario'!$J$70</definedName>
    <definedName name="in_habtCat">'Scenario'!$J$71</definedName>
    <definedName name="in_hydWs">'Scenario'!$J$73</definedName>
    <definedName name="in_sedWs">'Scenario'!$J$74</definedName>
    <definedName name="in_connWs">'Scenario'!$J$75</definedName>
    <definedName name="in_tempWs">'Scenario'!$J$76</definedName>
    <definedName name="in_habtWs">'Scenario'!$J$77</definedName>
    <definedName name="ov_m18_rating">'Scenario'!$J$81</definedName>
    <definedName name="in_taxaCount">'Scenario'!$J$82</definedName>
    <definedName name="ov_m19_rating">'Scenario'!$J$83</definedName>
    <definedName name="in_damCount">'Scenario'!$J$84</definedName>
    <definedName name="ov_m20_rating">'Scenario'!$J$85</definedName>
    <definedName name="in_m01">'Scenario'!$B$89</definedName>
    <definedName name="in_m02">'Scenario'!$C$89</definedName>
    <definedName name="in_m03">'Scenario'!$D$89</definedName>
    <definedName name="in_m04">'Scenario'!$E$89</definedName>
    <definedName name="in_m05">'Scenario'!$F$89</definedName>
    <definedName name="in_m06">'Scenario'!$G$89</definedName>
    <definedName name="in_m07">'Scenario'!$H$89</definedName>
    <definedName name="in_m08">'Scenario'!$I$89</definedName>
    <definedName name="in_m09">'Scenario'!$J$89</definedName>
    <definedName name="in_m10">'Scenario'!$K$89</definedName>
    <definedName name="in_m11">'Scenario'!$L$89</definedName>
    <definedName name="in_m12">'Scenario'!$M$89</definedName>
    <definedName name="flow_cv_helper">'Scenario'!$B$90</definedName>
    <definedName name="site_notes">'Scenario'!$A$92</definedName>
    <definedName name="m01_governing">'Metrics'!$B$7</definedName>
    <definedName name="m01_combined">'Metrics'!$B$8</definedName>
    <definedName name="m01_route">'Metrics'!$B$9</definedName>
    <definedName name="m01_computed">'Metrics'!$F$10</definedName>
    <definedName name="m01_rating">'Metrics'!$F$12</definedName>
    <definedName name="m01_index">'Metrics'!$G$12</definedName>
    <definedName name="m01_score">'Metrics'!$B$13</definedName>
    <definedName name="m01_status">'Metrics'!$B$14</definedName>
    <definedName name="m02_combined">'Metrics'!$B$20</definedName>
    <definedName name="m02_route">'Metrics'!$B$21</definedName>
    <definedName name="m02_computed">'Metrics'!$F$22</definedName>
    <definedName name="m02_rating">'Metrics'!$F$24</definedName>
    <definedName name="m02_index">'Metrics'!$G$24</definedName>
    <definedName name="m02_score">'Metrics'!$B$25</definedName>
    <definedName name="m02_status">'Metrics'!$B$26</definedName>
    <definedName name="m03_route">'Metrics'!$B$31</definedName>
    <definedName name="m03_computed">'Metrics'!$F$32</definedName>
    <definedName name="m03_rating">'Metrics'!$F$34</definedName>
    <definedName name="m03_index">'Metrics'!$G$34</definedName>
    <definedName name="m03_score">'Metrics'!$B$35</definedName>
    <definedName name="m03_status">'Metrics'!$B$36</definedName>
    <definedName name="m04_combined">'Metrics'!$B$42</definedName>
    <definedName name="m04_route">'Metrics'!$B$43</definedName>
    <definedName name="m04_computed">'Metrics'!$F$44</definedName>
    <definedName name="m04_rating">'Metrics'!$F$46</definedName>
    <definedName name="m04_index">'Metrics'!$G$46</definedName>
    <definedName name="m04_score">'Metrics'!$B$47</definedName>
    <definedName name="m04_status">'Metrics'!$B$48</definedName>
    <definedName name="m05_route">'Metrics'!$B$56</definedName>
    <definedName name="m05_computed">'Metrics'!$F$57</definedName>
    <definedName name="m05_rating">'Metrics'!$F$59</definedName>
    <definedName name="m05_index">'Metrics'!$G$59</definedName>
    <definedName name="m05_score">'Metrics'!$B$60</definedName>
    <definedName name="m05_status">'Metrics'!$B$61</definedName>
    <definedName name="m06_route">'Metrics'!$B$66</definedName>
    <definedName name="m06_computed">'Metrics'!$F$67</definedName>
    <definedName name="m06_rating">'Metrics'!$F$69</definedName>
    <definedName name="m06_index">'Metrics'!$G$69</definedName>
    <definedName name="m06_score">'Metrics'!$B$70</definedName>
    <definedName name="m06_status">'Metrics'!$B$71</definedName>
    <definedName name="m07_route">'Metrics'!$B$78</definedName>
    <definedName name="m07_computed">'Metrics'!$F$79</definedName>
    <definedName name="m07_rating">'Metrics'!$F$81</definedName>
    <definedName name="m07_index">'Metrics'!$G$81</definedName>
    <definedName name="m07_score">'Metrics'!$B$82</definedName>
    <definedName name="m07_status">'Metrics'!$B$83</definedName>
    <definedName name="m08_governing">'Metrics'!$B$89</definedName>
    <definedName name="m08_combined">'Metrics'!$B$90</definedName>
    <definedName name="m08_route">'Metrics'!$B$91</definedName>
    <definedName name="m08_computed">'Metrics'!$F$92</definedName>
    <definedName name="m08_rating">'Metrics'!$F$94</definedName>
    <definedName name="m08_index">'Metrics'!$G$94</definedName>
    <definedName name="m08_score">'Metrics'!$B$95</definedName>
    <definedName name="m08_status">'Metrics'!$B$96</definedName>
    <definedName name="m09_proxy_index">'Metrics'!$B$104</definedName>
    <definedName name="m09_route">'Metrics'!$B$105</definedName>
    <definedName name="m09_computed">'Metrics'!$F$106</definedName>
    <definedName name="m09_rating">'Metrics'!$F$108</definedName>
    <definedName name="m09_index">'Metrics'!$G$108</definedName>
    <definedName name="m09_score">'Metrics'!$B$109</definedName>
    <definedName name="m09_status">'Metrics'!$B$110</definedName>
    <definedName name="m10_route">'Metrics'!$B$117</definedName>
    <definedName name="m10_computed">'Metrics'!$F$118</definedName>
    <definedName name="m10_rating">'Metrics'!$F$120</definedName>
    <definedName name="m10_index">'Metrics'!$G$120</definedName>
    <definedName name="m10_score">'Metrics'!$B$121</definedName>
    <definedName name="m10_status">'Metrics'!$B$122</definedName>
    <definedName name="m11_governing">'Metrics'!$B$129</definedName>
    <definedName name="m11_combined">'Metrics'!$B$130</definedName>
    <definedName name="m11_route">'Metrics'!$B$131</definedName>
    <definedName name="m11_computed">'Metrics'!$F$132</definedName>
    <definedName name="m11_rating">'Metrics'!$F$134</definedName>
    <definedName name="m11_index">'Metrics'!$G$134</definedName>
    <definedName name="m11_score">'Metrics'!$B$135</definedName>
    <definedName name="m11_status">'Metrics'!$B$136</definedName>
    <definedName name="m12_route">'Metrics'!$B$141</definedName>
    <definedName name="m12_computed">'Metrics'!$F$142</definedName>
    <definedName name="m12_rating">'Metrics'!$F$144</definedName>
    <definedName name="m12_index">'Metrics'!$G$144</definedName>
    <definedName name="m12_score">'Metrics'!$B$145</definedName>
    <definedName name="m12_status">'Metrics'!$B$146</definedName>
    <definedName name="m13_governing">'Metrics'!$B$154</definedName>
    <definedName name="m13_combined">'Metrics'!$B$155</definedName>
    <definedName name="m13_route">'Metrics'!$B$156</definedName>
    <definedName name="m13_computed">'Metrics'!$F$157</definedName>
    <definedName name="m13_rating">'Metrics'!$F$159</definedName>
    <definedName name="m13_index">'Metrics'!$G$159</definedName>
    <definedName name="m13_score">'Metrics'!$B$160</definedName>
    <definedName name="m13_status">'Metrics'!$B$161</definedName>
    <definedName name="m14_combined">'Metrics'!$B$169</definedName>
    <definedName name="m14_route">'Metrics'!$B$172</definedName>
    <definedName name="m14_computed">'Metrics'!$F$173</definedName>
    <definedName name="m14_rating">'Metrics'!$F$175</definedName>
    <definedName name="m14_index">'Metrics'!$G$175</definedName>
    <definedName name="m14_score">'Metrics'!$B$176</definedName>
    <definedName name="m14_status">'Metrics'!$B$177</definedName>
    <definedName name="m15_chem">'Metrics'!$B$183</definedName>
    <definedName name="m15_route">'Metrics'!$B$184</definedName>
    <definedName name="m15_computed">'Metrics'!$F$185</definedName>
    <definedName name="m15_rating">'Metrics'!$F$187</definedName>
    <definedName name="m15_index">'Metrics'!$G$187</definedName>
    <definedName name="m15_score">'Metrics'!$B$188</definedName>
    <definedName name="m15_status">'Metrics'!$B$189</definedName>
    <definedName name="m16_chem">'Metrics'!$B$194</definedName>
    <definedName name="m16_route">'Metrics'!$B$195</definedName>
    <definedName name="m16_computed">'Metrics'!$F$196</definedName>
    <definedName name="m16_rating">'Metrics'!$F$198</definedName>
    <definedName name="m16_index">'Metrics'!$G$198</definedName>
    <definedName name="m16_score">'Metrics'!$B$199</definedName>
    <definedName name="m16_status">'Metrics'!$B$200</definedName>
    <definedName name="m17_route">'Metrics'!$B$208</definedName>
    <definedName name="m17_computed">'Metrics'!$F$209</definedName>
    <definedName name="m17_rating">'Metrics'!$F$211</definedName>
    <definedName name="m17_index">'Metrics'!$G$211</definedName>
    <definedName name="m17_score">'Metrics'!$B$212</definedName>
    <definedName name="m17_status">'Metrics'!$B$213</definedName>
    <definedName name="m18_ici">'Metrics'!$B$218</definedName>
    <definedName name="m18_iwi">'Metrics'!$B$219</definedName>
    <definedName name="m18_products">'Metrics'!$B$220</definedName>
    <definedName name="m18_route">'Metrics'!$B$221</definedName>
    <definedName name="m18_computed">'Metrics'!$F$222</definedName>
    <definedName name="m18_rating">'Metrics'!$F$224</definedName>
    <definedName name="m18_index">'Metrics'!$G$224</definedName>
    <definedName name="m18_score">'Metrics'!$B$225</definedName>
    <definedName name="m18_status">'Metrics'!$B$226</definedName>
    <definedName name="m19_route">'Metrics'!$B$231</definedName>
    <definedName name="m19_computed">'Metrics'!$F$232</definedName>
    <definedName name="m19_rating">'Metrics'!$F$234</definedName>
    <definedName name="m19_index">'Metrics'!$G$234</definedName>
    <definedName name="m19_score">'Metrics'!$B$235</definedName>
    <definedName name="m19_status">'Metrics'!$B$236</definedName>
    <definedName name="m20_route">'Metrics'!$B$241</definedName>
    <definedName name="m20_computed">'Metrics'!$F$242</definedName>
    <definedName name="m20_rating">'Metrics'!$F$244</definedName>
    <definedName name="m20_index">'Metrics'!$G$244</definedName>
    <definedName name="m20_score">'Metrics'!$B$245</definedName>
    <definedName name="m20_status">'Metrics'!$B$246</definedName>
    <definedName name="result_score_catchment_hydrology">'Results'!$E$5</definedName>
    <definedName name="result_score_surface_water_storage">'Results'!$E$6</definedName>
    <definedName name="result_score_reach_inflow">'Results'!$E$7</definedName>
    <definedName name="result_score_streamflow_regime">'Results'!$E$8</definedName>
    <definedName name="result_score_low_flow_baseflow_dynamics">'Results'!$E$9</definedName>
    <definedName name="result_score_high_flow_dynamics">'Results'!$E$10</definedName>
    <definedName name="result_score_floodplain_connectivity">'Results'!$E$11</definedName>
    <definedName name="result_score_hyporheic_connectivity">'Results'!$E$12</definedName>
    <definedName name="result_score_channel_evolution">'Results'!$E$13</definedName>
    <definedName name="result_score_channel_floodplain_dynamics">'Results'!$E$14</definedName>
    <definedName name="result_score_sediment_continuity">'Results'!$E$15</definedName>
    <definedName name="result_score_bed_composition_bedform_dynamics">'Results'!$E$16</definedName>
    <definedName name="result_score_light_thermal_regime">'Results'!$E$17</definedName>
    <definedName name="result_score_carbon_processing">'Results'!$E$18</definedName>
    <definedName name="result_score_nutrient_cycling">'Results'!$E$19</definedName>
    <definedName name="result_score_water_soil_quality">'Results'!$E$20</definedName>
    <definedName name="result_score_habitat_provision">'Results'!$E$21</definedName>
    <definedName name="result_score_population_support">'Results'!$E$22</definedName>
    <definedName name="result_score_community_dynamics">'Results'!$E$23</definedName>
    <definedName name="result_score_watershed_connectivity">'Results'!$E$24</definedName>
    <definedName name="sub_index_physical">'Results'!$D$27</definedName>
    <definedName name="sub_index_physical_display">'Results'!$E$27</definedName>
    <definedName name="coverage_physical">'Results'!$G$27</definedName>
    <definedName name="sub_index_chemical">'Results'!$D$28</definedName>
    <definedName name="sub_index_chemical_display">'Results'!$E$28</definedName>
    <definedName name="coverage_chemical">'Results'!$G$28</definedName>
    <definedName name="sub_index_biological">'Results'!$D$29</definedName>
    <definedName name="sub_index_biological_display">'Results'!$E$29</definedName>
    <definedName name="coverage_biological">'Results'!$G$29</definedName>
    <definedName name="eci">'Results'!$D$30</definedName>
    <definedName name="eci_display">'Results'!$E$30</definedName>
    <definedName name="eci_class">'Results'!$F$30</definedName>
    <definedName name="functions_rated">'Results'!$B$33</definedName>
    <definedName name="functions_selected">'Results'!$B$34</definedName>
    <definedName name="coverage_overall">'Results'!$B$35</definedName>
    <definedName name="provisional">'Results'!$B$36</definedName>
    <definedName name="coverage_status">'Results'!$B$37</definedName>
    <definedName name="_xlnm.Print_Area" localSheetId="2">'Scenario'!$A$1:$Z$101</definedName>
    <definedName name="_xlnm.Print_Titles" localSheetId="1">Summary!$14:$14</definedName>
  </definedNames>
  <calcPr calcId="0" fullCalcOnLoad="1"/>
</workbook>
</file>

<file path=xl/styles.xml><?xml version="1.0" encoding="utf-8"?>
<styleSheet xmlns="http://schemas.openxmlformats.org/spreadsheetml/2006/main">
  <numFmts count="8">
    <numFmt numFmtId="164" formatCode="0.000"/>
    <numFmt numFmtId="165" formatCode="yyyy-mm-dd"/>
    <numFmt numFmtId="166" formatCode="0.000000"/>
    <numFmt numFmtId="167" formatCode="0.0000"/>
    <numFmt numFmtId="168" formatCode="0&quot; of 4&quot;"/>
    <numFmt numFmtId="169" formatCode="0&quot; of 20&quot;"/>
    <numFmt numFmtId="170" formatCode="yyyy-mm-dd h:mm:ss"/>
    <numFmt numFmtId="171" formatCode="[$-409]mmmm d, yyyy;@"/>
  </numFmts>
  <fonts count="23">
    <font>
      <name val="Calibri"/>
      <family val="2"/>
      <color theme="1"/>
      <sz val="11"/>
      <scheme val="minor"/>
    </font>
    <font>
      <b val="1"/>
    </font>
    <font>
      <b val="1"/>
      <sz val="13"/>
    </font>
    <font>
      <b val="1"/>
      <sz val="11"/>
    </font>
    <font>
      <i val="1"/>
      <color rgb="00555555"/>
      <sz val="9"/>
    </font>
    <font>
      <b val="1"/>
      <sz val="16"/>
    </font>
    <font>
      <sz val="12"/>
    </font>
    <font>
      <b val="1"/>
      <sz val="12"/>
    </font>
    <font>
      <b val="1"/>
      <i val="1"/>
    </font>
    <font>
      <i val="1"/>
    </font>
    <font>
      <sz val="10"/>
    </font>
    <font>
      <b val="1"/>
      <sz val="10"/>
    </font>
    <font>
      <sz val="9"/>
    </font>
    <font>
      <name val="Arial"/>
      <b val="1"/>
      <sz val="10"/>
    </font>
    <font>
      <name val="Arial"/>
      <sz val="10"/>
    </font>
    <font>
      <sz val="11"/>
    </font>
    <font>
      <b/>
      <sz val="16"/>
      <color rgb="FF2B3445"/>
      <name val="Calibri"/>
      <family val="2"/>
    </font>
    <font>
      <sz val="11"/>
      <color rgb="FF7A8699"/>
      <name val="Calibri"/>
      <family val="2"/>
    </font>
    <font>
      <b/>
      <sz val="12"/>
      <color rgb="FF2B3445"/>
      <name val="Calibri"/>
      <family val="2"/>
    </font>
    <font>
      <b/>
      <sz val="11"/>
      <color rgb="FF2B3445"/>
      <name val="Calibri"/>
      <family val="2"/>
    </font>
    <font>
      <sz val="11"/>
      <color rgb="FF2B3445"/>
      <name val="Calibri"/>
      <family val="2"/>
    </font>
    <font>
      <sz val="11"/>
      <color rgb="FF5A6578"/>
      <name val="Calibri"/>
      <family val="2"/>
    </font>
    <font>
      <b/>
      <sz val="11"/>
      <color rgb="FF5A6578"/>
      <name val="Calibri"/>
      <family val="2"/>
    </font>
  </fonts>
  <fills count="23">
    <fill>
      <patternFill/>
    </fill>
    <fill>
      <patternFill patternType="gray125"/>
    </fill>
    <fill>
      <patternFill patternType="solid">
        <fgColor rgb="00F2F2F2"/>
      </patternFill>
    </fill>
    <fill>
      <patternFill patternType="solid">
        <fgColor rgb="008FAADC"/>
      </patternFill>
    </fill>
    <fill>
      <patternFill patternType="solid">
        <fgColor rgb="00FFFF99"/>
      </patternFill>
    </fill>
    <fill>
      <patternFill patternType="solid">
        <fgColor rgb="00FF6969"/>
      </patternFill>
    </fill>
    <fill>
      <patternFill patternType="solid">
        <fgColor rgb="00C8D9F2"/>
      </patternFill>
    </fill>
    <fill>
      <patternFill patternType="solid">
        <fgColor rgb="00F5E7A6"/>
      </patternFill>
    </fill>
    <fill>
      <patternFill patternType="solid">
        <fgColor rgb="00F5B5B5"/>
      </patternFill>
    </fill>
    <fill>
      <patternFill patternType="solid">
        <fgColor rgb="00F8CBAD"/>
      </patternFill>
    </fill>
    <fill>
      <patternFill patternType="solid">
        <fgColor rgb="00EDEDED"/>
      </patternFill>
    </fill>
    <fill>
      <patternFill patternType="solid">
        <fgColor rgb="00D9D9D9"/>
      </patternFill>
    </fill>
    <fill>
      <patternFill patternType="solid">
        <fgColor rgb="00BFBFBF"/>
      </patternFill>
    </fill>
    <fill>
      <patternFill patternType="solid">
        <fgColor rgb="00FDE9D9"/>
      </patternFill>
    </fill>
    <fill>
      <patternFill patternType="solid">
        <fgColor rgb="00D9E1F2"/>
      </patternFill>
    </fill>
    <fill>
      <patternFill patternType="solid">
        <fgColor rgb="00B4C6E7"/>
      </patternFill>
    </fill>
    <fill>
      <patternFill patternType="solid">
        <fgColor rgb="00FCE4D6"/>
      </patternFill>
    </fill>
    <fill>
      <patternFill patternType="solid">
        <fgColor rgb="00FFF2CC"/>
      </patternFill>
    </fill>
    <fill>
      <patternFill patternType="solid">
        <fgColor rgb="00E2EFDA"/>
      </patternFill>
    </fill>
    <fill>
      <patternFill patternType="solid">
        <fgColor rgb="00FFFFFF"/>
      </patternFill>
    </fill>
    <fill>
      <patternFill patternType="solid">
        <fgColor rgb="FFF8CBAD"/>
        <bgColor indexed="64"/>
      </patternFill>
    </fill>
    <fill>
      <patternFill patternType="solid">
        <fgColor rgb="FFF2F2F2"/>
        <bgColor indexed="64"/>
      </patternFill>
    </fill>
    <fill>
      <patternFill patternType="solid">
        <fgColor rgb="FFF6F8FB"/>
        <bgColor indexed="64"/>
      </patternFill>
    </fill>
  </fills>
  <borders count="48">
    <border>
      <left/>
      <right/>
      <top/>
      <bottom/>
      <diagonal/>
    </border>
    <border>
      <left style="thin">
        <color rgb="00000000"/>
      </left>
      <right style="thin">
        <color rgb="00000000"/>
      </right>
      <top style="thin">
        <color rgb="00000000"/>
      </top>
      <bottom style="thin">
        <color rgb="0000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thin">
        <color rgb="00000000"/>
      </top>
      <bottom style="double">
        <color rgb="00000000"/>
      </bottom>
    </border>
    <border>
      <left style="medium">
        <color rgb="00000000"/>
      </left>
      <right style="thin">
        <color rgb="00000000"/>
      </right>
      <top style="double">
        <color rgb="00000000"/>
      </top>
      <bottom style="medium">
        <color rgb="00000000"/>
      </bottom>
    </border>
    <border>
      <left style="thin">
        <color rgb="00000000"/>
      </left>
      <right style="thin">
        <color rgb="00000000"/>
      </right>
      <top style="double">
        <color rgb="00000000"/>
      </top>
      <bottom style="medium">
        <color rgb="00000000"/>
      </bottom>
    </border>
    <border>
      <left style="thin">
        <color rgb="00000000"/>
      </left>
      <right style="medium">
        <color rgb="00000000"/>
      </right>
      <top style="double">
        <color rgb="00000000"/>
      </top>
      <bottom style="medium">
        <color rgb="00000000"/>
      </bottom>
    </border>
    <border>
      <left style="thin">
        <color rgb="00FFFFFF"/>
      </left>
      <right style="thin">
        <color rgb="00FFFFFF"/>
      </right>
      <top style="thin">
        <color rgb="00FFFFFF"/>
      </top>
      <bottom style="thin">
        <color rgb="00FFFFFF"/>
      </bottom>
    </border>
    <border>
      <left style="thin">
        <color rgb="007F7F7F"/>
      </left>
      <right style="thin">
        <color rgb="007F7F7F"/>
      </right>
      <top style="thin">
        <color rgb="007F7F7F"/>
      </top>
      <bottom style="thin">
        <color rgb="007F7F7F"/>
      </bottom>
    </border>
    <border>
      <left style="thin">
        <color rgb="00FFFFFF"/>
      </left>
      <right style="thin">
        <color rgb="00FFFFFF"/>
      </right>
    </border>
    <border>
      <left style="thin">
        <color rgb="00FFFFFF"/>
      </left>
      <right style="thin">
        <color rgb="00FFFFFF"/>
      </right>
      <top style="thin">
        <color rgb="00FFFFFF"/>
      </top>
      <bottom/>
    </border>
    <border>
      <left style="thin">
        <color rgb="00FFFFFF"/>
      </left>
      <right style="thin">
        <color rgb="00FFFFFF"/>
      </right>
      <top/>
      <bottom style="thin">
        <color rgb="00FFFFFF"/>
      </bottom>
    </border>
    <border>
      <left style="thin">
        <color rgb="00FFFFFF"/>
      </left>
      <right/>
      <top style="thin">
        <color rgb="00FFFFFF"/>
      </top>
      <bottom style="thin">
        <color rgb="00FFFFFF"/>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style="thin">
        <color rgb="00000000"/>
      </left>
      <right/>
      <top style="thin">
        <color rgb="00000000"/>
      </top>
      <bottom/>
    </border>
    <border>
      <left/>
      <right style="thin">
        <color rgb="00000000"/>
      </right>
      <top style="thin">
        <color rgb="00000000"/>
      </top>
      <bottom/>
    </border>
    <border>
      <left style="thin">
        <color rgb="00000000"/>
      </left>
      <right/>
      <top/>
      <bottom style="thin">
        <color rgb="00000000"/>
      </bottom>
    </border>
    <border>
      <left/>
      <right style="thin">
        <color rgb="00000000"/>
      </right>
      <top/>
      <bottom style="thin">
        <color rgb="00000000"/>
      </bottom>
    </border>
    <border>
      <left style="thin">
        <color rgb="00000000"/>
      </left>
      <right style="thin">
        <color rgb="00000000"/>
      </right>
      <top style="thin">
        <color rgb="00000000"/>
      </top>
      <bottom/>
    </border>
    <border>
      <left style="thin">
        <color rgb="00000000"/>
      </left>
      <right style="thin">
        <color rgb="00000000"/>
      </right>
      <top/>
      <bottom style="thin">
        <color rgb="00000000"/>
      </bottom>
    </border>
    <border>
      <left/>
      <right/>
      <top/>
      <bottom style="medium">
        <color rgb="FFD5DEEA"/>
      </bottom>
      <diagonal/>
    </border>
    <border>
      <left/>
      <right/>
      <top/>
      <bottom style="thin">
        <color rgb="FFE5E8EE"/>
      </bottom>
      <diagonal/>
    </border>
    <border>
      <left/>
      <right/>
      <top/>
      <bottom style="thin">
        <color rgb="FFD5DEEA"/>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13">
    <xf numFmtId="0" fontId="0" fillId="0" borderId="0" pivotButton="0" quotePrefix="0" xfId="0"/>
    <xf numFmtId="0" fontId="13" fillId="19" borderId="28" pivotButton="0" quotePrefix="0" xfId="0"/>
    <xf numFmtId="0" fontId="0" fillId="19" borderId="28" pivotButton="0" quotePrefix="0" xfId="0"/>
    <xf numFmtId="0" fontId="0" fillId="19" borderId="31" pivotButton="0" quotePrefix="0" xfId="0"/>
    <xf numFmtId="0" fontId="0" fillId="19" borderId="33" pivotButton="0" quotePrefix="0" xfId="0"/>
    <xf numFmtId="0" fontId="0" fillId="9" borderId="1" applyAlignment="1" pivotButton="0" quotePrefix="0" xfId="0">
      <alignment horizontal="center"/>
    </xf>
    <xf numFmtId="0" fontId="0" fillId="19" borderId="1" applyAlignment="1" pivotButton="0" quotePrefix="0" xfId="0">
      <alignment horizontal="center"/>
    </xf>
    <xf numFmtId="0" fontId="0" fillId="2" borderId="29" applyAlignment="1" pivotButton="0" quotePrefix="0" xfId="0">
      <alignment horizontal="center"/>
    </xf>
    <xf numFmtId="0" fontId="0" fillId="13" borderId="1" applyAlignment="1" pivotButton="0" quotePrefix="0" xfId="0">
      <alignment horizontal="center"/>
    </xf>
    <xf numFmtId="0" fontId="10" fillId="19" borderId="30" applyAlignment="1" pivotButton="0" quotePrefix="0" xfId="0">
      <alignment horizontal="center"/>
    </xf>
    <xf numFmtId="0" fontId="14" fillId="19" borderId="28" pivotButton="0" quotePrefix="0" xfId="0"/>
    <xf numFmtId="171" fontId="0" fillId="19" borderId="28" applyAlignment="1" pivotButton="0" quotePrefix="0" xfId="0">
      <alignment horizontal="left"/>
    </xf>
    <xf numFmtId="0" fontId="0" fillId="19" borderId="32" pivotButton="0" quotePrefix="0" xfId="0"/>
    <xf numFmtId="0" fontId="14" fillId="19" borderId="28" applyAlignment="1" pivotButton="0" quotePrefix="0" xfId="0">
      <alignment wrapText="1"/>
    </xf>
    <xf numFmtId="0" fontId="13" fillId="0" borderId="1" applyAlignment="1" pivotButton="0" quotePrefix="0" xfId="0">
      <alignment horizontal="center"/>
    </xf>
    <xf numFmtId="0" fontId="0" fillId="0" borderId="36" pivotButton="0" quotePrefix="0" xfId="0"/>
    <xf numFmtId="0" fontId="15" fillId="0" borderId="0" applyAlignment="1" pivotButton="0" quotePrefix="0" xfId="0">
      <alignment horizont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0" applyAlignment="1" pivotButton="0" quotePrefix="0" xfId="0">
      <alignment horizontal="right" vertical="top"/>
    </xf>
    <xf numFmtId="0" fontId="1" fillId="3" borderId="37" applyAlignment="1" pivotButton="0" quotePrefix="0" xfId="0">
      <alignment horizontal="center" vertical="center" wrapText="1"/>
    </xf>
    <xf numFmtId="0" fontId="0" fillId="0" borderId="38" pivotButton="0" quotePrefix="0" xfId="0"/>
    <xf numFmtId="0" fontId="1" fillId="3" borderId="41" applyAlignment="1" pivotButton="0" quotePrefix="0" xfId="0">
      <alignment horizontal="center" vertical="center" wrapText="1"/>
    </xf>
    <xf numFmtId="0" fontId="0" fillId="3" borderId="1" applyAlignment="1" pivotButton="0" quotePrefix="0" xfId="0">
      <alignment horizontal="left" vertical="center" wrapText="1" indent="1"/>
    </xf>
    <xf numFmtId="0" fontId="0" fillId="0" borderId="0" applyAlignment="1" pivotButton="0" quotePrefix="0" xfId="0">
      <alignment horizontal="right" vertical="bottom"/>
    </xf>
    <xf numFmtId="0" fontId="0" fillId="0" borderId="39" pivotButton="0" quotePrefix="0" xfId="0"/>
    <xf numFmtId="0" fontId="0" fillId="0" borderId="40" pivotButton="0" quotePrefix="0" xfId="0"/>
    <xf numFmtId="0" fontId="0" fillId="0" borderId="42" pivotButton="0" quotePrefix="0" xfId="0"/>
    <xf numFmtId="0" fontId="0" fillId="4" borderId="1" applyAlignment="1" pivotButton="0" quotePrefix="0" xfId="0">
      <alignment horizontal="left" vertical="center" wrapText="1" indent="1"/>
    </xf>
    <xf numFmtId="0" fontId="1" fillId="4" borderId="37" applyAlignment="1" pivotButton="0" quotePrefix="0" xfId="0">
      <alignment horizontal="center" vertical="center" wrapText="1"/>
    </xf>
    <xf numFmtId="0" fontId="1" fillId="4" borderId="41" applyAlignment="1" pivotButton="0" quotePrefix="0" xfId="0">
      <alignment horizontal="center" vertical="center" wrapText="1"/>
    </xf>
    <xf numFmtId="0" fontId="0" fillId="5" borderId="1" applyAlignment="1" pivotButton="0" quotePrefix="0" xfId="0">
      <alignment horizontal="left" vertical="center" wrapText="1" indent="1"/>
    </xf>
    <xf numFmtId="0" fontId="0" fillId="0" borderId="1" applyAlignment="1" pivotButton="0" quotePrefix="0" xfId="0">
      <alignment horizontal="left" vertical="center" wrapText="1" indent="1"/>
    </xf>
    <xf numFmtId="0" fontId="1" fillId="5" borderId="37" applyAlignment="1" pivotButton="0" quotePrefix="0" xfId="0">
      <alignment horizontal="center" vertical="center" wrapText="1"/>
    </xf>
    <xf numFmtId="0" fontId="1" fillId="5" borderId="41" applyAlignment="1" pivotButton="0" quotePrefix="0" xfId="0">
      <alignment horizontal="center" vertical="center" wrapText="1"/>
    </xf>
    <xf numFmtId="0" fontId="1" fillId="0" borderId="1" applyAlignment="1" pivotButton="0" quotePrefix="0" xfId="0">
      <alignment horizontal="center"/>
    </xf>
    <xf numFmtId="0" fontId="5" fillId="2" borderId="2" applyAlignment="1" pivotButton="0" quotePrefix="0" xfId="0">
      <alignment horizontal="center" vertical="center"/>
    </xf>
    <xf numFmtId="0" fontId="0" fillId="0" borderId="3" pivotButton="0" quotePrefix="0" xfId="0"/>
    <xf numFmtId="0" fontId="0" fillId="0" borderId="4" pivotButton="0" quotePrefix="0" xfId="0"/>
    <xf numFmtId="0" fontId="5" fillId="0" borderId="5" applyAlignment="1" pivotButton="0" quotePrefix="0" xfId="0">
      <alignment horizontal="center" vertical="center"/>
    </xf>
    <xf numFmtId="0" fontId="6" fillId="9" borderId="6" applyAlignment="1" applyProtection="1" pivotButton="0" quotePrefix="0" xfId="0">
      <alignment horizontal="left" vertical="center"/>
      <protection locked="0" hidden="0"/>
    </xf>
    <xf numFmtId="0" fontId="0" fillId="0" borderId="6" applyProtection="1" pivotButton="0" quotePrefix="0" xfId="0">
      <protection locked="0" hidden="0"/>
    </xf>
    <xf numFmtId="0" fontId="5" fillId="0" borderId="6" applyAlignment="1" pivotButton="0" quotePrefix="0" xfId="0">
      <alignment horizontal="center" vertical="center"/>
    </xf>
    <xf numFmtId="0" fontId="0" fillId="0" borderId="7" applyProtection="1" pivotButton="0" quotePrefix="0" xfId="0">
      <protection locked="0" hidden="0"/>
    </xf>
    <xf numFmtId="0" fontId="5" fillId="0" borderId="8" applyAlignment="1" pivotButton="0" quotePrefix="0" xfId="0">
      <alignment horizontal="center" vertical="center"/>
    </xf>
    <xf numFmtId="0" fontId="6" fillId="9" borderId="1" applyAlignment="1" applyProtection="1" pivotButton="0" quotePrefix="0" xfId="0">
      <alignment horizontal="left" vertical="center"/>
      <protection locked="0" hidden="0"/>
    </xf>
    <xf numFmtId="0" fontId="0" fillId="0" borderId="1" applyProtection="1" pivotButton="0" quotePrefix="0" xfId="0">
      <protection locked="0" hidden="0"/>
    </xf>
    <xf numFmtId="0" fontId="5" fillId="0" borderId="1" applyAlignment="1" pivotButton="0" quotePrefix="0" xfId="0">
      <alignment horizontal="center" vertical="center"/>
    </xf>
    <xf numFmtId="165" fontId="6" fillId="9" borderId="1" applyAlignment="1" applyProtection="1" pivotButton="0" quotePrefix="0" xfId="0">
      <alignment horizontal="left" vertical="center"/>
      <protection locked="0" hidden="0"/>
    </xf>
    <xf numFmtId="0" fontId="0" fillId="0" borderId="9" applyProtection="1" pivotButton="0" quotePrefix="0" xfId="0">
      <protection locked="0" hidden="0"/>
    </xf>
    <xf numFmtId="0" fontId="5" fillId="0" borderId="10" applyAlignment="1" pivotButton="0" quotePrefix="0" xfId="0">
      <alignment horizontal="center" vertical="center"/>
    </xf>
    <xf numFmtId="0" fontId="6" fillId="9" borderId="11" applyAlignment="1" applyProtection="1" pivotButton="0" quotePrefix="0" xfId="0">
      <alignment horizontal="left" vertical="center"/>
      <protection locked="0" hidden="0"/>
    </xf>
    <xf numFmtId="0" fontId="0" fillId="0" borderId="11" applyProtection="1" pivotButton="0" quotePrefix="0" xfId="0">
      <protection locked="0" hidden="0"/>
    </xf>
    <xf numFmtId="0" fontId="5" fillId="0" borderId="11" applyAlignment="1" pivotButton="0" quotePrefix="0" xfId="0">
      <alignment horizontal="center" vertical="center"/>
    </xf>
    <xf numFmtId="0" fontId="6" fillId="0" borderId="11" applyAlignment="1" pivotButton="0" quotePrefix="0" xfId="0">
      <alignment horizontal="left" vertical="center"/>
    </xf>
    <xf numFmtId="0" fontId="0" fillId="0" borderId="11" pivotButton="0" quotePrefix="0" xfId="0"/>
    <xf numFmtId="0" fontId="0" fillId="0" borderId="12" pivotButton="0" quotePrefix="0" xfId="0"/>
    <xf numFmtId="0" fontId="7" fillId="2" borderId="5" applyAlignment="1" pivotButton="0" quotePrefix="0" xfId="0">
      <alignment horizontal="center" vertical="center" wrapText="1"/>
    </xf>
    <xf numFmtId="0" fontId="0" fillId="0" borderId="6" pivotButton="0" quotePrefix="0" xfId="0"/>
    <xf numFmtId="0" fontId="0" fillId="0" borderId="7" pivotButton="0" quotePrefix="0" xfId="0"/>
    <xf numFmtId="0" fontId="7" fillId="0" borderId="1" applyAlignment="1" pivotButton="0" quotePrefix="0" xfId="0">
      <alignment horizontal="center" vertical="center"/>
    </xf>
    <xf numFmtId="0" fontId="0" fillId="0" borderId="1" pivotButton="0" quotePrefix="0" xfId="0"/>
    <xf numFmtId="0" fontId="3" fillId="0" borderId="0" applyAlignment="1" pivotButton="0" quotePrefix="0" xfId="0">
      <alignment horizontal="center" vertical="center"/>
    </xf>
    <xf numFmtId="0" fontId="7" fillId="0" borderId="8"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9" applyAlignment="1" pivotButton="0" quotePrefix="0" xfId="0">
      <alignment horizontal="center" vertical="center" wrapText="1"/>
    </xf>
    <xf numFmtId="0" fontId="12" fillId="0" borderId="0" applyAlignment="1" pivotButton="0" quotePrefix="0" xfId="0">
      <alignment horizontal="right" vertical="top"/>
    </xf>
    <xf numFmtId="0" fontId="11" fillId="3" borderId="1" applyAlignment="1" pivotButton="0" quotePrefix="0" xfId="0">
      <alignment horizontal="center" vertical="center" wrapText="1"/>
    </xf>
    <xf numFmtId="0" fontId="0" fillId="0" borderId="10" pivotButton="0" quotePrefix="0" xfId="0"/>
    <xf numFmtId="0" fontId="0" fillId="3" borderId="1" pivotButton="0" quotePrefix="0" xfId="0"/>
    <xf numFmtId="2" fontId="6" fillId="0" borderId="5" applyAlignment="1" pivotButton="0" quotePrefix="0" xfId="0">
      <alignment horizontal="center" vertical="center"/>
    </xf>
    <xf numFmtId="0" fontId="6" fillId="2" borderId="5" applyAlignment="1" pivotButton="0" quotePrefix="0" xfId="0">
      <alignment horizontal="center" vertical="center" wrapText="1"/>
    </xf>
    <xf numFmtId="2" fontId="6" fillId="0" borderId="6" applyAlignment="1" pivotButton="0" quotePrefix="0" xfId="0">
      <alignment horizontal="center" vertical="center"/>
    </xf>
    <xf numFmtId="168" fontId="6" fillId="0" borderId="6" applyAlignment="1" pivotButton="0" quotePrefix="0" xfId="0">
      <alignment horizontal="center" vertical="center"/>
    </xf>
    <xf numFmtId="0" fontId="6" fillId="0" borderId="6" applyAlignment="1" pivotButton="0" quotePrefix="0" xfId="0">
      <alignment horizontal="center" vertical="center"/>
    </xf>
    <xf numFmtId="1" fontId="6" fillId="0" borderId="6" applyAlignment="1" pivotButton="0" quotePrefix="0" xfId="0">
      <alignment horizontal="center" vertical="center"/>
    </xf>
    <xf numFmtId="0" fontId="0" fillId="2" borderId="5" applyAlignment="1" pivotButton="0" quotePrefix="0" xfId="0">
      <alignment horizontal="left" vertical="center" wrapText="1"/>
    </xf>
    <xf numFmtId="0" fontId="0" fillId="9" borderId="6" applyAlignment="1" applyProtection="1" pivotButton="0" quotePrefix="0" xfId="0">
      <alignment horizontal="center" vertical="center"/>
      <protection locked="0" hidden="0"/>
    </xf>
    <xf numFmtId="0" fontId="0" fillId="0" borderId="6" applyAlignment="1" pivotButton="0" quotePrefix="0" xfId="0">
      <alignment horizontal="center" vertical="center"/>
    </xf>
    <xf numFmtId="0" fontId="0" fillId="0" borderId="7" applyAlignment="1" pivotButton="0" quotePrefix="0" xfId="0">
      <alignment horizontal="left" vertical="center" wrapText="1"/>
    </xf>
    <xf numFmtId="0" fontId="10" fillId="14" borderId="1" applyAlignment="1" pivotButton="0" quotePrefix="0" xfId="0">
      <alignment horizontal="center" vertical="center" wrapText="1"/>
    </xf>
    <xf numFmtId="0" fontId="10" fillId="14" borderId="1" applyAlignment="1" pivotButton="0" quotePrefix="0" xfId="0">
      <alignment horizontal="left" vertical="center" wrapText="1"/>
    </xf>
    <xf numFmtId="1" fontId="11" fillId="0" borderId="1" applyAlignment="1" pivotButton="0" quotePrefix="0" xfId="0">
      <alignment horizontal="center" vertical="center"/>
    </xf>
    <xf numFmtId="0" fontId="10" fillId="14" borderId="1" applyAlignment="1" pivotButton="0" quotePrefix="0" xfId="0">
      <alignment horizontal="center" vertical="center"/>
    </xf>
    <xf numFmtId="0" fontId="12" fillId="0" borderId="0" applyAlignment="1" pivotButton="0" quotePrefix="0" xfId="0">
      <alignment horizontal="right" vertical="bottom"/>
    </xf>
    <xf numFmtId="0" fontId="0" fillId="0" borderId="8" pivotButton="0" quotePrefix="0" xfId="0"/>
    <xf numFmtId="0" fontId="0" fillId="2" borderId="22" applyAlignment="1" pivotButton="0" quotePrefix="0" xfId="0">
      <alignment horizontal="left" vertical="center" wrapText="1"/>
    </xf>
    <xf numFmtId="0" fontId="0" fillId="9" borderId="23" applyAlignment="1" applyProtection="1" pivotButton="0" quotePrefix="0" xfId="0">
      <alignment horizontal="center" vertical="center"/>
      <protection locked="0" hidden="0"/>
    </xf>
    <xf numFmtId="0" fontId="0" fillId="0" borderId="23" applyAlignment="1" pivotButton="0" quotePrefix="0" xfId="0">
      <alignment horizontal="center" vertical="center"/>
    </xf>
    <xf numFmtId="0" fontId="0" fillId="0" borderId="24" applyAlignment="1" pivotButton="0" quotePrefix="0" xfId="0">
      <alignment horizontal="left" vertical="center" wrapText="1"/>
    </xf>
    <xf numFmtId="0" fontId="0" fillId="14" borderId="1" pivotButton="0" quotePrefix="0" xfId="0"/>
    <xf numFmtId="0" fontId="11" fillId="4" borderId="1" applyAlignment="1" pivotButton="0" quotePrefix="0" xfId="0">
      <alignment horizontal="center" vertical="center" wrapText="1"/>
    </xf>
    <xf numFmtId="0" fontId="8" fillId="13" borderId="25" applyAlignment="1" pivotButton="0" quotePrefix="0" xfId="0">
      <alignment horizontal="right" vertical="center" indent="1"/>
    </xf>
    <xf numFmtId="0" fontId="0" fillId="9" borderId="26" applyAlignment="1" applyProtection="1" pivotButton="0" quotePrefix="0" xfId="0">
      <alignment horizontal="center" vertical="center"/>
      <protection locked="0" hidden="0"/>
    </xf>
    <xf numFmtId="0" fontId="0" fillId="13" borderId="26" pivotButton="0" quotePrefix="0" xfId="0"/>
    <xf numFmtId="0" fontId="9" fillId="13" borderId="27" applyAlignment="1" pivotButton="0" quotePrefix="0" xfId="0">
      <alignment horizontal="left" vertical="center" wrapText="1"/>
    </xf>
    <xf numFmtId="0" fontId="0" fillId="4" borderId="1" pivotButton="0" quotePrefix="0" xfId="0"/>
    <xf numFmtId="0" fontId="6" fillId="2" borderId="8" applyAlignment="1" pivotButton="0" quotePrefix="0" xfId="0">
      <alignment horizontal="center" vertical="center" wrapText="1"/>
    </xf>
    <xf numFmtId="0" fontId="6" fillId="0" borderId="1" applyAlignment="1" pivotButton="0" quotePrefix="0" xfId="0">
      <alignment horizontal="center" vertical="center"/>
    </xf>
    <xf numFmtId="1" fontId="6" fillId="0" borderId="1" applyAlignment="1" pivotButton="0" quotePrefix="0" xfId="0">
      <alignment horizontal="center" vertical="center"/>
    </xf>
    <xf numFmtId="0" fontId="0" fillId="2" borderId="8" applyAlignment="1" pivotButton="0" quotePrefix="0" xfId="0">
      <alignment horizontal="left" vertical="center" wrapText="1"/>
    </xf>
    <xf numFmtId="0" fontId="0" fillId="9" borderId="1" applyAlignment="1" applyProtection="1" pivotButton="0" quotePrefix="0" xfId="0">
      <alignment horizontal="center" vertical="center"/>
      <protection locked="0" hidden="0"/>
    </xf>
    <xf numFmtId="0" fontId="0" fillId="0" borderId="9" applyAlignment="1" pivotButton="0" quotePrefix="0" xfId="0">
      <alignment horizontal="left" vertical="center" wrapText="1"/>
    </xf>
    <xf numFmtId="0" fontId="10" fillId="15" borderId="1" applyAlignment="1" pivotButton="0" quotePrefix="0" xfId="0">
      <alignment horizontal="center" vertical="center" wrapText="1"/>
    </xf>
    <xf numFmtId="0" fontId="10" fillId="15" borderId="1" applyAlignment="1" pivotButton="0" quotePrefix="0" xfId="0">
      <alignment horizontal="left" vertical="center" wrapText="1"/>
    </xf>
    <xf numFmtId="0" fontId="10" fillId="15" borderId="1" applyAlignment="1" pivotButton="0" quotePrefix="0" xfId="0">
      <alignment horizontal="center" vertical="center"/>
    </xf>
    <xf numFmtId="0" fontId="11" fillId="5" borderId="1" applyAlignment="1" pivotButton="0" quotePrefix="0" xfId="0">
      <alignment horizontal="center" vertical="center" wrapText="1"/>
    </xf>
    <xf numFmtId="2" fontId="0" fillId="0" borderId="23" applyAlignment="1" pivotButton="0" quotePrefix="0" xfId="0">
      <alignment horizontal="center" vertical="center"/>
    </xf>
    <xf numFmtId="0" fontId="4" fillId="0" borderId="24" applyAlignment="1" pivotButton="0" quotePrefix="0" xfId="0">
      <alignment horizontal="left" vertical="center" wrapText="1"/>
    </xf>
    <xf numFmtId="0" fontId="0" fillId="15" borderId="1" pivotButton="0" quotePrefix="0" xfId="0"/>
    <xf numFmtId="0" fontId="0" fillId="5" borderId="1" pivotButton="0" quotePrefix="0" xfId="0"/>
    <xf numFmtId="0" fontId="10" fillId="16" borderId="1" applyAlignment="1" pivotButton="0" quotePrefix="0" xfId="0">
      <alignment horizontal="center" vertical="center" wrapText="1"/>
    </xf>
    <xf numFmtId="0" fontId="10" fillId="16" borderId="1" applyAlignment="1" pivotButton="0" quotePrefix="0" xfId="0">
      <alignment horizontal="left" vertical="center" wrapText="1"/>
    </xf>
    <xf numFmtId="0" fontId="10" fillId="16" borderId="1" applyAlignment="1" pivotButton="0" quotePrefix="0" xfId="0">
      <alignment horizontal="center" vertical="center"/>
    </xf>
    <xf numFmtId="0" fontId="0" fillId="16" borderId="1" pivotButton="0" quotePrefix="0" xfId="0"/>
    <xf numFmtId="0" fontId="11" fillId="0" borderId="1" applyAlignment="1" pivotButton="0" quotePrefix="0" xfId="0">
      <alignment horizontal="center" vertical="center"/>
    </xf>
    <xf numFmtId="0" fontId="10" fillId="3" borderId="1" applyAlignment="1" pivotButton="0" quotePrefix="0" xfId="0">
      <alignment horizontal="center" vertical="center"/>
    </xf>
    <xf numFmtId="1" fontId="11" fillId="3" borderId="1" applyAlignment="1" pivotButton="0" quotePrefix="0" xfId="0">
      <alignment horizontal="center" vertical="center"/>
    </xf>
    <xf numFmtId="0" fontId="10" fillId="17" borderId="1" applyAlignment="1" pivotButton="0" quotePrefix="0" xfId="0">
      <alignment horizontal="center" vertical="center" wrapText="1"/>
    </xf>
    <xf numFmtId="0" fontId="10" fillId="17" borderId="1" applyAlignment="1" pivotButton="0" quotePrefix="0" xfId="0">
      <alignment horizontal="left" vertical="center" wrapText="1"/>
    </xf>
    <xf numFmtId="0" fontId="10" fillId="17" borderId="1" applyAlignment="1" pivotButton="0" quotePrefix="0" xfId="0">
      <alignment horizontal="center" vertical="center"/>
    </xf>
    <xf numFmtId="0" fontId="10" fillId="4" borderId="1" applyAlignment="1" pivotButton="0" quotePrefix="0" xfId="0">
      <alignment horizontal="center" vertical="center"/>
    </xf>
    <xf numFmtId="1" fontId="11" fillId="4" borderId="1" applyAlignment="1" pivotButton="0" quotePrefix="0" xfId="0">
      <alignment horizontal="center" vertical="center"/>
    </xf>
    <xf numFmtId="168" fontId="6" fillId="0" borderId="1" applyAlignment="1" pivotButton="0" quotePrefix="0" xfId="0">
      <alignment horizontal="center" vertical="center"/>
    </xf>
    <xf numFmtId="0" fontId="0" fillId="17" borderId="1" pivotButton="0" quotePrefix="0" xfId="0"/>
    <xf numFmtId="0" fontId="10" fillId="5" borderId="1" applyAlignment="1" pivotButton="0" quotePrefix="0" xfId="0">
      <alignment horizontal="center" vertical="center"/>
    </xf>
    <xf numFmtId="1" fontId="11" fillId="5" borderId="1" applyAlignment="1" pivotButton="0" quotePrefix="0" xfId="0">
      <alignment horizontal="center" vertical="center"/>
    </xf>
    <xf numFmtId="0" fontId="10" fillId="0" borderId="1" applyAlignment="1" pivotButton="0" quotePrefix="0" xfId="0">
      <alignment horizontal="center" vertical="center"/>
    </xf>
    <xf numFmtId="0" fontId="10" fillId="18" borderId="1" applyAlignment="1" pivotButton="0" quotePrefix="0" xfId="0">
      <alignment horizontal="center" vertical="center" wrapText="1"/>
    </xf>
    <xf numFmtId="0" fontId="10" fillId="18" borderId="1" applyAlignment="1" pivotButton="0" quotePrefix="0" xfId="0">
      <alignment horizontal="left" vertical="center" wrapText="1"/>
    </xf>
    <xf numFmtId="0" fontId="10" fillId="18" borderId="1" applyAlignment="1" pivotButton="0" quotePrefix="0" xfId="0">
      <alignment horizontal="center" vertical="center"/>
    </xf>
    <xf numFmtId="0" fontId="0" fillId="18" borderId="1" pivotButton="0" quotePrefix="0" xfId="0"/>
    <xf numFmtId="0" fontId="0" fillId="0" borderId="23" pivotButton="0" quotePrefix="0" xfId="0"/>
    <xf numFmtId="0" fontId="0" fillId="2" borderId="1" applyAlignment="1" pivotButton="0" quotePrefix="0" xfId="0">
      <alignment horizontal="center" vertical="center"/>
    </xf>
    <xf numFmtId="0" fontId="3" fillId="0" borderId="1" applyAlignment="1" pivotButton="0" quotePrefix="0" xfId="0">
      <alignment horizontal="right" vertical="center"/>
    </xf>
    <xf numFmtId="2" fontId="3" fillId="0" borderId="1" applyAlignment="1" pivotButton="0" quotePrefix="0" xfId="0">
      <alignment horizontal="center" vertical="center"/>
    </xf>
    <xf numFmtId="2" fontId="7" fillId="0" borderId="1" applyAlignment="1" pivotButton="0" quotePrefix="0" xfId="0">
      <alignment horizontal="center" vertical="center"/>
    </xf>
    <xf numFmtId="169" fontId="0" fillId="0" borderId="1" applyAlignment="1" pivotButton="0" quotePrefix="0" xfId="0">
      <alignment horizontal="center" vertical="center"/>
    </xf>
    <xf numFmtId="0" fontId="0" fillId="2" borderId="23" applyAlignment="1" pivotButton="0" quotePrefix="0" xfId="0">
      <alignment horizontal="center" vertical="center"/>
    </xf>
    <xf numFmtId="0" fontId="6" fillId="11" borderId="8" applyAlignment="1" pivotButton="0" quotePrefix="0" xfId="0">
      <alignment horizontal="center" vertical="center" wrapText="1"/>
    </xf>
    <xf numFmtId="2" fontId="6" fillId="0" borderId="1" applyAlignment="1" pivotButton="0" quotePrefix="0" xfId="0">
      <alignment horizontal="center" vertical="center"/>
    </xf>
    <xf numFmtId="0" fontId="0" fillId="11" borderId="8" applyAlignment="1" pivotButton="0" quotePrefix="0" xfId="0">
      <alignment horizontal="left" vertical="center" wrapText="1"/>
    </xf>
    <xf numFmtId="0" fontId="0" fillId="11" borderId="22" applyAlignment="1" pivotButton="0" quotePrefix="0" xfId="0">
      <alignment horizontal="left" vertical="center" wrapText="1"/>
    </xf>
    <xf numFmtId="0" fontId="6" fillId="12" borderId="8" applyAlignment="1" pivotButton="0" quotePrefix="0" xfId="0">
      <alignment horizontal="center" vertical="center" wrapText="1"/>
    </xf>
    <xf numFmtId="0" fontId="0" fillId="12" borderId="22" applyAlignment="1" pivotButton="0" quotePrefix="0" xfId="0">
      <alignment horizontal="left" vertical="center" wrapText="1"/>
    </xf>
    <xf numFmtId="0" fontId="0" fillId="12" borderId="8" applyAlignment="1" pivotButton="0" quotePrefix="0" xfId="0">
      <alignment horizontal="left" vertical="center" wrapText="1"/>
    </xf>
    <xf numFmtId="167" fontId="0" fillId="0" borderId="1" applyAlignment="1" pivotButton="0" quotePrefix="0" xfId="0">
      <alignment horizontal="center" vertical="center"/>
    </xf>
    <xf numFmtId="0" fontId="4" fillId="0" borderId="9" applyAlignment="1" pivotButton="0" quotePrefix="0" xfId="0">
      <alignment horizontal="left" vertical="center" wrapText="1"/>
    </xf>
    <xf numFmtId="167" fontId="0" fillId="0" borderId="23" applyAlignment="1" pivotButton="0" quotePrefix="0" xfId="0">
      <alignment horizontal="center" vertical="center"/>
    </xf>
    <xf numFmtId="0" fontId="1" fillId="0" borderId="0" applyAlignment="1" pivotButton="0" quotePrefix="0" xfId="0">
      <alignment horizontal="left" vertical="center" wrapText="1"/>
    </xf>
    <xf numFmtId="0" fontId="1" fillId="2" borderId="5" applyAlignment="1" pivotButton="0" quotePrefix="0" xfId="0">
      <alignment horizontal="center" vertical="center"/>
    </xf>
    <xf numFmtId="0" fontId="1" fillId="2" borderId="6" applyAlignment="1" pivotButton="0" quotePrefix="0" xfId="0">
      <alignment horizontal="center" vertical="center"/>
    </xf>
    <xf numFmtId="0" fontId="1" fillId="2" borderId="7" applyAlignment="1" pivotButton="0" quotePrefix="0" xfId="0">
      <alignment horizontal="center" vertical="center"/>
    </xf>
    <xf numFmtId="0" fontId="1" fillId="2" borderId="8" applyAlignment="1" pivotButton="0" quotePrefix="0" xfId="0">
      <alignment horizontal="center" vertical="center"/>
    </xf>
    <xf numFmtId="0" fontId="0" fillId="9" borderId="9" applyAlignment="1" applyProtection="1" pivotButton="0" quotePrefix="0" xfId="0">
      <alignment horizontal="center" vertical="center"/>
      <protection locked="0" hidden="0"/>
    </xf>
    <xf numFmtId="0" fontId="1" fillId="0" borderId="10" applyAlignment="1" pivotButton="0" quotePrefix="0" xfId="0">
      <alignment horizontal="center" vertical="center" wrapText="1"/>
    </xf>
    <xf numFmtId="166" fontId="0" fillId="0" borderId="11" applyAlignment="1" pivotButton="0" quotePrefix="0" xfId="0">
      <alignment horizontal="center" vertical="center"/>
    </xf>
    <xf numFmtId="0" fontId="4" fillId="0" borderId="11" applyAlignment="1" pivotButton="0" quotePrefix="0" xfId="0">
      <alignment horizontal="left" vertical="center" wrapText="1"/>
    </xf>
    <xf numFmtId="0" fontId="0" fillId="2" borderId="13" applyAlignment="1" applyProtection="1" pivotButton="0" quotePrefix="0" xfId="0">
      <alignment horizontal="left" vertical="top" wrapText="1"/>
      <protection locked="0" hidden="0"/>
    </xf>
    <xf numFmtId="0" fontId="0" fillId="2" borderId="14" applyProtection="1" pivotButton="0" quotePrefix="0" xfId="0">
      <protection locked="0" hidden="0"/>
    </xf>
    <xf numFmtId="0" fontId="0" fillId="2" borderId="15" applyProtection="1" pivotButton="0" quotePrefix="0" xfId="0">
      <protection locked="0" hidden="0"/>
    </xf>
    <xf numFmtId="0" fontId="0" fillId="2" borderId="16" applyProtection="1" pivotButton="0" quotePrefix="0" xfId="0">
      <protection locked="0" hidden="0"/>
    </xf>
    <xf numFmtId="0" fontId="0" fillId="2" borderId="17" applyProtection="1" pivotButton="0" quotePrefix="0" xfId="0">
      <protection locked="0" hidden="0"/>
    </xf>
    <xf numFmtId="0" fontId="0" fillId="2" borderId="18" applyProtection="1" pivotButton="0" quotePrefix="0" xfId="0">
      <protection locked="0" hidden="0"/>
    </xf>
    <xf numFmtId="0" fontId="0" fillId="2" borderId="19" applyProtection="1" pivotButton="0" quotePrefix="0" xfId="0">
      <protection locked="0" hidden="0"/>
    </xf>
    <xf numFmtId="0" fontId="0" fillId="2" borderId="20" applyProtection="1" pivotButton="0" quotePrefix="0" xfId="0">
      <protection locked="0" hidden="0"/>
    </xf>
    <xf numFmtId="0" fontId="0" fillId="2" borderId="21" applyProtection="1" pivotButton="0" quotePrefix="0" xfId="0">
      <protection locked="0" hidden="0"/>
    </xf>
    <xf numFmtId="0" fontId="2"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1" fillId="2"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0" fillId="10" borderId="0" pivotButton="0" quotePrefix="0" xfId="0"/>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8" borderId="0" applyAlignment="1" pivotButton="0" quotePrefix="0" xfId="0">
      <alignment horizontal="center" vertical="center" wrapText="1"/>
    </xf>
    <xf numFmtId="164" fontId="0" fillId="10" borderId="0" pivotButton="0" quotePrefix="0" xfId="0"/>
    <xf numFmtId="0" fontId="4" fillId="0" borderId="0" applyAlignment="1" pivotButton="0" quotePrefix="0" xfId="0">
      <alignment vertical="top" wrapText="1"/>
    </xf>
    <xf numFmtId="0" fontId="1" fillId="10" borderId="0" pivotButton="0" quotePrefix="0" xfId="0"/>
    <xf numFmtId="0" fontId="4" fillId="10" borderId="0" pivotButton="0" quotePrefix="0" xfId="0"/>
    <xf numFmtId="167" fontId="0" fillId="10" borderId="0" pivotButton="0" quotePrefix="0" xfId="0"/>
    <xf numFmtId="166" fontId="0" fillId="10" borderId="0" pivotButton="0" quotePrefix="0" xfId="0"/>
    <xf numFmtId="2" fontId="0" fillId="10" borderId="0" pivotButton="0" quotePrefix="0" xfId="0"/>
    <xf numFmtId="166" fontId="1" fillId="10" borderId="0" pivotButton="0" quotePrefix="0" xfId="0"/>
    <xf numFmtId="2" fontId="1" fillId="10" borderId="0" pivotButton="0" quotePrefix="0" xfId="0"/>
    <xf numFmtId="0" fontId="0" fillId="6" borderId="0" applyAlignment="1" pivotButton="0" quotePrefix="0" xfId="0">
      <alignment horizontal="center" vertical="center"/>
    </xf>
    <xf numFmtId="0" fontId="0" fillId="7" borderId="0" applyAlignment="1" pivotButton="0" quotePrefix="0" xfId="0">
      <alignment horizontal="center" vertical="center"/>
    </xf>
    <xf numFmtId="0" fontId="0" fillId="8" borderId="0" applyAlignment="1" pivotButton="0" quotePrefix="0" xfId="0">
      <alignment horizontal="center" vertical="center"/>
    </xf>
    <xf numFmtId="164" fontId="0" fillId="0" borderId="0" pivotButton="0" quotePrefix="0" xfId="0"/>
    <xf numFmtId="0" fontId="16" fillId="0" borderId="0" xfId="0" applyNumberFormat="1" applyFont="1" applyFill="1" applyBorder="1" applyAlignment="1">
      <alignment vertical="center"/>
    </xf>
    <xf numFmtId="0" fontId="17" fillId="0" borderId="0" xfId="0" applyNumberFormat="1" applyFont="1" applyFill="1" applyBorder="1" applyAlignment="1">
      <alignment vertical="center"/>
    </xf>
    <xf numFmtId="0" fontId="18" fillId="0" borderId="0" xfId="0" applyNumberFormat="1" applyFont="1" applyFill="1" applyBorder="1" applyAlignment="1">
      <alignment vertical="bottom"/>
    </xf>
    <xf numFmtId="0" fontId="19" fillId="0" borderId="43" xfId="0" applyNumberFormat="1" applyFont="1" applyFill="1" applyBorder="1" applyAlignment="1">
      <alignment vertical="bottom" horizontal="center" wrapText="1"/>
    </xf>
    <xf numFmtId="0" fontId="19" fillId="0" borderId="43" xfId="0" applyNumberFormat="1" applyFont="1" applyFill="1" applyBorder="1" applyAlignment="1">
      <alignment vertical="bottom" horizontal="left" wrapText="1"/>
    </xf>
    <xf numFmtId="0" fontId="20" fillId="0" borderId="44" xfId="0" applyNumberFormat="1" applyFont="1" applyFill="1" applyBorder="1" applyAlignment="1">
      <alignment vertical="center" horizontal="center"/>
    </xf>
    <xf numFmtId="0" fontId="20" fillId="0" borderId="44" xfId="0" applyNumberFormat="1" applyFont="1" applyFill="1" applyBorder="1" applyAlignment="1">
      <alignment vertical="center" wrapText="1"/>
    </xf>
    <xf numFmtId="0" fontId="21" fillId="0" borderId="0" xfId="0" applyNumberFormat="1" applyFont="1" applyFill="1" applyBorder="1" applyAlignment="1">
      <alignment vertical="top" wrapText="1"/>
    </xf>
    <xf numFmtId="0" fontId="20" fillId="0" borderId="0" xfId="0" applyNumberFormat="1" applyFont="1" applyFill="1" applyBorder="1" applyAlignment="1">
      <alignment vertical="top" wrapText="1"/>
    </xf>
    <xf numFmtId="0" fontId="17" fillId="0" borderId="0" xfId="0" applyNumberFormat="1" applyFont="1" applyFill="1" applyBorder="1" applyAlignment="1">
      <alignment vertical="top" wrapText="1"/>
    </xf>
    <xf numFmtId="0" fontId="17" fillId="0" borderId="43" xfId="0" applyNumberFormat="1" applyFont="1" applyFill="1" applyBorder="1" applyAlignment="1">
      <alignment vertical="bottom" horizontal="center" wrapText="1"/>
    </xf>
    <xf numFmtId="0" fontId="22" fillId="0" borderId="45" xfId="0" applyNumberFormat="1" applyFont="1" applyFill="1" applyBorder="1" applyAlignment="1">
      <alignment vertical="bottom"/>
    </xf>
    <xf numFmtId="0" fontId="0" fillId="0" borderId="45" xfId="0" applyNumberFormat="1" applyFont="1" applyFill="1" applyBorder="1" applyAlignment="1">
      <alignment vertical="bottom"/>
    </xf>
    <xf numFmtId="0" fontId="19" fillId="0" borderId="44" xfId="0" applyNumberFormat="1" applyFont="1" applyFill="1" applyBorder="1" applyAlignment="1">
      <alignment vertical="center" wrapText="1"/>
    </xf>
    <xf numFmtId="0" fontId="21" fillId="0" borderId="46" xfId="0" applyNumberFormat="1" applyFont="1" applyFill="1" applyBorder="1" applyAlignment="1">
      <alignment vertical="center" wrapText="1"/>
    </xf>
    <xf numFmtId="0" fontId="20" fillId="20" borderId="46" xfId="0" applyNumberFormat="1" applyFont="1" applyFill="1" applyBorder="1" applyAlignment="1">
      <alignment vertical="center" wrapText="1"/>
    </xf>
    <xf numFmtId="0" fontId="20" fillId="21" borderId="47" xfId="0" applyNumberFormat="1" applyFont="1" applyFill="1" applyBorder="1" applyAlignment="1">
      <alignment vertical="center" wrapText="1"/>
    </xf>
    <xf numFmtId="0" fontId="20" fillId="0" borderId="46" xfId="0" applyNumberFormat="1" applyFont="1" applyFill="1" applyBorder="1" applyAlignment="1">
      <alignment vertical="center" wrapText="1"/>
    </xf>
    <xf numFmtId="2" fontId="19" fillId="22" borderId="44" xfId="0" applyNumberFormat="1" applyFont="1" applyFill="1" applyBorder="1" applyAlignment="1">
      <alignment vertical="center" horizontal="center"/>
    </xf>
    <xf numFmtId="2" fontId="20" fillId="22" borderId="44" xfId="0" applyNumberFormat="1" applyFont="1" applyFill="1" applyBorder="1" applyAlignment="1">
      <alignment vertical="center" horizontal="center"/>
    </xf>
    <xf numFmtId="1" fontId="20" fillId="22" borderId="44" xfId="0" applyNumberFormat="1" applyFont="1" applyFill="1" applyBorder="1" applyAlignment="1">
      <alignment vertical="center" horizontal="center"/>
    </xf>
  </cellXfs>
  <cellStyles count="1">
    <cellStyle name="Normal" xfId="0" builtinId="0" hidden="0"/>
  </cellStyles>
  <dxfs count="5">
    <dxf>
      <fill>
        <patternFill patternType="solid">
          <fgColor rgb="008FAADC"/>
          <bgColor rgb="008FAADC"/>
        </patternFill>
      </fill>
    </dxf>
    <dxf>
      <fill>
        <patternFill patternType="solid">
          <fgColor rgb="00FFFF99"/>
          <bgColor rgb="00FFFF99"/>
        </patternFill>
      </fill>
    </dxf>
    <dxf>
      <fill>
        <patternFill patternType="solid">
          <fgColor rgb="00FF6969"/>
          <bgColor rgb="00FF6969"/>
        </patternFill>
      </fill>
    </dxf>
    <dxf>
      <font>
        <b/>
        <color rgb="FF2F7A4B"/>
      </font>
    </dxf>
    <dxf>
      <font>
        <b/>
        <color rgb="FFA33A3A"/>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styles" Target="styles.xml"/><Relationship Id="rId8" Type="http://schemas.openxmlformats.org/officeDocument/2006/relationships/theme" Target="theme/theme1.xml"/><Relationship Id="rId9" Type="http://schemas.openxmlformats.org/officeDocument/2006/relationships/worksheet" Target="worksheets/sheet7.xml"/></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Carbon processing</a:t>
            </a:r>
          </a:p>
        </rich>
      </tx>
      <overlay val="0"/>
    </title>
    <plotArea>
      <scatterChart>
        <scatterStyle val="lineMarker"/>
        <ser>
          <idx val="0"/>
          <order val="0"/>
          <tx>
            <v>CPL</v>
          </tx>
          <spPr>
            <a:ln xmlns:a="http://schemas.openxmlformats.org/drawingml/2006/main">
              <a:prstDash val="solid"/>
            </a:ln>
          </spPr>
          <marker>
            <symbol val="circle"/>
            <size val="3"/>
            <spPr>
              <a:ln xmlns:a="http://schemas.openxmlformats.org/drawingml/2006/main">
                <a:prstDash val="solid"/>
              </a:ln>
            </spPr>
          </marker>
          <xVal>
            <numRef>
              <f>'Reference'!$G$58:$K$58</f>
            </numRef>
          </xVal>
          <yVal>
            <numRef>
              <f>'Reference'!$L$58:$P$58</f>
            </numRef>
          </yVal>
          <smooth val="0"/>
        </ser>
        <ser>
          <idx val="1"/>
          <order val="1"/>
          <tx>
            <v>NAP</v>
          </tx>
          <spPr>
            <a:ln xmlns:a="http://schemas.openxmlformats.org/drawingml/2006/main">
              <a:prstDash val="solid"/>
            </a:ln>
          </spPr>
          <marker>
            <symbol val="circle"/>
            <size val="3"/>
            <spPr>
              <a:ln xmlns:a="http://schemas.openxmlformats.org/drawingml/2006/main">
                <a:prstDash val="solid"/>
              </a:ln>
            </spPr>
          </marker>
          <xVal>
            <numRef>
              <f>'Reference'!$G$59:$K$59</f>
            </numRef>
          </xVal>
          <yVal>
            <numRef>
              <f>'Reference'!$L$59:$P$59</f>
            </numRef>
          </yVal>
          <smooth val="0"/>
        </ser>
        <ser>
          <idx val="2"/>
          <order val="2"/>
          <tx>
            <v>NPL</v>
          </tx>
          <spPr>
            <a:ln xmlns:a="http://schemas.openxmlformats.org/drawingml/2006/main">
              <a:prstDash val="solid"/>
            </a:ln>
          </spPr>
          <marker>
            <symbol val="circle"/>
            <size val="3"/>
            <spPr>
              <a:ln xmlns:a="http://schemas.openxmlformats.org/drawingml/2006/main">
                <a:prstDash val="solid"/>
              </a:ln>
            </spPr>
          </marker>
          <xVal>
            <numRef>
              <f>'Reference'!$G$60:$K$60</f>
            </numRef>
          </xVal>
          <yVal>
            <numRef>
              <f>'Reference'!$L$60:$P$60</f>
            </numRef>
          </yVal>
          <smooth val="0"/>
        </ser>
        <ser>
          <idx val="3"/>
          <order val="3"/>
          <tx>
            <v>SAP</v>
          </tx>
          <spPr>
            <a:ln xmlns:a="http://schemas.openxmlformats.org/drawingml/2006/main">
              <a:prstDash val="solid"/>
            </a:ln>
          </spPr>
          <marker>
            <symbol val="circle"/>
            <size val="3"/>
            <spPr>
              <a:ln xmlns:a="http://schemas.openxmlformats.org/drawingml/2006/main">
                <a:prstDash val="solid"/>
              </a:ln>
            </spPr>
          </marker>
          <xVal>
            <numRef>
              <f>'Reference'!$G$61:$K$61</f>
            </numRef>
          </xVal>
          <yVal>
            <numRef>
              <f>'Reference'!$L$61:$P$61</f>
            </numRef>
          </yVal>
          <smooth val="0"/>
        </ser>
        <ser>
          <idx val="4"/>
          <order val="4"/>
          <tx>
            <v>SPL</v>
          </tx>
          <spPr>
            <a:ln xmlns:a="http://schemas.openxmlformats.org/drawingml/2006/main">
              <a:prstDash val="solid"/>
            </a:ln>
          </spPr>
          <marker>
            <symbol val="circle"/>
            <size val="3"/>
            <spPr>
              <a:ln xmlns:a="http://schemas.openxmlformats.org/drawingml/2006/main">
                <a:prstDash val="solid"/>
              </a:ln>
            </spPr>
          </marker>
          <xVal>
            <numRef>
              <f>'Reference'!$G$62:$K$62</f>
            </numRef>
          </xVal>
          <yVal>
            <numRef>
              <f>'Reference'!$L$62:$P$62</f>
            </numRef>
          </yVal>
          <smooth val="0"/>
        </ser>
        <ser>
          <idx val="5"/>
          <order val="5"/>
          <tx>
            <v>TPL</v>
          </tx>
          <spPr>
            <a:ln xmlns:a="http://schemas.openxmlformats.org/drawingml/2006/main">
              <a:prstDash val="solid"/>
            </a:ln>
          </spPr>
          <marker>
            <symbol val="circle"/>
            <size val="3"/>
            <spPr>
              <a:ln xmlns:a="http://schemas.openxmlformats.org/drawingml/2006/main">
                <a:prstDash val="solid"/>
              </a:ln>
            </spPr>
          </marker>
          <xVal>
            <numRef>
              <f>'Reference'!$G$63:$K$63</f>
            </numRef>
          </xVal>
          <yVal>
            <numRef>
              <f>'Reference'!$L$63:$P$63</f>
            </numRef>
          </yVal>
          <smooth val="0"/>
        </ser>
        <ser>
          <idx val="6"/>
          <order val="6"/>
          <tx>
            <v>UMW</v>
          </tx>
          <spPr>
            <a:ln xmlns:a="http://schemas.openxmlformats.org/drawingml/2006/main">
              <a:prstDash val="solid"/>
            </a:ln>
          </spPr>
          <marker>
            <symbol val="circle"/>
            <size val="3"/>
            <spPr>
              <a:ln xmlns:a="http://schemas.openxmlformats.org/drawingml/2006/main">
                <a:prstDash val="solid"/>
              </a:ln>
            </spPr>
          </marker>
          <xVal>
            <numRef>
              <f>'Reference'!$G$64:$K$64</f>
            </numRef>
          </xVal>
          <yVal>
            <numRef>
              <f>'Reference'!$L$64:$P$64</f>
            </numRef>
          </yVal>
          <smooth val="0"/>
        </ser>
        <ser>
          <idx val="7"/>
          <order val="7"/>
          <tx>
            <v>WMT</v>
          </tx>
          <spPr>
            <a:ln xmlns:a="http://schemas.openxmlformats.org/drawingml/2006/main">
              <a:prstDash val="solid"/>
            </a:ln>
          </spPr>
          <marker>
            <symbol val="circle"/>
            <size val="3"/>
            <spPr>
              <a:ln xmlns:a="http://schemas.openxmlformats.org/drawingml/2006/main">
                <a:prstDash val="solid"/>
              </a:ln>
            </spPr>
          </marker>
          <xVal>
            <numRef>
              <f>'Reference'!$G$65:$K$65</f>
            </numRef>
          </xVal>
          <yVal>
            <numRef>
              <f>'Reference'!$L$65:$P$65</f>
            </numRef>
          </yVal>
          <smooth val="0"/>
        </ser>
        <ser>
          <idx val="8"/>
          <order val="8"/>
          <tx>
            <v>XER</v>
          </tx>
          <spPr>
            <a:ln xmlns:a="http://schemas.openxmlformats.org/drawingml/2006/main">
              <a:prstDash val="solid"/>
            </a:ln>
          </spPr>
          <marker>
            <symbol val="circle"/>
            <size val="3"/>
            <spPr>
              <a:ln xmlns:a="http://schemas.openxmlformats.org/drawingml/2006/main">
                <a:prstDash val="solid"/>
              </a:ln>
            </spPr>
          </marker>
          <xVal>
            <numRef>
              <f>'Reference'!$G$66:$K$66</f>
            </numRef>
          </xVal>
          <yVal>
            <numRef>
              <f>'Reference'!$L$66:$P$66</f>
            </numRef>
          </yVal>
          <smooth val="0"/>
        </ser>
        <ser>
          <idx val="9"/>
          <order val="9"/>
          <tx>
            <v>National</v>
          </tx>
          <spPr>
            <a:ln xmlns:a="http://schemas.openxmlformats.org/drawingml/2006/main">
              <a:prstDash val="solid"/>
            </a:ln>
          </spPr>
          <marker>
            <symbol val="circle"/>
            <size val="3"/>
            <spPr>
              <a:ln xmlns:a="http://schemas.openxmlformats.org/drawingml/2006/main">
                <a:prstDash val="solid"/>
              </a:ln>
            </spPr>
          </marker>
          <xVal>
            <numRef>
              <f>'Reference'!$G$67:$K$67</f>
            </numRef>
          </xVal>
          <yVal>
            <numRef>
              <f>'Reference'!$L$67:$P$67</f>
            </numRef>
          </yVal>
          <smooth val="0"/>
        </ser>
        <ser>
          <idx val="10"/>
          <order val="10"/>
          <tx>
            <v>Index 0.39 (Fair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'Reference'!$B$95:$C$95</f>
            </numRef>
          </xVal>
          <yVal>
            <numRef>
              <f>'Reference'!$D$95:$E$95</f>
            </numRef>
          </yVal>
          <smooth val="0"/>
        </ser>
        <ser>
          <idx val="11"/>
          <order val="11"/>
          <tx>
            <v>Index 0.69 (Good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'Reference'!$B$95:$C$95</f>
            </numRef>
          </xVal>
          <yVal>
            <numRef>
              <f>'Reference'!$F$95:$G$95</f>
            </numRef>
          </yVal>
          <smooth val="0"/>
        </ser>
        <axId val="10"/>
        <axId val="20"/>
      </scatterChart>
      <valAx>
        <axId val="10"/>
        <scaling>
          <orientation val="minMax"/>
          <max val="100"/>
          <min val="0"/>
        </scaling>
        <delete val="0"/>
        <axPos val="l"/>
        <title>
          <tx>
            <rich>
              <a:bodyPr xmlns:a="http://schemas.openxmlformats.org/drawingml/2006/main"/>
              <a:p xmlns:a="http://schemas.openxmlformats.org/drawingml/2006/main">
                <a:pPr>
                  <a:defRPr/>
                </a:pPr>
                <a:r>
                  <a:t>Natural cover in the 100 m corridor (%)</a:t>
                </a:r>
              </a:p>
            </rich>
          </tx>
          <overlay val="0"/>
        </title>
        <majorTickMark val="none"/>
        <minorTickMark val="none"/>
        <crossAx val="20"/>
        <majorUnit val="10"/>
      </valAx>
      <valAx>
        <axId val="20"/>
        <scaling>
          <orientation val="minMax"/>
          <max val="1"/>
          <min val="0"/>
        </scaling>
        <delete val="0"/>
        <axPos val="l"/>
        <majorGridlines/>
        <title>
          <tx>
            <rich>
              <a:bodyPr xmlns:a="http://schemas.openxmlformats.org/drawingml/2006/main"/>
              <a:p xmlns:a="http://schemas.openxmlformats.org/drawingml/2006/main">
                <a:pPr>
                  <a:defRPr/>
                </a:pPr>
                <a:r>
                  <a:t>Index</a:t>
                </a:r>
              </a:p>
            </rich>
          </tx>
          <overlay val="0"/>
        </title>
        <numFmt formatCode="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Light and thermal regime, Habitat provision</a:t>
            </a:r>
          </a:p>
        </rich>
      </tx>
      <overlay val="0"/>
    </title>
    <plotArea>
      <scatterChart>
        <scatterStyle val="lineMarker"/>
        <ser>
          <idx val="0"/>
          <order val="0"/>
          <tx>
            <v>CPL</v>
          </tx>
          <spPr>
            <a:ln xmlns:a="http://schemas.openxmlformats.org/drawingml/2006/main">
              <a:prstDash val="solid"/>
            </a:ln>
          </spPr>
          <marker>
            <symbol val="circle"/>
            <size val="3"/>
            <spPr>
              <a:ln xmlns:a="http://schemas.openxmlformats.org/drawingml/2006/main">
                <a:prstDash val="solid"/>
              </a:ln>
            </spPr>
          </marker>
          <xVal>
            <numRef>
              <f>'Reference'!$G$68:$K$68</f>
            </numRef>
          </xVal>
          <yVal>
            <numRef>
              <f>'Reference'!$L$68:$P$68</f>
            </numRef>
          </yVal>
          <smooth val="0"/>
        </ser>
        <ser>
          <idx val="1"/>
          <order val="1"/>
          <tx>
            <v>NAP</v>
          </tx>
          <spPr>
            <a:ln xmlns:a="http://schemas.openxmlformats.org/drawingml/2006/main">
              <a:prstDash val="solid"/>
            </a:ln>
          </spPr>
          <marker>
            <symbol val="circle"/>
            <size val="3"/>
            <spPr>
              <a:ln xmlns:a="http://schemas.openxmlformats.org/drawingml/2006/main">
                <a:prstDash val="solid"/>
              </a:ln>
            </spPr>
          </marker>
          <xVal>
            <numRef>
              <f>'Reference'!$G$69:$K$69</f>
            </numRef>
          </xVal>
          <yVal>
            <numRef>
              <f>'Reference'!$L$69:$P$69</f>
            </numRef>
          </yVal>
          <smooth val="0"/>
        </ser>
        <ser>
          <idx val="2"/>
          <order val="2"/>
          <tx>
            <v>NPL</v>
          </tx>
          <spPr>
            <a:ln xmlns:a="http://schemas.openxmlformats.org/drawingml/2006/main">
              <a:prstDash val="solid"/>
            </a:ln>
          </spPr>
          <marker>
            <symbol val="circle"/>
            <size val="3"/>
            <spPr>
              <a:ln xmlns:a="http://schemas.openxmlformats.org/drawingml/2006/main">
                <a:prstDash val="solid"/>
              </a:ln>
            </spPr>
          </marker>
          <xVal>
            <numRef>
              <f>'Reference'!$G$70:$K$70</f>
            </numRef>
          </xVal>
          <yVal>
            <numRef>
              <f>'Reference'!$L$70:$P$70</f>
            </numRef>
          </yVal>
          <smooth val="0"/>
        </ser>
        <ser>
          <idx val="3"/>
          <order val="3"/>
          <tx>
            <v>SAP</v>
          </tx>
          <spPr>
            <a:ln xmlns:a="http://schemas.openxmlformats.org/drawingml/2006/main">
              <a:prstDash val="solid"/>
            </a:ln>
          </spPr>
          <marker>
            <symbol val="circle"/>
            <size val="3"/>
            <spPr>
              <a:ln xmlns:a="http://schemas.openxmlformats.org/drawingml/2006/main">
                <a:prstDash val="solid"/>
              </a:ln>
            </spPr>
          </marker>
          <xVal>
            <numRef>
              <f>'Reference'!$G$71:$K$71</f>
            </numRef>
          </xVal>
          <yVal>
            <numRef>
              <f>'Reference'!$L$71:$P$71</f>
            </numRef>
          </yVal>
          <smooth val="0"/>
        </ser>
        <ser>
          <idx val="4"/>
          <order val="4"/>
          <tx>
            <v>SPL</v>
          </tx>
          <spPr>
            <a:ln xmlns:a="http://schemas.openxmlformats.org/drawingml/2006/main">
              <a:prstDash val="solid"/>
            </a:ln>
          </spPr>
          <marker>
            <symbol val="circle"/>
            <size val="3"/>
            <spPr>
              <a:ln xmlns:a="http://schemas.openxmlformats.org/drawingml/2006/main">
                <a:prstDash val="solid"/>
              </a:ln>
            </spPr>
          </marker>
          <xVal>
            <numRef>
              <f>'Reference'!$G$72:$K$72</f>
            </numRef>
          </xVal>
          <yVal>
            <numRef>
              <f>'Reference'!$L$72:$P$72</f>
            </numRef>
          </yVal>
          <smooth val="0"/>
        </ser>
        <ser>
          <idx val="5"/>
          <order val="5"/>
          <tx>
            <v>TPL</v>
          </tx>
          <spPr>
            <a:ln xmlns:a="http://schemas.openxmlformats.org/drawingml/2006/main">
              <a:prstDash val="solid"/>
            </a:ln>
          </spPr>
          <marker>
            <symbol val="circle"/>
            <size val="3"/>
            <spPr>
              <a:ln xmlns:a="http://schemas.openxmlformats.org/drawingml/2006/main">
                <a:prstDash val="solid"/>
              </a:ln>
            </spPr>
          </marker>
          <xVal>
            <numRef>
              <f>'Reference'!$G$73:$K$73</f>
            </numRef>
          </xVal>
          <yVal>
            <numRef>
              <f>'Reference'!$L$73:$P$73</f>
            </numRef>
          </yVal>
          <smooth val="0"/>
        </ser>
        <ser>
          <idx val="6"/>
          <order val="6"/>
          <tx>
            <v>UMW</v>
          </tx>
          <spPr>
            <a:ln xmlns:a="http://schemas.openxmlformats.org/drawingml/2006/main">
              <a:prstDash val="solid"/>
            </a:ln>
          </spPr>
          <marker>
            <symbol val="circle"/>
            <size val="3"/>
            <spPr>
              <a:ln xmlns:a="http://schemas.openxmlformats.org/drawingml/2006/main">
                <a:prstDash val="solid"/>
              </a:ln>
            </spPr>
          </marker>
          <xVal>
            <numRef>
              <f>'Reference'!$G$74:$K$74</f>
            </numRef>
          </xVal>
          <yVal>
            <numRef>
              <f>'Reference'!$L$74:$P$74</f>
            </numRef>
          </yVal>
          <smooth val="0"/>
        </ser>
        <ser>
          <idx val="7"/>
          <order val="7"/>
          <tx>
            <v>WMT</v>
          </tx>
          <spPr>
            <a:ln xmlns:a="http://schemas.openxmlformats.org/drawingml/2006/main">
              <a:prstDash val="solid"/>
            </a:ln>
          </spPr>
          <marker>
            <symbol val="circle"/>
            <size val="3"/>
            <spPr>
              <a:ln xmlns:a="http://schemas.openxmlformats.org/drawingml/2006/main">
                <a:prstDash val="solid"/>
              </a:ln>
            </spPr>
          </marker>
          <xVal>
            <numRef>
              <f>'Reference'!$G$75:$K$75</f>
            </numRef>
          </xVal>
          <yVal>
            <numRef>
              <f>'Reference'!$L$75:$P$75</f>
            </numRef>
          </yVal>
          <smooth val="0"/>
        </ser>
        <ser>
          <idx val="8"/>
          <order val="8"/>
          <tx>
            <v>XER</v>
          </tx>
          <spPr>
            <a:ln xmlns:a="http://schemas.openxmlformats.org/drawingml/2006/main">
              <a:prstDash val="solid"/>
            </a:ln>
          </spPr>
          <marker>
            <symbol val="circle"/>
            <size val="3"/>
            <spPr>
              <a:ln xmlns:a="http://schemas.openxmlformats.org/drawingml/2006/main">
                <a:prstDash val="solid"/>
              </a:ln>
            </spPr>
          </marker>
          <xVal>
            <numRef>
              <f>'Reference'!$G$76:$K$76</f>
            </numRef>
          </xVal>
          <yVal>
            <numRef>
              <f>'Reference'!$L$76:$P$76</f>
            </numRef>
          </yVal>
          <smooth val="0"/>
        </ser>
        <ser>
          <idx val="9"/>
          <order val="9"/>
          <tx>
            <v>National</v>
          </tx>
          <spPr>
            <a:ln xmlns:a="http://schemas.openxmlformats.org/drawingml/2006/main">
              <a:prstDash val="solid"/>
            </a:ln>
          </spPr>
          <marker>
            <symbol val="circle"/>
            <size val="3"/>
            <spPr>
              <a:ln xmlns:a="http://schemas.openxmlformats.org/drawingml/2006/main">
                <a:prstDash val="solid"/>
              </a:ln>
            </spPr>
          </marker>
          <xVal>
            <numRef>
              <f>'Reference'!$G$77:$K$77</f>
            </numRef>
          </xVal>
          <yVal>
            <numRef>
              <f>'Reference'!$L$77:$P$77</f>
            </numRef>
          </yVal>
          <smooth val="0"/>
        </ser>
        <ser>
          <idx val="10"/>
          <order val="10"/>
          <tx>
            <v>Index 0.39 (Fair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'Reference'!$B$96:$C$96</f>
            </numRef>
          </xVal>
          <yVal>
            <numRef>
              <f>'Reference'!$D$96:$E$96</f>
            </numRef>
          </yVal>
          <smooth val="0"/>
        </ser>
        <ser>
          <idx val="11"/>
          <order val="11"/>
          <tx>
            <v>Index 0.69 (Good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'Reference'!$B$96:$C$96</f>
            </numRef>
          </xVal>
          <yVal>
            <numRef>
              <f>'Reference'!$F$96:$G$96</f>
            </numRef>
          </yVal>
          <smooth val="0"/>
        </ser>
        <axId val="10"/>
        <axId val="20"/>
      </scatterChart>
      <valAx>
        <axId val="10"/>
        <scaling>
          <orientation val="minMax"/>
          <max val="100"/>
          <min val="0"/>
        </scaling>
        <delete val="0"/>
        <axPos val="l"/>
        <title>
          <tx>
            <rich>
              <a:bodyPr xmlns:a="http://schemas.openxmlformats.org/drawingml/2006/main"/>
              <a:p xmlns:a="http://schemas.openxmlformats.org/drawingml/2006/main">
                <a:pPr>
                  <a:defRPr/>
                </a:pPr>
                <a:r>
                  <a:t>Woody riparian cover in the 100 m corridor (%)</a:t>
                </a:r>
              </a:p>
            </rich>
          </tx>
          <overlay val="0"/>
        </title>
        <majorTickMark val="none"/>
        <minorTickMark val="none"/>
        <crossAx val="20"/>
        <majorUnit val="10"/>
      </valAx>
      <valAx>
        <axId val="20"/>
        <scaling>
          <orientation val="minMax"/>
          <max val="1"/>
          <min val="0"/>
        </scaling>
        <delete val="0"/>
        <axPos val="l"/>
        <majorGridlines/>
        <title>
          <tx>
            <rich>
              <a:bodyPr xmlns:a="http://schemas.openxmlformats.org/drawingml/2006/main"/>
              <a:p xmlns:a="http://schemas.openxmlformats.org/drawingml/2006/main">
                <a:pPr>
                  <a:defRPr/>
                </a:pPr>
                <a:r>
                  <a:t>Index</a:t>
                </a:r>
              </a:p>
            </rich>
          </tx>
          <overlay val="0"/>
        </title>
        <numFmt formatCode="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Floodplain connectivity, Channel evolution</a:t>
            </a:r>
          </a:p>
        </rich>
      </tx>
      <overlay val="0"/>
    </title>
    <plotArea>
      <scatterChart>
        <scatterStyle val="lineMarker"/>
        <ser>
          <idx val="0"/>
          <order val="0"/>
          <tx>
            <v>Slope 0.5 to 2%</v>
          </tx>
          <spPr>
            <a:ln xmlns:a="http://schemas.openxmlformats.org/drawingml/2006/main">
              <a:prstDash val="solid"/>
            </a:ln>
          </spPr>
          <marker>
            <symbol val="circle"/>
            <size val="3"/>
            <spPr>
              <a:ln xmlns:a="http://schemas.openxmlformats.org/drawingml/2006/main">
                <a:prstDash val="solid"/>
              </a:ln>
            </spPr>
          </marker>
          <xVal>
            <numRef>
              <f>'Reference'!$G$78:$K$78</f>
            </numRef>
          </xVal>
          <yVal>
            <numRef>
              <f>'Reference'!$L$78:$P$78</f>
            </numRef>
          </yVal>
          <smooth val="0"/>
        </ser>
        <ser>
          <idx val="1"/>
          <order val="1"/>
          <tx>
            <v>Slope 2% or more</v>
          </tx>
          <spPr>
            <a:ln xmlns:a="http://schemas.openxmlformats.org/drawingml/2006/main">
              <a:prstDash val="solid"/>
            </a:ln>
          </spPr>
          <marker>
            <symbol val="circle"/>
            <size val="3"/>
            <spPr>
              <a:ln xmlns:a="http://schemas.openxmlformats.org/drawingml/2006/main">
                <a:prstDash val="solid"/>
              </a:ln>
            </spPr>
          </marker>
          <xVal>
            <numRef>
              <f>'Reference'!$G$79:$K$79</f>
            </numRef>
          </xVal>
          <yVal>
            <numRef>
              <f>'Reference'!$L$79:$P$79</f>
            </numRef>
          </yVal>
          <smooth val="0"/>
        </ser>
        <ser>
          <idx val="2"/>
          <order val="2"/>
          <tx>
            <v>Slope under 0.5%</v>
          </tx>
          <spPr>
            <a:ln xmlns:a="http://schemas.openxmlformats.org/drawingml/2006/main">
              <a:prstDash val="solid"/>
            </a:ln>
          </spPr>
          <marker>
            <symbol val="circle"/>
            <size val="3"/>
            <spPr>
              <a:ln xmlns:a="http://schemas.openxmlformats.org/drawingml/2006/main">
                <a:prstDash val="solid"/>
              </a:ln>
            </spPr>
          </marker>
          <xVal>
            <numRef>
              <f>'Reference'!$G$80:$K$80</f>
            </numRef>
          </xVal>
          <yVal>
            <numRef>
              <f>'Reference'!$L$80:$P$80</f>
            </numRef>
          </yVal>
          <smooth val="0"/>
        </ser>
        <ser>
          <idx val="3"/>
          <order val="3"/>
          <tx>
            <v>National</v>
          </tx>
          <spPr>
            <a:ln xmlns:a="http://schemas.openxmlformats.org/drawingml/2006/main">
              <a:prstDash val="solid"/>
            </a:ln>
          </spPr>
          <marker>
            <symbol val="circle"/>
            <size val="3"/>
            <spPr>
              <a:ln xmlns:a="http://schemas.openxmlformats.org/drawingml/2006/main">
                <a:prstDash val="solid"/>
              </a:ln>
            </spPr>
          </marker>
          <xVal>
            <numRef>
              <f>'Reference'!$G$81:$K$81</f>
            </numRef>
          </xVal>
          <yVal>
            <numRef>
              <f>'Reference'!$L$81:$P$81</f>
            </numRef>
          </yVal>
          <smooth val="0"/>
        </ser>
        <ser>
          <idx val="4"/>
          <order val="4"/>
          <tx>
            <v>Index 0.39 (Fair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'Reference'!$B$97:$C$97</f>
            </numRef>
          </xVal>
          <yVal>
            <numRef>
              <f>'Reference'!$D$97:$E$97</f>
            </numRef>
          </yVal>
          <smooth val="0"/>
        </ser>
        <ser>
          <idx val="5"/>
          <order val="5"/>
          <tx>
            <v>Index 0.69 (Good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'Reference'!$B$97:$C$97</f>
            </numRef>
          </xVal>
          <yVal>
            <numRef>
              <f>'Reference'!$F$97:$G$97</f>
            </numRef>
          </yVal>
          <smooth val="0"/>
        </ser>
        <axId val="10"/>
        <axId val="20"/>
      </scatterChart>
      <valAx>
        <axId val="10"/>
        <scaling>
          <orientation val="minMax"/>
          <min val="0"/>
        </scaling>
        <delete val="0"/>
        <axPos val="l"/>
        <title>
          <tx>
            <rich>
              <a:bodyPr xmlns:a="http://schemas.openxmlformats.org/drawingml/2006/main"/>
              <a:p xmlns:a="http://schemas.openxmlformats.org/drawingml/2006/main">
                <a:pPr>
                  <a:defRPr/>
                </a:pPr>
                <a:r>
                  <a:t>Entrenchment ratio</a:t>
                </a:r>
              </a:p>
            </rich>
          </tx>
          <overlay val="0"/>
        </title>
        <majorTickMark val="none"/>
        <minorTickMark val="none"/>
        <crossAx val="20"/>
      </valAx>
      <valAx>
        <axId val="20"/>
        <scaling>
          <orientation val="minMax"/>
          <max val="1"/>
          <min val="0"/>
        </scaling>
        <delete val="0"/>
        <axPos val="l"/>
        <majorGridlines/>
        <title>
          <tx>
            <rich>
              <a:bodyPr xmlns:a="http://schemas.openxmlformats.org/drawingml/2006/main"/>
              <a:p xmlns:a="http://schemas.openxmlformats.org/drawingml/2006/main">
                <a:pPr>
                  <a:defRPr/>
                </a:pPr>
                <a:r>
                  <a:t>Index</a:t>
                </a:r>
              </a:p>
            </rich>
          </tx>
          <overlay val="0"/>
        </title>
        <numFmt formatCode="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Low flow and baseflow dynamics</a:t>
            </a:r>
          </a:p>
        </rich>
      </tx>
      <overlay val="0"/>
    </title>
    <plotArea>
      <scatterChart>
        <scatterStyle val="lineMarker"/>
        <ser>
          <idx val="0"/>
          <order val="0"/>
          <tx>
            <v>CPL</v>
          </tx>
          <spPr>
            <a:ln xmlns:a="http://schemas.openxmlformats.org/drawingml/2006/main">
              <a:prstDash val="solid"/>
            </a:ln>
          </spPr>
          <marker>
            <symbol val="circle"/>
            <size val="3"/>
            <spPr>
              <a:ln xmlns:a="http://schemas.openxmlformats.org/drawingml/2006/main">
                <a:prstDash val="solid"/>
              </a:ln>
            </spPr>
          </marker>
          <xVal>
            <numRef>
              <f>'Reference'!$G$82:$K$82</f>
            </numRef>
          </xVal>
          <yVal>
            <numRef>
              <f>'Reference'!$L$82:$P$82</f>
            </numRef>
          </yVal>
          <smooth val="0"/>
        </ser>
        <ser>
          <idx val="1"/>
          <order val="1"/>
          <tx>
            <v>NAP</v>
          </tx>
          <spPr>
            <a:ln xmlns:a="http://schemas.openxmlformats.org/drawingml/2006/main">
              <a:prstDash val="solid"/>
            </a:ln>
          </spPr>
          <marker>
            <symbol val="circle"/>
            <size val="3"/>
            <spPr>
              <a:ln xmlns:a="http://schemas.openxmlformats.org/drawingml/2006/main">
                <a:prstDash val="solid"/>
              </a:ln>
            </spPr>
          </marker>
          <xVal>
            <numRef>
              <f>'Reference'!$G$83:$K$83</f>
            </numRef>
          </xVal>
          <yVal>
            <numRef>
              <f>'Reference'!$L$83:$P$83</f>
            </numRef>
          </yVal>
          <smooth val="0"/>
        </ser>
        <ser>
          <idx val="2"/>
          <order val="2"/>
          <tx>
            <v>NPL</v>
          </tx>
          <spPr>
            <a:ln xmlns:a="http://schemas.openxmlformats.org/drawingml/2006/main">
              <a:prstDash val="solid"/>
            </a:ln>
          </spPr>
          <marker>
            <symbol val="circle"/>
            <size val="3"/>
            <spPr>
              <a:ln xmlns:a="http://schemas.openxmlformats.org/drawingml/2006/main">
                <a:prstDash val="solid"/>
              </a:ln>
            </spPr>
          </marker>
          <xVal>
            <numRef>
              <f>'Reference'!$G$84:$K$84</f>
            </numRef>
          </xVal>
          <yVal>
            <numRef>
              <f>'Reference'!$L$84:$P$84</f>
            </numRef>
          </yVal>
          <smooth val="0"/>
        </ser>
        <ser>
          <idx val="3"/>
          <order val="3"/>
          <tx>
            <v>SAP</v>
          </tx>
          <spPr>
            <a:ln xmlns:a="http://schemas.openxmlformats.org/drawingml/2006/main">
              <a:prstDash val="solid"/>
            </a:ln>
          </spPr>
          <marker>
            <symbol val="circle"/>
            <size val="3"/>
            <spPr>
              <a:ln xmlns:a="http://schemas.openxmlformats.org/drawingml/2006/main">
                <a:prstDash val="solid"/>
              </a:ln>
            </spPr>
          </marker>
          <xVal>
            <numRef>
              <f>'Reference'!$G$85:$K$85</f>
            </numRef>
          </xVal>
          <yVal>
            <numRef>
              <f>'Reference'!$L$85:$P$85</f>
            </numRef>
          </yVal>
          <smooth val="0"/>
        </ser>
        <ser>
          <idx val="4"/>
          <order val="4"/>
          <tx>
            <v>SPL</v>
          </tx>
          <spPr>
            <a:ln xmlns:a="http://schemas.openxmlformats.org/drawingml/2006/main">
              <a:prstDash val="solid"/>
            </a:ln>
          </spPr>
          <marker>
            <symbol val="circle"/>
            <size val="3"/>
            <spPr>
              <a:ln xmlns:a="http://schemas.openxmlformats.org/drawingml/2006/main">
                <a:prstDash val="solid"/>
              </a:ln>
            </spPr>
          </marker>
          <xVal>
            <numRef>
              <f>'Reference'!$G$86:$K$86</f>
            </numRef>
          </xVal>
          <yVal>
            <numRef>
              <f>'Reference'!$L$86:$P$86</f>
            </numRef>
          </yVal>
          <smooth val="0"/>
        </ser>
        <ser>
          <idx val="5"/>
          <order val="5"/>
          <tx>
            <v>TPL</v>
          </tx>
          <spPr>
            <a:ln xmlns:a="http://schemas.openxmlformats.org/drawingml/2006/main">
              <a:prstDash val="solid"/>
            </a:ln>
          </spPr>
          <marker>
            <symbol val="circle"/>
            <size val="3"/>
            <spPr>
              <a:ln xmlns:a="http://schemas.openxmlformats.org/drawingml/2006/main">
                <a:prstDash val="solid"/>
              </a:ln>
            </spPr>
          </marker>
          <xVal>
            <numRef>
              <f>'Reference'!$G$87:$K$87</f>
            </numRef>
          </xVal>
          <yVal>
            <numRef>
              <f>'Reference'!$L$87:$P$87</f>
            </numRef>
          </yVal>
          <smooth val="0"/>
        </ser>
        <ser>
          <idx val="6"/>
          <order val="6"/>
          <tx>
            <v>UMW</v>
          </tx>
          <spPr>
            <a:ln xmlns:a="http://schemas.openxmlformats.org/drawingml/2006/main">
              <a:prstDash val="solid"/>
            </a:ln>
          </spPr>
          <marker>
            <symbol val="circle"/>
            <size val="3"/>
            <spPr>
              <a:ln xmlns:a="http://schemas.openxmlformats.org/drawingml/2006/main">
                <a:prstDash val="solid"/>
              </a:ln>
            </spPr>
          </marker>
          <xVal>
            <numRef>
              <f>'Reference'!$G$88:$K$88</f>
            </numRef>
          </xVal>
          <yVal>
            <numRef>
              <f>'Reference'!$L$88:$P$88</f>
            </numRef>
          </yVal>
          <smooth val="0"/>
        </ser>
        <ser>
          <idx val="7"/>
          <order val="7"/>
          <tx>
            <v>WMT</v>
          </tx>
          <spPr>
            <a:ln xmlns:a="http://schemas.openxmlformats.org/drawingml/2006/main">
              <a:prstDash val="solid"/>
            </a:ln>
          </spPr>
          <marker>
            <symbol val="circle"/>
            <size val="3"/>
            <spPr>
              <a:ln xmlns:a="http://schemas.openxmlformats.org/drawingml/2006/main">
                <a:prstDash val="solid"/>
              </a:ln>
            </spPr>
          </marker>
          <xVal>
            <numRef>
              <f>'Reference'!$G$89:$K$89</f>
            </numRef>
          </xVal>
          <yVal>
            <numRef>
              <f>'Reference'!$L$89:$P$89</f>
            </numRef>
          </yVal>
          <smooth val="0"/>
        </ser>
        <ser>
          <idx val="8"/>
          <order val="8"/>
          <tx>
            <v>XER</v>
          </tx>
          <spPr>
            <a:ln xmlns:a="http://schemas.openxmlformats.org/drawingml/2006/main">
              <a:prstDash val="solid"/>
            </a:ln>
          </spPr>
          <marker>
            <symbol val="circle"/>
            <size val="3"/>
            <spPr>
              <a:ln xmlns:a="http://schemas.openxmlformats.org/drawingml/2006/main">
                <a:prstDash val="solid"/>
              </a:ln>
            </spPr>
          </marker>
          <xVal>
            <numRef>
              <f>'Reference'!$G$90:$K$90</f>
            </numRef>
          </xVal>
          <yVal>
            <numRef>
              <f>'Reference'!$L$90:$P$90</f>
            </numRef>
          </yVal>
          <smooth val="0"/>
        </ser>
        <ser>
          <idx val="9"/>
          <order val="9"/>
          <tx>
            <v>National</v>
          </tx>
          <spPr>
            <a:ln xmlns:a="http://schemas.openxmlformats.org/drawingml/2006/main">
              <a:prstDash val="solid"/>
            </a:ln>
          </spPr>
          <marker>
            <symbol val="circle"/>
            <size val="3"/>
            <spPr>
              <a:ln xmlns:a="http://schemas.openxmlformats.org/drawingml/2006/main">
                <a:prstDash val="solid"/>
              </a:ln>
            </spPr>
          </marker>
          <xVal>
            <numRef>
              <f>'Reference'!$G$91:$K$91</f>
            </numRef>
          </xVal>
          <yVal>
            <numRef>
              <f>'Reference'!$L$91:$P$91</f>
            </numRef>
          </yVal>
          <smooth val="0"/>
        </ser>
        <ser>
          <idx val="10"/>
          <order val="10"/>
          <tx>
            <v>Index 0.39 (Fair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'Reference'!$B$98:$C$98</f>
            </numRef>
          </xVal>
          <yVal>
            <numRef>
              <f>'Reference'!$D$98:$E$98</f>
            </numRef>
          </yVal>
          <smooth val="0"/>
        </ser>
        <ser>
          <idx val="11"/>
          <order val="11"/>
          <tx>
            <v>Index 0.69 (Good at or above)</v>
          </tx>
          <spPr>
            <a:ln xmlns:a="http://schemas.openxmlformats.org/drawingml/2006/main" w="15875">
              <a:solidFill>
                <a:srgbClr val="404040"/>
              </a:solidFill>
              <a:prstDash val="dash"/>
            </a:ln>
          </spPr>
          <marker>
            <symbol val="none"/>
            <spPr>
              <a:ln xmlns:a="http://schemas.openxmlformats.org/drawingml/2006/main">
                <a:prstDash val="solid"/>
              </a:ln>
            </spPr>
          </marker>
          <xVal>
            <numRef>
              <f>'Reference'!$B$98:$C$98</f>
            </numRef>
          </xVal>
          <yVal>
            <numRef>
              <f>'Reference'!$F$98:$G$98</f>
            </numRef>
          </yVal>
          <smooth val="0"/>
        </ser>
        <axId val="10"/>
        <axId val="20"/>
      </scatterChart>
      <valAx>
        <axId val="10"/>
        <scaling>
          <orientation val="minMax"/>
          <min val="0"/>
        </scaling>
        <delete val="0"/>
        <axPos val="l"/>
        <title>
          <tx>
            <rich>
              <a:bodyPr xmlns:a="http://schemas.openxmlformats.org/drawingml/2006/main"/>
              <a:p xmlns:a="http://schemas.openxmlformats.org/drawingml/2006/main">
                <a:pPr>
                  <a:defRPr/>
                </a:pPr>
                <a:r>
                  <a:t>Monthly flow variability (CV of the twelve EROM monthly flows)</a:t>
                </a:r>
              </a:p>
            </rich>
          </tx>
          <overlay val="0"/>
        </title>
        <majorTickMark val="none"/>
        <minorTickMark val="none"/>
        <crossAx val="20"/>
      </valAx>
      <valAx>
        <axId val="20"/>
        <scaling>
          <orientation val="minMax"/>
          <max val="1"/>
          <min val="0"/>
        </scaling>
        <delete val="0"/>
        <axPos val="l"/>
        <majorGridlines/>
        <title>
          <tx>
            <rich>
              <a:bodyPr xmlns:a="http://schemas.openxmlformats.org/drawingml/2006/main"/>
              <a:p xmlns:a="http://schemas.openxmlformats.org/drawingml/2006/main">
                <a:pPr>
                  <a:defRPr/>
                </a:pPr>
                <a:r>
                  <a:t>Index</a:t>
                </a:r>
              </a:p>
            </rich>
          </tx>
          <overlay val="0"/>
        </title>
        <numFmt formatCode="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s>
</file>

<file path=xl/drawings/drawing1.xml><?xml version="1.0" encoding="utf-8"?>
<wsDr xmlns="http://schemas.openxmlformats.org/drawingml/2006/spreadsheetDrawing">
  <oneCellAnchor>
    <from>
      <col>14</col>
      <colOff>0</colOff>
      <row>33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60</row>
      <rowOff>0</rowOff>
    </from>
    <ext cx="864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4</row>
      <rowOff>0</rowOff>
    </from>
    <ext cx="5940000" cy="45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row>
      <rowOff>0</rowOff>
    </from>
    <ext cx="5940000" cy="45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30</row>
      <rowOff>0</rowOff>
    </from>
    <ext cx="5940000" cy="45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30</row>
      <rowOff>0</rowOff>
    </from>
    <ext cx="5940000" cy="45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I29"/>
  <sheetViews>
    <sheetView tabSelected="1" workbookViewId="0">
      <selection activeCell="A1" sqref="A1"/>
    </sheetView>
  </sheetViews>
  <sheetFormatPr baseColWidth="8" defaultRowHeight="15"/>
  <cols>
    <col width="18.5703125" customWidth="1" min="1" max="1"/>
    <col width="67.5703125" customWidth="1" min="2" max="2"/>
    <col width="8.85546875" customWidth="1" min="3" max="3"/>
    <col width="8.85546875" customWidth="1" min="4" max="4"/>
    <col width="8.85546875" customWidth="1" min="5" max="5"/>
    <col width="8.85546875" customWidth="1" min="6" max="6"/>
    <col width="8.85546875" customWidth="1" min="7" max="7"/>
    <col width="18.85546875" customWidth="1" min="8" max="8"/>
    <col width="26.7109375" customWidth="1" min="9" max="9"/>
  </cols>
  <sheetData>
    <row r="1">
      <c r="A1" s="1" t="inlineStr">
        <is>
          <t>Model Name</t>
        </is>
      </c>
      <c r="B1" s="1" t="inlineStr">
        <is>
          <t>Ecosystem Assessment Screening Index (EASI)</t>
        </is>
      </c>
      <c r="C1" s="2" t="n"/>
      <c r="D1" s="2" t="n"/>
      <c r="E1" s="2" t="n"/>
      <c r="F1" s="2" t="n"/>
      <c r="G1" s="2" t="n"/>
      <c r="H1" s="2" t="n"/>
      <c r="I1" s="3" t="inlineStr">
        <is>
          <t>Color Coding Key:</t>
        </is>
      </c>
    </row>
    <row r="2">
      <c r="A2" s="1" t="inlineStr">
        <is>
          <t>Developers</t>
        </is>
      </c>
      <c r="B2" s="2" t="inlineStr">
        <is>
          <t>Leanne M. Stepchinski, Gabrielle C. David, Samantha R. Wiest, and Garrett T. Menichino</t>
        </is>
      </c>
      <c r="C2" s="2" t="n"/>
      <c r="D2" s="2" t="n"/>
      <c r="E2" s="2" t="n"/>
      <c r="F2" s="2" t="n"/>
      <c r="G2" s="2" t="n"/>
      <c r="H2" s="4" t="n"/>
      <c r="I2" s="5" t="inlineStr">
        <is>
          <t>User Input</t>
        </is>
      </c>
    </row>
    <row r="3">
      <c r="A3" s="2" t="n"/>
      <c r="B3" s="2" t="inlineStr">
        <is>
          <t>U.S. Army Engineer Research and Development Center, Environmental Laboratory</t>
        </is>
      </c>
      <c r="C3" s="2" t="n"/>
      <c r="D3" s="2" t="n"/>
      <c r="E3" s="2" t="n"/>
      <c r="F3" s="2" t="n"/>
      <c r="G3" s="2" t="n"/>
      <c r="H3" s="4" t="n"/>
      <c r="I3" s="6" t="inlineStr">
        <is>
          <t>Calculated</t>
        </is>
      </c>
    </row>
    <row r="4">
      <c r="A4" s="2" t="n"/>
      <c r="B4" s="2" t="inlineStr">
        <is>
          <t>Vicksburg, MS</t>
        </is>
      </c>
      <c r="C4" s="2" t="n"/>
      <c r="D4" s="2" t="n"/>
      <c r="E4" s="2" t="n"/>
      <c r="F4" s="2" t="n"/>
      <c r="G4" s="2" t="n"/>
      <c r="H4" s="4" t="n"/>
      <c r="I4" s="7" t="inlineStr">
        <is>
          <t>Linked to Another Cell</t>
        </is>
      </c>
    </row>
    <row r="5">
      <c r="A5" s="2" t="n"/>
      <c r="B5" s="2" t="inlineStr">
        <is>
          <t>Leanne.M.Stepchinski@usace.army.mil, Gabrielle.C.David@usace.army.mil, Samantha.R.Wiest@erdc.dren.mil, Garrett.T.Menichino@usace.army.mil</t>
        </is>
      </c>
      <c r="C5" s="2" t="n"/>
      <c r="D5" s="2" t="n"/>
      <c r="E5" s="2" t="n"/>
      <c r="F5" s="2" t="n"/>
      <c r="G5" s="2" t="n"/>
      <c r="H5" s="4" t="n"/>
      <c r="I5" s="8" t="inlineStr">
        <is>
          <t>Override Score Row</t>
        </is>
      </c>
    </row>
    <row r="6">
      <c r="A6" s="2" t="n"/>
      <c r="B6" s="2" t="n"/>
      <c r="C6" s="2" t="n"/>
      <c r="D6" s="2" t="n"/>
      <c r="E6" s="2" t="n"/>
      <c r="F6" s="2" t="n"/>
      <c r="G6" s="2" t="n"/>
      <c r="H6" s="2" t="n"/>
      <c r="I6" s="9" t="inlineStr">
        <is>
          <t>Protect/unprotect password:</t>
        </is>
      </c>
    </row>
    <row r="7">
      <c r="A7" s="1" t="inlineStr">
        <is>
          <t>Model Version</t>
        </is>
      </c>
      <c r="B7" s="10" t="inlineStr">
        <is>
          <t>EASI v1.0</t>
        </is>
      </c>
      <c r="C7" s="2" t="n"/>
      <c r="D7" s="2" t="n"/>
      <c r="E7" s="2" t="n"/>
      <c r="F7" s="2" t="n"/>
      <c r="G7" s="2" t="n"/>
      <c r="H7" s="4" t="n"/>
      <c r="I7" s="6" t="inlineStr">
        <is>
          <t>easi</t>
        </is>
      </c>
    </row>
    <row r="8">
      <c r="A8" s="1" t="inlineStr">
        <is>
          <t>Date of Last Update</t>
        </is>
      </c>
      <c r="B8" s="11" t="n">
        <v>46318</v>
      </c>
      <c r="C8" s="2" t="n"/>
      <c r="D8" s="2" t="n"/>
      <c r="E8" s="2" t="n"/>
      <c r="F8" s="2" t="n"/>
      <c r="G8" s="2" t="n"/>
      <c r="H8" s="2" t="n"/>
      <c r="I8" s="12" t="n"/>
    </row>
    <row r="9">
      <c r="A9" s="2" t="n"/>
      <c r="B9" s="2" t="n"/>
      <c r="C9" s="2" t="n"/>
      <c r="D9" s="2" t="n"/>
      <c r="E9" s="2" t="n"/>
      <c r="F9" s="2" t="n"/>
      <c r="G9" s="2" t="n"/>
      <c r="H9" s="2" t="n"/>
      <c r="I9" s="2" t="n"/>
    </row>
    <row r="10" ht="39.6" customHeight="1">
      <c r="A10" s="1" t="inlineStr">
        <is>
          <t>Waiver</t>
        </is>
      </c>
      <c r="B10" s="13" t="inlineStr">
        <is>
          <t>This model is provided for free as part of the USACE Technical Report "Ecosystem Assessment Screening Index (EASI)" by Leanne M. Stepchinski, Gabrielle C. David, Samantha R. Wiest, and Garrett T. Menichino.</t>
        </is>
      </c>
      <c r="C10" s="2" t="n"/>
      <c r="D10" s="2" t="n"/>
      <c r="E10" s="2" t="n"/>
      <c r="F10" s="2" t="n"/>
      <c r="G10" s="2" t="n"/>
      <c r="H10" s="2" t="n"/>
      <c r="I10" s="2" t="n"/>
    </row>
    <row r="11">
      <c r="A11" s="2" t="n"/>
      <c r="B11" s="10" t="inlineStr">
        <is>
          <t>None of the authors nor the US Army Corps of Engineers accepts responsibility or liability for the model's use by third parties.</t>
        </is>
      </c>
      <c r="C11" s="2" t="n"/>
      <c r="D11" s="2" t="n"/>
      <c r="E11" s="2" t="n"/>
      <c r="F11" s="2" t="n"/>
      <c r="G11" s="2" t="n"/>
      <c r="H11" s="2" t="n"/>
      <c r="I11" s="2" t="n"/>
    </row>
    <row r="12">
      <c r="A12" s="2" t="n"/>
      <c r="B12" s="2" t="n"/>
      <c r="C12" s="2" t="n"/>
      <c r="D12" s="2" t="n"/>
      <c r="E12" s="2" t="n"/>
      <c r="F12" s="2" t="n"/>
      <c r="G12" s="2" t="n"/>
      <c r="H12" s="2" t="n"/>
      <c r="I12" s="2" t="n"/>
    </row>
    <row r="13">
      <c r="A13" s="2" t="n"/>
      <c r="B13" s="2" t="n"/>
      <c r="C13" s="2" t="n"/>
      <c r="D13" s="2" t="n"/>
      <c r="E13" s="2" t="n"/>
      <c r="F13" s="2" t="n"/>
      <c r="G13" s="2" t="n"/>
      <c r="H13" s="2" t="n"/>
      <c r="I13" s="2" t="n"/>
    </row>
    <row r="15">
      <c r="A15" s="14" t="inlineStr">
        <is>
          <t>Instructions</t>
        </is>
      </c>
      <c r="B15" s="15" t="n"/>
      <c r="D15" s="16" t="inlineStr">
        <is>
          <t>EASI Index Scoring</t>
        </is>
      </c>
      <c r="G15" s="16" t="inlineStr">
        <is>
          <t>Function Scoring</t>
        </is>
      </c>
      <c r="I15" s="16" t="inlineStr">
        <is>
          <t>Rating to Function Score</t>
        </is>
      </c>
    </row>
    <row r="16" ht="30" customHeight="1">
      <c r="A16" s="17" t="inlineStr">
        <is>
          <t>1)</t>
        </is>
      </c>
      <c r="B16" s="18" t="inlineStr">
        <is>
          <t>Add the site information into the orange cells at the top of each scenario worksheet.</t>
        </is>
      </c>
      <c r="D16" s="19" t="inlineStr">
        <is>
          <t>1.0</t>
        </is>
      </c>
      <c r="E16" s="20" t="inlineStr">
        <is>
          <t>Functioning</t>
        </is>
      </c>
      <c r="F16" s="21" t="n"/>
      <c r="G16" s="19" t="inlineStr">
        <is>
          <t>15</t>
        </is>
      </c>
      <c r="H16" s="22" t="inlineStr">
        <is>
          <t>Functioning</t>
        </is>
      </c>
      <c r="I16" s="23" t="inlineStr">
        <is>
          <t>13  Good (Functioning)</t>
        </is>
      </c>
    </row>
    <row r="17" ht="60" customHeight="1">
      <c r="A17" s="17" t="inlineStr">
        <is>
          <t>2)</t>
        </is>
      </c>
      <c r="B17" s="18" t="inlineStr">
        <is>
          <t>Enter each metric value in the orange cells of the Value column (column J). The Source column names where each value comes from, and selecting a cell shows its guidance note. Grey cells repeat a value entered higher in the table.</t>
        </is>
      </c>
      <c r="D17" s="24" t="inlineStr">
        <is>
          <t>0.7</t>
        </is>
      </c>
      <c r="E17" s="25" t="n"/>
      <c r="F17" s="26" t="n"/>
      <c r="G17" s="24" t="inlineStr">
        <is>
          <t>11</t>
        </is>
      </c>
      <c r="H17" s="27" t="n"/>
      <c r="I17" s="28" t="inlineStr">
        <is>
          <t>8  Fair (Functioning At-Risk)</t>
        </is>
      </c>
    </row>
    <row r="18" ht="60" customHeight="1">
      <c r="A18" s="17" t="inlineStr">
        <is>
          <t>3)</t>
        </is>
      </c>
      <c r="B18" s="18" t="inlineStr">
        <is>
          <t>Leave a cell blank when a value is unavailable, and never enter zero for an unknown value. A blank metric leaves its function unrated, and unrated functions drop out of the sub-indices and the EASI Index.</t>
        </is>
      </c>
      <c r="E18" s="29" t="inlineStr">
        <is>
          <t>Functioning At-Risk</t>
        </is>
      </c>
      <c r="F18" s="21" t="n"/>
      <c r="G18" s="19" t="inlineStr">
        <is>
          <t>10</t>
        </is>
      </c>
      <c r="H18" s="30" t="inlineStr">
        <is>
          <t>Functioning At-Risk</t>
        </is>
      </c>
      <c r="I18" s="31" t="inlineStr">
        <is>
          <t>3  Poor (Non-Functioning)</t>
        </is>
      </c>
    </row>
    <row r="19" ht="60" customHeight="1">
      <c r="A19" s="17" t="inlineStr">
        <is>
          <t>4)</t>
        </is>
      </c>
      <c r="B19" s="18" t="inlineStr">
        <is>
          <t>Optional. Pick an Override Score (Good, Fair or Poor) in the last row of a function to replace its computed rating, and enter observed channel and bank conditions in their rows when you have field observations.</t>
        </is>
      </c>
      <c r="D19" s="24" t="inlineStr">
        <is>
          <t>0.4</t>
        </is>
      </c>
      <c r="E19" s="25" t="n"/>
      <c r="F19" s="26" t="n"/>
      <c r="G19" s="24" t="inlineStr">
        <is>
          <t>6</t>
        </is>
      </c>
      <c r="H19" s="27" t="n"/>
      <c r="I19" s="32" t="inlineStr">
        <is>
          <t>Not rated: left out of the sub-indices and the index</t>
        </is>
      </c>
    </row>
    <row r="20" ht="75" customHeight="1">
      <c r="A20" s="17" t="inlineStr">
        <is>
          <t>5)</t>
        </is>
      </c>
      <c r="B20" s="18" t="inlineStr">
        <is>
          <t>Once the metric values are entered, the ratings and Function Scores (columns G and H), the Functional Categories, the Outcomes and the overall EASI Index (column A) will auto-populate. The scoring summary table and the bar charts to the right of the table will also auto-populate.</t>
        </is>
      </c>
      <c r="E20" s="33" t="inlineStr">
        <is>
          <t>Non-Functioning</t>
        </is>
      </c>
      <c r="F20" s="21" t="n"/>
      <c r="G20" s="19" t="inlineStr">
        <is>
          <t>5</t>
        </is>
      </c>
      <c r="H20" s="34" t="inlineStr">
        <is>
          <t>Non-Functioning</t>
        </is>
      </c>
    </row>
    <row r="21" ht="30" customHeight="1">
      <c r="A21" s="17" t="inlineStr">
        <is>
          <t>6)</t>
        </is>
      </c>
      <c r="B21" s="18" t="inlineStr">
        <is>
          <t>Record other metrics, notes, or sources in the grey box at the bottom of the worksheet.</t>
        </is>
      </c>
      <c r="D21" s="24" t="inlineStr">
        <is>
          <t>0.0</t>
        </is>
      </c>
      <c r="E21" s="25" t="n"/>
      <c r="F21" s="26" t="n"/>
      <c r="G21" s="24" t="inlineStr">
        <is>
          <t>0</t>
        </is>
      </c>
      <c r="H21" s="27" t="n"/>
    </row>
    <row r="23">
      <c r="A23" s="35" t="inlineStr">
        <is>
          <t>Comments/Assumptions</t>
        </is>
      </c>
      <c r="B23" s="15" t="n"/>
    </row>
    <row r="24" ht="60" customHeight="1">
      <c r="A24" s="17" t="inlineStr">
        <is>
          <t>1)</t>
        </is>
      </c>
      <c r="B24" s="18" t="inlineStr">
        <is>
          <t>The calculator scores exactly as the EASI web application does, with the same criteria, reference curves, weights and rounding. The same inputs give the same ratings, Function Scores, sub-indices and EASI Index.</t>
        </is>
      </c>
    </row>
    <row r="25" ht="60" customHeight="1">
      <c r="A25" s="17" t="inlineStr">
        <is>
          <t>2)</t>
        </is>
      </c>
      <c r="B25" s="18" t="inlineStr">
        <is>
          <t>The Metrics sheet shows how each rating was reached, beside the Good, Fair and Poor ranges of every metric. The Reference sheet plots the reference curves and holds the tables the calculator reads. Nothing is entered on either sheet.</t>
        </is>
      </c>
    </row>
    <row r="26" ht="60" customHeight="1">
      <c r="A26" s="17" t="inlineStr">
        <is>
          <t>3)</t>
        </is>
      </c>
      <c r="B26" s="18" t="inlineStr">
        <is>
          <t>The optional monthly flow helper below the table computes the monthly flow variability from the twelve EROM mean monthly flows. Copy its result into the Low flow and baseflow dynamics row.</t>
        </is>
      </c>
    </row>
    <row r="27" ht="90" customHeight="1">
      <c r="A27" s="17" t="inlineStr">
        <is>
          <t>4)</t>
        </is>
      </c>
      <c r="B27" s="18" t="inlineStr">
        <is>
          <t>Derived values are rounded to twelve decimals before they are rated, and displayed indices to two decimals, as in the web application. When a sub-index lands exactly on a half-hundredth, Excel rounds away from zero and the web application rounds to the even digit, so a displayed value can differ by 0.01 while the class stays the same.</t>
        </is>
      </c>
    </row>
    <row r="28" ht="75" customHeight="1">
      <c r="A28" s="17" t="inlineStr">
        <is>
          <t>5)</t>
        </is>
      </c>
      <c r="B28" s="18" t="inlineStr">
        <is>
          <t>The calculator does not retrieve data, delineate a watershed or draw cross-sections. An Override Score replaces the computed rating and score of its function, as a rating changed in the web application does, and the Metrics sheet keeps the computed rating beside it.</t>
        </is>
      </c>
    </row>
    <row r="29" ht="75" customHeight="1">
      <c r="A29" s="17" t="inlineStr">
        <is>
          <t>6)</t>
        </is>
      </c>
      <c r="B29" s="18" t="inlineStr">
        <is>
          <t>EASI is a screening-level desktop estimate, not a field-validated assessment. The reference curves express regional expectations derived from least-disturbed reaches, and several proxies remain unvalidated. The technical report states each metric's limitations.</t>
        </is>
      </c>
    </row>
  </sheetData>
  <sheetProtection selectLockedCells="0" selectUnlockedCells="0" sheet="1" objects="0" insertRows="1" insertHyperlinks="1" autoFilter="1" scenarios="0" formatColumns="1" deleteColumns="1" insertColumns="1" pivotTables="1" deleteRows="1" formatCells="1" formatRows="1" sort="1" password="CA09"/>
  <mergeCells count="10">
    <mergeCell ref="A15:B15"/>
    <mergeCell ref="E20:F21"/>
    <mergeCell ref="E16:F17"/>
    <mergeCell ref="H16:H17"/>
    <mergeCell ref="G15:H15"/>
    <mergeCell ref="H20:H21"/>
    <mergeCell ref="A23:B23"/>
    <mergeCell ref="D15:F15"/>
    <mergeCell ref="E18:F19"/>
    <mergeCell ref="H18:H19"/>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Z101"/>
  <sheetViews>
    <sheetView showGridLines="0" zoomScale="70" workbookViewId="0">
      <pane ySplit="7" topLeftCell="A8" activePane="bottomLeft" state="frozen"/>
      <selection pane="bottomLeft" activeCell="A1" sqref="A1"/>
    </sheetView>
  </sheetViews>
  <sheetFormatPr baseColWidth="8" defaultRowHeight="15"/>
  <cols>
    <col width="17" customWidth="1" min="1" max="1"/>
    <col width="13" customWidth="1" min="2" max="2"/>
    <col width="13" customWidth="1" min="3" max="3"/>
    <col width="17" customWidth="1" min="4" max="4"/>
    <col width="13" customWidth="1" min="5" max="5"/>
    <col width="31" customWidth="1" min="6" max="6"/>
    <col width="10" customWidth="1" min="7" max="7"/>
    <col width="12" customWidth="1" min="8" max="8"/>
    <col width="46" customWidth="1" min="9" max="9"/>
    <col width="25" customWidth="1" min="10" max="10"/>
    <col width="10" customWidth="1" min="11" max="11"/>
    <col width="12" customWidth="1" min="12" max="12"/>
    <col width="40" customWidth="1" min="13" max="13"/>
    <col width="3" customWidth="1" min="14" max="14"/>
    <col width="17" customWidth="1" min="15" max="15"/>
    <col width="32" customWidth="1" min="16" max="16"/>
    <col width="8" customWidth="1" min="17" max="17"/>
    <col width="10" customWidth="1" min="18" max="18"/>
    <col width="10" customWidth="1" min="19" max="19"/>
    <col width="11" customWidth="1" min="20" max="20"/>
    <col width="3" customWidth="1" min="21" max="21"/>
    <col width="8" customWidth="1" min="22" max="22"/>
    <col width="20" customWidth="1" min="23" max="23"/>
    <col width="3" customWidth="1" min="24" max="24"/>
    <col width="8" customWidth="1" min="25" max="25"/>
    <col width="20" customWidth="1" min="26" max="26"/>
  </cols>
  <sheetData>
    <row r="1" ht="24" customHeight="1">
      <c r="A1" s="36" t="inlineStr">
        <is>
          <t>Ecosystem Assessment Screening Index (EASI) Worksheet</t>
        </is>
      </c>
      <c r="B1" s="37" t="n"/>
      <c r="C1" s="37" t="n"/>
      <c r="D1" s="37" t="n"/>
      <c r="E1" s="37" t="n"/>
      <c r="F1" s="37" t="n"/>
      <c r="G1" s="37" t="n"/>
      <c r="H1" s="37" t="n"/>
      <c r="I1" s="37" t="n"/>
      <c r="J1" s="37" t="n"/>
      <c r="K1" s="37" t="n"/>
      <c r="L1" s="37" t="n"/>
      <c r="M1" s="38" t="n"/>
    </row>
    <row r="2" ht="21" customHeight="1">
      <c r="A2" s="39" t="inlineStr">
        <is>
          <t>Reach ID</t>
        </is>
      </c>
      <c r="B2" s="40" t="n"/>
      <c r="C2" s="41" t="n"/>
      <c r="D2" s="41" t="n"/>
      <c r="E2" s="41" t="n"/>
      <c r="F2" s="42" t="inlineStr">
        <is>
          <t>Assessor(s)</t>
        </is>
      </c>
      <c r="G2" s="40" t="n"/>
      <c r="H2" s="41" t="n"/>
      <c r="I2" s="41" t="n"/>
      <c r="J2" s="42" t="inlineStr">
        <is>
          <t>COMID</t>
        </is>
      </c>
      <c r="K2" s="40" t="n"/>
      <c r="L2" s="41" t="n"/>
      <c r="M2" s="43" t="n"/>
    </row>
    <row r="3" ht="21" customHeight="1">
      <c r="A3" s="44" t="inlineStr">
        <is>
          <t>Lat/Long</t>
        </is>
      </c>
      <c r="B3" s="45" t="n"/>
      <c r="C3" s="46" t="n"/>
      <c r="D3" s="46" t="n"/>
      <c r="E3" s="46" t="n"/>
      <c r="F3" s="47" t="inlineStr">
        <is>
          <t>Date</t>
        </is>
      </c>
      <c r="G3" s="48" t="n"/>
      <c r="H3" s="46" t="n"/>
      <c r="I3" s="46" t="n"/>
      <c r="J3" s="47" t="inlineStr">
        <is>
          <t>NARS-9 region</t>
        </is>
      </c>
      <c r="K3" s="45" t="n"/>
      <c r="L3" s="46" t="n"/>
      <c r="M3" s="49" t="n"/>
    </row>
    <row r="4" ht="21" customHeight="1">
      <c r="A4" s="50" t="inlineStr">
        <is>
          <t>NHD FCODE</t>
        </is>
      </c>
      <c r="B4" s="51" t="n"/>
      <c r="C4" s="52" t="n"/>
      <c r="D4" s="52" t="n"/>
      <c r="E4" s="52" t="n"/>
      <c r="F4" s="53" t="inlineStr">
        <is>
          <t>Slope class override</t>
        </is>
      </c>
      <c r="G4" s="51" t="n"/>
      <c r="H4" s="52" t="n"/>
      <c r="I4" s="52" t="n"/>
      <c r="J4" s="53" t="inlineStr">
        <is>
          <t>Slope class used</t>
        </is>
      </c>
      <c r="K4" s="54">
        <f>IF('Scenario'!$G$4&lt;&gt;"",'Scenario'!$G$4,IF(NOT(ISNUMBER('Scenario'!$J$26)),"national",IF('Scenario'!$J$26&lt;0,"national",IF('Scenario'!$J$26&lt;0.005,"lt_0.5",IF('Scenario'!$J$26&lt;0.02,"0.5_to_2","ge_2")))))</f>
        <v/>
      </c>
      <c r="L4" s="55" t="n"/>
      <c r="M4" s="56" t="n"/>
    </row>
    <row r="5" ht="18" customHeight="1">
      <c r="A5" s="57" t="inlineStr">
        <is>
          <t>EASI</t>
        </is>
      </c>
      <c r="B5" s="57" t="inlineStr">
        <is>
          <t>Outcomes</t>
        </is>
      </c>
      <c r="C5" s="58" t="n"/>
      <c r="D5" s="57" t="inlineStr">
        <is>
          <t>Functional Categories</t>
        </is>
      </c>
      <c r="E5" s="58" t="n"/>
      <c r="F5" s="57" t="inlineStr">
        <is>
          <t>Functions</t>
        </is>
      </c>
      <c r="G5" s="58" t="n"/>
      <c r="H5" s="58" t="n"/>
      <c r="I5" s="57" t="inlineStr">
        <is>
          <t>Metrics</t>
        </is>
      </c>
      <c r="J5" s="58" t="n"/>
      <c r="K5" s="58" t="n"/>
      <c r="L5" s="58" t="n"/>
      <c r="M5" s="59" t="n"/>
      <c r="O5" s="60" t="inlineStr">
        <is>
          <t>Scoring Summary</t>
        </is>
      </c>
      <c r="P5" s="61" t="n"/>
      <c r="Q5" s="61" t="n"/>
      <c r="R5" s="60" t="inlineStr">
        <is>
          <t>Outcomes</t>
        </is>
      </c>
      <c r="S5" s="61" t="n"/>
      <c r="T5" s="61" t="n"/>
      <c r="V5" s="62" t="inlineStr">
        <is>
          <t>EASI Index Scoring</t>
        </is>
      </c>
      <c r="Y5" s="62" t="inlineStr">
        <is>
          <t>Function Scoring</t>
        </is>
      </c>
    </row>
    <row r="6" ht="18" customHeight="1">
      <c r="A6" s="63" t="inlineStr">
        <is>
          <t>Index Score</t>
        </is>
      </c>
      <c r="B6" s="63" t="inlineStr">
        <is>
          <t>Name</t>
        </is>
      </c>
      <c r="C6" s="64" t="inlineStr">
        <is>
          <t>Sub-Index Score</t>
        </is>
      </c>
      <c r="D6" s="63" t="inlineStr">
        <is>
          <t>Name</t>
        </is>
      </c>
      <c r="E6" s="64" t="inlineStr">
        <is>
          <t>Functions Rated</t>
        </is>
      </c>
      <c r="F6" s="63" t="inlineStr">
        <is>
          <t>Name</t>
        </is>
      </c>
      <c r="G6" s="64" t="inlineStr">
        <is>
          <t>Rating</t>
        </is>
      </c>
      <c r="H6" s="64" t="inlineStr">
        <is>
          <t>Function Score</t>
        </is>
      </c>
      <c r="I6" s="63" t="inlineStr">
        <is>
          <t>Name</t>
        </is>
      </c>
      <c r="J6" s="64" t="inlineStr">
        <is>
          <t>Value</t>
        </is>
      </c>
      <c r="K6" s="64" t="inlineStr">
        <is>
          <t>Units</t>
        </is>
      </c>
      <c r="L6" s="64" t="inlineStr">
        <is>
          <t>Input Rating</t>
        </is>
      </c>
      <c r="M6" s="65" t="inlineStr">
        <is>
          <t>Source</t>
        </is>
      </c>
      <c r="O6" s="64" t="inlineStr">
        <is>
          <t>Functional Categories</t>
        </is>
      </c>
      <c r="P6" s="64" t="inlineStr">
        <is>
          <t>Functions</t>
        </is>
      </c>
      <c r="Q6" s="64" t="inlineStr">
        <is>
          <t>Score</t>
        </is>
      </c>
      <c r="R6" s="64" t="inlineStr">
        <is>
          <t>Physical</t>
        </is>
      </c>
      <c r="S6" s="64" t="inlineStr">
        <is>
          <t>Chemical</t>
        </is>
      </c>
      <c r="T6" s="64" t="inlineStr">
        <is>
          <t>Biological</t>
        </is>
      </c>
      <c r="V6" s="66" t="inlineStr">
        <is>
          <t>1.00</t>
        </is>
      </c>
      <c r="W6" s="67" t="inlineStr">
        <is>
          <t>Functioning</t>
        </is>
      </c>
      <c r="Y6" s="66" t="inlineStr">
        <is>
          <t>15</t>
        </is>
      </c>
      <c r="Z6" s="67" t="inlineStr">
        <is>
          <t>Functioning</t>
        </is>
      </c>
    </row>
    <row r="7" ht="18" customHeight="1">
      <c r="A7" s="68" t="n"/>
      <c r="B7" s="68" t="n"/>
      <c r="C7" s="55" t="n"/>
      <c r="D7" s="68" t="n"/>
      <c r="E7" s="55" t="n"/>
      <c r="F7" s="68" t="n"/>
      <c r="G7" s="55" t="n"/>
      <c r="H7" s="55" t="n"/>
      <c r="I7" s="68" t="n"/>
      <c r="J7" s="55" t="n"/>
      <c r="K7" s="55" t="n"/>
      <c r="L7" s="55" t="n"/>
      <c r="M7" s="56" t="n"/>
      <c r="O7" s="61" t="n"/>
      <c r="P7" s="61" t="n"/>
      <c r="Q7" s="61" t="n"/>
      <c r="R7" s="61" t="n"/>
      <c r="S7" s="61" t="n"/>
      <c r="T7" s="61" t="n"/>
      <c r="W7" s="69" t="n"/>
      <c r="Z7" s="69" t="n"/>
    </row>
    <row r="8" ht="15.75" customHeight="1">
      <c r="A8" s="70">
        <f>IF('Results'!$E$30="","",'Results'!$E$30)</f>
        <v/>
      </c>
      <c r="B8" s="71" t="inlineStr">
        <is>
          <t>Physical</t>
        </is>
      </c>
      <c r="C8" s="72">
        <f>IF('Results'!$E$27="","",'Results'!$E$27)</f>
        <v/>
      </c>
      <c r="D8" s="71" t="inlineStr">
        <is>
          <t>Hydrology</t>
        </is>
      </c>
      <c r="E8" s="73">
        <f>COUNT('Scenario'!$H$8:$H$20)</f>
        <v/>
      </c>
      <c r="F8" s="71" t="inlineStr">
        <is>
          <t>Catchment hydrology</t>
        </is>
      </c>
      <c r="G8" s="74">
        <f>'Metrics'!$F$12</f>
        <v/>
      </c>
      <c r="H8" s="75">
        <f>'Metrics'!$B$13</f>
        <v/>
      </c>
      <c r="I8" s="76" t="inlineStr">
        <is>
          <t>Impervious cover of the watershed</t>
        </is>
      </c>
      <c r="J8" s="77" t="n"/>
      <c r="K8" s="78" t="inlineStr">
        <is>
          <t>%</t>
        </is>
      </c>
      <c r="L8" s="78">
        <f>'Metrics'!$F$5</f>
        <v/>
      </c>
      <c r="M8" s="79" t="inlineStr">
        <is>
          <t>StreamCat pctimp2019ws</t>
        </is>
      </c>
      <c r="O8" s="80" t="inlineStr">
        <is>
          <t>Hydrology</t>
        </is>
      </c>
      <c r="P8" s="81" t="inlineStr">
        <is>
          <t>Catchment hydrology</t>
        </is>
      </c>
      <c r="Q8" s="82">
        <f>IF('Scenario'!$H$8="","",'Scenario'!$H$8)</f>
        <v/>
      </c>
      <c r="R8" s="83" t="inlineStr">
        <is>
          <t>D</t>
        </is>
      </c>
      <c r="S8" s="83" t="inlineStr">
        <is>
          <t>i</t>
        </is>
      </c>
      <c r="T8" s="83" t="inlineStr">
        <is>
          <t>i</t>
        </is>
      </c>
      <c r="V8" s="84" t="inlineStr">
        <is>
          <t>0.70</t>
        </is>
      </c>
      <c r="W8" s="69" t="n"/>
      <c r="Y8" s="84" t="inlineStr">
        <is>
          <t>11</t>
        </is>
      </c>
      <c r="Z8" s="69" t="n"/>
    </row>
    <row r="9" ht="31.5" customHeight="1">
      <c r="A9" s="85" t="n"/>
      <c r="B9" s="85" t="n"/>
      <c r="C9" s="61" t="n"/>
      <c r="D9" s="85" t="n"/>
      <c r="E9" s="61" t="n"/>
      <c r="F9" s="85" t="n"/>
      <c r="G9" s="61" t="n"/>
      <c r="H9" s="61" t="n"/>
      <c r="I9" s="86" t="inlineStr">
        <is>
          <t>Agricultural cover of the watershed (crop, hay and pasture)</t>
        </is>
      </c>
      <c r="J9" s="87" t="n"/>
      <c r="K9" s="88" t="inlineStr">
        <is>
          <t>%</t>
        </is>
      </c>
      <c r="L9" s="88">
        <f>'Metrics'!$F$6</f>
        <v/>
      </c>
      <c r="M9" s="89" t="inlineStr">
        <is>
          <t>StreamCat pctcrop2019ws + pcthay2019ws</t>
        </is>
      </c>
      <c r="O9" s="90" t="n"/>
      <c r="P9" s="81" t="inlineStr">
        <is>
          <t>Surface water storage</t>
        </is>
      </c>
      <c r="Q9" s="82">
        <f>IF('Scenario'!$H$11="","",'Scenario'!$H$11)</f>
        <v/>
      </c>
      <c r="R9" s="83" t="inlineStr">
        <is>
          <t>D</t>
        </is>
      </c>
      <c r="S9" s="83" t="inlineStr">
        <is>
          <t>i</t>
        </is>
      </c>
      <c r="T9" s="83" t="inlineStr">
        <is>
          <t>i</t>
        </is>
      </c>
      <c r="W9" s="91" t="inlineStr">
        <is>
          <t>Functioning At-Risk</t>
        </is>
      </c>
      <c r="Y9" s="66" t="inlineStr">
        <is>
          <t>10</t>
        </is>
      </c>
      <c r="Z9" s="91" t="inlineStr">
        <is>
          <t>Functioning At-Risk</t>
        </is>
      </c>
    </row>
    <row r="10" ht="24" customHeight="1">
      <c r="A10" s="85" t="n"/>
      <c r="B10" s="85" t="n"/>
      <c r="C10" s="61" t="n"/>
      <c r="D10" s="85" t="n"/>
      <c r="E10" s="61" t="n"/>
      <c r="F10" s="68" t="n"/>
      <c r="G10" s="55" t="n"/>
      <c r="H10" s="55" t="n"/>
      <c r="I10" s="92" t="inlineStr">
        <is>
          <t>Override Score (Optional)</t>
        </is>
      </c>
      <c r="J10" s="93" t="n"/>
      <c r="K10" s="94" t="n"/>
      <c r="L10" s="94" t="n"/>
      <c r="M10" s="95" t="inlineStr">
        <is>
          <t>User-defined override</t>
        </is>
      </c>
      <c r="O10" s="90" t="n"/>
      <c r="P10" s="81" t="inlineStr">
        <is>
          <t>Reach inflow</t>
        </is>
      </c>
      <c r="Q10" s="82">
        <f>IF('Scenario'!$H$15="","",'Scenario'!$H$15)</f>
        <v/>
      </c>
      <c r="R10" s="83" t="inlineStr">
        <is>
          <t>D</t>
        </is>
      </c>
      <c r="S10" s="83" t="inlineStr">
        <is>
          <t>i</t>
        </is>
      </c>
      <c r="T10" s="83" t="inlineStr">
        <is>
          <t>i</t>
        </is>
      </c>
      <c r="W10" s="96" t="n"/>
      <c r="Z10" s="96" t="n"/>
    </row>
    <row r="11" ht="15.75" customHeight="1">
      <c r="A11" s="85" t="n"/>
      <c r="B11" s="85" t="n"/>
      <c r="C11" s="61" t="n"/>
      <c r="D11" s="85" t="n"/>
      <c r="E11" s="61" t="n"/>
      <c r="F11" s="97" t="inlineStr">
        <is>
          <t>Surface water storage</t>
        </is>
      </c>
      <c r="G11" s="98">
        <f>'Metrics'!$F$24</f>
        <v/>
      </c>
      <c r="H11" s="99">
        <f>'Metrics'!$B$25</f>
        <v/>
      </c>
      <c r="I11" s="100" t="inlineStr">
        <is>
          <t>Woody wetland cover of the watershed</t>
        </is>
      </c>
      <c r="J11" s="101" t="n"/>
      <c r="K11" s="17" t="inlineStr">
        <is>
          <t>%</t>
        </is>
      </c>
      <c r="L11" s="61" t="n"/>
      <c r="M11" s="102" t="inlineStr">
        <is>
          <t>StreamCat pctwdwet2019ws</t>
        </is>
      </c>
      <c r="O11" s="90" t="n"/>
      <c r="P11" s="81" t="inlineStr">
        <is>
          <t>Streamflow regime</t>
        </is>
      </c>
      <c r="Q11" s="82">
        <f>IF('Scenario'!$H$17="","",'Scenario'!$H$17)</f>
        <v/>
      </c>
      <c r="R11" s="83" t="inlineStr">
        <is>
          <t>D</t>
        </is>
      </c>
      <c r="S11" s="83" t="inlineStr">
        <is>
          <t>i</t>
        </is>
      </c>
      <c r="T11" s="83" t="inlineStr">
        <is>
          <t>i</t>
        </is>
      </c>
      <c r="V11" s="84" t="inlineStr">
        <is>
          <t>0.40</t>
        </is>
      </c>
      <c r="W11" s="96" t="n"/>
      <c r="Y11" s="84" t="inlineStr">
        <is>
          <t>6</t>
        </is>
      </c>
      <c r="Z11" s="96" t="n"/>
    </row>
    <row r="12" ht="15.75" customHeight="1">
      <c r="A12" s="85" t="n"/>
      <c r="B12" s="85" t="n"/>
      <c r="C12" s="61" t="n"/>
      <c r="D12" s="85" t="n"/>
      <c r="E12" s="61" t="n"/>
      <c r="F12" s="85" t="n"/>
      <c r="G12" s="61" t="n"/>
      <c r="H12" s="61" t="n"/>
      <c r="I12" s="100" t="inlineStr">
        <is>
          <t>Herbaceous wetland cover of the watershed</t>
        </is>
      </c>
      <c r="J12" s="101" t="n"/>
      <c r="K12" s="17" t="inlineStr">
        <is>
          <t>%</t>
        </is>
      </c>
      <c r="L12" s="61" t="n"/>
      <c r="M12" s="102" t="inlineStr">
        <is>
          <t>StreamCat pcthbwet2019ws</t>
        </is>
      </c>
      <c r="O12" s="103" t="inlineStr">
        <is>
          <t>Hydraulics</t>
        </is>
      </c>
      <c r="P12" s="104" t="inlineStr">
        <is>
          <t>Low flow and baseflow dynamics</t>
        </is>
      </c>
      <c r="Q12" s="82">
        <f>IF('Scenario'!$H$21="","",'Scenario'!$H$21)</f>
        <v/>
      </c>
      <c r="R12" s="105" t="inlineStr">
        <is>
          <t>D</t>
        </is>
      </c>
      <c r="S12" s="105" t="inlineStr">
        <is>
          <t>i</t>
        </is>
      </c>
      <c r="T12" s="105" t="inlineStr">
        <is>
          <t>i</t>
        </is>
      </c>
      <c r="W12" s="106" t="inlineStr">
        <is>
          <t>Non-Functioning</t>
        </is>
      </c>
      <c r="Y12" s="66" t="inlineStr">
        <is>
          <t>5</t>
        </is>
      </c>
      <c r="Z12" s="106" t="inlineStr">
        <is>
          <t>Non-Functioning</t>
        </is>
      </c>
    </row>
    <row r="13" ht="15.75" customHeight="1">
      <c r="A13" s="85" t="n"/>
      <c r="B13" s="85" t="n"/>
      <c r="C13" s="61" t="n"/>
      <c r="D13" s="85" t="n"/>
      <c r="E13" s="61" t="n"/>
      <c r="F13" s="85" t="n"/>
      <c r="G13" s="61" t="n"/>
      <c r="H13" s="61" t="n"/>
      <c r="I13" s="86" t="inlineStr">
        <is>
          <t>Wetland extent (sum, capped at 100)</t>
        </is>
      </c>
      <c r="J13" s="107">
        <f>IF('Metrics'!$B$20="","",'Metrics'!$B$20)</f>
        <v/>
      </c>
      <c r="K13" s="88" t="inlineStr">
        <is>
          <t>%</t>
        </is>
      </c>
      <c r="L13" s="88">
        <f>'Metrics'!$F$22</f>
        <v/>
      </c>
      <c r="M13" s="108" t="inlineStr">
        <is>
          <t>Computed from the entries above</t>
        </is>
      </c>
      <c r="O13" s="109" t="n"/>
      <c r="P13" s="104" t="inlineStr">
        <is>
          <t>High flow dynamics</t>
        </is>
      </c>
      <c r="Q13" s="82">
        <f>IF('Scenario'!$H$23="","",'Scenario'!$H$23)</f>
        <v/>
      </c>
      <c r="R13" s="105" t="inlineStr">
        <is>
          <t>D</t>
        </is>
      </c>
      <c r="S13" s="105" t="inlineStr">
        <is>
          <t>i</t>
        </is>
      </c>
      <c r="T13" s="105" t="inlineStr">
        <is>
          <t>i</t>
        </is>
      </c>
      <c r="W13" s="110" t="n"/>
      <c r="Z13" s="110" t="n"/>
    </row>
    <row r="14" ht="24" customHeight="1">
      <c r="A14" s="85" t="n"/>
      <c r="B14" s="85" t="n"/>
      <c r="C14" s="61" t="n"/>
      <c r="D14" s="85" t="n"/>
      <c r="E14" s="61" t="n"/>
      <c r="F14" s="68" t="n"/>
      <c r="G14" s="55" t="n"/>
      <c r="H14" s="55" t="n"/>
      <c r="I14" s="92" t="inlineStr">
        <is>
          <t>Override Score (Optional)</t>
        </is>
      </c>
      <c r="J14" s="93" t="n"/>
      <c r="K14" s="94" t="n"/>
      <c r="L14" s="94" t="n"/>
      <c r="M14" s="95" t="inlineStr">
        <is>
          <t>User-defined override</t>
        </is>
      </c>
      <c r="O14" s="109" t="n"/>
      <c r="P14" s="104" t="inlineStr">
        <is>
          <t>Floodplain connectivity</t>
        </is>
      </c>
      <c r="Q14" s="82">
        <f>IF('Scenario'!$H$25="","",'Scenario'!$H$25)</f>
        <v/>
      </c>
      <c r="R14" s="105" t="inlineStr">
        <is>
          <t>D</t>
        </is>
      </c>
      <c r="S14" s="105" t="inlineStr">
        <is>
          <t>i</t>
        </is>
      </c>
      <c r="T14" s="105" t="inlineStr">
        <is>
          <t>i</t>
        </is>
      </c>
      <c r="V14" s="84" t="inlineStr">
        <is>
          <t>0.00</t>
        </is>
      </c>
      <c r="W14" s="110" t="n"/>
      <c r="Y14" s="84" t="inlineStr">
        <is>
          <t>0</t>
        </is>
      </c>
      <c r="Z14" s="110" t="n"/>
    </row>
    <row r="15" ht="15.75" customHeight="1">
      <c r="A15" s="85" t="n"/>
      <c r="B15" s="85" t="n"/>
      <c r="C15" s="61" t="n"/>
      <c r="D15" s="85" t="n"/>
      <c r="E15" s="61" t="n"/>
      <c r="F15" s="97" t="inlineStr">
        <is>
          <t>Reach inflow</t>
        </is>
      </c>
      <c r="G15" s="98">
        <f>'Metrics'!$F$34</f>
        <v/>
      </c>
      <c r="H15" s="99">
        <f>'Metrics'!$B$35</f>
        <v/>
      </c>
      <c r="I15" s="86" t="inlineStr">
        <is>
          <t>Road density of the watershed</t>
        </is>
      </c>
      <c r="J15" s="87" t="n"/>
      <c r="K15" s="88" t="inlineStr">
        <is>
          <t>km/km2</t>
        </is>
      </c>
      <c r="L15" s="88">
        <f>'Metrics'!$F$32</f>
        <v/>
      </c>
      <c r="M15" s="89" t="inlineStr">
        <is>
          <t>StreamCat rddensws</t>
        </is>
      </c>
      <c r="O15" s="109" t="n"/>
      <c r="P15" s="104" t="inlineStr">
        <is>
          <t>Hyporheic connectivity</t>
        </is>
      </c>
      <c r="Q15" s="82">
        <f>IF('Scenario'!$H$28="","",'Scenario'!$H$28)</f>
        <v/>
      </c>
      <c r="R15" s="105" t="inlineStr">
        <is>
          <t>D</t>
        </is>
      </c>
      <c r="S15" s="105" t="inlineStr">
        <is>
          <t>i</t>
        </is>
      </c>
      <c r="T15" s="105" t="inlineStr">
        <is>
          <t>i</t>
        </is>
      </c>
    </row>
    <row r="16" ht="24" customHeight="1">
      <c r="A16" s="85" t="n"/>
      <c r="B16" s="85" t="n"/>
      <c r="C16" s="61" t="n"/>
      <c r="D16" s="85" t="n"/>
      <c r="E16" s="61" t="n"/>
      <c r="F16" s="68" t="n"/>
      <c r="G16" s="55" t="n"/>
      <c r="H16" s="55" t="n"/>
      <c r="I16" s="92" t="inlineStr">
        <is>
          <t>Override Score (Optional)</t>
        </is>
      </c>
      <c r="J16" s="93" t="n"/>
      <c r="K16" s="94" t="n"/>
      <c r="L16" s="94" t="n"/>
      <c r="M16" s="95" t="inlineStr">
        <is>
          <t>User-defined override</t>
        </is>
      </c>
      <c r="O16" s="111" t="inlineStr">
        <is>
          <t>Geomorphology</t>
        </is>
      </c>
      <c r="P16" s="112" t="inlineStr">
        <is>
          <t>Channel evolution</t>
        </is>
      </c>
      <c r="Q16" s="82">
        <f>IF('Scenario'!$H$31="","",'Scenario'!$H$31)</f>
        <v/>
      </c>
      <c r="R16" s="113" t="inlineStr">
        <is>
          <t>D</t>
        </is>
      </c>
      <c r="S16" s="113" t="inlineStr">
        <is>
          <t>i</t>
        </is>
      </c>
      <c r="T16" s="113" t="inlineStr">
        <is>
          <t>i</t>
        </is>
      </c>
    </row>
    <row r="17" ht="15.75" customHeight="1">
      <c r="A17" s="85" t="n"/>
      <c r="B17" s="85" t="n"/>
      <c r="C17" s="61" t="n"/>
      <c r="D17" s="85" t="n"/>
      <c r="E17" s="61" t="n"/>
      <c r="F17" s="97" t="inlineStr">
        <is>
          <t>Streamflow regime</t>
        </is>
      </c>
      <c r="G17" s="98">
        <f>'Metrics'!$F$46</f>
        <v/>
      </c>
      <c r="H17" s="99">
        <f>'Metrics'!$B$47</f>
        <v/>
      </c>
      <c r="I17" s="100" t="inlineStr">
        <is>
          <t>Normalized dam storage upstream</t>
        </is>
      </c>
      <c r="J17" s="101" t="n"/>
      <c r="K17" s="17" t="inlineStr">
        <is>
          <t>m3/km2</t>
        </is>
      </c>
      <c r="L17" s="61" t="n"/>
      <c r="M17" s="102" t="inlineStr">
        <is>
          <t>StreamCat damnrmstorws</t>
        </is>
      </c>
      <c r="O17" s="114" t="n"/>
      <c r="P17" s="112" t="inlineStr">
        <is>
          <t>Channel and floodplain dynamics</t>
        </is>
      </c>
      <c r="Q17" s="82">
        <f>IF('Scenario'!$H$36="","",'Scenario'!$H$36)</f>
        <v/>
      </c>
      <c r="R17" s="113" t="inlineStr">
        <is>
          <t>D</t>
        </is>
      </c>
      <c r="S17" s="113" t="inlineStr">
        <is>
          <t>i</t>
        </is>
      </c>
      <c r="T17" s="113" t="inlineStr">
        <is>
          <t>i</t>
        </is>
      </c>
      <c r="V17" s="62" t="inlineStr">
        <is>
          <t>Rating to Function Score</t>
        </is>
      </c>
    </row>
    <row r="18" ht="15.75" customHeight="1">
      <c r="A18" s="85" t="n"/>
      <c r="B18" s="85" t="n"/>
      <c r="C18" s="61" t="n"/>
      <c r="D18" s="85" t="n"/>
      <c r="E18" s="61" t="n"/>
      <c r="F18" s="85" t="n"/>
      <c r="G18" s="61" t="n"/>
      <c r="H18" s="61" t="n"/>
      <c r="I18" s="100" t="inlineStr">
        <is>
          <t>Mean annual runoff of the watershed</t>
        </is>
      </c>
      <c r="J18" s="101" t="n"/>
      <c r="K18" s="17" t="inlineStr">
        <is>
          <t>mm</t>
        </is>
      </c>
      <c r="L18" s="61" t="n"/>
      <c r="M18" s="102" t="inlineStr">
        <is>
          <t>StreamCat runoffws</t>
        </is>
      </c>
      <c r="O18" s="114" t="n"/>
      <c r="P18" s="112" t="inlineStr">
        <is>
          <t>Sediment continuity</t>
        </is>
      </c>
      <c r="Q18" s="82">
        <f>IF('Scenario'!$H$40="","",'Scenario'!$H$40)</f>
        <v/>
      </c>
      <c r="R18" s="113" t="inlineStr">
        <is>
          <t>D</t>
        </is>
      </c>
      <c r="S18" s="113" t="inlineStr">
        <is>
          <t>i</t>
        </is>
      </c>
      <c r="T18" s="113" t="inlineStr">
        <is>
          <t>i</t>
        </is>
      </c>
      <c r="V18" s="115" t="inlineStr">
        <is>
          <t>Rating</t>
        </is>
      </c>
      <c r="W18" s="61" t="n"/>
      <c r="X18" s="61" t="n"/>
      <c r="Y18" s="115" t="inlineStr">
        <is>
          <t>Score</t>
        </is>
      </c>
      <c r="Z18" s="61" t="n"/>
    </row>
    <row r="19" ht="15.75" customHeight="1">
      <c r="A19" s="85" t="n"/>
      <c r="B19" s="85" t="n"/>
      <c r="C19" s="61" t="n"/>
      <c r="D19" s="85" t="n"/>
      <c r="E19" s="61" t="n"/>
      <c r="F19" s="85" t="n"/>
      <c r="G19" s="61" t="n"/>
      <c r="H19" s="61" t="n"/>
      <c r="I19" s="86" t="inlineStr">
        <is>
          <t>Degree of regulation</t>
        </is>
      </c>
      <c r="J19" s="107">
        <f>IF('Metrics'!$B$42="","",'Metrics'!$B$42)</f>
        <v/>
      </c>
      <c r="K19" s="88" t="inlineStr">
        <is>
          <t>%</t>
        </is>
      </c>
      <c r="L19" s="88">
        <f>'Metrics'!$F$44</f>
        <v/>
      </c>
      <c r="M19" s="108" t="inlineStr">
        <is>
          <t>Computed from the entries above</t>
        </is>
      </c>
      <c r="O19" s="114" t="n"/>
      <c r="P19" s="112" t="inlineStr">
        <is>
          <t>Bed composition and large wood</t>
        </is>
      </c>
      <c r="Q19" s="82">
        <f>IF('Scenario'!$H$44="","",'Scenario'!$H$44)</f>
        <v/>
      </c>
      <c r="R19" s="113" t="inlineStr">
        <is>
          <t>D</t>
        </is>
      </c>
      <c r="S19" s="113" t="inlineStr">
        <is>
          <t>i</t>
        </is>
      </c>
      <c r="T19" s="113" t="inlineStr">
        <is>
          <t>i</t>
        </is>
      </c>
      <c r="V19" s="116" t="inlineStr">
        <is>
          <t>Good (Functioning)</t>
        </is>
      </c>
      <c r="W19" s="69" t="n"/>
      <c r="X19" s="61" t="n"/>
      <c r="Y19" s="117">
        <f>'Reference'!$C$102</f>
        <v/>
      </c>
      <c r="Z19" s="69" t="n"/>
    </row>
    <row r="20" ht="24" customHeight="1">
      <c r="A20" s="85" t="n"/>
      <c r="B20" s="85" t="n"/>
      <c r="C20" s="61" t="n"/>
      <c r="D20" s="68" t="n"/>
      <c r="E20" s="55" t="n"/>
      <c r="F20" s="68" t="n"/>
      <c r="G20" s="55" t="n"/>
      <c r="H20" s="55" t="n"/>
      <c r="I20" s="92" t="inlineStr">
        <is>
          <t>Override Score (Optional)</t>
        </is>
      </c>
      <c r="J20" s="93" t="n"/>
      <c r="K20" s="94" t="n"/>
      <c r="L20" s="94" t="n"/>
      <c r="M20" s="95" t="inlineStr">
        <is>
          <t>User-defined override</t>
        </is>
      </c>
      <c r="O20" s="118" t="inlineStr">
        <is>
          <t>Physicochemistry</t>
        </is>
      </c>
      <c r="P20" s="119" t="inlineStr">
        <is>
          <t>Light &amp; thermal regime</t>
        </is>
      </c>
      <c r="Q20" s="82">
        <f>IF('Scenario'!$H$46="","",'Scenario'!$H$46)</f>
        <v/>
      </c>
      <c r="R20" s="120" t="inlineStr"/>
      <c r="S20" s="120" t="inlineStr">
        <is>
          <t>D</t>
        </is>
      </c>
      <c r="T20" s="120" t="inlineStr">
        <is>
          <t>i</t>
        </is>
      </c>
      <c r="V20" s="121" t="inlineStr">
        <is>
          <t>Fair (Functioning At-Risk)</t>
        </is>
      </c>
      <c r="W20" s="96" t="n"/>
      <c r="X20" s="61" t="n"/>
      <c r="Y20" s="122">
        <f>'Reference'!$C$103</f>
        <v/>
      </c>
      <c r="Z20" s="96" t="n"/>
    </row>
    <row r="21" ht="31.5" customHeight="1">
      <c r="A21" s="85" t="n"/>
      <c r="B21" s="85" t="n"/>
      <c r="C21" s="61" t="n"/>
      <c r="D21" s="97" t="inlineStr">
        <is>
          <t>Hydraulics</t>
        </is>
      </c>
      <c r="E21" s="123">
        <f>COUNT('Scenario'!$H$21:$H$30)</f>
        <v/>
      </c>
      <c r="F21" s="97" t="inlineStr">
        <is>
          <t>Low flow and baseflow dynamics</t>
        </is>
      </c>
      <c r="G21" s="98">
        <f>'Metrics'!$F$59</f>
        <v/>
      </c>
      <c r="H21" s="99">
        <f>'Metrics'!$B$60</f>
        <v/>
      </c>
      <c r="I21" s="86" t="inlineStr">
        <is>
          <t>Monthly flow variability (CV of the twelve EROM monthly flows)</t>
        </is>
      </c>
      <c r="J21" s="87" t="n"/>
      <c r="K21" s="88" t="inlineStr">
        <is>
          <t>ratio</t>
        </is>
      </c>
      <c r="L21" s="88">
        <f>'Metrics'!$F$57</f>
        <v/>
      </c>
      <c r="M21" s="89" t="inlineStr">
        <is>
          <t>NHDPlus V2 EROM QE_01 to QE_12, or the helper below</t>
        </is>
      </c>
      <c r="O21" s="124" t="n"/>
      <c r="P21" s="119" t="inlineStr">
        <is>
          <t>Carbon processing</t>
        </is>
      </c>
      <c r="Q21" s="82">
        <f>IF('Scenario'!$H$49="","",'Scenario'!$H$49)</f>
        <v/>
      </c>
      <c r="R21" s="120" t="inlineStr"/>
      <c r="S21" s="120" t="inlineStr">
        <is>
          <t>D</t>
        </is>
      </c>
      <c r="T21" s="120" t="inlineStr">
        <is>
          <t>i</t>
        </is>
      </c>
      <c r="V21" s="125" t="inlineStr">
        <is>
          <t>Poor (Non-Functioning)</t>
        </is>
      </c>
      <c r="W21" s="110" t="n"/>
      <c r="X21" s="61" t="n"/>
      <c r="Y21" s="126">
        <f>'Reference'!$C$104</f>
        <v/>
      </c>
      <c r="Z21" s="110" t="n"/>
    </row>
    <row r="22" ht="24" customHeight="1">
      <c r="A22" s="85" t="n"/>
      <c r="B22" s="85" t="n"/>
      <c r="C22" s="61" t="n"/>
      <c r="D22" s="85" t="n"/>
      <c r="E22" s="61" t="n"/>
      <c r="F22" s="68" t="n"/>
      <c r="G22" s="55" t="n"/>
      <c r="H22" s="55" t="n"/>
      <c r="I22" s="92" t="inlineStr">
        <is>
          <t>Override Score (Optional)</t>
        </is>
      </c>
      <c r="J22" s="93" t="n"/>
      <c r="K22" s="94" t="n"/>
      <c r="L22" s="94" t="n"/>
      <c r="M22" s="95" t="inlineStr">
        <is>
          <t>User-defined override</t>
        </is>
      </c>
      <c r="O22" s="124" t="n"/>
      <c r="P22" s="119" t="inlineStr">
        <is>
          <t>Nutrient cycling</t>
        </is>
      </c>
      <c r="Q22" s="82">
        <f>IF('Scenario'!$H$55="","",'Scenario'!$H$55)</f>
        <v/>
      </c>
      <c r="R22" s="120" t="inlineStr">
        <is>
          <t>i</t>
        </is>
      </c>
      <c r="S22" s="120" t="inlineStr">
        <is>
          <t>D</t>
        </is>
      </c>
      <c r="T22" s="120" t="inlineStr">
        <is>
          <t>i</t>
        </is>
      </c>
      <c r="V22" s="127" t="inlineStr">
        <is>
          <t>Not rated (blank input)</t>
        </is>
      </c>
      <c r="W22" s="61" t="n"/>
      <c r="X22" s="61" t="n"/>
      <c r="Y22" s="127" t="inlineStr">
        <is>
          <t>excluded from the rollup</t>
        </is>
      </c>
      <c r="Z22" s="61" t="n"/>
    </row>
    <row r="23" ht="31.5" customHeight="1">
      <c r="A23" s="85" t="n"/>
      <c r="B23" s="85" t="n"/>
      <c r="C23" s="61" t="n"/>
      <c r="D23" s="85" t="n"/>
      <c r="E23" s="61" t="n"/>
      <c r="F23" s="97" t="inlineStr">
        <is>
          <t>High flow dynamics</t>
        </is>
      </c>
      <c r="G23" s="98">
        <f>'Metrics'!$F$69</f>
        <v/>
      </c>
      <c r="H23" s="99">
        <f>'Metrics'!$B$70</f>
        <v/>
      </c>
      <c r="I23" s="86" t="inlineStr">
        <is>
          <t>Bank-height ratio (reach median)</t>
        </is>
      </c>
      <c r="J23" s="87" t="n"/>
      <c r="K23" s="88" t="inlineStr">
        <is>
          <t>ratio</t>
        </is>
      </c>
      <c r="L23" s="88">
        <f>'Metrics'!$F$67</f>
        <v/>
      </c>
      <c r="M23" s="89" t="inlineStr">
        <is>
          <t>EASI report cross-section block or a field survey</t>
        </is>
      </c>
      <c r="O23" s="124" t="n"/>
      <c r="P23" s="119" t="inlineStr">
        <is>
          <t>Water &amp; soil quality</t>
        </is>
      </c>
      <c r="Q23" s="82">
        <f>IF('Scenario'!$H$60="","",'Scenario'!$H$60)</f>
        <v/>
      </c>
      <c r="R23" s="120" t="inlineStr">
        <is>
          <t>i</t>
        </is>
      </c>
      <c r="S23" s="120" t="inlineStr">
        <is>
          <t>D</t>
        </is>
      </c>
      <c r="T23" s="120" t="inlineStr">
        <is>
          <t>i</t>
        </is>
      </c>
    </row>
    <row r="24" ht="24" customHeight="1">
      <c r="A24" s="85" t="n"/>
      <c r="B24" s="85" t="n"/>
      <c r="C24" s="61" t="n"/>
      <c r="D24" s="85" t="n"/>
      <c r="E24" s="61" t="n"/>
      <c r="F24" s="68" t="n"/>
      <c r="G24" s="55" t="n"/>
      <c r="H24" s="55" t="n"/>
      <c r="I24" s="92" t="inlineStr">
        <is>
          <t>Override Score (Optional)</t>
        </is>
      </c>
      <c r="J24" s="93" t="n"/>
      <c r="K24" s="94" t="n"/>
      <c r="L24" s="94" t="n"/>
      <c r="M24" s="95" t="inlineStr">
        <is>
          <t>User-defined override</t>
        </is>
      </c>
      <c r="O24" s="128" t="inlineStr">
        <is>
          <t>Biology</t>
        </is>
      </c>
      <c r="P24" s="129" t="inlineStr">
        <is>
          <t>Habitat provision</t>
        </is>
      </c>
      <c r="Q24" s="82">
        <f>IF('Scenario'!$H$64="","",'Scenario'!$H$64)</f>
        <v/>
      </c>
      <c r="R24" s="130" t="inlineStr"/>
      <c r="S24" s="130" t="inlineStr"/>
      <c r="T24" s="130" t="inlineStr">
        <is>
          <t>D</t>
        </is>
      </c>
    </row>
    <row r="25" ht="31.5" customHeight="1">
      <c r="A25" s="85" t="n"/>
      <c r="B25" s="85" t="n"/>
      <c r="C25" s="61" t="n"/>
      <c r="D25" s="85" t="n"/>
      <c r="E25" s="61" t="n"/>
      <c r="F25" s="97" t="inlineStr">
        <is>
          <t>Floodplain connectivity</t>
        </is>
      </c>
      <c r="G25" s="98">
        <f>'Metrics'!$F$81</f>
        <v/>
      </c>
      <c r="H25" s="99">
        <f>'Metrics'!$B$82</f>
        <v/>
      </c>
      <c r="I25" s="100" t="inlineStr">
        <is>
          <t>Entrenchment ratio (reach median)</t>
        </is>
      </c>
      <c r="J25" s="101" t="n"/>
      <c r="K25" s="17" t="inlineStr">
        <is>
          <t>ratio</t>
        </is>
      </c>
      <c r="L25" s="17">
        <f>'Metrics'!$F$79</f>
        <v/>
      </c>
      <c r="M25" s="102" t="inlineStr">
        <is>
          <t>EASI report cross-section block or a field survey</t>
        </is>
      </c>
      <c r="O25" s="131" t="n"/>
      <c r="P25" s="129" t="inlineStr">
        <is>
          <t>Population support</t>
        </is>
      </c>
      <c r="Q25" s="82">
        <f>IF('Scenario'!$H$66="","",'Scenario'!$H$66)</f>
        <v/>
      </c>
      <c r="R25" s="130" t="inlineStr">
        <is>
          <t>i</t>
        </is>
      </c>
      <c r="S25" s="130" t="inlineStr">
        <is>
          <t>i</t>
        </is>
      </c>
      <c r="T25" s="130" t="inlineStr">
        <is>
          <t>D</t>
        </is>
      </c>
    </row>
    <row r="26" ht="15.75" customHeight="1">
      <c r="A26" s="85" t="n"/>
      <c r="B26" s="85" t="n"/>
      <c r="C26" s="61" t="n"/>
      <c r="D26" s="85" t="n"/>
      <c r="E26" s="61" t="n"/>
      <c r="F26" s="85" t="n"/>
      <c r="G26" s="61" t="n"/>
      <c r="H26" s="61" t="n"/>
      <c r="I26" s="86" t="inlineStr">
        <is>
          <t>Channel slope</t>
        </is>
      </c>
      <c r="J26" s="87" t="n"/>
      <c r="K26" s="88" t="inlineStr">
        <is>
          <t>m/m</t>
        </is>
      </c>
      <c r="L26" s="132" t="n"/>
      <c r="M26" s="89" t="inlineStr">
        <is>
          <t>NHDPlus V2 VAA slope</t>
        </is>
      </c>
      <c r="O26" s="131" t="n"/>
      <c r="P26" s="129" t="inlineStr">
        <is>
          <t>Community dynamics</t>
        </is>
      </c>
      <c r="Q26" s="82">
        <f>IF('Scenario'!$H$82="","",'Scenario'!$H$82)</f>
        <v/>
      </c>
      <c r="R26" s="130" t="inlineStr">
        <is>
          <t>i</t>
        </is>
      </c>
      <c r="S26" s="130" t="inlineStr">
        <is>
          <t>i</t>
        </is>
      </c>
      <c r="T26" s="130" t="inlineStr">
        <is>
          <t>D</t>
        </is>
      </c>
    </row>
    <row r="27" ht="24" customHeight="1">
      <c r="A27" s="85" t="n"/>
      <c r="B27" s="85" t="n"/>
      <c r="C27" s="61" t="n"/>
      <c r="D27" s="85" t="n"/>
      <c r="E27" s="61" t="n"/>
      <c r="F27" s="68" t="n"/>
      <c r="G27" s="55" t="n"/>
      <c r="H27" s="55" t="n"/>
      <c r="I27" s="92" t="inlineStr">
        <is>
          <t>Override Score (Optional)</t>
        </is>
      </c>
      <c r="J27" s="93" t="n"/>
      <c r="K27" s="94" t="n"/>
      <c r="L27" s="94" t="n"/>
      <c r="M27" s="95" t="inlineStr">
        <is>
          <t>User-defined override</t>
        </is>
      </c>
      <c r="O27" s="131" t="n"/>
      <c r="P27" s="129" t="inlineStr">
        <is>
          <t>Watershed connectivity</t>
        </is>
      </c>
      <c r="Q27" s="82">
        <f>IF('Scenario'!$H$84="","",'Scenario'!$H$84)</f>
        <v/>
      </c>
      <c r="R27" s="130" t="inlineStr">
        <is>
          <t>i</t>
        </is>
      </c>
      <c r="S27" s="130" t="inlineStr"/>
      <c r="T27" s="130" t="inlineStr">
        <is>
          <t>D</t>
        </is>
      </c>
    </row>
    <row r="28" ht="15.75" customHeight="1">
      <c r="A28" s="85" t="n"/>
      <c r="B28" s="85" t="n"/>
      <c r="C28" s="61" t="n"/>
      <c r="D28" s="85" t="n"/>
      <c r="E28" s="61" t="n"/>
      <c r="F28" s="97" t="inlineStr">
        <is>
          <t>Hyporheic connectivity</t>
        </is>
      </c>
      <c r="G28" s="98">
        <f>'Metrics'!$F$94</f>
        <v/>
      </c>
      <c r="H28" s="99">
        <f>'Metrics'!$B$95</f>
        <v/>
      </c>
      <c r="I28" s="100" t="inlineStr">
        <is>
          <t>Channel slope</t>
        </is>
      </c>
      <c r="J28" s="133">
        <f>IF('Scenario'!$J$26="","",'Scenario'!$J$26)</f>
        <v/>
      </c>
      <c r="K28" s="17" t="inlineStr">
        <is>
          <t>m/m</t>
        </is>
      </c>
      <c r="L28" s="17">
        <f>'Metrics'!$F$87</f>
        <v/>
      </c>
      <c r="M28" s="102" t="inlineStr">
        <is>
          <t>NHDPlus V2 VAA slope</t>
        </is>
      </c>
      <c r="O28" s="134" t="inlineStr">
        <is>
          <t>Sub-index Scores</t>
        </is>
      </c>
      <c r="P28" s="61" t="n"/>
      <c r="Q28" s="61" t="n"/>
      <c r="R28" s="135">
        <f>IF('Results'!$E$27="","",'Results'!$E$27)</f>
        <v/>
      </c>
      <c r="S28" s="135">
        <f>IF('Results'!$E$28="","",'Results'!$E$28)</f>
        <v/>
      </c>
      <c r="T28" s="135">
        <f>IF('Results'!$E$29="","",'Results'!$E$29)</f>
        <v/>
      </c>
    </row>
    <row r="29" ht="31.5" customHeight="1">
      <c r="A29" s="85" t="n"/>
      <c r="B29" s="85" t="n"/>
      <c r="C29" s="61" t="n"/>
      <c r="D29" s="85" t="n"/>
      <c r="E29" s="61" t="n"/>
      <c r="F29" s="85" t="n"/>
      <c r="G29" s="61" t="n"/>
      <c r="H29" s="61" t="n"/>
      <c r="I29" s="86" t="inlineStr">
        <is>
          <t>Reach sinuosity</t>
        </is>
      </c>
      <c r="J29" s="87" t="n"/>
      <c r="K29" s="88" t="inlineStr">
        <is>
          <t>ratio</t>
        </is>
      </c>
      <c r="L29" s="88">
        <f>'Metrics'!$F$88</f>
        <v/>
      </c>
      <c r="M29" s="89" t="inlineStr">
        <is>
          <t>Reach geometry (channel length over straight-line length)</t>
        </is>
      </c>
      <c r="O29" s="134" t="inlineStr">
        <is>
          <t>EASI Index</t>
        </is>
      </c>
      <c r="P29" s="61" t="n"/>
      <c r="Q29" s="61" t="n"/>
      <c r="R29" s="136">
        <f>IF('Results'!$E$30="","",'Results'!$E$30)</f>
        <v/>
      </c>
      <c r="S29" s="61" t="n"/>
      <c r="T29" s="61" t="n"/>
    </row>
    <row r="30" ht="24" customHeight="1">
      <c r="A30" s="85" t="n"/>
      <c r="B30" s="85" t="n"/>
      <c r="C30" s="61" t="n"/>
      <c r="D30" s="68" t="n"/>
      <c r="E30" s="55" t="n"/>
      <c r="F30" s="68" t="n"/>
      <c r="G30" s="55" t="n"/>
      <c r="H30" s="55" t="n"/>
      <c r="I30" s="92" t="inlineStr">
        <is>
          <t>Override Score (Optional)</t>
        </is>
      </c>
      <c r="J30" s="93" t="n"/>
      <c r="K30" s="94" t="n"/>
      <c r="L30" s="94" t="n"/>
      <c r="M30" s="95" t="inlineStr">
        <is>
          <t>User-defined override</t>
        </is>
      </c>
      <c r="O30" s="134" t="inlineStr">
        <is>
          <t>Functions rated</t>
        </is>
      </c>
      <c r="P30" s="61" t="n"/>
      <c r="Q30" s="61" t="n"/>
      <c r="R30" s="137">
        <f>'Results'!$B$33</f>
        <v/>
      </c>
      <c r="S30" s="61" t="n"/>
      <c r="T30" s="61" t="n"/>
    </row>
    <row r="31" ht="31.5" customHeight="1">
      <c r="A31" s="85" t="n"/>
      <c r="B31" s="85" t="n"/>
      <c r="C31" s="61" t="n"/>
      <c r="D31" s="97" t="inlineStr">
        <is>
          <t>Geomorphology</t>
        </is>
      </c>
      <c r="E31" s="123">
        <f>COUNT('Scenario'!$H$31:$H$45)</f>
        <v/>
      </c>
      <c r="F31" s="97" t="inlineStr">
        <is>
          <t>Channel evolution</t>
        </is>
      </c>
      <c r="G31" s="98">
        <f>'Metrics'!$F$108</f>
        <v/>
      </c>
      <c r="H31" s="99">
        <f>'Metrics'!$B$109</f>
        <v/>
      </c>
      <c r="I31" s="100" t="inlineStr">
        <is>
          <t>Bank-height ratio (reach median)</t>
        </is>
      </c>
      <c r="J31" s="133">
        <f>IF('Scenario'!$J$23="","",'Scenario'!$J$23)</f>
        <v/>
      </c>
      <c r="K31" s="17" t="inlineStr">
        <is>
          <t>ratio</t>
        </is>
      </c>
      <c r="L31" s="17">
        <f>'Metrics'!$F$100</f>
        <v/>
      </c>
      <c r="M31" s="102" t="inlineStr">
        <is>
          <t>EASI report cross-section block or a field survey</t>
        </is>
      </c>
      <c r="O31" s="134" t="inlineStr">
        <is>
          <t>Coverage</t>
        </is>
      </c>
      <c r="P31" s="61" t="n"/>
      <c r="Q31" s="61" t="n"/>
      <c r="R31" s="17">
        <f>'Results'!$B$37</f>
        <v/>
      </c>
      <c r="S31" s="61" t="n"/>
      <c r="T31" s="61" t="n"/>
    </row>
    <row r="32" ht="31.5" customHeight="1">
      <c r="A32" s="85" t="n"/>
      <c r="B32" s="85" t="n"/>
      <c r="C32" s="61" t="n"/>
      <c r="D32" s="85" t="n"/>
      <c r="E32" s="61" t="n"/>
      <c r="F32" s="85" t="n"/>
      <c r="G32" s="61" t="n"/>
      <c r="H32" s="61" t="n"/>
      <c r="I32" s="100" t="inlineStr">
        <is>
          <t>Entrenchment ratio (reach median)</t>
        </is>
      </c>
      <c r="J32" s="133">
        <f>IF('Scenario'!$J$25="","",'Scenario'!$J$25)</f>
        <v/>
      </c>
      <c r="K32" s="17" t="inlineStr">
        <is>
          <t>ratio</t>
        </is>
      </c>
      <c r="L32" s="17">
        <f>'Metrics'!$F$103</f>
        <v/>
      </c>
      <c r="M32" s="102" t="inlineStr">
        <is>
          <t>EASI report cross-section block or a field survey</t>
        </is>
      </c>
      <c r="O32" s="134" t="inlineStr">
        <is>
          <t>Provisional result</t>
        </is>
      </c>
      <c r="P32" s="61" t="n"/>
      <c r="Q32" s="61" t="n"/>
      <c r="R32" s="17">
        <f>IF('Results'!$B$36="yes","yes (coverage below 0.70)","no")</f>
        <v/>
      </c>
      <c r="S32" s="61" t="n"/>
      <c r="T32" s="61" t="n"/>
    </row>
    <row r="33" ht="15.75" customHeight="1">
      <c r="A33" s="85" t="n"/>
      <c r="B33" s="85" t="n"/>
      <c r="C33" s="61" t="n"/>
      <c r="D33" s="85" t="n"/>
      <c r="E33" s="61" t="n"/>
      <c r="F33" s="85" t="n"/>
      <c r="G33" s="61" t="n"/>
      <c r="H33" s="61" t="n"/>
      <c r="I33" s="100" t="inlineStr">
        <is>
          <t>Observed channel-evolution class (optional)</t>
        </is>
      </c>
      <c r="J33" s="101" t="n"/>
      <c r="K33" s="61" t="n"/>
      <c r="L33" s="61" t="n"/>
      <c r="M33" s="102" t="inlineStr">
        <is>
          <t>Field assessment or verified imagery</t>
        </is>
      </c>
    </row>
    <row r="34" ht="31.5" customHeight="1">
      <c r="A34" s="85" t="n"/>
      <c r="B34" s="85" t="n"/>
      <c r="C34" s="61" t="n"/>
      <c r="D34" s="85" t="n"/>
      <c r="E34" s="61" t="n"/>
      <c r="F34" s="85" t="n"/>
      <c r="G34" s="61" t="n"/>
      <c r="H34" s="61" t="n"/>
      <c r="I34" s="86" t="inlineStr">
        <is>
          <t>Observed channel-evolution indicators (note) (optional)</t>
        </is>
      </c>
      <c r="J34" s="87" t="n"/>
      <c r="K34" s="132" t="n"/>
      <c r="L34" s="132" t="n"/>
      <c r="M34" s="89" t="inlineStr">
        <is>
          <t>Field assessment or verified imagery</t>
        </is>
      </c>
    </row>
    <row r="35" ht="24" customHeight="1">
      <c r="A35" s="85" t="n"/>
      <c r="B35" s="85" t="n"/>
      <c r="C35" s="61" t="n"/>
      <c r="D35" s="85" t="n"/>
      <c r="E35" s="61" t="n"/>
      <c r="F35" s="68" t="n"/>
      <c r="G35" s="55" t="n"/>
      <c r="H35" s="55" t="n"/>
      <c r="I35" s="92" t="inlineStr">
        <is>
          <t>Override Score (Optional)</t>
        </is>
      </c>
      <c r="J35" s="93" t="n"/>
      <c r="K35" s="94" t="n"/>
      <c r="L35" s="94" t="n"/>
      <c r="M35" s="95" t="inlineStr">
        <is>
          <t>User-defined override</t>
        </is>
      </c>
    </row>
    <row r="36" ht="31.5" customHeight="1">
      <c r="A36" s="85" t="n"/>
      <c r="B36" s="85" t="n"/>
      <c r="C36" s="61" t="n"/>
      <c r="D36" s="85" t="n"/>
      <c r="E36" s="61" t="n"/>
      <c r="F36" s="97" t="inlineStr">
        <is>
          <t>Channel and floodplain dynamics</t>
        </is>
      </c>
      <c r="G36" s="98">
        <f>'Metrics'!$F$120</f>
        <v/>
      </c>
      <c r="H36" s="99">
        <f>'Metrics'!$B$121</f>
        <v/>
      </c>
      <c r="I36" s="100" t="inlineStr">
        <is>
          <t>Bank-height ratio (reach median)</t>
        </is>
      </c>
      <c r="J36" s="133">
        <f>IF('Scenario'!$J$23="","",'Scenario'!$J$23)</f>
        <v/>
      </c>
      <c r="K36" s="17" t="inlineStr">
        <is>
          <t>ratio</t>
        </is>
      </c>
      <c r="L36" s="61" t="n"/>
      <c r="M36" s="102" t="inlineStr">
        <is>
          <t>EASI report cross-section block or a field survey</t>
        </is>
      </c>
    </row>
    <row r="37" ht="15.75" customHeight="1">
      <c r="A37" s="85" t="n"/>
      <c r="B37" s="85" t="n"/>
      <c r="C37" s="61" t="n"/>
      <c r="D37" s="85" t="n"/>
      <c r="E37" s="61" t="n"/>
      <c r="F37" s="85" t="n"/>
      <c r="G37" s="61" t="n"/>
      <c r="H37" s="61" t="n"/>
      <c r="I37" s="100" t="inlineStr">
        <is>
          <t>Observed eroding bank (optional)</t>
        </is>
      </c>
      <c r="J37" s="101" t="n"/>
      <c r="K37" s="17" t="inlineStr">
        <is>
          <t>%</t>
        </is>
      </c>
      <c r="L37" s="17">
        <f>'Metrics'!$F$115</f>
        <v/>
      </c>
      <c r="M37" s="102" t="inlineStr">
        <is>
          <t>Field assessment or verified imagery</t>
        </is>
      </c>
    </row>
    <row r="38" ht="15.75" customHeight="1">
      <c r="A38" s="85" t="n"/>
      <c r="B38" s="85" t="n"/>
      <c r="C38" s="61" t="n"/>
      <c r="D38" s="85" t="n"/>
      <c r="E38" s="61" t="n"/>
      <c r="F38" s="85" t="n"/>
      <c r="G38" s="61" t="n"/>
      <c r="H38" s="61" t="n"/>
      <c r="I38" s="86" t="inlineStr">
        <is>
          <t>Observed armored bank (optional)</t>
        </is>
      </c>
      <c r="J38" s="87" t="n"/>
      <c r="K38" s="88" t="inlineStr">
        <is>
          <t>%</t>
        </is>
      </c>
      <c r="L38" s="88">
        <f>'Metrics'!$F$116</f>
        <v/>
      </c>
      <c r="M38" s="89" t="inlineStr">
        <is>
          <t>Field assessment or verified imagery</t>
        </is>
      </c>
    </row>
    <row r="39" ht="24" customHeight="1">
      <c r="A39" s="85" t="n"/>
      <c r="B39" s="85" t="n"/>
      <c r="C39" s="61" t="n"/>
      <c r="D39" s="85" t="n"/>
      <c r="E39" s="61" t="n"/>
      <c r="F39" s="68" t="n"/>
      <c r="G39" s="55" t="n"/>
      <c r="H39" s="55" t="n"/>
      <c r="I39" s="92" t="inlineStr">
        <is>
          <t>Override Score (Optional)</t>
        </is>
      </c>
      <c r="J39" s="93" t="n"/>
      <c r="K39" s="94" t="n"/>
      <c r="L39" s="94" t="n"/>
      <c r="M39" s="95" t="inlineStr">
        <is>
          <t>User-defined override</t>
        </is>
      </c>
    </row>
    <row r="40" ht="31.5" customHeight="1">
      <c r="A40" s="85" t="n"/>
      <c r="B40" s="85" t="n"/>
      <c r="C40" s="61" t="n"/>
      <c r="D40" s="85" t="n"/>
      <c r="E40" s="61" t="n"/>
      <c r="F40" s="97" t="inlineStr">
        <is>
          <t>Sediment continuity</t>
        </is>
      </c>
      <c r="G40" s="98">
        <f>'Metrics'!$F$134</f>
        <v/>
      </c>
      <c r="H40" s="99">
        <f>'Metrics'!$B$135</f>
        <v/>
      </c>
      <c r="I40" s="100" t="inlineStr">
        <is>
          <t>Agricultural cover of the watershed (crop, hay and pasture)</t>
        </is>
      </c>
      <c r="J40" s="133">
        <f>IF('Scenario'!$J$9="","",'Scenario'!$J$9)</f>
        <v/>
      </c>
      <c r="K40" s="17" t="inlineStr">
        <is>
          <t>%</t>
        </is>
      </c>
      <c r="L40" s="17">
        <f>'Metrics'!$F$126</f>
        <v/>
      </c>
      <c r="M40" s="102" t="inlineStr">
        <is>
          <t>StreamCat pctcrop2019ws + pcthay2019ws</t>
        </is>
      </c>
    </row>
    <row r="41" ht="15.75" customHeight="1">
      <c r="A41" s="85" t="n"/>
      <c r="B41" s="85" t="n"/>
      <c r="C41" s="61" t="n"/>
      <c r="D41" s="85" t="n"/>
      <c r="E41" s="61" t="n"/>
      <c r="F41" s="85" t="n"/>
      <c r="G41" s="61" t="n"/>
      <c r="H41" s="61" t="n"/>
      <c r="I41" s="100" t="inlineStr">
        <is>
          <t>Soil erodibility (K factor) of the watershed</t>
        </is>
      </c>
      <c r="J41" s="101" t="n"/>
      <c r="K41" s="17" t="inlineStr"/>
      <c r="L41" s="17">
        <f>'Metrics'!$F$127</f>
        <v/>
      </c>
      <c r="M41" s="102" t="inlineStr">
        <is>
          <t>StreamCat kffactws</t>
        </is>
      </c>
    </row>
    <row r="42" ht="15.75" customHeight="1">
      <c r="A42" s="85" t="n"/>
      <c r="B42" s="85" t="n"/>
      <c r="C42" s="61" t="n"/>
      <c r="D42" s="85" t="n"/>
      <c r="E42" s="61" t="n"/>
      <c r="F42" s="85" t="n"/>
      <c r="G42" s="61" t="n"/>
      <c r="H42" s="61" t="n"/>
      <c r="I42" s="86" t="inlineStr">
        <is>
          <t>Road density of the watershed</t>
        </is>
      </c>
      <c r="J42" s="138">
        <f>IF('Scenario'!$J$15="","",'Scenario'!$J$15)</f>
        <v/>
      </c>
      <c r="K42" s="88" t="inlineStr">
        <is>
          <t>km/km2</t>
        </is>
      </c>
      <c r="L42" s="88">
        <f>'Metrics'!$F$128</f>
        <v/>
      </c>
      <c r="M42" s="89" t="inlineStr">
        <is>
          <t>StreamCat rddensws</t>
        </is>
      </c>
    </row>
    <row r="43" ht="24" customHeight="1">
      <c r="A43" s="85" t="n"/>
      <c r="B43" s="85" t="n"/>
      <c r="C43" s="61" t="n"/>
      <c r="D43" s="85" t="n"/>
      <c r="E43" s="61" t="n"/>
      <c r="F43" s="68" t="n"/>
      <c r="G43" s="55" t="n"/>
      <c r="H43" s="55" t="n"/>
      <c r="I43" s="92" t="inlineStr">
        <is>
          <t>Override Score (Optional)</t>
        </is>
      </c>
      <c r="J43" s="93" t="n"/>
      <c r="K43" s="94" t="n"/>
      <c r="L43" s="94" t="n"/>
      <c r="M43" s="95" t="inlineStr">
        <is>
          <t>User-defined override</t>
        </is>
      </c>
    </row>
    <row r="44" ht="31.5" customHeight="1">
      <c r="A44" s="85" t="n"/>
      <c r="B44" s="85" t="n"/>
      <c r="C44" s="61" t="n"/>
      <c r="D44" s="85" t="n"/>
      <c r="E44" s="61" t="n"/>
      <c r="F44" s="97" t="inlineStr">
        <is>
          <t>Bed composition and large wood</t>
        </is>
      </c>
      <c r="G44" s="98">
        <f>'Metrics'!$F$144</f>
        <v/>
      </c>
      <c r="H44" s="99">
        <f>'Metrics'!$B$145</f>
        <v/>
      </c>
      <c r="I44" s="86" t="inlineStr">
        <is>
          <t>Agricultural cover of the watershed (crop, hay and pasture)</t>
        </is>
      </c>
      <c r="J44" s="138">
        <f>IF('Scenario'!$J$9="","",'Scenario'!$J$9)</f>
        <v/>
      </c>
      <c r="K44" s="88" t="inlineStr">
        <is>
          <t>%</t>
        </is>
      </c>
      <c r="L44" s="88">
        <f>'Metrics'!$F$142</f>
        <v/>
      </c>
      <c r="M44" s="89" t="inlineStr">
        <is>
          <t>StreamCat pctcrop2019ws + pcthay2019ws</t>
        </is>
      </c>
    </row>
    <row r="45" ht="24" customHeight="1">
      <c r="A45" s="68" t="n"/>
      <c r="B45" s="68" t="n"/>
      <c r="C45" s="55" t="n"/>
      <c r="D45" s="68" t="n"/>
      <c r="E45" s="55" t="n"/>
      <c r="F45" s="68" t="n"/>
      <c r="G45" s="55" t="n"/>
      <c r="H45" s="55" t="n"/>
      <c r="I45" s="92" t="inlineStr">
        <is>
          <t>Override Score (Optional)</t>
        </is>
      </c>
      <c r="J45" s="93" t="n"/>
      <c r="K45" s="94" t="n"/>
      <c r="L45" s="94" t="n"/>
      <c r="M45" s="95" t="inlineStr">
        <is>
          <t>User-defined override</t>
        </is>
      </c>
    </row>
    <row r="46" ht="31.5" customHeight="1">
      <c r="A46" s="85" t="n"/>
      <c r="B46" s="139" t="inlineStr">
        <is>
          <t>Chemical</t>
        </is>
      </c>
      <c r="C46" s="140">
        <f>IF('Results'!$E$28="","",'Results'!$E$28)</f>
        <v/>
      </c>
      <c r="D46" s="139" t="inlineStr">
        <is>
          <t>Physicochemistry</t>
        </is>
      </c>
      <c r="E46" s="123">
        <f>COUNT('Scenario'!$H$46:$H$63)</f>
        <v/>
      </c>
      <c r="F46" s="139" t="inlineStr">
        <is>
          <t>Light &amp; thermal regime</t>
        </is>
      </c>
      <c r="G46" s="98">
        <f>'Metrics'!$F$159</f>
        <v/>
      </c>
      <c r="H46" s="99">
        <f>'Metrics'!$B$160</f>
        <v/>
      </c>
      <c r="I46" s="141" t="inlineStr">
        <is>
          <t>Woody riparian cover in the 100 m corridor</t>
        </is>
      </c>
      <c r="J46" s="101" t="n"/>
      <c r="K46" s="17" t="inlineStr">
        <is>
          <t>%</t>
        </is>
      </c>
      <c r="L46" s="17">
        <f>'Metrics'!$F$152</f>
        <v/>
      </c>
      <c r="M46" s="102" t="inlineStr">
        <is>
          <t>StreamCat forest + shrub + woody wetland at wsrp100</t>
        </is>
      </c>
    </row>
    <row r="47" ht="15.75" customHeight="1">
      <c r="A47" s="85" t="n"/>
      <c r="B47" s="85" t="n"/>
      <c r="C47" s="61" t="n"/>
      <c r="D47" s="85" t="n"/>
      <c r="E47" s="61" t="n"/>
      <c r="F47" s="85" t="n"/>
      <c r="G47" s="61" t="n"/>
      <c r="H47" s="61" t="n"/>
      <c r="I47" s="142" t="inlineStr">
        <is>
          <t>Impervious cover of the watershed</t>
        </is>
      </c>
      <c r="J47" s="138">
        <f>IF('Scenario'!$J$8="","",'Scenario'!$J$8)</f>
        <v/>
      </c>
      <c r="K47" s="88" t="inlineStr">
        <is>
          <t>%</t>
        </is>
      </c>
      <c r="L47" s="88">
        <f>'Metrics'!$F$153</f>
        <v/>
      </c>
      <c r="M47" s="89" t="inlineStr">
        <is>
          <t>StreamCat pctimp2019ws</t>
        </is>
      </c>
    </row>
    <row r="48" ht="24" customHeight="1">
      <c r="A48" s="85" t="n"/>
      <c r="B48" s="85" t="n"/>
      <c r="C48" s="61" t="n"/>
      <c r="D48" s="85" t="n"/>
      <c r="E48" s="61" t="n"/>
      <c r="F48" s="68" t="n"/>
      <c r="G48" s="55" t="n"/>
      <c r="H48" s="55" t="n"/>
      <c r="I48" s="92" t="inlineStr">
        <is>
          <t>Override Score (Optional)</t>
        </is>
      </c>
      <c r="J48" s="93" t="n"/>
      <c r="K48" s="94" t="n"/>
      <c r="L48" s="94" t="n"/>
      <c r="M48" s="95" t="inlineStr">
        <is>
          <t>User-defined override</t>
        </is>
      </c>
    </row>
    <row r="49" ht="31.5" customHeight="1">
      <c r="A49" s="85" t="n"/>
      <c r="B49" s="85" t="n"/>
      <c r="C49" s="61" t="n"/>
      <c r="D49" s="85" t="n"/>
      <c r="E49" s="61" t="n"/>
      <c r="F49" s="139" t="inlineStr">
        <is>
          <t>Carbon processing</t>
        </is>
      </c>
      <c r="G49" s="98">
        <f>'Metrics'!$F$175</f>
        <v/>
      </c>
      <c r="H49" s="99">
        <f>'Metrics'!$B$176</f>
        <v/>
      </c>
      <c r="I49" s="141" t="inlineStr">
        <is>
          <t>Forest cover in the 100 m corridor</t>
        </is>
      </c>
      <c r="J49" s="101" t="n"/>
      <c r="K49" s="17" t="inlineStr">
        <is>
          <t>%</t>
        </is>
      </c>
      <c r="L49" s="61" t="n"/>
      <c r="M49" s="102" t="inlineStr">
        <is>
          <t>StreamCat pctconif + pctdecid + pctmxfst at wsrp100</t>
        </is>
      </c>
    </row>
    <row r="50" ht="15.75" customHeight="1">
      <c r="A50" s="85" t="n"/>
      <c r="B50" s="85" t="n"/>
      <c r="C50" s="61" t="n"/>
      <c r="D50" s="85" t="n"/>
      <c r="E50" s="61" t="n"/>
      <c r="F50" s="85" t="n"/>
      <c r="G50" s="61" t="n"/>
      <c r="H50" s="61" t="n"/>
      <c r="I50" s="141" t="inlineStr">
        <is>
          <t>Shrub cover in the 100 m corridor</t>
        </is>
      </c>
      <c r="J50" s="101" t="n"/>
      <c r="K50" s="17" t="inlineStr">
        <is>
          <t>%</t>
        </is>
      </c>
      <c r="L50" s="61" t="n"/>
      <c r="M50" s="102" t="inlineStr">
        <is>
          <t>StreamCat pctshrb2019wsrp100</t>
        </is>
      </c>
    </row>
    <row r="51" ht="15.75" customHeight="1">
      <c r="A51" s="85" t="n"/>
      <c r="B51" s="85" t="n"/>
      <c r="C51" s="61" t="n"/>
      <c r="D51" s="85" t="n"/>
      <c r="E51" s="61" t="n"/>
      <c r="F51" s="85" t="n"/>
      <c r="G51" s="61" t="n"/>
      <c r="H51" s="61" t="n"/>
      <c r="I51" s="141" t="inlineStr">
        <is>
          <t>Grassland cover in the 100 m corridor</t>
        </is>
      </c>
      <c r="J51" s="101" t="n"/>
      <c r="K51" s="17" t="inlineStr">
        <is>
          <t>%</t>
        </is>
      </c>
      <c r="L51" s="61" t="n"/>
      <c r="M51" s="102" t="inlineStr">
        <is>
          <t>StreamCat pctgrs2019wsrp100</t>
        </is>
      </c>
    </row>
    <row r="52" ht="31.5" customHeight="1">
      <c r="A52" s="85" t="n"/>
      <c r="B52" s="85" t="n"/>
      <c r="C52" s="61" t="n"/>
      <c r="D52" s="85" t="n"/>
      <c r="E52" s="61" t="n"/>
      <c r="F52" s="85" t="n"/>
      <c r="G52" s="61" t="n"/>
      <c r="H52" s="61" t="n"/>
      <c r="I52" s="141" t="inlineStr">
        <is>
          <t>Wetland cover in the 100 m corridor (woody and herbaceous)</t>
        </is>
      </c>
      <c r="J52" s="101" t="n"/>
      <c r="K52" s="17" t="inlineStr">
        <is>
          <t>%</t>
        </is>
      </c>
      <c r="L52" s="61" t="n"/>
      <c r="M52" s="102" t="inlineStr">
        <is>
          <t>StreamCat pctwdwet + pcthbwet at wsrp100</t>
        </is>
      </c>
    </row>
    <row r="53" ht="15.75" customHeight="1">
      <c r="A53" s="85" t="n"/>
      <c r="B53" s="85" t="n"/>
      <c r="C53" s="61" t="n"/>
      <c r="D53" s="85" t="n"/>
      <c r="E53" s="61" t="n"/>
      <c r="F53" s="85" t="n"/>
      <c r="G53" s="61" t="n"/>
      <c r="H53" s="61" t="n"/>
      <c r="I53" s="142" t="inlineStr">
        <is>
          <t>Natural corridor cover (sum, capped at 100)</t>
        </is>
      </c>
      <c r="J53" s="107">
        <f>IF('Metrics'!$B$169="","",'Metrics'!$B$169)</f>
        <v/>
      </c>
      <c r="K53" s="88" t="inlineStr">
        <is>
          <t>%</t>
        </is>
      </c>
      <c r="L53" s="88">
        <f>'Metrics'!$F$173</f>
        <v/>
      </c>
      <c r="M53" s="108" t="inlineStr">
        <is>
          <t>Computed from the entries above</t>
        </is>
      </c>
    </row>
    <row r="54" ht="24" customHeight="1">
      <c r="A54" s="85" t="n"/>
      <c r="B54" s="85" t="n"/>
      <c r="C54" s="61" t="n"/>
      <c r="D54" s="85" t="n"/>
      <c r="E54" s="61" t="n"/>
      <c r="F54" s="68" t="n"/>
      <c r="G54" s="55" t="n"/>
      <c r="H54" s="55" t="n"/>
      <c r="I54" s="92" t="inlineStr">
        <is>
          <t>Override Score (Optional)</t>
        </is>
      </c>
      <c r="J54" s="93" t="n"/>
      <c r="K54" s="94" t="n"/>
      <c r="L54" s="94" t="n"/>
      <c r="M54" s="95" t="inlineStr">
        <is>
          <t>User-defined override</t>
        </is>
      </c>
    </row>
    <row r="55" ht="31.5" customHeight="1">
      <c r="A55" s="85" t="n"/>
      <c r="B55" s="85" t="n"/>
      <c r="C55" s="61" t="n"/>
      <c r="D55" s="85" t="n"/>
      <c r="E55" s="61" t="n"/>
      <c r="F55" s="139" t="inlineStr">
        <is>
          <t>Nutrient cycling</t>
        </is>
      </c>
      <c r="G55" s="98">
        <f>'Metrics'!$F$187</f>
        <v/>
      </c>
      <c r="H55" s="99">
        <f>'Metrics'!$B$188</f>
        <v/>
      </c>
      <c r="I55" s="141" t="inlineStr">
        <is>
          <t>Total nitrogen (median of station medians)</t>
        </is>
      </c>
      <c r="J55" s="101" t="n"/>
      <c r="K55" s="17" t="inlineStr">
        <is>
          <t>mg/L</t>
        </is>
      </c>
      <c r="L55" s="17">
        <f>'Metrics'!$F$181</f>
        <v/>
      </c>
      <c r="M55" s="102" t="inlineStr">
        <is>
          <t>WQP total-fraction observations within 5 miles and 10 years</t>
        </is>
      </c>
    </row>
    <row r="56" ht="31.5" customHeight="1">
      <c r="A56" s="85" t="n"/>
      <c r="B56" s="85" t="n"/>
      <c r="C56" s="61" t="n"/>
      <c r="D56" s="85" t="n"/>
      <c r="E56" s="61" t="n"/>
      <c r="F56" s="85" t="n"/>
      <c r="G56" s="61" t="n"/>
      <c r="H56" s="61" t="n"/>
      <c r="I56" s="141" t="inlineStr">
        <is>
          <t>Total phosphorus (median of station medians)</t>
        </is>
      </c>
      <c r="J56" s="101" t="n"/>
      <c r="K56" s="17" t="inlineStr">
        <is>
          <t>mg/L</t>
        </is>
      </c>
      <c r="L56" s="17">
        <f>'Metrics'!$F$182</f>
        <v/>
      </c>
      <c r="M56" s="102" t="inlineStr">
        <is>
          <t>WQP total-fraction observations within 5 miles and 10 years</t>
        </is>
      </c>
    </row>
    <row r="57" ht="15.75" customHeight="1">
      <c r="A57" s="85" t="n"/>
      <c r="B57" s="85" t="n"/>
      <c r="C57" s="61" t="n"/>
      <c r="D57" s="85" t="n"/>
      <c r="E57" s="61" t="n"/>
      <c r="F57" s="85" t="n"/>
      <c r="G57" s="61" t="n"/>
      <c r="H57" s="61" t="n"/>
      <c r="I57" s="141" t="inlineStr">
        <is>
          <t>CHEM integrity index, catchment</t>
        </is>
      </c>
      <c r="J57" s="101" t="n"/>
      <c r="K57" s="17" t="inlineStr">
        <is>
          <t>index</t>
        </is>
      </c>
      <c r="L57" s="61" t="n"/>
      <c r="M57" s="102" t="inlineStr">
        <is>
          <t>StreamCat chemcat</t>
        </is>
      </c>
    </row>
    <row r="58" ht="15.75" customHeight="1">
      <c r="A58" s="85" t="n"/>
      <c r="B58" s="85" t="n"/>
      <c r="C58" s="61" t="n"/>
      <c r="D58" s="85" t="n"/>
      <c r="E58" s="61" t="n"/>
      <c r="F58" s="85" t="n"/>
      <c r="G58" s="61" t="n"/>
      <c r="H58" s="61" t="n"/>
      <c r="I58" s="142" t="inlineStr">
        <is>
          <t>CHEM integrity index, watershed</t>
        </is>
      </c>
      <c r="J58" s="87" t="n"/>
      <c r="K58" s="88" t="inlineStr">
        <is>
          <t>index</t>
        </is>
      </c>
      <c r="L58" s="132" t="n"/>
      <c r="M58" s="89" t="inlineStr">
        <is>
          <t>StreamCat chemws</t>
        </is>
      </c>
    </row>
    <row r="59" ht="24" customHeight="1">
      <c r="A59" s="85" t="n"/>
      <c r="B59" s="85" t="n"/>
      <c r="C59" s="61" t="n"/>
      <c r="D59" s="85" t="n"/>
      <c r="E59" s="61" t="n"/>
      <c r="F59" s="68" t="n"/>
      <c r="G59" s="55" t="n"/>
      <c r="H59" s="55" t="n"/>
      <c r="I59" s="92" t="inlineStr">
        <is>
          <t>Override Score (Optional)</t>
        </is>
      </c>
      <c r="J59" s="93" t="n"/>
      <c r="K59" s="94" t="n"/>
      <c r="L59" s="94" t="n"/>
      <c r="M59" s="95" t="inlineStr">
        <is>
          <t>User-defined override</t>
        </is>
      </c>
    </row>
    <row r="60" ht="31.5" customHeight="1">
      <c r="A60" s="85" t="n"/>
      <c r="B60" s="85" t="n"/>
      <c r="C60" s="61" t="n"/>
      <c r="D60" s="85" t="n"/>
      <c r="E60" s="61" t="n"/>
      <c r="F60" s="139" t="inlineStr">
        <is>
          <t>Water &amp; soil quality</t>
        </is>
      </c>
      <c r="G60" s="98">
        <f>'Metrics'!$F$198</f>
        <v/>
      </c>
      <c r="H60" s="99">
        <f>'Metrics'!$B$199</f>
        <v/>
      </c>
      <c r="I60" s="141" t="inlineStr">
        <is>
          <t>ATTAINS integrated-report category</t>
        </is>
      </c>
      <c r="J60" s="101" t="n"/>
      <c r="K60" s="17" t="inlineStr"/>
      <c r="L60" s="17">
        <f>'Metrics'!$F$193</f>
        <v/>
      </c>
      <c r="M60" s="102" t="inlineStr">
        <is>
          <t>EPA ATTAINS (at the reach or within 2 km)</t>
        </is>
      </c>
    </row>
    <row r="61" ht="15.75" customHeight="1">
      <c r="A61" s="85" t="n"/>
      <c r="B61" s="85" t="n"/>
      <c r="C61" s="61" t="n"/>
      <c r="D61" s="85" t="n"/>
      <c r="E61" s="61" t="n"/>
      <c r="F61" s="85" t="n"/>
      <c r="G61" s="61" t="n"/>
      <c r="H61" s="61" t="n"/>
      <c r="I61" s="141" t="inlineStr">
        <is>
          <t>CHEM integrity index, catchment</t>
        </is>
      </c>
      <c r="J61" s="133">
        <f>IF('Scenario'!$J$57="","",'Scenario'!$J$57)</f>
        <v/>
      </c>
      <c r="K61" s="17" t="inlineStr">
        <is>
          <t>index</t>
        </is>
      </c>
      <c r="L61" s="61" t="n"/>
      <c r="M61" s="102" t="inlineStr">
        <is>
          <t>StreamCat chemcat</t>
        </is>
      </c>
    </row>
    <row r="62" ht="15.75" customHeight="1">
      <c r="A62" s="85" t="n"/>
      <c r="B62" s="85" t="n"/>
      <c r="C62" s="61" t="n"/>
      <c r="D62" s="85" t="n"/>
      <c r="E62" s="61" t="n"/>
      <c r="F62" s="85" t="n"/>
      <c r="G62" s="61" t="n"/>
      <c r="H62" s="61" t="n"/>
      <c r="I62" s="142" t="inlineStr">
        <is>
          <t>CHEM integrity index, watershed</t>
        </is>
      </c>
      <c r="J62" s="138">
        <f>IF('Scenario'!$J$58="","",'Scenario'!$J$58)</f>
        <v/>
      </c>
      <c r="K62" s="88" t="inlineStr">
        <is>
          <t>index</t>
        </is>
      </c>
      <c r="L62" s="132" t="n"/>
      <c r="M62" s="89" t="inlineStr">
        <is>
          <t>StreamCat chemws</t>
        </is>
      </c>
    </row>
    <row r="63" ht="24" customHeight="1">
      <c r="A63" s="68" t="n"/>
      <c r="B63" s="68" t="n"/>
      <c r="C63" s="55" t="n"/>
      <c r="D63" s="68" t="n"/>
      <c r="E63" s="55" t="n"/>
      <c r="F63" s="68" t="n"/>
      <c r="G63" s="55" t="n"/>
      <c r="H63" s="55" t="n"/>
      <c r="I63" s="92" t="inlineStr">
        <is>
          <t>Override Score (Optional)</t>
        </is>
      </c>
      <c r="J63" s="93" t="n"/>
      <c r="K63" s="94" t="n"/>
      <c r="L63" s="94" t="n"/>
      <c r="M63" s="95" t="inlineStr">
        <is>
          <t>User-defined override</t>
        </is>
      </c>
    </row>
    <row r="64" ht="31.5" customHeight="1">
      <c r="A64" s="85" t="n"/>
      <c r="B64" s="143" t="inlineStr">
        <is>
          <t>Biological</t>
        </is>
      </c>
      <c r="C64" s="140">
        <f>IF('Results'!$E$29="","",'Results'!$E$29)</f>
        <v/>
      </c>
      <c r="D64" s="143" t="inlineStr">
        <is>
          <t>Biology</t>
        </is>
      </c>
      <c r="E64" s="123">
        <f>COUNT('Scenario'!$H$64:$H$85)</f>
        <v/>
      </c>
      <c r="F64" s="143" t="inlineStr">
        <is>
          <t>Habitat provision</t>
        </is>
      </c>
      <c r="G64" s="98">
        <f>'Metrics'!$F$211</f>
        <v/>
      </c>
      <c r="H64" s="99">
        <f>'Metrics'!$B$212</f>
        <v/>
      </c>
      <c r="I64" s="144" t="inlineStr">
        <is>
          <t>Woody riparian cover in the 100 m corridor</t>
        </is>
      </c>
      <c r="J64" s="138">
        <f>IF('Scenario'!$J$46="","",'Scenario'!$J$46)</f>
        <v/>
      </c>
      <c r="K64" s="88" t="inlineStr">
        <is>
          <t>%</t>
        </is>
      </c>
      <c r="L64" s="88">
        <f>'Metrics'!$F$209</f>
        <v/>
      </c>
      <c r="M64" s="89" t="inlineStr">
        <is>
          <t>StreamCat forest + shrub + woody wetland at wsrp100</t>
        </is>
      </c>
    </row>
    <row r="65" ht="24" customHeight="1">
      <c r="A65" s="85" t="n"/>
      <c r="B65" s="85" t="n"/>
      <c r="C65" s="61" t="n"/>
      <c r="D65" s="85" t="n"/>
      <c r="E65" s="61" t="n"/>
      <c r="F65" s="68" t="n"/>
      <c r="G65" s="55" t="n"/>
      <c r="H65" s="55" t="n"/>
      <c r="I65" s="92" t="inlineStr">
        <is>
          <t>Override Score (Optional)</t>
        </is>
      </c>
      <c r="J65" s="93" t="n"/>
      <c r="K65" s="94" t="n"/>
      <c r="L65" s="94" t="n"/>
      <c r="M65" s="95" t="inlineStr">
        <is>
          <t>User-defined override</t>
        </is>
      </c>
    </row>
    <row r="66" ht="31.5" customHeight="1">
      <c r="A66" s="85" t="n"/>
      <c r="B66" s="85" t="n"/>
      <c r="C66" s="61" t="n"/>
      <c r="D66" s="85" t="n"/>
      <c r="E66" s="61" t="n"/>
      <c r="F66" s="143" t="inlineStr">
        <is>
          <t>Population support</t>
        </is>
      </c>
      <c r="G66" s="98">
        <f>'Metrics'!$F$224</f>
        <v/>
      </c>
      <c r="H66" s="99">
        <f>'Metrics'!$B$225</f>
        <v/>
      </c>
      <c r="I66" s="145" t="inlineStr">
        <is>
          <t>Predicted probability of Good benthic condition</t>
        </is>
      </c>
      <c r="J66" s="101" t="n"/>
      <c r="K66" s="17" t="inlineStr">
        <is>
          <t>probability</t>
        </is>
      </c>
      <c r="L66" s="17">
        <f>'Metrics'!$F$217</f>
        <v/>
      </c>
      <c r="M66" s="102" t="inlineStr">
        <is>
          <t>StreamCat prg_bmmi0809</t>
        </is>
      </c>
    </row>
    <row r="67" ht="15.75" customHeight="1">
      <c r="A67" s="85" t="n"/>
      <c r="B67" s="85" t="n"/>
      <c r="C67" s="61" t="n"/>
      <c r="D67" s="85" t="n"/>
      <c r="E67" s="61" t="n"/>
      <c r="F67" s="85" t="n"/>
      <c r="G67" s="61" t="n"/>
      <c r="H67" s="61" t="n"/>
      <c r="I67" s="145" t="inlineStr">
        <is>
          <t>HYD integrity index, catchment</t>
        </is>
      </c>
      <c r="J67" s="101" t="n"/>
      <c r="K67" s="17" t="inlineStr">
        <is>
          <t>index</t>
        </is>
      </c>
      <c r="L67" s="61" t="n"/>
      <c r="M67" s="102" t="inlineStr">
        <is>
          <t>StreamCat hydcat</t>
        </is>
      </c>
    </row>
    <row r="68" ht="15.75" customHeight="1">
      <c r="A68" s="85" t="n"/>
      <c r="B68" s="85" t="n"/>
      <c r="C68" s="61" t="n"/>
      <c r="D68" s="85" t="n"/>
      <c r="E68" s="61" t="n"/>
      <c r="F68" s="85" t="n"/>
      <c r="G68" s="61" t="n"/>
      <c r="H68" s="61" t="n"/>
      <c r="I68" s="145" t="inlineStr">
        <is>
          <t>SED integrity index, catchment</t>
        </is>
      </c>
      <c r="J68" s="101" t="n"/>
      <c r="K68" s="17" t="inlineStr">
        <is>
          <t>index</t>
        </is>
      </c>
      <c r="L68" s="61" t="n"/>
      <c r="M68" s="102" t="inlineStr">
        <is>
          <t>StreamCat sedcat</t>
        </is>
      </c>
    </row>
    <row r="69" ht="15.75" customHeight="1">
      <c r="A69" s="85" t="n"/>
      <c r="B69" s="85" t="n"/>
      <c r="C69" s="61" t="n"/>
      <c r="D69" s="85" t="n"/>
      <c r="E69" s="61" t="n"/>
      <c r="F69" s="85" t="n"/>
      <c r="G69" s="61" t="n"/>
      <c r="H69" s="61" t="n"/>
      <c r="I69" s="145" t="inlineStr">
        <is>
          <t>CONN integrity index, catchment</t>
        </is>
      </c>
      <c r="J69" s="101" t="n"/>
      <c r="K69" s="17" t="inlineStr">
        <is>
          <t>index</t>
        </is>
      </c>
      <c r="L69" s="61" t="n"/>
      <c r="M69" s="102" t="inlineStr">
        <is>
          <t>StreamCat conncat</t>
        </is>
      </c>
    </row>
    <row r="70" ht="15.75" customHeight="1">
      <c r="A70" s="85" t="n"/>
      <c r="B70" s="85" t="n"/>
      <c r="C70" s="61" t="n"/>
      <c r="D70" s="85" t="n"/>
      <c r="E70" s="61" t="n"/>
      <c r="F70" s="85" t="n"/>
      <c r="G70" s="61" t="n"/>
      <c r="H70" s="61" t="n"/>
      <c r="I70" s="145" t="inlineStr">
        <is>
          <t>TEMP integrity index, catchment</t>
        </is>
      </c>
      <c r="J70" s="101" t="n"/>
      <c r="K70" s="17" t="inlineStr">
        <is>
          <t>index</t>
        </is>
      </c>
      <c r="L70" s="61" t="n"/>
      <c r="M70" s="102" t="inlineStr">
        <is>
          <t>StreamCat tempcat</t>
        </is>
      </c>
    </row>
    <row r="71" ht="15.75" customHeight="1">
      <c r="A71" s="85" t="n"/>
      <c r="B71" s="85" t="n"/>
      <c r="C71" s="61" t="n"/>
      <c r="D71" s="85" t="n"/>
      <c r="E71" s="61" t="n"/>
      <c r="F71" s="85" t="n"/>
      <c r="G71" s="61" t="n"/>
      <c r="H71" s="61" t="n"/>
      <c r="I71" s="145" t="inlineStr">
        <is>
          <t>HABT integrity index, catchment</t>
        </is>
      </c>
      <c r="J71" s="101" t="n"/>
      <c r="K71" s="17" t="inlineStr">
        <is>
          <t>index</t>
        </is>
      </c>
      <c r="L71" s="61" t="n"/>
      <c r="M71" s="102" t="inlineStr">
        <is>
          <t>StreamCat habtcat</t>
        </is>
      </c>
    </row>
    <row r="72" ht="15.75" customHeight="1">
      <c r="A72" s="85" t="n"/>
      <c r="B72" s="85" t="n"/>
      <c r="C72" s="61" t="n"/>
      <c r="D72" s="85" t="n"/>
      <c r="E72" s="61" t="n"/>
      <c r="F72" s="85" t="n"/>
      <c r="G72" s="61" t="n"/>
      <c r="H72" s="61" t="n"/>
      <c r="I72" s="145" t="inlineStr">
        <is>
          <t>CHEM integrity index, catchment</t>
        </is>
      </c>
      <c r="J72" s="133">
        <f>IF('Scenario'!$J$57="","",'Scenario'!$J$57)</f>
        <v/>
      </c>
      <c r="K72" s="17" t="inlineStr">
        <is>
          <t>index</t>
        </is>
      </c>
      <c r="L72" s="61" t="n"/>
      <c r="M72" s="102" t="inlineStr">
        <is>
          <t>StreamCat chemcat</t>
        </is>
      </c>
    </row>
    <row r="73" ht="15.75" customHeight="1">
      <c r="A73" s="85" t="n"/>
      <c r="B73" s="85" t="n"/>
      <c r="C73" s="61" t="n"/>
      <c r="D73" s="85" t="n"/>
      <c r="E73" s="61" t="n"/>
      <c r="F73" s="85" t="n"/>
      <c r="G73" s="61" t="n"/>
      <c r="H73" s="61" t="n"/>
      <c r="I73" s="145" t="inlineStr">
        <is>
          <t>HYD integrity index, watershed</t>
        </is>
      </c>
      <c r="J73" s="101" t="n"/>
      <c r="K73" s="17" t="inlineStr">
        <is>
          <t>index</t>
        </is>
      </c>
      <c r="L73" s="61" t="n"/>
      <c r="M73" s="102" t="inlineStr">
        <is>
          <t>StreamCat hydws</t>
        </is>
      </c>
    </row>
    <row r="74" ht="15.75" customHeight="1">
      <c r="A74" s="85" t="n"/>
      <c r="B74" s="85" t="n"/>
      <c r="C74" s="61" t="n"/>
      <c r="D74" s="85" t="n"/>
      <c r="E74" s="61" t="n"/>
      <c r="F74" s="85" t="n"/>
      <c r="G74" s="61" t="n"/>
      <c r="H74" s="61" t="n"/>
      <c r="I74" s="145" t="inlineStr">
        <is>
          <t>SED integrity index, watershed</t>
        </is>
      </c>
      <c r="J74" s="101" t="n"/>
      <c r="K74" s="17" t="inlineStr">
        <is>
          <t>index</t>
        </is>
      </c>
      <c r="L74" s="61" t="n"/>
      <c r="M74" s="102" t="inlineStr">
        <is>
          <t>StreamCat sedws</t>
        </is>
      </c>
    </row>
    <row r="75" ht="15.75" customHeight="1">
      <c r="A75" s="85" t="n"/>
      <c r="B75" s="85" t="n"/>
      <c r="C75" s="61" t="n"/>
      <c r="D75" s="85" t="n"/>
      <c r="E75" s="61" t="n"/>
      <c r="F75" s="85" t="n"/>
      <c r="G75" s="61" t="n"/>
      <c r="H75" s="61" t="n"/>
      <c r="I75" s="145" t="inlineStr">
        <is>
          <t>CONN integrity index, watershed</t>
        </is>
      </c>
      <c r="J75" s="101" t="n"/>
      <c r="K75" s="17" t="inlineStr">
        <is>
          <t>index</t>
        </is>
      </c>
      <c r="L75" s="61" t="n"/>
      <c r="M75" s="102" t="inlineStr">
        <is>
          <t>StreamCat connws</t>
        </is>
      </c>
    </row>
    <row r="76" ht="15.75" customHeight="1">
      <c r="A76" s="85" t="n"/>
      <c r="B76" s="85" t="n"/>
      <c r="C76" s="61" t="n"/>
      <c r="D76" s="85" t="n"/>
      <c r="E76" s="61" t="n"/>
      <c r="F76" s="85" t="n"/>
      <c r="G76" s="61" t="n"/>
      <c r="H76" s="61" t="n"/>
      <c r="I76" s="145" t="inlineStr">
        <is>
          <t>TEMP integrity index, watershed</t>
        </is>
      </c>
      <c r="J76" s="101" t="n"/>
      <c r="K76" s="17" t="inlineStr">
        <is>
          <t>index</t>
        </is>
      </c>
      <c r="L76" s="61" t="n"/>
      <c r="M76" s="102" t="inlineStr">
        <is>
          <t>StreamCat tempws</t>
        </is>
      </c>
    </row>
    <row r="77" ht="15.75" customHeight="1">
      <c r="A77" s="85" t="n"/>
      <c r="B77" s="85" t="n"/>
      <c r="C77" s="61" t="n"/>
      <c r="D77" s="85" t="n"/>
      <c r="E77" s="61" t="n"/>
      <c r="F77" s="85" t="n"/>
      <c r="G77" s="61" t="n"/>
      <c r="H77" s="61" t="n"/>
      <c r="I77" s="145" t="inlineStr">
        <is>
          <t>HABT integrity index, watershed</t>
        </is>
      </c>
      <c r="J77" s="101" t="n"/>
      <c r="K77" s="17" t="inlineStr">
        <is>
          <t>index</t>
        </is>
      </c>
      <c r="L77" s="61" t="n"/>
      <c r="M77" s="102" t="inlineStr">
        <is>
          <t>StreamCat habtws</t>
        </is>
      </c>
    </row>
    <row r="78" ht="15.75" customHeight="1">
      <c r="A78" s="85" t="n"/>
      <c r="B78" s="85" t="n"/>
      <c r="C78" s="61" t="n"/>
      <c r="D78" s="85" t="n"/>
      <c r="E78" s="61" t="n"/>
      <c r="F78" s="85" t="n"/>
      <c r="G78" s="61" t="n"/>
      <c r="H78" s="61" t="n"/>
      <c r="I78" s="145" t="inlineStr">
        <is>
          <t>CHEM integrity index, watershed</t>
        </is>
      </c>
      <c r="J78" s="133">
        <f>IF('Scenario'!$J$58="","",'Scenario'!$J$58)</f>
        <v/>
      </c>
      <c r="K78" s="17" t="inlineStr">
        <is>
          <t>index</t>
        </is>
      </c>
      <c r="L78" s="61" t="n"/>
      <c r="M78" s="102" t="inlineStr">
        <is>
          <t>StreamCat chemws</t>
        </is>
      </c>
    </row>
    <row r="79" ht="15.75" customHeight="1">
      <c r="A79" s="85" t="n"/>
      <c r="B79" s="85" t="n"/>
      <c r="C79" s="61" t="n"/>
      <c r="D79" s="85" t="n"/>
      <c r="E79" s="61" t="n"/>
      <c r="F79" s="85" t="n"/>
      <c r="G79" s="61" t="n"/>
      <c r="H79" s="61" t="n"/>
      <c r="I79" s="145" t="inlineStr">
        <is>
          <t>ICI (product of the six catchment indices)</t>
        </is>
      </c>
      <c r="J79" s="146">
        <f>IF('Metrics'!$B$218="","",'Metrics'!$B$218)</f>
        <v/>
      </c>
      <c r="K79" s="17" t="inlineStr">
        <is>
          <t>index</t>
        </is>
      </c>
      <c r="L79" s="61" t="n"/>
      <c r="M79" s="147" t="inlineStr">
        <is>
          <t>Computed from the entries above</t>
        </is>
      </c>
    </row>
    <row r="80" ht="15.75" customHeight="1">
      <c r="A80" s="85" t="n"/>
      <c r="B80" s="85" t="n"/>
      <c r="C80" s="61" t="n"/>
      <c r="D80" s="85" t="n"/>
      <c r="E80" s="61" t="n"/>
      <c r="F80" s="85" t="n"/>
      <c r="G80" s="61" t="n"/>
      <c r="H80" s="61" t="n"/>
      <c r="I80" s="144" t="inlineStr">
        <is>
          <t>IWI (product of the six watershed indices)</t>
        </is>
      </c>
      <c r="J80" s="148">
        <f>IF('Metrics'!$B$219="","",'Metrics'!$B$219)</f>
        <v/>
      </c>
      <c r="K80" s="88" t="inlineStr">
        <is>
          <t>index</t>
        </is>
      </c>
      <c r="L80" s="132" t="n"/>
      <c r="M80" s="108" t="inlineStr">
        <is>
          <t>Computed from the entries above</t>
        </is>
      </c>
    </row>
    <row r="81" ht="24" customHeight="1">
      <c r="A81" s="85" t="n"/>
      <c r="B81" s="85" t="n"/>
      <c r="C81" s="61" t="n"/>
      <c r="D81" s="85" t="n"/>
      <c r="E81" s="61" t="n"/>
      <c r="F81" s="68" t="n"/>
      <c r="G81" s="55" t="n"/>
      <c r="H81" s="55" t="n"/>
      <c r="I81" s="92" t="inlineStr">
        <is>
          <t>Override Score (Optional)</t>
        </is>
      </c>
      <c r="J81" s="93" t="n"/>
      <c r="K81" s="94" t="n"/>
      <c r="L81" s="94" t="n"/>
      <c r="M81" s="95" t="inlineStr">
        <is>
          <t>User-defined override</t>
        </is>
      </c>
    </row>
    <row r="82" ht="31.5" customHeight="1">
      <c r="A82" s="85" t="n"/>
      <c r="B82" s="85" t="n"/>
      <c r="C82" s="61" t="n"/>
      <c r="D82" s="85" t="n"/>
      <c r="E82" s="61" t="n"/>
      <c r="F82" s="143" t="inlineStr">
        <is>
          <t>Community dynamics</t>
        </is>
      </c>
      <c r="G82" s="98">
        <f>'Metrics'!$F$234</f>
        <v/>
      </c>
      <c r="H82" s="99">
        <f>'Metrics'!$B$235</f>
        <v/>
      </c>
      <c r="I82" s="144" t="inlineStr">
        <is>
          <t>Established non-native taxa recorded in the HUC12</t>
        </is>
      </c>
      <c r="J82" s="87" t="n"/>
      <c r="K82" s="88" t="inlineStr">
        <is>
          <t>count</t>
        </is>
      </c>
      <c r="L82" s="88">
        <f>'Metrics'!$F$232</f>
        <v/>
      </c>
      <c r="M82" s="89" t="inlineStr">
        <is>
          <t>USGS NAS</t>
        </is>
      </c>
    </row>
    <row r="83" ht="24" customHeight="1">
      <c r="A83" s="85" t="n"/>
      <c r="B83" s="85" t="n"/>
      <c r="C83" s="61" t="n"/>
      <c r="D83" s="85" t="n"/>
      <c r="E83" s="61" t="n"/>
      <c r="F83" s="68" t="n"/>
      <c r="G83" s="55" t="n"/>
      <c r="H83" s="55" t="n"/>
      <c r="I83" s="92" t="inlineStr">
        <is>
          <t>Override Score (Optional)</t>
        </is>
      </c>
      <c r="J83" s="93" t="n"/>
      <c r="K83" s="94" t="n"/>
      <c r="L83" s="94" t="n"/>
      <c r="M83" s="95" t="inlineStr">
        <is>
          <t>User-defined override</t>
        </is>
      </c>
    </row>
    <row r="84" ht="15.75" customHeight="1">
      <c r="A84" s="85" t="n"/>
      <c r="B84" s="85" t="n"/>
      <c r="C84" s="61" t="n"/>
      <c r="D84" s="85" t="n"/>
      <c r="E84" s="61" t="n"/>
      <c r="F84" s="143" t="inlineStr">
        <is>
          <t>Watershed connectivity</t>
        </is>
      </c>
      <c r="G84" s="98">
        <f>'Metrics'!$F$244</f>
        <v/>
      </c>
      <c r="H84" s="99">
        <f>'Metrics'!$B$245</f>
        <v/>
      </c>
      <c r="I84" s="144" t="inlineStr">
        <is>
          <t>Mapped dams within one mile of the site</t>
        </is>
      </c>
      <c r="J84" s="87" t="n"/>
      <c r="K84" s="88" t="inlineStr">
        <is>
          <t>count</t>
        </is>
      </c>
      <c r="L84" s="88">
        <f>'Metrics'!$F$242</f>
        <v/>
      </c>
      <c r="M84" s="89" t="inlineStr">
        <is>
          <t>USACE NID</t>
        </is>
      </c>
    </row>
    <row r="85" ht="24" customHeight="1">
      <c r="A85" s="68" t="n"/>
      <c r="B85" s="68" t="n"/>
      <c r="C85" s="55" t="n"/>
      <c r="D85" s="68" t="n"/>
      <c r="E85" s="55" t="n"/>
      <c r="F85" s="68" t="n"/>
      <c r="G85" s="55" t="n"/>
      <c r="H85" s="55" t="n"/>
      <c r="I85" s="92" t="inlineStr">
        <is>
          <t>Override Score (Optional)</t>
        </is>
      </c>
      <c r="J85" s="93" t="n"/>
      <c r="K85" s="94" t="n"/>
      <c r="L85" s="94" t="n"/>
      <c r="M85" s="95" t="inlineStr">
        <is>
          <t>User-defined override</t>
        </is>
      </c>
    </row>
    <row r="87">
      <c r="A87" s="149" t="inlineStr">
        <is>
          <t>Monthly flow helper (optional): the twelve EROM mean monthly flows in cfs, QE_01 to QE_12. Copy the computed variability into the Low flow row above.</t>
        </is>
      </c>
    </row>
    <row r="88">
      <c r="A88" s="150" t="inlineStr">
        <is>
          <t>Month</t>
        </is>
      </c>
      <c r="B88" s="151" t="inlineStr">
        <is>
          <t>QE_01</t>
        </is>
      </c>
      <c r="C88" s="151" t="inlineStr">
        <is>
          <t>QE_02</t>
        </is>
      </c>
      <c r="D88" s="151" t="inlineStr">
        <is>
          <t>QE_03</t>
        </is>
      </c>
      <c r="E88" s="151" t="inlineStr">
        <is>
          <t>QE_04</t>
        </is>
      </c>
      <c r="F88" s="151" t="inlineStr">
        <is>
          <t>QE_05</t>
        </is>
      </c>
      <c r="G88" s="151" t="inlineStr">
        <is>
          <t>QE_06</t>
        </is>
      </c>
      <c r="H88" s="151" t="inlineStr">
        <is>
          <t>QE_07</t>
        </is>
      </c>
      <c r="I88" s="151" t="inlineStr">
        <is>
          <t>QE_08</t>
        </is>
      </c>
      <c r="J88" s="151" t="inlineStr">
        <is>
          <t>QE_09</t>
        </is>
      </c>
      <c r="K88" s="151" t="inlineStr">
        <is>
          <t>QE_10</t>
        </is>
      </c>
      <c r="L88" s="151" t="inlineStr">
        <is>
          <t>QE_11</t>
        </is>
      </c>
      <c r="M88" s="152" t="inlineStr">
        <is>
          <t>QE_12</t>
        </is>
      </c>
    </row>
    <row r="89">
      <c r="A89" s="153" t="inlineStr">
        <is>
          <t>Flow (cfs)</t>
        </is>
      </c>
      <c r="B89" s="101" t="n"/>
      <c r="C89" s="101" t="n"/>
      <c r="D89" s="101" t="n"/>
      <c r="E89" s="101" t="n"/>
      <c r="F89" s="101" t="n"/>
      <c r="G89" s="101" t="n"/>
      <c r="H89" s="101" t="n"/>
      <c r="I89" s="101" t="n"/>
      <c r="J89" s="101" t="n"/>
      <c r="K89" s="101" t="n"/>
      <c r="L89" s="101" t="n"/>
      <c r="M89" s="154" t="n"/>
    </row>
    <row r="90" ht="30" customHeight="1">
      <c r="A90" s="155" t="inlineStr">
        <is>
          <t>Flow variability (CV)</t>
        </is>
      </c>
      <c r="B90" s="156">
        <f>IF(COUNT('Scenario'!$B$89:$M$89)&lt;12,"",IF(AVERAGE('Scenario'!$B$89:$M$89)&lt;=0,"",ROUND(_xlfn.STDEV.P('Scenario'!$B$89:$M$89)/AVERAGE('Scenario'!$B$89:$M$89),6)))</f>
        <v/>
      </c>
      <c r="C90" s="157" t="inlineStr">
        <is>
          <t>All twelve flows are required and the mean must be positive. Enter the result in the Monthly flow variability cell of Low flow and baseflow dynamics.</t>
        </is>
      </c>
      <c r="D90" s="55" t="n"/>
      <c r="E90" s="55" t="n"/>
      <c r="F90" s="55" t="n"/>
      <c r="G90" s="55" t="n"/>
      <c r="H90" s="55" t="n"/>
      <c r="I90" s="55" t="n"/>
      <c r="J90" s="55" t="n"/>
      <c r="K90" s="55" t="n"/>
      <c r="L90" s="55" t="n"/>
      <c r="M90" s="56" t="n"/>
    </row>
    <row r="92">
      <c r="A92" s="158" t="inlineStr">
        <is>
          <t>Other Metrics/Notes:</t>
        </is>
      </c>
      <c r="B92" s="159" t="n"/>
      <c r="C92" s="159" t="n"/>
      <c r="D92" s="159" t="n"/>
      <c r="E92" s="159" t="n"/>
      <c r="F92" s="159" t="n"/>
      <c r="G92" s="159" t="n"/>
      <c r="H92" s="159" t="n"/>
      <c r="I92" s="159" t="n"/>
      <c r="J92" s="159" t="n"/>
      <c r="K92" s="159" t="n"/>
      <c r="L92" s="159" t="n"/>
      <c r="M92" s="160" t="n"/>
    </row>
    <row r="93">
      <c r="A93" s="161" t="n"/>
      <c r="B93" s="162" t="n"/>
      <c r="C93" s="162" t="n"/>
      <c r="D93" s="162" t="n"/>
      <c r="E93" s="162" t="n"/>
      <c r="F93" s="162" t="n"/>
      <c r="G93" s="162" t="n"/>
      <c r="H93" s="162" t="n"/>
      <c r="I93" s="162" t="n"/>
      <c r="J93" s="162" t="n"/>
      <c r="K93" s="162" t="n"/>
      <c r="L93" s="162" t="n"/>
      <c r="M93" s="163" t="n"/>
    </row>
    <row r="94">
      <c r="A94" s="161" t="n"/>
      <c r="B94" s="162" t="n"/>
      <c r="C94" s="162" t="n"/>
      <c r="D94" s="162" t="n"/>
      <c r="E94" s="162" t="n"/>
      <c r="F94" s="162" t="n"/>
      <c r="G94" s="162" t="n"/>
      <c r="H94" s="162" t="n"/>
      <c r="I94" s="162" t="n"/>
      <c r="J94" s="162" t="n"/>
      <c r="K94" s="162" t="n"/>
      <c r="L94" s="162" t="n"/>
      <c r="M94" s="163" t="n"/>
    </row>
    <row r="95">
      <c r="A95" s="161" t="n"/>
      <c r="B95" s="162" t="n"/>
      <c r="C95" s="162" t="n"/>
      <c r="D95" s="162" t="n"/>
      <c r="E95" s="162" t="n"/>
      <c r="F95" s="162" t="n"/>
      <c r="G95" s="162" t="n"/>
      <c r="H95" s="162" t="n"/>
      <c r="I95" s="162" t="n"/>
      <c r="J95" s="162" t="n"/>
      <c r="K95" s="162" t="n"/>
      <c r="L95" s="162" t="n"/>
      <c r="M95" s="163" t="n"/>
    </row>
    <row r="96">
      <c r="A96" s="161" t="n"/>
      <c r="B96" s="162" t="n"/>
      <c r="C96" s="162" t="n"/>
      <c r="D96" s="162" t="n"/>
      <c r="E96" s="162" t="n"/>
      <c r="F96" s="162" t="n"/>
      <c r="G96" s="162" t="n"/>
      <c r="H96" s="162" t="n"/>
      <c r="I96" s="162" t="n"/>
      <c r="J96" s="162" t="n"/>
      <c r="K96" s="162" t="n"/>
      <c r="L96" s="162" t="n"/>
      <c r="M96" s="163" t="n"/>
    </row>
    <row r="97">
      <c r="A97" s="161" t="n"/>
      <c r="B97" s="162" t="n"/>
      <c r="C97" s="162" t="n"/>
      <c r="D97" s="162" t="n"/>
      <c r="E97" s="162" t="n"/>
      <c r="F97" s="162" t="n"/>
      <c r="G97" s="162" t="n"/>
      <c r="H97" s="162" t="n"/>
      <c r="I97" s="162" t="n"/>
      <c r="J97" s="162" t="n"/>
      <c r="K97" s="162" t="n"/>
      <c r="L97" s="162" t="n"/>
      <c r="M97" s="163" t="n"/>
    </row>
    <row r="98">
      <c r="A98" s="161" t="n"/>
      <c r="B98" s="162" t="n"/>
      <c r="C98" s="162" t="n"/>
      <c r="D98" s="162" t="n"/>
      <c r="E98" s="162" t="n"/>
      <c r="F98" s="162" t="n"/>
      <c r="G98" s="162" t="n"/>
      <c r="H98" s="162" t="n"/>
      <c r="I98" s="162" t="n"/>
      <c r="J98" s="162" t="n"/>
      <c r="K98" s="162" t="n"/>
      <c r="L98" s="162" t="n"/>
      <c r="M98" s="163" t="n"/>
    </row>
    <row r="99">
      <c r="A99" s="161" t="n"/>
      <c r="B99" s="162" t="n"/>
      <c r="C99" s="162" t="n"/>
      <c r="D99" s="162" t="n"/>
      <c r="E99" s="162" t="n"/>
      <c r="F99" s="162" t="n"/>
      <c r="G99" s="162" t="n"/>
      <c r="H99" s="162" t="n"/>
      <c r="I99" s="162" t="n"/>
      <c r="J99" s="162" t="n"/>
      <c r="K99" s="162" t="n"/>
      <c r="L99" s="162" t="n"/>
      <c r="M99" s="163" t="n"/>
    </row>
    <row r="100">
      <c r="A100" s="161" t="n"/>
      <c r="B100" s="162" t="n"/>
      <c r="C100" s="162" t="n"/>
      <c r="D100" s="162" t="n"/>
      <c r="E100" s="162" t="n"/>
      <c r="F100" s="162" t="n"/>
      <c r="G100" s="162" t="n"/>
      <c r="H100" s="162" t="n"/>
      <c r="I100" s="162" t="n"/>
      <c r="J100" s="162" t="n"/>
      <c r="K100" s="162" t="n"/>
      <c r="L100" s="162" t="n"/>
      <c r="M100" s="163" t="n"/>
    </row>
    <row r="101">
      <c r="A101" s="164" t="n"/>
      <c r="B101" s="165" t="n"/>
      <c r="C101" s="165" t="n"/>
      <c r="D101" s="165" t="n"/>
      <c r="E101" s="165" t="n"/>
      <c r="F101" s="165" t="n"/>
      <c r="G101" s="165" t="n"/>
      <c r="H101" s="165" t="n"/>
      <c r="I101" s="165" t="n"/>
      <c r="J101" s="165" t="n"/>
      <c r="K101" s="165" t="n"/>
      <c r="L101" s="165" t="n"/>
      <c r="M101" s="166" t="n"/>
    </row>
  </sheetData>
  <sheetProtection selectLockedCells="0" selectUnlockedCells="0" sheet="1" objects="0" insertRows="1" insertHyperlinks="1" autoFilter="1" scenarios="0" formatColumns="1" deleteColumns="1" insertColumns="1" pivotTables="1" deleteRows="1" formatCells="1" formatRows="1" sort="1" password="CA09"/>
  <mergeCells count="148">
    <mergeCell ref="F44:F45"/>
    <mergeCell ref="F84:F85"/>
    <mergeCell ref="H82:H83"/>
    <mergeCell ref="O29:Q29"/>
    <mergeCell ref="F5:H5"/>
    <mergeCell ref="F60:F63"/>
    <mergeCell ref="E8:E20"/>
    <mergeCell ref="H66:H81"/>
    <mergeCell ref="G82:G83"/>
    <mergeCell ref="P6:P7"/>
    <mergeCell ref="O31:Q31"/>
    <mergeCell ref="R6:R7"/>
    <mergeCell ref="O24:O27"/>
    <mergeCell ref="V20:W20"/>
    <mergeCell ref="Y21:Z21"/>
    <mergeCell ref="Z9:Z11"/>
    <mergeCell ref="F17:F20"/>
    <mergeCell ref="H17:H20"/>
    <mergeCell ref="H11:H14"/>
    <mergeCell ref="H49:H54"/>
    <mergeCell ref="O16:O19"/>
    <mergeCell ref="B6:B7"/>
    <mergeCell ref="R5:T5"/>
    <mergeCell ref="F64:F65"/>
    <mergeCell ref="K3:M3"/>
    <mergeCell ref="H15:H16"/>
    <mergeCell ref="B46:B63"/>
    <mergeCell ref="D46:D63"/>
    <mergeCell ref="H46:H48"/>
    <mergeCell ref="Y18:Z18"/>
    <mergeCell ref="G44:G45"/>
    <mergeCell ref="G84:G85"/>
    <mergeCell ref="G2:I2"/>
    <mergeCell ref="G60:G63"/>
    <mergeCell ref="I6:I7"/>
    <mergeCell ref="G21:G22"/>
    <mergeCell ref="K6:K7"/>
    <mergeCell ref="G28:G30"/>
    <mergeCell ref="C6:C7"/>
    <mergeCell ref="H23:H24"/>
    <mergeCell ref="G11:G14"/>
    <mergeCell ref="O5:Q5"/>
    <mergeCell ref="G23:G24"/>
    <mergeCell ref="F66:F81"/>
    <mergeCell ref="W12:W14"/>
    <mergeCell ref="C8:C45"/>
    <mergeCell ref="G55:G59"/>
    <mergeCell ref="G36:G39"/>
    <mergeCell ref="E46:E63"/>
    <mergeCell ref="O20:O23"/>
    <mergeCell ref="W9:W11"/>
    <mergeCell ref="H40:H43"/>
    <mergeCell ref="F36:F39"/>
    <mergeCell ref="V19:W19"/>
    <mergeCell ref="G4:I4"/>
    <mergeCell ref="G64:G65"/>
    <mergeCell ref="B3:E3"/>
    <mergeCell ref="G8:G10"/>
    <mergeCell ref="G31:G35"/>
    <mergeCell ref="K4:M4"/>
    <mergeCell ref="C90:M90"/>
    <mergeCell ref="F25:F27"/>
    <mergeCell ref="D64:D85"/>
    <mergeCell ref="H25:H27"/>
    <mergeCell ref="B64:B85"/>
    <mergeCell ref="L6:L7"/>
    <mergeCell ref="F55:F59"/>
    <mergeCell ref="D8:D20"/>
    <mergeCell ref="R29:T29"/>
    <mergeCell ref="G66:G81"/>
    <mergeCell ref="O8:O11"/>
    <mergeCell ref="Z12:Z14"/>
    <mergeCell ref="F49:F54"/>
    <mergeCell ref="R31:T31"/>
    <mergeCell ref="V21:W21"/>
    <mergeCell ref="V17:Z17"/>
    <mergeCell ref="C64:C85"/>
    <mergeCell ref="F40:F43"/>
    <mergeCell ref="E64:E85"/>
    <mergeCell ref="G17:G20"/>
    <mergeCell ref="G3:I3"/>
    <mergeCell ref="A6:A7"/>
    <mergeCell ref="F21:F22"/>
    <mergeCell ref="Y20:Z20"/>
    <mergeCell ref="G6:G7"/>
    <mergeCell ref="G15:G16"/>
    <mergeCell ref="F23:F24"/>
    <mergeCell ref="Q6:Q7"/>
    <mergeCell ref="G46:G48"/>
    <mergeCell ref="S6:S7"/>
    <mergeCell ref="H8:H10"/>
    <mergeCell ref="E31:E45"/>
    <mergeCell ref="Y22:Z22"/>
    <mergeCell ref="H84:H85"/>
    <mergeCell ref="A1:M1"/>
    <mergeCell ref="H60:H63"/>
    <mergeCell ref="D21:D30"/>
    <mergeCell ref="O12:O15"/>
    <mergeCell ref="B2:E2"/>
    <mergeCell ref="I5:M5"/>
    <mergeCell ref="A87:M87"/>
    <mergeCell ref="T6:T7"/>
    <mergeCell ref="B5:C5"/>
    <mergeCell ref="B8:B45"/>
    <mergeCell ref="D5:E5"/>
    <mergeCell ref="H55:H59"/>
    <mergeCell ref="V22:W22"/>
    <mergeCell ref="F11:F14"/>
    <mergeCell ref="D6:D7"/>
    <mergeCell ref="F6:F7"/>
    <mergeCell ref="C46:C63"/>
    <mergeCell ref="G40:G43"/>
    <mergeCell ref="F15:F16"/>
    <mergeCell ref="R30:T30"/>
    <mergeCell ref="H44:H45"/>
    <mergeCell ref="D31:D45"/>
    <mergeCell ref="O32:Q32"/>
    <mergeCell ref="H6:H7"/>
    <mergeCell ref="F46:F48"/>
    <mergeCell ref="F28:F30"/>
    <mergeCell ref="J6:J7"/>
    <mergeCell ref="H64:H65"/>
    <mergeCell ref="H21:H22"/>
    <mergeCell ref="H28:H30"/>
    <mergeCell ref="V5:W5"/>
    <mergeCell ref="F31:F35"/>
    <mergeCell ref="K2:M2"/>
    <mergeCell ref="B4:E4"/>
    <mergeCell ref="E21:E30"/>
    <mergeCell ref="R32:T32"/>
    <mergeCell ref="G25:G27"/>
    <mergeCell ref="A92:M101"/>
    <mergeCell ref="Y5:Z5"/>
    <mergeCell ref="M6:M7"/>
    <mergeCell ref="Z6:Z8"/>
    <mergeCell ref="Y19:Z19"/>
    <mergeCell ref="E6:E7"/>
    <mergeCell ref="H36:H39"/>
    <mergeCell ref="W6:W8"/>
    <mergeCell ref="F82:F83"/>
    <mergeCell ref="G49:G54"/>
    <mergeCell ref="O28:Q28"/>
    <mergeCell ref="H31:H35"/>
    <mergeCell ref="A8:A85"/>
    <mergeCell ref="O30:Q30"/>
    <mergeCell ref="O6:O7"/>
    <mergeCell ref="V18:W18"/>
    <mergeCell ref="F8:F10"/>
  </mergeCells>
  <conditionalFormatting sqref="G8:G85">
    <cfRule type="expression" priority="1" dxfId="0">
      <formula>$G8="Good"</formula>
    </cfRule>
    <cfRule type="expression" priority="2" dxfId="1">
      <formula>$G8="Fair"</formula>
    </cfRule>
    <cfRule type="expression" priority="3" dxfId="2">
      <formula>$G8="Poor"</formula>
    </cfRule>
  </conditionalFormatting>
  <conditionalFormatting sqref="L8:L85">
    <cfRule type="expression" priority="4" dxfId="0">
      <formula>$L8="Good"</formula>
    </cfRule>
    <cfRule type="expression" priority="5" dxfId="1">
      <formula>$L8="Fair"</formula>
    </cfRule>
    <cfRule type="expression" priority="6" dxfId="2">
      <formula>$L8="Poor"</formula>
    </cfRule>
  </conditionalFormatting>
  <conditionalFormatting sqref="H8:H85">
    <cfRule type="expression" priority="7" dxfId="0">
      <formula>AND(ISNUMBER($H8),$H8&gt;10)</formula>
    </cfRule>
    <cfRule type="expression" priority="8" dxfId="1">
      <formula>AND(ISNUMBER($H8),$H8&gt;5,$H8&lt;=10)</formula>
    </cfRule>
    <cfRule type="expression" priority="9" dxfId="2">
      <formula>AND(ISNUMBER($H8),$H8&lt;=5)</formula>
    </cfRule>
  </conditionalFormatting>
  <conditionalFormatting sqref="A8:A85">
    <cfRule type="expression" priority="10" dxfId="0">
      <formula>AND(ISNUMBER($A8),$A8&gt;0.69)</formula>
    </cfRule>
    <cfRule type="expression" priority="11" dxfId="1">
      <formula>AND(ISNUMBER($A8),$A8&gt;0.39,$A8&lt;=0.69)</formula>
    </cfRule>
    <cfRule type="expression" priority="12" dxfId="2">
      <formula>AND(ISNUMBER($A8),$A8&lt;=0.39)</formula>
    </cfRule>
  </conditionalFormatting>
  <conditionalFormatting sqref="C8:C85">
    <cfRule type="expression" priority="13" dxfId="0">
      <formula>AND(ISNUMBER($C8),$C8&gt;0.69)</formula>
    </cfRule>
    <cfRule type="expression" priority="14" dxfId="1">
      <formula>AND(ISNUMBER($C8),$C8&gt;0.39,$C8&lt;=0.69)</formula>
    </cfRule>
    <cfRule type="expression" priority="15" dxfId="2">
      <formula>AND(ISNUMBER($C8),$C8&lt;=0.39)</formula>
    </cfRule>
  </conditionalFormatting>
  <conditionalFormatting sqref="Q8:Q27">
    <cfRule type="expression" priority="16" dxfId="0">
      <formula>AND(ISNUMBER($Q8),$Q8&gt;10)</formula>
    </cfRule>
    <cfRule type="expression" priority="17" dxfId="1">
      <formula>AND(ISNUMBER($Q8),$Q8&gt;5,$Q8&lt;=10)</formula>
    </cfRule>
    <cfRule type="expression" priority="18" dxfId="2">
      <formula>AND(ISNUMBER($Q8),$Q8&lt;=5)</formula>
    </cfRule>
  </conditionalFormatting>
  <conditionalFormatting sqref="R28:T29">
    <cfRule type="expression" priority="19" dxfId="0">
      <formula>AND(ISNUMBER($R28),$R28&gt;0.69)</formula>
    </cfRule>
    <cfRule type="expression" priority="20" dxfId="1">
      <formula>AND(ISNUMBER($R28),$R28&gt;0.39,$R28&lt;=0.69)</formula>
    </cfRule>
    <cfRule type="expression" priority="21" dxfId="2">
      <formula>AND(ISNUMBER($R28),$R28&lt;=0.39)</formula>
    </cfRule>
  </conditionalFormatting>
  <dataValidations count="76">
    <dataValidation sqref="K2" showDropDown="0" showInputMessage="1" showErrorMessage="0" allowBlank="1" promptTitle="COMID" prompt="NHDPlus V2 reach identifier of the assessed reach (from the EASI report)." type="custom">
      <formula1>TRUE</formula1>
    </dataValidation>
    <dataValidation sqref="K3" showDropDown="0" showInputMessage="1" showErrorMessage="1" allowBlank="1" errorTitle="Entry refused" error="Pick one of the nine NARS aggregate ecoregion codes, or leave the cell blank." promptTitle="NARS-9 ecoregion" prompt="Code of the EPA NARS nine-region ecoregion containing the site (CPL, NAP, NPL, SAP, SPL, TPL, UMW, WMT, XER). It selects the regional reference curves and the nutrient thresholds. Leave blank if unknown: the national curves apply and nutrients fall back t" type="list" errorStyle="stop">
      <formula1>"CPL,NAP,NPL,SAP,SPL,TPL,UMW,WMT,XER"</formula1>
    </dataValidation>
    <dataValidation sqref="B4" showDropDown="0" showInputMessage="1" showErrorMessage="1" allowBlank="1" errorTitle="Entry refused" error="Enter the whole-number NHDPlus V2 feature code of the reach, or leave the cell blank." promptTitle="NHD feature code" prompt="From NHDPlus V2. Codes 33600, 33601 and 33603 are canals and ditches, which rate Channel evolution Poor." type="whole" errorStyle="stop" operator="between">
      <formula1>0</formula1>
      <formula2>99999</formula2>
    </dataValidation>
    <dataValidation sqref="G4" showDropDown="0" showInputMessage="1" showErrorMessage="1" allowBlank="1" errorTitle="Entry refused" error="Pick lt_0.5, 0.5_to_2, ge_2 or national, or leave the cell blank." promptTitle="Slope class override" prompt="Normally derived from the channel slope below. Set only to force a class (lt_0.5, 0.5_to_2, ge_2 or national)." type="list" errorStyle="stop">
      <formula1>"lt_0.5,0.5_to_2,ge_2,national"</formula1>
    </dataValidation>
    <dataValidation sqref="J8" showDropDown="0" showInputMessage="1" showErrorMessage="1" allowBlank="1" errorTitle="Entry refused" error="Enter a number from 0 to 100, or leave the cell blank when the evidence is unavailable." promptTitle="Impervious cover of the watershe" prompt="Used by Catchment hydrology and Light and thermal regime." type="decimal" errorStyle="stop" operator="between">
      <formula1>0</formula1>
      <formula2>100</formula2>
    </dataValidation>
    <dataValidation sqref="J9" showDropDown="0" showInputMessage="1" showErrorMessage="1" allowBlank="1" errorTitle="Entry refused" error="Enter a number from 0 to 100, or leave the cell blank when the evidence is unavailable." promptTitle="Agricultural cover of the waters" prompt="The application rounds the sum to two decimals. Used by Catchment hydrology, Sediment continuity and Bed composition." type="decimal" errorStyle="stop" operator="between">
      <formula1>0</formula1>
      <formula2>100</formula2>
    </dataValidation>
    <dataValidation sqref="J1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1"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2"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5" showDropDown="0" showInputMessage="1" showErrorMessage="1" allowBlank="1" errorTitle="Entry refused" error="Enter a number from 0 to 1000000.0, or leave the cell blank when the evidence is unavailable." promptTitle="Road density of the watershed" prompt="Used by Reach inflow and Sediment continuity." type="decimal" errorStyle="stop" operator="between">
      <formula1>0</formula1>
      <formula2>1000000.0</formula2>
    </dataValidation>
    <dataValidation sqref="J16"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17" showDropDown="0" showInputMessage="1" showErrorMessage="1" allowBlank="1" errorTitle="Entry refused" error="Enter a number from 0 to 1000000000000.0, or leave the cell blank when the evidence is unavailable." promptTitle="Normalized dam storage upstream" prompt="A true zero is valid evidence. Leave blank when unknown." type="decimal" errorStyle="stop" operator="between">
      <formula1>0</formula1>
      <formula2>1000000000000.0</formula2>
    </dataValidation>
    <dataValidation sqref="J18" showDropDown="0" showInputMessage="1" showErrorMessage="1" allowBlank="1" errorTitle="Entry refused" error="Enter a number from 0 to 1000000.0, or leave the cell blank when the evidence is unavailable." promptTitle="Mean annual runoff of the waters" prompt="Must be positive for the degree of regulation." type="decimal" errorStyle="stop" operator="between">
      <formula1>0</formula1>
      <formula2>1000000.0</formula2>
    </dataValidation>
    <dataValidation sqref="J2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1" showDropDown="0" showInputMessage="1" showErrorMessage="1" allowBlank="1" errorTitle="Entry refused" error="Enter a number from 0 to 1000000.0, or leave the cell blank when the evidence is unavailable." promptTitle="Monthly flow variability (CV of " prompt="Population standard deviation over the mean of the twelve EROM mean monthly flows, rounded to six decimals. Enter the value from the EASI report or compute it in the helper below the table." type="decimal" errorStyle="stop" operator="between">
      <formula1>0</formula1>
      <formula2>1000000.0</formula2>
    </dataValidation>
    <dataValidation sqref="J22"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3" showDropDown="0" showInputMessage="1" showErrorMessage="1" allowBlank="1" errorTitle="Entry refused" error="Enter a number from 0 to 1000.0, or leave the cell blank when the evidence is unavailable." promptTitle="Bank-height ratio (reach median)" prompt="Used by High flow dynamics, Channel evolution and Channel and floodplain dynamics." type="decimal" errorStyle="stop" operator="between">
      <formula1>0</formula1>
      <formula2>1000.0</formula2>
    </dataValidation>
    <dataValidation sqref="J2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5" showDropDown="0" showInputMessage="1" showErrorMessage="1" allowBlank="1" errorTitle="Entry refused" error="Enter a number from 0 to 1000.0, or leave the cell blank when the evidence is unavailable." promptTitle="Entrenchment ratio (reach median" prompt="Used by Floodplain connectivity and Channel evolution." type="decimal" errorStyle="stop" operator="between">
      <formula1>0</formula1>
      <formula2>1000.0</formula2>
    </dataValidation>
    <dataValidation sqref="J26" showDropDown="0" showInputMessage="1" showErrorMessage="1" allowBlank="1" errorTitle="Entry refused" error="Enter a number from 0 to 10, or leave the cell blank when the evidence is unavailable." promptTitle="Channel slope" prompt="Used by Hyporheic connectivity and to pick the entrenchment slope class." type="decimal" errorStyle="stop" operator="between">
      <formula1>0</formula1>
      <formula2>10</formula2>
    </dataValidation>
    <dataValidation sqref="J27"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29" showDropDown="0" showInputMessage="0" showErrorMessage="1" allowBlank="1" errorTitle="Entry refused" error="Enter a number from 1 to 100, or leave the cell blank when the evidence is unavailable." type="decimal" errorStyle="stop" operator="between">
      <formula1>1</formula1>
      <formula2>100</formula2>
    </dataValidation>
    <dataValidation sqref="J30"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33" showDropDown="0" showInputMessage="1" showErrorMessage="1" allowBlank="1" errorTitle="Entry refused" error="Pick Good, Fair or Poor, or leave the cell blank." promptTitle="Observed channel-evolution class" prompt="Good: Stable or recovered Stage I/VI condition. Fair: Moderate adjustment or recovery, generally Stages III-V. Poor: Severe incision or destructive adjustment, generally Stage II or severe III-IV. From a field visit or report. Needs the note below." type="list" errorStyle="stop">
      <formula1>"Good,Fair,Poor"</formula1>
    </dataValidation>
    <dataValidation sqref="J34" showDropDown="0" showInputMessage="1" showErrorMessage="0" allowBlank="1" promptTitle="Observed channel-evolution indic" prompt="Required for the observed class to apply. Record what was seen (headcuts, bars, width or depth change, bank erosion, recovery features) with the source and the date." type="custom">
      <formula1>TRUE</formula1>
    </dataValidation>
    <dataValidation sqref="J3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Complete observed entries above take precedence. Leave blank to keep the computed rating." type="list" errorStyle="stop">
      <formula1>"Good,Fair,Poor"</formula1>
    </dataValidation>
    <dataValidation sqref="J37" showDropDown="0" showInputMessage="1" showErrorMessage="1" allowBlank="1" errorTitle="Entry refused" error="Enter a percentage from 0 to 100, or leave the cell blank." promptTitle="Observed eroding bank" prompt="Percent of bank length eroding, from a field visit or verified imagery. Good &lt;5%, Fair 5-&lt;60%, Poor ≥60%. Both bank entries are required and the worse governs." type="decimal" errorStyle="stop" operator="between">
      <formula1>0</formula1>
      <formula2>100</formula2>
    </dataValidation>
    <dataValidation sqref="J38" showDropDown="0" showInputMessage="1" showErrorMessage="1" allowBlank="1" errorTitle="Entry refused" error="Enter a percentage from 0 to 100, or leave the cell blank." promptTitle="Observed armored bank" prompt="Percent of bank length artificially armored. Good 0%, Fair &gt;0-&lt;50%, Poor ≥50%. Both bank entries are required and the worse governs." type="decimal" errorStyle="stop" operator="between">
      <formula1>0</formula1>
      <formula2>100</formula2>
    </dataValidation>
    <dataValidation sqref="J39"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Complete observed entries above take precedence. Leave blank to keep the computed rating." type="list" errorStyle="stop">
      <formula1>"Good,Fair,Poor"</formula1>
    </dataValidation>
    <dataValidation sqref="J4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4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6" showDropDown="0" showInputMessage="1" showErrorMessage="1" allowBlank="1" errorTitle="Entry refused" error="Enter a number from 0 to 100, or leave the cell blank when the evidence is unavailable." promptTitle="Woody riparian cover in the 100 " prompt="Conifer, deciduous and mixed forest, shrub and woody wetland at wsrp100, rounded to one decimal. Used by Light and thermal regime and Habitat provision." type="decimal" errorStyle="stop" operator="between">
      <formula1>0</formula1>
      <formula2>100</formula2>
    </dataValidation>
    <dataValidation sqref="J48"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49"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0"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1"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2"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54"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55" showDropDown="0" showInputMessage="1" showErrorMessage="1" allowBlank="1" errorTitle="Entry refused" error="Enter a number from 0 to 10000.0, or leave the cell blank when the evidence is unavailable." promptTitle="Total nitrogen (median of statio" prompt="Leave blank when there are no qualifying observations." type="decimal" errorStyle="stop" operator="between">
      <formula1>0</formula1>
      <formula2>10000.0</formula2>
    </dataValidation>
    <dataValidation sqref="J56" showDropDown="0" showInputMessage="0" showErrorMessage="1" allowBlank="1" errorTitle="Entry refused" error="Enter a number from 0 to 10000.0, or leave the cell blank when the evidence is unavailable." type="decimal" errorStyle="stop" operator="between">
      <formula1>0</formula1>
      <formula2>10000.0</formula2>
    </dataValidation>
    <dataValidation sqref="J57" showDropDown="0" showInputMessage="1" showErrorMessage="1" allowBlank="1" errorTitle="Entry refused" error="Enter a number from 0 to 1, or leave the cell blank when the evidence is unavailable." promptTitle="CHEM integrity index, catchment" prompt="Fallback for Nutrient cycling and Water and soil quality; a component of the ICI product." type="decimal" errorStyle="stop" operator="between">
      <formula1>0</formula1>
      <formula2>1</formula2>
    </dataValidation>
    <dataValidation sqref="J58" showDropDown="0" showInputMessage="1" showErrorMessage="1" allowBlank="1" errorTitle="Entry refused" error="Enter a number from 0 to 1, or leave the cell blank when the evidence is unavailable." promptTitle="CHEM integrity index, watershed" prompt="Fallback for Nutrient cycling and Water and soil quality; a component of the IWI product." type="decimal" errorStyle="stop" operator="between">
      <formula1>0</formula1>
      <formula2>1</formula2>
    </dataValidation>
    <dataValidation sqref="J59"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0" showDropDown="0" showInputMessage="1" showErrorMessage="1" allowBlank="1" errorTitle="Entry refused" error="Pick 1, 2, 3, 4A, 4B, 4C or 5, or leave the cell blank." promptTitle="ATTAINS category" prompt="1, 2, 3, 4A, 4B, 4C or 5. Category 3 and a blank fall back to the CHEM index." type="list" errorStyle="stop">
      <formula1>"1,2,3,4A,4B,4C,5"</formula1>
    </dataValidation>
    <dataValidation sqref="J6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66" showDropDown="0" showInputMessage="1" showErrorMessage="1" allowBlank="1" errorTitle="Entry refused" error="Enter a number from 0 to 1, or leave the cell blank when the evidence is unavailable." promptTitle="Predicted probability of Good be" prompt="Population support uses the model probability directly. Leave it blank to fall back to the twelve integrity indices (ICI and IWI products)." type="decimal" errorStyle="stop" operator="between">
      <formula1>0</formula1>
      <formula2>1</formula2>
    </dataValidation>
    <dataValidation sqref="J67"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8"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9"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0"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3"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4"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5"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6"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77"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81"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82" showDropDown="0" showInputMessage="1" showErrorMessage="1" allowBlank="1" errorTitle="Entry refused" error="Enter a whole number from 0 to 100000, or leave the cell blank when the evidence is unavailable." promptTitle="Established non-native taxa reco" prompt="A successful empty query is zero. Leave blank when the query was unavailable." type="whole" errorStyle="stop" operator="between">
      <formula1>0</formula1>
      <formula2>100000</formula2>
    </dataValidation>
    <dataValidation sqref="J83"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J84" showDropDown="0" showInputMessage="0" showErrorMessage="1" allowBlank="1" errorTitle="Entry refused" error="Enter a whole number from 0 to 100000, or leave the cell blank when the evidence is unavailable." type="whole" errorStyle="stop" operator="between">
      <formula1>0</formula1>
      <formula2>100000</formula2>
    </dataValidation>
    <dataValidation sqref="J85" showDropDown="0" showInputMessage="1" showErrorMessage="1" allowBlank="1" errorTitle="Entry refused" error="Pick Good, Fair or Poor, or leave the cell blank." promptTitle="Override Score (Optional)" prompt="Optional. Pick Good, Fair or Poor to override this function's computed rating and score, as a rating changed on the EASI Assessment page does. Leave blank to keep the computed rating." type="list" errorStyle="stop">
      <formula1>"Good,Fair,Poor"</formula1>
    </dataValidation>
    <dataValidation sqref="B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C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D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E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F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G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H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I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J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K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L8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M89" showDropDown="0" showInputMessage="0" showErrorMessage="1" allowBlank="1" errorTitle="Entry refused" error="Enter the EROM mean monthly flow in cfs, or leave the cell blank." type="decimal" errorStyle="stop" operator="between">
      <formula1>0</formula1>
      <formula2>1000000000.0</formula2>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A6A6A6"/>
    <outlinePr summaryBelow="1" summaryRight="1"/>
    <pageSetUpPr/>
  </sheetPr>
  <dimension ref="A1:H246"/>
  <sheetViews>
    <sheetView showGridLines="0" tabSelected="0" workbookViewId="0">
      <selection activeCell="A1" sqref="A1"/>
    </sheetView>
  </sheetViews>
  <sheetFormatPr baseColWidth="8" defaultRowHeight="15"/>
  <cols>
    <col width="52" customWidth="1" min="1" max="1"/>
    <col width="18" customWidth="1" min="2" max="2"/>
    <col width="15" customWidth="1" min="3" max="3"/>
    <col width="17" customWidth="1" min="4" max="4"/>
    <col width="15" customWidth="1" min="5" max="5"/>
    <col width="12" customWidth="1" min="6" max="6"/>
    <col width="12" customWidth="1" min="7" max="7"/>
    <col width="70" customWidth="1" min="8" max="8"/>
  </cols>
  <sheetData>
    <row r="1">
      <c r="A1" s="167" t="inlineStr">
        <is>
          <t>EASI calculator: metric scoring</t>
        </is>
      </c>
      <c r="C1" s="168" t="inlineStr">
        <is>
          <t>**DO NOT INPUT VALUES HERE**</t>
        </is>
      </c>
    </row>
    <row r="3">
      <c r="A3" s="169" t="inlineStr">
        <is>
          <t>1. Catchment hydrology</t>
        </is>
      </c>
      <c r="B3" s="170" t="inlineStr">
        <is>
          <t>Catchment hydrology (land-cover pressure) (catchment-land-cover-pressure, worst_index)</t>
        </is>
      </c>
    </row>
    <row r="4">
      <c r="A4" s="171" t="inlineStr">
        <is>
          <t>Item</t>
        </is>
      </c>
      <c r="B4" s="171" t="inlineStr">
        <is>
          <t>Value</t>
        </is>
      </c>
      <c r="C4" s="172" t="inlineStr">
        <is>
          <t>Good</t>
        </is>
      </c>
      <c r="D4" s="173" t="inlineStr">
        <is>
          <t>Fair</t>
        </is>
      </c>
      <c r="E4" s="174" t="inlineStr">
        <is>
          <t>Poor</t>
        </is>
      </c>
      <c r="F4" s="171" t="inlineStr">
        <is>
          <t>Rating</t>
        </is>
      </c>
      <c r="G4" s="171" t="inlineStr">
        <is>
          <t>Index</t>
        </is>
      </c>
      <c r="H4" s="171" t="inlineStr">
        <is>
          <t>Note</t>
        </is>
      </c>
    </row>
    <row r="5">
      <c r="A5" t="inlineStr">
        <is>
          <t>Watershed impervious cover</t>
        </is>
      </c>
      <c r="B5" s="175">
        <f>IF('Scenario'!$J$8="","",'Scenario'!$J$8)</f>
        <v/>
      </c>
      <c r="C5" s="176" t="inlineStr">
        <is>
          <t>&lt;10%</t>
        </is>
      </c>
      <c r="D5" s="177" t="inlineStr">
        <is>
          <t>10-25%</t>
        </is>
      </c>
      <c r="E5" s="178" t="inlineStr">
        <is>
          <t>&gt;25%</t>
        </is>
      </c>
      <c r="F5" s="175">
        <f>IF(NOT(ISNUMBER('Scenario'!$J$8)),"",IF('Scenario'!$J$8&lt;10,"Good",IF(AND('Scenario'!$J$8&gt;=10,'Scenario'!$J$8&lt;=25),"Fair",IF('Scenario'!$J$8&gt;25,"Poor",""))))</f>
        <v/>
      </c>
      <c r="G5" s="179">
        <f>IF('Metrics'!$F$5="Good",'Reference'!$B$102,IF('Metrics'!$F$5="Fair",'Reference'!$B$103,IF('Metrics'!$F$5="Poor",'Reference'!$B$104,"")))</f>
        <v/>
      </c>
    </row>
    <row r="6">
      <c r="A6" t="inlineStr">
        <is>
          <t>Watershed agricultural cover</t>
        </is>
      </c>
      <c r="B6" s="175">
        <f>IF('Scenario'!$J$9="","",'Scenario'!$J$9)</f>
        <v/>
      </c>
      <c r="C6" s="176" t="inlineStr">
        <is>
          <t>&lt;30%</t>
        </is>
      </c>
      <c r="D6" s="177" t="inlineStr">
        <is>
          <t>30-50%</t>
        </is>
      </c>
      <c r="E6" s="178" t="inlineStr">
        <is>
          <t>&gt;50%</t>
        </is>
      </c>
      <c r="F6" s="175">
        <f>IF(NOT(ISNUMBER('Scenario'!$J$9)),"",IF('Scenario'!$J$9&lt;30,"Good",IF(AND('Scenario'!$J$9&gt;=30,'Scenario'!$J$9&lt;=50),"Fair",IF('Scenario'!$J$9&gt;50,"Poor",""))))</f>
        <v/>
      </c>
      <c r="G6" s="179">
        <f>IF('Metrics'!$F$6="Good",'Reference'!$B$102,IF('Metrics'!$F$6="Fair",'Reference'!$B$103,IF('Metrics'!$F$6="Poor",'Reference'!$B$104,"")))</f>
        <v/>
      </c>
    </row>
    <row r="7">
      <c r="A7" t="inlineStr">
        <is>
          <t>Governing input</t>
        </is>
      </c>
      <c r="B7" s="175">
        <f>IF('Metrics'!$B$8="","",INDEX('Metrics'!$A$5:$A$6,MATCH('Metrics'!$B$8,'Metrics'!$G$5:$G$6,0)))</f>
        <v/>
      </c>
    </row>
    <row r="8">
      <c r="A8" t="inlineStr">
        <is>
          <t>Combined rating index (the more limiting input)</t>
        </is>
      </c>
      <c r="B8" s="179">
        <f>IF(COUNT('Metrics'!$G$5:$G$6)=0,"",MIN('Metrics'!$G$5:$G$6))</f>
        <v/>
      </c>
    </row>
    <row r="9">
      <c r="A9" t="inlineStr">
        <is>
          <t>Route that applied</t>
        </is>
      </c>
      <c r="B9" s="175">
        <f>IF(OR('Scenario'!$J$10="Good",'Scenario'!$J$10="Fair",'Scenario'!$J$10="Poor"),"override score","automatic method")</f>
        <v/>
      </c>
    </row>
    <row r="10">
      <c r="A10" t="inlineStr">
        <is>
          <t>Computed rating (before the override score)</t>
        </is>
      </c>
      <c r="F10" s="175">
        <f>IF(NOT(ISNUMBER('Metrics'!$B$8)),"",IF('Metrics'!$B$8='Reference'!$B$102,"Good",IF('Metrics'!$B$8='Reference'!$B$103,"Fair",IF('Metrics'!$B$8='Reference'!$B$104,"Poor",""))))</f>
        <v/>
      </c>
    </row>
    <row r="11">
      <c r="A11" t="inlineStr">
        <is>
          <t>Override score (optional entry on the Scenario sheet)</t>
        </is>
      </c>
      <c r="B11" s="175">
        <f>IF('Scenario'!$J$10="","",'Scenario'!$J$10)</f>
        <v/>
      </c>
      <c r="H11" s="180" t="inlineStr">
        <is>
          <t>Replaces the computed rating, as a rating changed in the web application does.</t>
        </is>
      </c>
    </row>
    <row r="12">
      <c r="A12" t="inlineStr">
        <is>
          <t>Function rating</t>
        </is>
      </c>
      <c r="F12" s="181">
        <f>IF(OR('Scenario'!$J$10="Good",'Scenario'!$J$10="Fair",'Scenario'!$J$10="Poor"),'Scenario'!$J$10,'Metrics'!$F$10)</f>
        <v/>
      </c>
      <c r="G12" s="179">
        <f>IF('Metrics'!$F$12="Good",'Reference'!$B$102,IF('Metrics'!$F$12="Fair",'Reference'!$B$103,IF('Metrics'!$F$12="Poor",'Reference'!$B$104,"")))</f>
        <v/>
      </c>
      <c r="H12" s="180" t="inlineStr">
        <is>
          <t>Partial rating allowed when one input is missing.</t>
        </is>
      </c>
    </row>
    <row r="13">
      <c r="A13" t="inlineStr">
        <is>
          <t>Function score (0 to 15)</t>
        </is>
      </c>
      <c r="B13" s="181">
        <f>IF('Metrics'!$F$12="Good",'Reference'!$C$102,IF('Metrics'!$F$12="Fair",'Reference'!$C$103,IF('Metrics'!$F$12="Poor",'Reference'!$C$104,"")))</f>
        <v/>
      </c>
    </row>
    <row r="14">
      <c r="A14" t="inlineStr">
        <is>
          <t>Status</t>
        </is>
      </c>
      <c r="B14" s="175">
        <f>IF(OR('Scenario'!$J$10="Good",'Scenario'!$J$10="Fair",'Scenario'!$J$10="Poor"),"override score",IF(COUNT('Metrics'!$G$5:$G$6)=0,"not rated",IF(COUNT('Metrics'!$G$5:$G$6)&lt;2,"partial","complete")))</f>
        <v/>
      </c>
    </row>
    <row r="16">
      <c r="A16" s="169" t="inlineStr">
        <is>
          <t>2. Surface water storage</t>
        </is>
      </c>
      <c r="B16" s="170" t="inlineStr">
        <is>
          <t>Wetland extent (watershed-wetland-extent, sum_capped)</t>
        </is>
      </c>
    </row>
    <row r="17">
      <c r="A17" s="171" t="inlineStr">
        <is>
          <t>Item</t>
        </is>
      </c>
      <c r="B17" s="171" t="inlineStr">
        <is>
          <t>Value</t>
        </is>
      </c>
      <c r="C17" s="172" t="inlineStr">
        <is>
          <t>Good</t>
        </is>
      </c>
      <c r="D17" s="173" t="inlineStr">
        <is>
          <t>Fair</t>
        </is>
      </c>
      <c r="E17" s="174" t="inlineStr">
        <is>
          <t>Poor</t>
        </is>
      </c>
      <c r="F17" s="171" t="inlineStr">
        <is>
          <t>Rating</t>
        </is>
      </c>
      <c r="G17" s="171" t="inlineStr">
        <is>
          <t>Index</t>
        </is>
      </c>
      <c r="H17" s="171" t="inlineStr">
        <is>
          <t>Note</t>
        </is>
      </c>
    </row>
    <row r="18">
      <c r="A18" t="inlineStr">
        <is>
          <t>Woody wetland cover</t>
        </is>
      </c>
      <c r="B18" s="175">
        <f>IF('Scenario'!$J$11="","",'Scenario'!$J$11)</f>
        <v/>
      </c>
    </row>
    <row r="19">
      <c r="A19" t="inlineStr">
        <is>
          <t>Herbaceous wetland cover</t>
        </is>
      </c>
      <c r="B19" s="175">
        <f>IF('Scenario'!$J$12="","",'Scenario'!$J$12)</f>
        <v/>
      </c>
    </row>
    <row r="20">
      <c r="A20" t="inlineStr">
        <is>
          <t>Combined value (sum capped at 100)</t>
        </is>
      </c>
      <c r="B20" s="175">
        <f>IF(AND(ISNUMBER('Scenario'!$J$11),ISNUMBER('Scenario'!$J$12)),ROUND(MIN('Scenario'!$J$11+'Scenario'!$J$12,100),12),"")</f>
        <v/>
      </c>
      <c r="C20" s="176" t="inlineStr">
        <is>
          <t>&gt;5%</t>
        </is>
      </c>
      <c r="D20" s="177" t="inlineStr">
        <is>
          <t>1-5%</t>
        </is>
      </c>
      <c r="E20" s="178" t="inlineStr">
        <is>
          <t>&lt;1%</t>
        </is>
      </c>
    </row>
    <row r="21">
      <c r="A21" t="inlineStr">
        <is>
          <t>Route that applied</t>
        </is>
      </c>
      <c r="B21" s="175">
        <f>IF(OR('Scenario'!$J$14="Good",'Scenario'!$J$14="Fair",'Scenario'!$J$14="Poor"),"override score","automatic method")</f>
        <v/>
      </c>
    </row>
    <row r="22">
      <c r="A22" t="inlineStr">
        <is>
          <t>Computed rating (before the override score)</t>
        </is>
      </c>
      <c r="F22" s="175">
        <f>IF(NOT(ISNUMBER('Metrics'!$B$20)),"",IF('Metrics'!$B$20&lt;1,"Poor",IF(AND('Metrics'!$B$20&gt;=1,'Metrics'!$B$20&lt;=5),"Fair",IF('Metrics'!$B$20&gt;5,"Good",""))))</f>
        <v/>
      </c>
    </row>
    <row r="23">
      <c r="A23" t="inlineStr">
        <is>
          <t>Override score (optional entry on the Scenario sheet)</t>
        </is>
      </c>
      <c r="B23" s="175">
        <f>IF('Scenario'!$J$14="","",'Scenario'!$J$14)</f>
        <v/>
      </c>
      <c r="H23" s="180" t="inlineStr">
        <is>
          <t>Replaces the computed rating, as a rating changed in the web application does.</t>
        </is>
      </c>
    </row>
    <row r="24">
      <c r="A24" t="inlineStr">
        <is>
          <t>Function rating</t>
        </is>
      </c>
      <c r="F24" s="181">
        <f>IF(OR('Scenario'!$J$14="Good",'Scenario'!$J$14="Fair",'Scenario'!$J$14="Poor"),'Scenario'!$J$14,'Metrics'!$F$22)</f>
        <v/>
      </c>
      <c r="G24" s="179">
        <f>IF('Metrics'!$F$24="Good",'Reference'!$B$102,IF('Metrics'!$F$24="Fair",'Reference'!$B$103,IF('Metrics'!$F$24="Poor",'Reference'!$B$104,"")))</f>
        <v/>
      </c>
      <c r="H24" s="180" t="inlineStr">
        <is>
          <t>All classes are required. A missing class is unknown, not zero.</t>
        </is>
      </c>
    </row>
    <row r="25">
      <c r="A25" t="inlineStr">
        <is>
          <t>Function score (0 to 15)</t>
        </is>
      </c>
      <c r="B25" s="181">
        <f>IF('Metrics'!$F$24="Good",'Reference'!$C$102,IF('Metrics'!$F$24="Fair",'Reference'!$C$103,IF('Metrics'!$F$24="Poor",'Reference'!$C$104,"")))</f>
        <v/>
      </c>
    </row>
    <row r="26">
      <c r="A26" t="inlineStr">
        <is>
          <t>Status</t>
        </is>
      </c>
      <c r="B26" s="175">
        <f>IF(OR('Scenario'!$J$14="Good",'Scenario'!$J$14="Fair",'Scenario'!$J$14="Poor"),"override score",IF('Metrics'!$F$24="","not rated","complete"))</f>
        <v/>
      </c>
    </row>
    <row r="28">
      <c r="A28" s="169" t="inlineStr">
        <is>
          <t>3. Reach inflow</t>
        </is>
      </c>
      <c r="B28" s="170" t="inlineStr">
        <is>
          <t>Road-density proxy for concentrated inflow pressure (road-density-inflow-pressure, threshold)</t>
        </is>
      </c>
    </row>
    <row r="29">
      <c r="A29" s="171" t="inlineStr">
        <is>
          <t>Item</t>
        </is>
      </c>
      <c r="B29" s="171" t="inlineStr">
        <is>
          <t>Value</t>
        </is>
      </c>
      <c r="C29" s="172" t="inlineStr">
        <is>
          <t>Good</t>
        </is>
      </c>
      <c r="D29" s="173" t="inlineStr">
        <is>
          <t>Fair</t>
        </is>
      </c>
      <c r="E29" s="174" t="inlineStr">
        <is>
          <t>Poor</t>
        </is>
      </c>
      <c r="F29" s="171" t="inlineStr">
        <is>
          <t>Rating</t>
        </is>
      </c>
      <c r="G29" s="171" t="inlineStr">
        <is>
          <t>Index</t>
        </is>
      </c>
      <c r="H29" s="171" t="inlineStr">
        <is>
          <t>Note</t>
        </is>
      </c>
    </row>
    <row r="30">
      <c r="A30" t="inlineStr">
        <is>
          <t>Watershed road density</t>
        </is>
      </c>
      <c r="B30" s="175">
        <f>IF('Scenario'!$J$15="","",'Scenario'!$J$15)</f>
        <v/>
      </c>
      <c r="C30" s="176" t="inlineStr">
        <is>
          <t>&lt;1 km/km²</t>
        </is>
      </c>
      <c r="D30" s="177" t="inlineStr">
        <is>
          <t>1-&lt;3 km/km²</t>
        </is>
      </c>
      <c r="E30" s="178" t="inlineStr">
        <is>
          <t>≥3 km/km²</t>
        </is>
      </c>
    </row>
    <row r="31">
      <c r="A31" t="inlineStr">
        <is>
          <t>Route that applied</t>
        </is>
      </c>
      <c r="B31" s="175">
        <f>IF(OR('Scenario'!$J$16="Good",'Scenario'!$J$16="Fair",'Scenario'!$J$16="Poor"),"override score","automatic method")</f>
        <v/>
      </c>
    </row>
    <row r="32">
      <c r="A32" t="inlineStr">
        <is>
          <t>Computed rating (before the override score)</t>
        </is>
      </c>
      <c r="F32" s="175">
        <f>IF(NOT(ISNUMBER('Scenario'!$J$15)),"",IF('Scenario'!$J$15&lt;1,"Good",IF(AND('Scenario'!$J$15&gt;=1,'Scenario'!$J$15&lt;3),"Fair",IF('Scenario'!$J$15&gt;=3,"Poor",""))))</f>
        <v/>
      </c>
    </row>
    <row r="33">
      <c r="A33" t="inlineStr">
        <is>
          <t>Override score (optional entry on the Scenario sheet)</t>
        </is>
      </c>
      <c r="B33" s="175">
        <f>IF('Scenario'!$J$16="","",'Scenario'!$J$16)</f>
        <v/>
      </c>
      <c r="H33" s="180" t="inlineStr">
        <is>
          <t>Replaces the computed rating, as a rating changed in the web application does.</t>
        </is>
      </c>
    </row>
    <row r="34">
      <c r="A34" t="inlineStr">
        <is>
          <t>Function rating</t>
        </is>
      </c>
      <c r="F34" s="181">
        <f>IF(OR('Scenario'!$J$16="Good",'Scenario'!$J$16="Fair",'Scenario'!$J$16="Poor"),'Scenario'!$J$16,'Metrics'!$F$32)</f>
        <v/>
      </c>
      <c r="G34" s="179">
        <f>IF('Metrics'!$F$34="Good",'Reference'!$B$102,IF('Metrics'!$F$34="Fair",'Reference'!$B$103,IF('Metrics'!$F$34="Poor",'Reference'!$B$104,"")))</f>
        <v/>
      </c>
    </row>
    <row r="35">
      <c r="A35" t="inlineStr">
        <is>
          <t>Function score (0 to 15)</t>
        </is>
      </c>
      <c r="B35" s="181">
        <f>IF('Metrics'!$F$34="Good",'Reference'!$C$102,IF('Metrics'!$F$34="Fair",'Reference'!$C$103,IF('Metrics'!$F$34="Poor",'Reference'!$C$104,"")))</f>
        <v/>
      </c>
    </row>
    <row r="36">
      <c r="A36" t="inlineStr">
        <is>
          <t>Status</t>
        </is>
      </c>
      <c r="B36" s="175">
        <f>IF(OR('Scenario'!$J$16="Good",'Scenario'!$J$16="Fair",'Scenario'!$J$16="Poor"),"override score",IF('Metrics'!$F$34="","not rated","complete"))</f>
        <v/>
      </c>
    </row>
    <row r="38">
      <c r="A38" s="169" t="inlineStr">
        <is>
          <t>4. Streamflow regime</t>
        </is>
      </c>
      <c r="B38" s="170" t="inlineStr">
        <is>
          <t>Flow alteration (degree of regulation) (degree-of-regulation, ratio)</t>
        </is>
      </c>
    </row>
    <row r="39">
      <c r="A39" s="171" t="inlineStr">
        <is>
          <t>Item</t>
        </is>
      </c>
      <c r="B39" s="171" t="inlineStr">
        <is>
          <t>Value</t>
        </is>
      </c>
      <c r="C39" s="172" t="inlineStr">
        <is>
          <t>Good</t>
        </is>
      </c>
      <c r="D39" s="173" t="inlineStr">
        <is>
          <t>Fair</t>
        </is>
      </c>
      <c r="E39" s="174" t="inlineStr">
        <is>
          <t>Poor</t>
        </is>
      </c>
      <c r="F39" s="171" t="inlineStr">
        <is>
          <t>Rating</t>
        </is>
      </c>
      <c r="G39" s="171" t="inlineStr">
        <is>
          <t>Index</t>
        </is>
      </c>
      <c r="H39" s="171" t="inlineStr">
        <is>
          <t>Note</t>
        </is>
      </c>
    </row>
    <row r="40">
      <c r="A40" t="inlineStr">
        <is>
          <t>Upstream normalized storage</t>
        </is>
      </c>
      <c r="B40" s="175">
        <f>IF('Scenario'!$J$17="","",'Scenario'!$J$17)</f>
        <v/>
      </c>
    </row>
    <row r="41">
      <c r="A41" t="inlineStr">
        <is>
          <t>Annual runoff</t>
        </is>
      </c>
      <c r="B41" s="175">
        <f>IF('Scenario'!$J$18="","",'Scenario'!$J$18)</f>
        <v/>
      </c>
    </row>
    <row r="42">
      <c r="A42" t="inlineStr">
        <is>
          <t>Degree of regulation (%)</t>
        </is>
      </c>
      <c r="B42" s="175">
        <f>IF(AND(ISNUMBER('Scenario'!$J$17),ISNUMBER('Scenario'!$J$18),'Scenario'!$J$18&lt;&gt;0,'Scenario'!$J$18&gt;0),ROUND((100*'Scenario'!$J$17)/(1000*'Scenario'!$J$18),12),"")</f>
        <v/>
      </c>
      <c r="C42" s="176" t="inlineStr">
        <is>
          <t>&lt;2%</t>
        </is>
      </c>
      <c r="D42" s="177" t="inlineStr">
        <is>
          <t>2-15%</t>
        </is>
      </c>
      <c r="E42" s="178" t="inlineStr">
        <is>
          <t>&gt;15%</t>
        </is>
      </c>
    </row>
    <row r="43">
      <c r="A43" t="inlineStr">
        <is>
          <t>Route that applied</t>
        </is>
      </c>
      <c r="B43" s="175">
        <f>IF(OR('Scenario'!$J$20="Good",'Scenario'!$J$20="Fair",'Scenario'!$J$20="Poor"),"override score","automatic method")</f>
        <v/>
      </c>
    </row>
    <row r="44">
      <c r="A44" t="inlineStr">
        <is>
          <t>Computed rating (before the override score)</t>
        </is>
      </c>
      <c r="F44" s="175">
        <f>IF(NOT(ISNUMBER('Metrics'!$B$42)),"",IF('Metrics'!$B$42&lt;2,"Good",IF(AND('Metrics'!$B$42&gt;=2,'Metrics'!$B$42&lt;=15),"Fair",IF('Metrics'!$B$42&gt;15,"Poor",""))))</f>
        <v/>
      </c>
    </row>
    <row r="45">
      <c r="A45" t="inlineStr">
        <is>
          <t>Override score (optional entry on the Scenario sheet)</t>
        </is>
      </c>
      <c r="B45" s="175">
        <f>IF('Scenario'!$J$20="","",'Scenario'!$J$20)</f>
        <v/>
      </c>
      <c r="H45" s="180" t="inlineStr">
        <is>
          <t>Replaces the computed rating, as a rating changed in the web application does.</t>
        </is>
      </c>
    </row>
    <row r="46">
      <c r="A46" t="inlineStr">
        <is>
          <t>Function rating</t>
        </is>
      </c>
      <c r="F46" s="181">
        <f>IF(OR('Scenario'!$J$20="Good",'Scenario'!$J$20="Fair",'Scenario'!$J$20="Poor"),'Scenario'!$J$20,'Metrics'!$F$44)</f>
        <v/>
      </c>
      <c r="G46" s="179">
        <f>IF('Metrics'!$F$46="Good",'Reference'!$B$102,IF('Metrics'!$F$46="Fair",'Reference'!$B$103,IF('Metrics'!$F$46="Poor",'Reference'!$B$104,"")))</f>
        <v/>
      </c>
    </row>
    <row r="47">
      <c r="A47" t="inlineStr">
        <is>
          <t>Function score (0 to 15)</t>
        </is>
      </c>
      <c r="B47" s="181">
        <f>IF('Metrics'!$F$46="Good",'Reference'!$C$102,IF('Metrics'!$F$46="Fair",'Reference'!$C$103,IF('Metrics'!$F$46="Poor",'Reference'!$C$104,"")))</f>
        <v/>
      </c>
    </row>
    <row r="48">
      <c r="A48" t="inlineStr">
        <is>
          <t>Status</t>
        </is>
      </c>
      <c r="B48" s="175">
        <f>IF(OR('Scenario'!$J$20="Good",'Scenario'!$J$20="Fair",'Scenario'!$J$20="Poor"),"override score",IF('Metrics'!$F$46="","not rated","complete"))</f>
        <v/>
      </c>
    </row>
    <row r="50">
      <c r="A50" s="169" t="inlineStr">
        <is>
          <t>5. Low flow and baseflow dynamics</t>
        </is>
      </c>
      <c r="B50" s="170" t="inlineStr">
        <is>
          <t>Low-flow condition (erom-flow-variability, threshold)</t>
        </is>
      </c>
    </row>
    <row r="51">
      <c r="A51" s="171" t="inlineStr">
        <is>
          <t>Item</t>
        </is>
      </c>
      <c r="B51" s="171" t="inlineStr">
        <is>
          <t>Value</t>
        </is>
      </c>
      <c r="C51" s="172" t="inlineStr">
        <is>
          <t>Good</t>
        </is>
      </c>
      <c r="D51" s="173" t="inlineStr">
        <is>
          <t>Fair</t>
        </is>
      </c>
      <c r="E51" s="174" t="inlineStr">
        <is>
          <t>Poor</t>
        </is>
      </c>
      <c r="F51" s="171" t="inlineStr">
        <is>
          <t>Rating</t>
        </is>
      </c>
      <c r="G51" s="171" t="inlineStr">
        <is>
          <t>Index</t>
        </is>
      </c>
      <c r="H51" s="171" t="inlineStr">
        <is>
          <t>Note</t>
        </is>
      </c>
    </row>
    <row r="52">
      <c r="A52" t="inlineStr">
        <is>
          <t>Monthly flow variability</t>
        </is>
      </c>
      <c r="B52" s="175">
        <f>IF('Scenario'!$J$21="","",'Scenario'!$J$21)</f>
        <v/>
      </c>
      <c r="C52" s="176">
        <f>IF(NOT(ISNUMBER('Metrics'!$B$54)),"","≤"&amp;ROUND(INDEX('Reference'!$U$58:$U$91,'Metrics'!$B$54),2))</f>
        <v/>
      </c>
      <c r="D52" s="177">
        <f>IF(NOT(ISNUMBER('Metrics'!$B$54)),"","&gt;"&amp;ROUND(INDEX('Reference'!$U$58:$U$91,'Metrics'!$B$54),2)&amp;"-≤"&amp;ROUND(INDEX('Reference'!$T$58:$T$91,'Metrics'!$B$54),2))</f>
        <v/>
      </c>
      <c r="E52" s="178">
        <f>IF(NOT(ISNUMBER('Metrics'!$B$54)),"","&gt;"&amp;ROUND(INDEX('Reference'!$T$58:$T$91,'Metrics'!$B$54),2))</f>
        <v/>
      </c>
    </row>
    <row r="53">
      <c r="A53" t="inlineStr">
        <is>
          <t>Expected NHD flow regime (context only)</t>
        </is>
      </c>
      <c r="B53" s="175">
        <f>IF('Scenario'!$B$4="","",'Scenario'!$B$4)</f>
        <v/>
      </c>
    </row>
    <row r="54">
      <c r="A54" s="170" t="inlineStr">
        <is>
          <t>Reference curve used (flow-variability, nars9, national fallback)</t>
        </is>
      </c>
      <c r="B54" s="175">
        <f>IFERROR(MATCH("flow-variability|"&amp;'Scenario'!$K$3,'Reference'!$A$58:$A$91,0),MATCH("flow-variability|national",'Reference'!$A$58:$A$91,0))</f>
        <v/>
      </c>
      <c r="H54" s="182">
        <f>INDEX('Reference'!$A$58:$A$91,'Metrics'!$B$54)</f>
        <v/>
      </c>
    </row>
    <row r="55">
      <c r="A55" s="170" t="inlineStr">
        <is>
          <t>Curve index (interpolated, 0 to 1; Good at or above 0.69, Fair at or above 0.39)</t>
        </is>
      </c>
      <c r="B55" s="183">
        <f>IF(NOT(ISNUMBER('Scenario'!$J$21)),"",MAX(0,MIN(1,IF('Scenario'!$J$21&lt;=INDEX('Reference'!$G$58:$G$91,'Metrics'!$B$54),INDEX('Reference'!$L$58:$L$91,'Metrics'!$B$54),IF('Scenario'!$J$21&gt;=INDEX('Reference'!$K$58:$K$91,'Metrics'!$B$54),INDEX('Reference'!$P$58:$P$91,'Metrics'!$B$54),IF('Scenario'!$J$21&lt;=INDEX('Reference'!$H$58:$H$91,'Metrics'!$B$54),INDEX('Reference'!$L$58:$L$91,'Metrics'!$B$54)+(('Scenario'!$J$21-INDEX('Reference'!$G$58:$G$91,'Metrics'!$B$54))/(INDEX('Reference'!$H$58:$H$91,'Metrics'!$B$54)-INDEX('Reference'!$G$58:$G$91,'Metrics'!$B$54)))*(INDEX('Reference'!$M$58:$M$91,'Metrics'!$B$54)-INDEX('Reference'!$L$58:$L$91,'Metrics'!$B$54)),IF('Scenario'!$J$21&lt;=INDEX('Reference'!$I$58:$I$91,'Metrics'!$B$54),INDEX('Reference'!$M$58:$M$91,'Metrics'!$B$54)+(('Scenario'!$J$21-INDEX('Reference'!$H$58:$H$91,'Metrics'!$B$54))/(INDEX('Reference'!$I$58:$I$91,'Metrics'!$B$54)-INDEX('Reference'!$H$58:$H$91,'Metrics'!$B$54)))*(INDEX('Reference'!$N$58:$N$91,'Metrics'!$B$54)-INDEX('Reference'!$M$58:$M$91,'Metrics'!$B$54)),IF('Scenario'!$J$21&lt;=INDEX('Reference'!$J$58:$J$91,'Metrics'!$B$54),INDEX('Reference'!$N$58:$N$91,'Metrics'!$B$54)+(('Scenario'!$J$21-INDEX('Reference'!$I$58:$I$91,'Metrics'!$B$54))/(INDEX('Reference'!$J$58:$J$91,'Metrics'!$B$54)-INDEX('Reference'!$I$58:$I$91,'Metrics'!$B$54)))*(INDEX('Reference'!$O$58:$O$91,'Metrics'!$B$54)-INDEX('Reference'!$N$58:$N$91,'Metrics'!$B$54)),INDEX('Reference'!$O$58:$O$91,'Metrics'!$B$54)+(('Scenario'!$J$21-INDEX('Reference'!$J$58:$J$91,'Metrics'!$B$54))/(INDEX('Reference'!$K$58:$K$91,'Metrics'!$B$54)-INDEX('Reference'!$J$58:$J$91,'Metrics'!$B$54)))*(INDEX('Reference'!$P$58:$P$91,'Metrics'!$B$54)-INDEX('Reference'!$O$58:$O$91,'Metrics'!$B$54))))))))))</f>
        <v/>
      </c>
    </row>
    <row r="56">
      <c r="A56" t="inlineStr">
        <is>
          <t>Route that applied</t>
        </is>
      </c>
      <c r="B56" s="175">
        <f>IF(OR('Scenario'!$J$22="Good",'Scenario'!$J$22="Fair",'Scenario'!$J$22="Poor"),"override score","automatic method")</f>
        <v/>
      </c>
    </row>
    <row r="57">
      <c r="A57" t="inlineStr">
        <is>
          <t>Computed rating (before the override score)</t>
        </is>
      </c>
      <c r="F57" s="175">
        <f>IF(NOT(ISNUMBER('Metrics'!$B$55)),"",IF('Metrics'!$B$55&gt;=0.69,"Good",IF('Metrics'!$B$55&gt;=0.39,"Fair","Poor")))</f>
        <v/>
      </c>
    </row>
    <row r="58">
      <c r="A58" t="inlineStr">
        <is>
          <t>Override score (optional entry on the Scenario sheet)</t>
        </is>
      </c>
      <c r="B58" s="175">
        <f>IF('Scenario'!$J$22="","",'Scenario'!$J$22)</f>
        <v/>
      </c>
      <c r="H58" s="180" t="inlineStr">
        <is>
          <t>Replaces the computed rating, as a rating changed in the web application does.</t>
        </is>
      </c>
    </row>
    <row r="59">
      <c r="A59" t="inlineStr">
        <is>
          <t>Function rating</t>
        </is>
      </c>
      <c r="F59" s="181">
        <f>IF(OR('Scenario'!$J$22="Good",'Scenario'!$J$22="Fair",'Scenario'!$J$22="Poor"),'Scenario'!$J$22,'Metrics'!$F$57)</f>
        <v/>
      </c>
      <c r="G59" s="179">
        <f>IF('Metrics'!$F$59="Good",'Reference'!$B$102,IF('Metrics'!$F$59="Fair",'Reference'!$B$103,IF('Metrics'!$F$59="Poor",'Reference'!$B$104,"")))</f>
        <v/>
      </c>
      <c r="H59" s="180" t="inlineStr">
        <is>
          <t>Unvalidated screening proxy: monthly flow variability, lower is better, rated on the regional curve with the national fallback.</t>
        </is>
      </c>
    </row>
    <row r="60">
      <c r="A60" t="inlineStr">
        <is>
          <t>Function score (0 to 15)</t>
        </is>
      </c>
      <c r="B60" s="181">
        <f>IF('Metrics'!$F$59="Good",'Reference'!$C$102,IF('Metrics'!$F$59="Fair",'Reference'!$C$103,IF('Metrics'!$F$59="Poor",'Reference'!$C$104,"")))</f>
        <v/>
      </c>
    </row>
    <row r="61">
      <c r="A61" t="inlineStr">
        <is>
          <t>Status</t>
        </is>
      </c>
      <c r="B61" s="175">
        <f>IF(OR('Scenario'!$J$22="Good",'Scenario'!$J$22="Fair",'Scenario'!$J$22="Poor"),"override score",IF('Metrics'!$F$59="","not rated","complete"))</f>
        <v/>
      </c>
    </row>
    <row r="63">
      <c r="A63" s="169" t="inlineStr">
        <is>
          <t>6. High flow dynamics</t>
        </is>
      </c>
      <c r="B63" s="170" t="inlineStr">
        <is>
          <t>Floodplain engagement (bank-height ratio) (bank-height-ratio, threshold)</t>
        </is>
      </c>
    </row>
    <row r="64">
      <c r="A64" s="171" t="inlineStr">
        <is>
          <t>Item</t>
        </is>
      </c>
      <c r="B64" s="171" t="inlineStr">
        <is>
          <t>Value</t>
        </is>
      </c>
      <c r="C64" s="172" t="inlineStr">
        <is>
          <t>Good</t>
        </is>
      </c>
      <c r="D64" s="173" t="inlineStr">
        <is>
          <t>Fair</t>
        </is>
      </c>
      <c r="E64" s="174" t="inlineStr">
        <is>
          <t>Poor</t>
        </is>
      </c>
      <c r="F64" s="171" t="inlineStr">
        <is>
          <t>Rating</t>
        </is>
      </c>
      <c r="G64" s="171" t="inlineStr">
        <is>
          <t>Index</t>
        </is>
      </c>
      <c r="H64" s="171" t="inlineStr">
        <is>
          <t>Note</t>
        </is>
      </c>
    </row>
    <row r="65">
      <c r="A65" t="inlineStr">
        <is>
          <t>Bank-height ratio</t>
        </is>
      </c>
      <c r="B65" s="175">
        <f>IF('Scenario'!$J$23="","",'Scenario'!$J$23)</f>
        <v/>
      </c>
      <c r="C65" s="176" t="inlineStr">
        <is>
          <t>≤1.3</t>
        </is>
      </c>
      <c r="D65" s="177" t="inlineStr">
        <is>
          <t>&gt;1.3-≤1.5</t>
        </is>
      </c>
      <c r="E65" s="178" t="inlineStr">
        <is>
          <t>&gt;1.5</t>
        </is>
      </c>
    </row>
    <row r="66">
      <c r="A66" t="inlineStr">
        <is>
          <t>Route that applied</t>
        </is>
      </c>
      <c r="B66" s="175">
        <f>IF(OR('Scenario'!$J$24="Good",'Scenario'!$J$24="Fair",'Scenario'!$J$24="Poor"),"override score","automatic method")</f>
        <v/>
      </c>
    </row>
    <row r="67">
      <c r="A67" t="inlineStr">
        <is>
          <t>Computed rating (before the override score)</t>
        </is>
      </c>
      <c r="F67" s="175">
        <f>IF(NOT(ISNUMBER('Scenario'!$J$23)),"",IF('Scenario'!$J$23&lt;=1.3,"Good",IF(AND('Scenario'!$J$23&gt;1.3,'Scenario'!$J$23&lt;=1.5),"Fair",IF('Scenario'!$J$23&gt;1.5,"Poor",""))))</f>
        <v/>
      </c>
    </row>
    <row r="68">
      <c r="A68" t="inlineStr">
        <is>
          <t>Override score (optional entry on the Scenario sheet)</t>
        </is>
      </c>
      <c r="B68" s="175">
        <f>IF('Scenario'!$J$24="","",'Scenario'!$J$24)</f>
        <v/>
      </c>
      <c r="H68" s="180" t="inlineStr">
        <is>
          <t>Replaces the computed rating, as a rating changed in the web application does.</t>
        </is>
      </c>
    </row>
    <row r="69">
      <c r="A69" t="inlineStr">
        <is>
          <t>Function rating</t>
        </is>
      </c>
      <c r="F69" s="181">
        <f>IF(OR('Scenario'!$J$24="Good",'Scenario'!$J$24="Fair",'Scenario'!$J$24="Poor"),'Scenario'!$J$24,'Metrics'!$F$67)</f>
        <v/>
      </c>
      <c r="G69" s="179">
        <f>IF('Metrics'!$F$69="Good",'Reference'!$B$102,IF('Metrics'!$F$69="Fair",'Reference'!$B$103,IF('Metrics'!$F$69="Poor",'Reference'!$B$104,"")))</f>
        <v/>
      </c>
      <c r="H69" s="180" t="inlineStr">
        <is>
          <t>Values below 1.0 warrant a check of the cross-section geometry.</t>
        </is>
      </c>
    </row>
    <row r="70">
      <c r="A70" t="inlineStr">
        <is>
          <t>Function score (0 to 15)</t>
        </is>
      </c>
      <c r="B70" s="181">
        <f>IF('Metrics'!$F$69="Good",'Reference'!$C$102,IF('Metrics'!$F$69="Fair",'Reference'!$C$103,IF('Metrics'!$F$69="Poor",'Reference'!$C$104,"")))</f>
        <v/>
      </c>
    </row>
    <row r="71">
      <c r="A71" t="inlineStr">
        <is>
          <t>Status</t>
        </is>
      </c>
      <c r="B71" s="175">
        <f>IF(OR('Scenario'!$J$24="Good",'Scenario'!$J$24="Fair",'Scenario'!$J$24="Poor"),"override score",IF('Metrics'!$F$69="","not rated","complete"))</f>
        <v/>
      </c>
    </row>
    <row r="73">
      <c r="A73" s="169" t="inlineStr">
        <is>
          <t>7. Floodplain connectivity</t>
        </is>
      </c>
      <c r="B73" s="170" t="inlineStr">
        <is>
          <t>Floodplain access (entrenchment ratio) (entrenchment-ratio, threshold)</t>
        </is>
      </c>
    </row>
    <row r="74">
      <c r="A74" s="171" t="inlineStr">
        <is>
          <t>Item</t>
        </is>
      </c>
      <c r="B74" s="171" t="inlineStr">
        <is>
          <t>Value</t>
        </is>
      </c>
      <c r="C74" s="172" t="inlineStr">
        <is>
          <t>Good</t>
        </is>
      </c>
      <c r="D74" s="173" t="inlineStr">
        <is>
          <t>Fair</t>
        </is>
      </c>
      <c r="E74" s="174" t="inlineStr">
        <is>
          <t>Poor</t>
        </is>
      </c>
      <c r="F74" s="171" t="inlineStr">
        <is>
          <t>Rating</t>
        </is>
      </c>
      <c r="G74" s="171" t="inlineStr">
        <is>
          <t>Index</t>
        </is>
      </c>
      <c r="H74" s="171" t="inlineStr">
        <is>
          <t>Note</t>
        </is>
      </c>
    </row>
    <row r="75">
      <c r="A75" t="inlineStr">
        <is>
          <t>Entrenchment ratio</t>
        </is>
      </c>
      <c r="B75" s="175">
        <f>IF('Scenario'!$J$25="","",'Scenario'!$J$25)</f>
        <v/>
      </c>
      <c r="C75" s="176">
        <f>IF(NOT(ISNUMBER('Metrics'!$B$76)),"","≥"&amp;ROUND(INDEX('Reference'!$U$58:$U$91,'Metrics'!$B$76),2))</f>
        <v/>
      </c>
      <c r="D75" s="177">
        <f>IF(NOT(ISNUMBER('Metrics'!$B$76)),"",ROUND(INDEX('Reference'!$T$58:$T$91,'Metrics'!$B$76),2)&amp;"-&lt;"&amp;ROUND(INDEX('Reference'!$U$58:$U$91,'Metrics'!$B$76),2))</f>
        <v/>
      </c>
      <c r="E75" s="178">
        <f>IF(NOT(ISNUMBER('Metrics'!$B$76)),"","&lt;"&amp;ROUND(INDEX('Reference'!$T$58:$T$91,'Metrics'!$B$76),2))</f>
        <v/>
      </c>
    </row>
    <row r="76">
      <c r="A76" s="170" t="inlineStr">
        <is>
          <t>Reference curve used (entrenchment, slope_class, national fallback)</t>
        </is>
      </c>
      <c r="B76" s="175">
        <f>IFERROR(MATCH("entrenchment|"&amp;'Scenario'!$K$4,'Reference'!$A$58:$A$91,0),MATCH("entrenchment|national",'Reference'!$A$58:$A$91,0))</f>
        <v/>
      </c>
      <c r="H76" s="182">
        <f>INDEX('Reference'!$A$58:$A$91,'Metrics'!$B$76)</f>
        <v/>
      </c>
    </row>
    <row r="77">
      <c r="A77" s="170" t="inlineStr">
        <is>
          <t>Curve index (interpolated, 0 to 1; Good at or above 0.69, Fair at or above 0.39)</t>
        </is>
      </c>
      <c r="B77" s="183">
        <f>IF(NOT(ISNUMBER('Scenario'!$J$25)),"",MAX(0,MIN(1,IF('Scenario'!$J$25&lt;=INDEX('Reference'!$G$58:$G$91,'Metrics'!$B$76),INDEX('Reference'!$L$58:$L$91,'Metrics'!$B$76),IF('Scenario'!$J$25&gt;=INDEX('Reference'!$K$58:$K$91,'Metrics'!$B$76),INDEX('Reference'!$P$58:$P$91,'Metrics'!$B$76),IF('Scenario'!$J$25&lt;=INDEX('Reference'!$H$58:$H$91,'Metrics'!$B$76),INDEX('Reference'!$L$58:$L$91,'Metrics'!$B$76)+(('Scenario'!$J$25-INDEX('Reference'!$G$58:$G$91,'Metrics'!$B$76))/(INDEX('Reference'!$H$58:$H$91,'Metrics'!$B$76)-INDEX('Reference'!$G$58:$G$91,'Metrics'!$B$76)))*(INDEX('Reference'!$M$58:$M$91,'Metrics'!$B$76)-INDEX('Reference'!$L$58:$L$91,'Metrics'!$B$76)),IF('Scenario'!$J$25&lt;=INDEX('Reference'!$I$58:$I$91,'Metrics'!$B$76),INDEX('Reference'!$M$58:$M$91,'Metrics'!$B$76)+(('Scenario'!$J$25-INDEX('Reference'!$H$58:$H$91,'Metrics'!$B$76))/(INDEX('Reference'!$I$58:$I$91,'Metrics'!$B$76)-INDEX('Reference'!$H$58:$H$91,'Metrics'!$B$76)))*(INDEX('Reference'!$N$58:$N$91,'Metrics'!$B$76)-INDEX('Reference'!$M$58:$M$91,'Metrics'!$B$76)),IF('Scenario'!$J$25&lt;=INDEX('Reference'!$J$58:$J$91,'Metrics'!$B$76),INDEX('Reference'!$N$58:$N$91,'Metrics'!$B$76)+(('Scenario'!$J$25-INDEX('Reference'!$I$58:$I$91,'Metrics'!$B$76))/(INDEX('Reference'!$J$58:$J$91,'Metrics'!$B$76)-INDEX('Reference'!$I$58:$I$91,'Metrics'!$B$76)))*(INDEX('Reference'!$O$58:$O$91,'Metrics'!$B$76)-INDEX('Reference'!$N$58:$N$91,'Metrics'!$B$76)),INDEX('Reference'!$O$58:$O$91,'Metrics'!$B$76)+(('Scenario'!$J$25-INDEX('Reference'!$J$58:$J$91,'Metrics'!$B$76))/(INDEX('Reference'!$K$58:$K$91,'Metrics'!$B$76)-INDEX('Reference'!$J$58:$J$91,'Metrics'!$B$76)))*(INDEX('Reference'!$P$58:$P$91,'Metrics'!$B$76)-INDEX('Reference'!$O$58:$O$91,'Metrics'!$B$76))))))))))</f>
        <v/>
      </c>
    </row>
    <row r="78">
      <c r="A78" t="inlineStr">
        <is>
          <t>Route that applied</t>
        </is>
      </c>
      <c r="B78" s="175">
        <f>IF(OR('Scenario'!$J$27="Good",'Scenario'!$J$27="Fair",'Scenario'!$J$27="Poor"),"override score","automatic method")</f>
        <v/>
      </c>
    </row>
    <row r="79">
      <c r="A79" t="inlineStr">
        <is>
          <t>Computed rating (before the override score)</t>
        </is>
      </c>
      <c r="F79" s="175">
        <f>IF(NOT(ISNUMBER('Metrics'!$B$77)),"",IF('Metrics'!$B$77&gt;=0.69,"Good",IF('Metrics'!$B$77&gt;=0.39,"Fair","Poor")))</f>
        <v/>
      </c>
    </row>
    <row r="80">
      <c r="A80" t="inlineStr">
        <is>
          <t>Override score (optional entry on the Scenario sheet)</t>
        </is>
      </c>
      <c r="B80" s="175">
        <f>IF('Scenario'!$J$27="","",'Scenario'!$J$27)</f>
        <v/>
      </c>
      <c r="H80" s="180" t="inlineStr">
        <is>
          <t>Replaces the computed rating, as a rating changed in the web application does.</t>
        </is>
      </c>
    </row>
    <row r="81">
      <c r="A81" t="inlineStr">
        <is>
          <t>Function rating</t>
        </is>
      </c>
      <c r="F81" s="181">
        <f>IF(OR('Scenario'!$J$27="Good",'Scenario'!$J$27="Fair",'Scenario'!$J$27="Poor"),'Scenario'!$J$27,'Metrics'!$F$79)</f>
        <v/>
      </c>
      <c r="G81" s="179">
        <f>IF('Metrics'!$F$81="Good",'Reference'!$B$102,IF('Metrics'!$F$81="Fair",'Reference'!$B$103,IF('Metrics'!$F$81="Poor",'Reference'!$B$104,"")))</f>
        <v/>
      </c>
      <c r="H81" s="180" t="inlineStr">
        <is>
          <t>Rated on the slope-class curve, national fallback when the slope is unknown.</t>
        </is>
      </c>
    </row>
    <row r="82">
      <c r="A82" t="inlineStr">
        <is>
          <t>Function score (0 to 15)</t>
        </is>
      </c>
      <c r="B82" s="181">
        <f>IF('Metrics'!$F$81="Good",'Reference'!$C$102,IF('Metrics'!$F$81="Fair",'Reference'!$C$103,IF('Metrics'!$F$81="Poor",'Reference'!$C$104,"")))</f>
        <v/>
      </c>
    </row>
    <row r="83">
      <c r="A83" t="inlineStr">
        <is>
          <t>Status</t>
        </is>
      </c>
      <c r="B83" s="175">
        <f>IF(OR('Scenario'!$J$27="Good",'Scenario'!$J$27="Fair",'Scenario'!$J$27="Poor"),"override score",IF('Metrics'!$F$81="","not rated","complete"))</f>
        <v/>
      </c>
    </row>
    <row r="85">
      <c r="A85" s="169" t="inlineStr">
        <is>
          <t>8. Hyporheic connectivity</t>
        </is>
      </c>
      <c r="B85" s="170" t="inlineStr">
        <is>
          <t>Hyporheic-exchange potential (channel gradient or sinuosity) (hyporheic-exchange-potential, best_index)</t>
        </is>
      </c>
    </row>
    <row r="86">
      <c r="A86" s="171" t="inlineStr">
        <is>
          <t>Item</t>
        </is>
      </c>
      <c r="B86" s="171" t="inlineStr">
        <is>
          <t>Value</t>
        </is>
      </c>
      <c r="C86" s="172" t="inlineStr">
        <is>
          <t>Good</t>
        </is>
      </c>
      <c r="D86" s="173" t="inlineStr">
        <is>
          <t>Fair</t>
        </is>
      </c>
      <c r="E86" s="174" t="inlineStr">
        <is>
          <t>Poor</t>
        </is>
      </c>
      <c r="F86" s="171" t="inlineStr">
        <is>
          <t>Rating</t>
        </is>
      </c>
      <c r="G86" s="171" t="inlineStr">
        <is>
          <t>Index</t>
        </is>
      </c>
      <c r="H86" s="171" t="inlineStr">
        <is>
          <t>Note</t>
        </is>
      </c>
    </row>
    <row r="87">
      <c r="A87" t="inlineStr">
        <is>
          <t>Channel slope</t>
        </is>
      </c>
      <c r="B87" s="175">
        <f>IF('Scenario'!$J$26="","",'Scenario'!$J$26)</f>
        <v/>
      </c>
      <c r="C87" s="176" t="inlineStr">
        <is>
          <t>≥0.006 m/m</t>
        </is>
      </c>
      <c r="D87" s="177" t="inlineStr">
        <is>
          <t>0.003-&lt;0.006 m/m</t>
        </is>
      </c>
      <c r="E87" s="178" t="inlineStr">
        <is>
          <t>&lt;0.003 m/m</t>
        </is>
      </c>
      <c r="F87" s="175">
        <f>IF(NOT(ISNUMBER('Scenario'!$J$26)),"",IF('Scenario'!$J$26&lt;0.003,"Poor",IF(AND('Scenario'!$J$26&gt;=0.003,'Scenario'!$J$26&lt;0.006),"Fair",IF('Scenario'!$J$26&gt;=0.006,"Good",""))))</f>
        <v/>
      </c>
      <c r="G87" s="179">
        <f>IF('Metrics'!$F$87="Good",'Reference'!$B$102,IF('Metrics'!$F$87="Fair",'Reference'!$B$103,IF('Metrics'!$F$87="Poor",'Reference'!$B$104,"")))</f>
        <v/>
      </c>
    </row>
    <row r="88">
      <c r="A88" t="inlineStr">
        <is>
          <t>Reach sinuosity</t>
        </is>
      </c>
      <c r="B88" s="175">
        <f>IF('Scenario'!$J$29="","",'Scenario'!$J$29)</f>
        <v/>
      </c>
      <c r="C88" s="176" t="inlineStr">
        <is>
          <t>≥1.2</t>
        </is>
      </c>
      <c r="D88" s="177" t="inlineStr">
        <is>
          <t>1.05-&lt;1.2</t>
        </is>
      </c>
      <c r="E88" s="178" t="inlineStr">
        <is>
          <t>&lt;1.05</t>
        </is>
      </c>
      <c r="F88" s="175">
        <f>IF(NOT(ISNUMBER('Scenario'!$J$29)),"",IF('Scenario'!$J$29&lt;1.05,"Poor",IF(AND('Scenario'!$J$29&gt;=1.05,'Scenario'!$J$29&lt;1.2),"Fair",IF('Scenario'!$J$29&gt;=1.2,"Good",""))))</f>
        <v/>
      </c>
      <c r="G88" s="179">
        <f>IF('Metrics'!$F$88="Good",'Reference'!$B$102,IF('Metrics'!$F$88="Fair",'Reference'!$B$103,IF('Metrics'!$F$88="Poor",'Reference'!$B$104,"")))</f>
        <v/>
      </c>
    </row>
    <row r="89">
      <c r="A89" t="inlineStr">
        <is>
          <t>Governing input</t>
        </is>
      </c>
      <c r="B89" s="175">
        <f>IF('Metrics'!$B$90="","",INDEX('Metrics'!$A$87:$A$88,MATCH('Metrics'!$B$90,'Metrics'!$G$87:$G$88,0)))</f>
        <v/>
      </c>
    </row>
    <row r="90">
      <c r="A90" t="inlineStr">
        <is>
          <t>Combined rating index (the better pathway)</t>
        </is>
      </c>
      <c r="B90" s="179">
        <f>IF(COUNT('Metrics'!$G$87:$G$88)=0,"",MAX('Metrics'!$G$87:$G$88))</f>
        <v/>
      </c>
    </row>
    <row r="91">
      <c r="A91" t="inlineStr">
        <is>
          <t>Route that applied</t>
        </is>
      </c>
      <c r="B91" s="175">
        <f>IF(OR('Scenario'!$J$30="Good",'Scenario'!$J$30="Fair",'Scenario'!$J$30="Poor"),"override score","automatic method")</f>
        <v/>
      </c>
    </row>
    <row r="92">
      <c r="A92" t="inlineStr">
        <is>
          <t>Computed rating (before the override score)</t>
        </is>
      </c>
      <c r="F92" s="175">
        <f>IF(NOT(ISNUMBER('Metrics'!$B$90)),"",IF('Metrics'!$B$90='Reference'!$B$102,"Good",IF('Metrics'!$B$90='Reference'!$B$103,"Fair",IF('Metrics'!$B$90='Reference'!$B$104,"Poor",""))))</f>
        <v/>
      </c>
    </row>
    <row r="93">
      <c r="A93" t="inlineStr">
        <is>
          <t>Override score (optional entry on the Scenario sheet)</t>
        </is>
      </c>
      <c r="B93" s="175">
        <f>IF('Scenario'!$J$30="","",'Scenario'!$J$30)</f>
        <v/>
      </c>
      <c r="H93" s="180" t="inlineStr">
        <is>
          <t>Replaces the computed rating, as a rating changed in the web application does.</t>
        </is>
      </c>
    </row>
    <row r="94">
      <c r="A94" t="inlineStr">
        <is>
          <t>Function rating</t>
        </is>
      </c>
      <c r="F94" s="181">
        <f>IF(OR('Scenario'!$J$30="Good",'Scenario'!$J$30="Fair",'Scenario'!$J$30="Poor"),'Scenario'!$J$30,'Metrics'!$F$92)</f>
        <v/>
      </c>
      <c r="G94" s="179">
        <f>IF('Metrics'!$F$94="Good",'Reference'!$B$102,IF('Metrics'!$F$94="Fair",'Reference'!$B$103,IF('Metrics'!$F$94="Poor",'Reference'!$B$104,"")))</f>
        <v/>
      </c>
      <c r="H94" s="180" t="inlineStr">
        <is>
          <t>One valid pathway gives a partial rating.</t>
        </is>
      </c>
    </row>
    <row r="95">
      <c r="A95" t="inlineStr">
        <is>
          <t>Function score (0 to 15)</t>
        </is>
      </c>
      <c r="B95" s="181">
        <f>IF('Metrics'!$F$94="Good",'Reference'!$C$102,IF('Metrics'!$F$94="Fair",'Reference'!$C$103,IF('Metrics'!$F$94="Poor",'Reference'!$C$104,"")))</f>
        <v/>
      </c>
    </row>
    <row r="96">
      <c r="A96" t="inlineStr">
        <is>
          <t>Status</t>
        </is>
      </c>
      <c r="B96" s="175">
        <f>IF(OR('Scenario'!$J$30="Good",'Scenario'!$J$30="Fair",'Scenario'!$J$30="Poor"),"override score",IF(COUNT('Metrics'!$G$87:$G$88)=0,"not rated",IF(COUNT('Metrics'!$G$87:$G$88)&lt;2,"partial","complete")))</f>
        <v/>
      </c>
    </row>
    <row r="98">
      <c r="A98" s="169" t="inlineStr">
        <is>
          <t>9. Channel evolution</t>
        </is>
      </c>
      <c r="B98" s="170" t="inlineStr">
        <is>
          <t>Channel evolution (channel-adjustment-susceptibility, worst_index)</t>
        </is>
      </c>
    </row>
    <row r="99">
      <c r="A99" s="171" t="inlineStr">
        <is>
          <t>Item</t>
        </is>
      </c>
      <c r="B99" s="171" t="inlineStr">
        <is>
          <t>Value</t>
        </is>
      </c>
      <c r="C99" s="172" t="inlineStr">
        <is>
          <t>Good</t>
        </is>
      </c>
      <c r="D99" s="173" t="inlineStr">
        <is>
          <t>Fair</t>
        </is>
      </c>
      <c r="E99" s="174" t="inlineStr">
        <is>
          <t>Poor</t>
        </is>
      </c>
      <c r="F99" s="171" t="inlineStr">
        <is>
          <t>Rating</t>
        </is>
      </c>
      <c r="G99" s="171" t="inlineStr">
        <is>
          <t>Index</t>
        </is>
      </c>
      <c r="H99" s="171" t="inlineStr">
        <is>
          <t>Note</t>
        </is>
      </c>
    </row>
    <row r="100">
      <c r="A100" t="inlineStr">
        <is>
          <t>Bank-height ratio</t>
        </is>
      </c>
      <c r="B100" s="175">
        <f>IF('Scenario'!$J$23="","",'Scenario'!$J$23)</f>
        <v/>
      </c>
      <c r="C100" s="176" t="inlineStr">
        <is>
          <t>≤1.3</t>
        </is>
      </c>
      <c r="D100" s="177" t="inlineStr">
        <is>
          <t>&gt;1.3-≤1.5</t>
        </is>
      </c>
      <c r="E100" s="178" t="inlineStr">
        <is>
          <t>&gt;1.5</t>
        </is>
      </c>
      <c r="F100" s="175">
        <f>IF(NOT(ISNUMBER('Scenario'!$J$23)),"",IF('Scenario'!$J$23&lt;=1.3,"Good",IF(AND('Scenario'!$J$23&gt;1.3,'Scenario'!$J$23&lt;=1.5),"Fair",IF('Scenario'!$J$23&gt;1.5,"Poor",""))))</f>
        <v/>
      </c>
      <c r="G100" s="179">
        <f>IF('Metrics'!$F$100="Good",'Reference'!$B$102,IF('Metrics'!$F$100="Fair",'Reference'!$B$103,IF('Metrics'!$F$100="Poor",'Reference'!$B$104,"")))</f>
        <v/>
      </c>
    </row>
    <row r="101">
      <c r="A101" s="170" t="inlineStr">
        <is>
          <t>Reference curve used (entrenchment, slope_class, national fallback)</t>
        </is>
      </c>
      <c r="B101" s="175">
        <f>IFERROR(MATCH("entrenchment|"&amp;'Scenario'!$K$4,'Reference'!$A$58:$A$91,0),MATCH("entrenchment|national",'Reference'!$A$58:$A$91,0))</f>
        <v/>
      </c>
      <c r="H101" s="182">
        <f>INDEX('Reference'!$A$58:$A$91,'Metrics'!$B$101)</f>
        <v/>
      </c>
    </row>
    <row r="102">
      <c r="A102" s="170" t="inlineStr">
        <is>
          <t>Curve index (interpolated, 0 to 1; Good at or above 0.69, Fair at or above 0.39)</t>
        </is>
      </c>
      <c r="B102" s="183">
        <f>IF(NOT(ISNUMBER('Scenario'!$J$25)),"",MAX(0,MIN(1,IF('Scenario'!$J$25&lt;=INDEX('Reference'!$G$58:$G$91,'Metrics'!$B$101),INDEX('Reference'!$L$58:$L$91,'Metrics'!$B$101),IF('Scenario'!$J$25&gt;=INDEX('Reference'!$K$58:$K$91,'Metrics'!$B$101),INDEX('Reference'!$P$58:$P$91,'Metrics'!$B$101),IF('Scenario'!$J$25&lt;=INDEX('Reference'!$H$58:$H$91,'Metrics'!$B$101),INDEX('Reference'!$L$58:$L$91,'Metrics'!$B$101)+(('Scenario'!$J$25-INDEX('Reference'!$G$58:$G$91,'Metrics'!$B$101))/(INDEX('Reference'!$H$58:$H$91,'Metrics'!$B$101)-INDEX('Reference'!$G$58:$G$91,'Metrics'!$B$101)))*(INDEX('Reference'!$M$58:$M$91,'Metrics'!$B$101)-INDEX('Reference'!$L$58:$L$91,'Metrics'!$B$101)),IF('Scenario'!$J$25&lt;=INDEX('Reference'!$I$58:$I$91,'Metrics'!$B$101),INDEX('Reference'!$M$58:$M$91,'Metrics'!$B$101)+(('Scenario'!$J$25-INDEX('Reference'!$H$58:$H$91,'Metrics'!$B$101))/(INDEX('Reference'!$I$58:$I$91,'Metrics'!$B$101)-INDEX('Reference'!$H$58:$H$91,'Metrics'!$B$101)))*(INDEX('Reference'!$N$58:$N$91,'Metrics'!$B$101)-INDEX('Reference'!$M$58:$M$91,'Metrics'!$B$101)),IF('Scenario'!$J$25&lt;=INDEX('Reference'!$J$58:$J$91,'Metrics'!$B$101),INDEX('Reference'!$N$58:$N$91,'Metrics'!$B$101)+(('Scenario'!$J$25-INDEX('Reference'!$I$58:$I$91,'Metrics'!$B$101))/(INDEX('Reference'!$J$58:$J$91,'Metrics'!$B$101)-INDEX('Reference'!$I$58:$I$91,'Metrics'!$B$101)))*(INDEX('Reference'!$O$58:$O$91,'Metrics'!$B$101)-INDEX('Reference'!$N$58:$N$91,'Metrics'!$B$101)),INDEX('Reference'!$O$58:$O$91,'Metrics'!$B$101)+(('Scenario'!$J$25-INDEX('Reference'!$J$58:$J$91,'Metrics'!$B$101))/(INDEX('Reference'!$K$58:$K$91,'Metrics'!$B$101)-INDEX('Reference'!$J$58:$J$91,'Metrics'!$B$101)))*(INDEX('Reference'!$P$58:$P$91,'Metrics'!$B$101)-INDEX('Reference'!$O$58:$O$91,'Metrics'!$B$101))))))))))</f>
        <v/>
      </c>
    </row>
    <row r="103">
      <c r="A103" t="inlineStr">
        <is>
          <t>Entrenchment ratio</t>
        </is>
      </c>
      <c r="B103" s="175">
        <f>IF('Scenario'!$J$25="","",'Scenario'!$J$25)</f>
        <v/>
      </c>
      <c r="C103" s="176">
        <f>IF(NOT(ISNUMBER('Metrics'!$B$101)),"","≥"&amp;ROUND(INDEX('Reference'!$U$58:$U$91,'Metrics'!$B$101),2))</f>
        <v/>
      </c>
      <c r="D103" s="177">
        <f>IF(NOT(ISNUMBER('Metrics'!$B$101)),"",ROUND(INDEX('Reference'!$T$58:$T$91,'Metrics'!$B$101),2)&amp;"-&lt;"&amp;ROUND(INDEX('Reference'!$U$58:$U$91,'Metrics'!$B$101),2))</f>
        <v/>
      </c>
      <c r="E103" s="178">
        <f>IF(NOT(ISNUMBER('Metrics'!$B$101)),"","&lt;"&amp;ROUND(INDEX('Reference'!$T$58:$T$91,'Metrics'!$B$101),2))</f>
        <v/>
      </c>
      <c r="F103" s="175">
        <f>IF(NOT(ISNUMBER('Metrics'!$B$102)),"",IF('Metrics'!$B$102&gt;=0.69,"Good",IF('Metrics'!$B$102&gt;=0.39,"Fair","Poor")))</f>
        <v/>
      </c>
      <c r="G103" s="179">
        <f>IF('Metrics'!$F$103="Good",'Reference'!$B$102,IF('Metrics'!$F$103="Fair",'Reference'!$B$103,IF('Metrics'!$F$103="Poor",'Reference'!$B$104,"")))</f>
        <v/>
      </c>
    </row>
    <row r="104">
      <c r="A104" t="inlineStr">
        <is>
          <t>Automatic proxy index (worse of BHR and ER, both required)</t>
        </is>
      </c>
      <c r="B104" s="179">
        <f>IF(COUNT('Metrics'!$G$100:$G$103)&lt;2,"",MIN('Metrics'!$G$100:$G$103))</f>
        <v/>
      </c>
    </row>
    <row r="105">
      <c r="A105" t="inlineStr">
        <is>
          <t>Route that applied</t>
        </is>
      </c>
      <c r="B105" s="175">
        <f>IF(AND(OR('Scenario'!$J$35="Good",'Scenario'!$J$35="Fair",'Scenario'!$J$35="Poor"),NOT(AND(OR('Scenario'!$J$33="Good",'Scenario'!$J$33="Fair",'Scenario'!$J$33="Poor"),LEN(TRIM('Scenario'!$J$34&amp;""))&gt;0))),"override score",IF(AND(OR('Scenario'!$J$33="Good",'Scenario'!$J$33="Fair",'Scenario'!$J$33="Poor"),LEN(TRIM('Scenario'!$J$34&amp;""))&gt;0),"observed channel class",IF(OR('Scenario'!$B$4=33600,'Scenario'!$B$4=33601,'Scenario'!$B$4=33603),"canal or ditch (FCODE)",IF('Metrics'!$B$104="","not rated","automatic proxy"))))</f>
        <v/>
      </c>
    </row>
    <row r="106">
      <c r="A106" t="inlineStr">
        <is>
          <t>Computed rating (before the override score)</t>
        </is>
      </c>
      <c r="F106" s="175">
        <f>IF(AND(OR('Scenario'!$J$33="Good",'Scenario'!$J$33="Fair",'Scenario'!$J$33="Poor"),LEN(TRIM('Scenario'!$J$34&amp;""))&gt;0),'Scenario'!$J$33,IF(OR('Scenario'!$B$4=33600,'Scenario'!$B$4=33601,'Scenario'!$B$4=33603),"Poor",IF(NOT(ISNUMBER('Metrics'!$B$104)),"",IF('Metrics'!$B$104='Reference'!$B$102,"Good",IF('Metrics'!$B$104='Reference'!$B$103,"Fair",IF('Metrics'!$B$104='Reference'!$B$104,"Poor",""))))))</f>
        <v/>
      </c>
    </row>
    <row r="107">
      <c r="A107" t="inlineStr">
        <is>
          <t>Override score (optional entry on the Scenario sheet)</t>
        </is>
      </c>
      <c r="B107" s="175">
        <f>IF('Scenario'!$J$35="","",'Scenario'!$J$35)</f>
        <v/>
      </c>
      <c r="H107" s="180" t="inlineStr">
        <is>
          <t>Replaces the computed rating, as a rating changed in the web application does. Complete observed entries take precedence.</t>
        </is>
      </c>
    </row>
    <row r="108">
      <c r="A108" t="inlineStr">
        <is>
          <t>Function rating</t>
        </is>
      </c>
      <c r="F108" s="181">
        <f>IF(AND(OR('Scenario'!$J$35="Good",'Scenario'!$J$35="Fair",'Scenario'!$J$35="Poor"),NOT(AND(OR('Scenario'!$J$33="Good",'Scenario'!$J$33="Fair",'Scenario'!$J$33="Poor"),LEN(TRIM('Scenario'!$J$34&amp;""))&gt;0))),'Scenario'!$J$35,'Metrics'!$F$106)</f>
        <v/>
      </c>
      <c r="G108" s="179">
        <f>IF('Metrics'!$F$108="Good",'Reference'!$B$102,IF('Metrics'!$F$108="Fair",'Reference'!$B$103,IF('Metrics'!$F$108="Poor",'Reference'!$B$104,"")))</f>
        <v/>
      </c>
      <c r="H108" s="180" t="inlineStr">
        <is>
          <t>Observed class with a note replaces the proxy; canal and ditch feature codes rate Poor.</t>
        </is>
      </c>
    </row>
    <row r="109">
      <c r="A109" t="inlineStr">
        <is>
          <t>Function score (0 to 15)</t>
        </is>
      </c>
      <c r="B109" s="181">
        <f>IF('Metrics'!$F$108="Good",'Reference'!$C$102,IF('Metrics'!$F$108="Fair",'Reference'!$C$103,IF('Metrics'!$F$108="Poor",'Reference'!$C$104,"")))</f>
        <v/>
      </c>
    </row>
    <row r="110">
      <c r="A110" t="inlineStr">
        <is>
          <t>Status</t>
        </is>
      </c>
      <c r="B110" s="175">
        <f>IF(AND(OR('Scenario'!$J$35="Good",'Scenario'!$J$35="Fair",'Scenario'!$J$35="Poor"),NOT(AND(OR('Scenario'!$J$33="Good",'Scenario'!$J$33="Fair",'Scenario'!$J$33="Poor"),LEN(TRIM('Scenario'!$J$34&amp;""))&gt;0))),"override score",IF('Metrics'!$F$108="","not rated","complete"))</f>
        <v/>
      </c>
    </row>
    <row r="112">
      <c r="A112" s="169" t="inlineStr">
        <is>
          <t>10. Channel and floodplain dynamics</t>
        </is>
      </c>
      <c r="B112" s="170" t="inlineStr">
        <is>
          <t>Bank erosion and armoring (bhr-bank-instability-susceptibility, threshold)</t>
        </is>
      </c>
    </row>
    <row r="113">
      <c r="A113" s="171" t="inlineStr">
        <is>
          <t>Item</t>
        </is>
      </c>
      <c r="B113" s="171" t="inlineStr">
        <is>
          <t>Value</t>
        </is>
      </c>
      <c r="C113" s="172" t="inlineStr">
        <is>
          <t>Good</t>
        </is>
      </c>
      <c r="D113" s="173" t="inlineStr">
        <is>
          <t>Fair</t>
        </is>
      </c>
      <c r="E113" s="174" t="inlineStr">
        <is>
          <t>Poor</t>
        </is>
      </c>
      <c r="F113" s="171" t="inlineStr">
        <is>
          <t>Rating</t>
        </is>
      </c>
      <c r="G113" s="171" t="inlineStr">
        <is>
          <t>Index</t>
        </is>
      </c>
      <c r="H113" s="171" t="inlineStr">
        <is>
          <t>Note</t>
        </is>
      </c>
    </row>
    <row r="114">
      <c r="A114" t="inlineStr">
        <is>
          <t>Bank-height ratio</t>
        </is>
      </c>
      <c r="B114" s="175">
        <f>IF('Scenario'!$J$23="","",'Scenario'!$J$23)</f>
        <v/>
      </c>
      <c r="C114" s="176" t="inlineStr">
        <is>
          <t>≤1.3</t>
        </is>
      </c>
      <c r="D114" s="177" t="inlineStr">
        <is>
          <t>&gt;1.3-≤1.5</t>
        </is>
      </c>
      <c r="E114" s="178" t="inlineStr">
        <is>
          <t>&gt;1.5</t>
        </is>
      </c>
    </row>
    <row r="115">
      <c r="A115" t="inlineStr">
        <is>
          <t>Observed eroding bank (%)</t>
        </is>
      </c>
      <c r="B115" s="175">
        <f>IF('Scenario'!$J$37="","",'Scenario'!$J$37)</f>
        <v/>
      </c>
      <c r="C115" s="176" t="inlineStr">
        <is>
          <t>&lt;5%</t>
        </is>
      </c>
      <c r="D115" s="177" t="inlineStr">
        <is>
          <t>5-&lt;60%</t>
        </is>
      </c>
      <c r="E115" s="178" t="inlineStr">
        <is>
          <t>≥60%</t>
        </is>
      </c>
      <c r="F115" s="175">
        <f>IF(NOT(ISNUMBER('Scenario'!$J$37)),"",IF('Scenario'!$J$37&lt;5,"Good",IF(AND('Scenario'!$J$37&gt;=5,'Scenario'!$J$37&lt;60),"Fair",IF('Scenario'!$J$37&gt;=60,"Poor",""))))</f>
        <v/>
      </c>
      <c r="G115" s="179">
        <f>IF('Metrics'!$F$115="Good",'Reference'!$B$102,IF('Metrics'!$F$115="Fair",'Reference'!$B$103,IF('Metrics'!$F$115="Poor",'Reference'!$B$104,"")))</f>
        <v/>
      </c>
    </row>
    <row r="116">
      <c r="A116" t="inlineStr">
        <is>
          <t>Observed armored bank (%)</t>
        </is>
      </c>
      <c r="B116" s="175">
        <f>IF('Scenario'!$J$38="","",'Scenario'!$J$38)</f>
        <v/>
      </c>
      <c r="C116" s="176" t="inlineStr">
        <is>
          <t>0%</t>
        </is>
      </c>
      <c r="D116" s="177" t="inlineStr">
        <is>
          <t>&gt;0-&lt;50%</t>
        </is>
      </c>
      <c r="E116" s="178" t="inlineStr">
        <is>
          <t>≥50%</t>
        </is>
      </c>
      <c r="F116" s="175">
        <f>IF(NOT(ISNUMBER('Scenario'!$J$38)),"",IF('Scenario'!$J$38&lt;=0,"Good",IF(AND('Scenario'!$J$38&gt;0,'Scenario'!$J$38&lt;50),"Fair",IF('Scenario'!$J$38&gt;=50,"Poor",""))))</f>
        <v/>
      </c>
      <c r="G116" s="179">
        <f>IF('Metrics'!$F$116="Good",'Reference'!$B$102,IF('Metrics'!$F$116="Fair",'Reference'!$B$103,IF('Metrics'!$F$116="Poor",'Reference'!$B$104,"")))</f>
        <v/>
      </c>
    </row>
    <row r="117">
      <c r="A117" t="inlineStr">
        <is>
          <t>Route that applied</t>
        </is>
      </c>
      <c r="B117" s="175">
        <f>IF(AND(OR('Scenario'!$J$39="Good",'Scenario'!$J$39="Fair",'Scenario'!$J$39="Poor"),NOT(AND(ISNUMBER('Scenario'!$J$37),ISNUMBER('Scenario'!$J$38)))),"override score",IF(AND(ISNUMBER('Scenario'!$J$37),ISNUMBER('Scenario'!$J$38)),"observed bank condition",IF(IF(NOT(ISNUMBER('Scenario'!$J$23)),"",IF('Scenario'!$J$23&lt;=1.3,"Good",IF(AND('Scenario'!$J$23&gt;1.3,'Scenario'!$J$23&lt;=1.5),"Fair",IF('Scenario'!$J$23&gt;1.5,"Poor",""))))="","not rated","automatic proxy")))</f>
        <v/>
      </c>
    </row>
    <row r="118">
      <c r="A118" t="inlineStr">
        <is>
          <t>Computed rating (before the override score)</t>
        </is>
      </c>
      <c r="F118" s="175">
        <f>IF(AND(ISNUMBER('Scenario'!$J$37),ISNUMBER('Scenario'!$J$38)),IF(NOT(ISNUMBER(MIN('Metrics'!$G$115,'Metrics'!$G$116))),"",IF(MIN('Metrics'!$G$115,'Metrics'!$G$116)='Reference'!$B$102,"Good",IF(MIN('Metrics'!$G$115,'Metrics'!$G$116)='Reference'!$B$103,"Fair",IF(MIN('Metrics'!$G$115,'Metrics'!$G$116)='Reference'!$B$104,"Poor","")))),IF(NOT(ISNUMBER('Scenario'!$J$23)),"",IF('Scenario'!$J$23&lt;=1.3,"Good",IF(AND('Scenario'!$J$23&gt;1.3,'Scenario'!$J$23&lt;=1.5),"Fair",IF('Scenario'!$J$23&gt;1.5,"Poor","")))))</f>
        <v/>
      </c>
    </row>
    <row r="119">
      <c r="A119" t="inlineStr">
        <is>
          <t>Override score (optional entry on the Scenario sheet)</t>
        </is>
      </c>
      <c r="B119" s="175">
        <f>IF('Scenario'!$J$39="","",'Scenario'!$J$39)</f>
        <v/>
      </c>
      <c r="H119" s="180" t="inlineStr">
        <is>
          <t>Replaces the computed rating, as a rating changed in the web application does. Complete observed entries take precedence.</t>
        </is>
      </c>
    </row>
    <row r="120">
      <c r="A120" t="inlineStr">
        <is>
          <t>Function rating</t>
        </is>
      </c>
      <c r="F120" s="181">
        <f>IF(AND(OR('Scenario'!$J$39="Good",'Scenario'!$J$39="Fair",'Scenario'!$J$39="Poor"),NOT(AND(ISNUMBER('Scenario'!$J$37),ISNUMBER('Scenario'!$J$38)))),'Scenario'!$J$39,'Metrics'!$F$118)</f>
        <v/>
      </c>
      <c r="G120" s="179">
        <f>IF('Metrics'!$F$120="Good",'Reference'!$B$102,IF('Metrics'!$F$120="Fair",'Reference'!$B$103,IF('Metrics'!$F$120="Poor",'Reference'!$B$104,"")))</f>
        <v/>
      </c>
      <c r="H120" s="180" t="inlineStr">
        <is>
          <t>Both observed bank percentages replace the BHR proxy; the worse component governs.</t>
        </is>
      </c>
    </row>
    <row r="121">
      <c r="A121" t="inlineStr">
        <is>
          <t>Function score (0 to 15)</t>
        </is>
      </c>
      <c r="B121" s="181">
        <f>IF('Metrics'!$F$120="Good",'Reference'!$C$102,IF('Metrics'!$F$120="Fair",'Reference'!$C$103,IF('Metrics'!$F$120="Poor",'Reference'!$C$104,"")))</f>
        <v/>
      </c>
    </row>
    <row r="122">
      <c r="A122" t="inlineStr">
        <is>
          <t>Status</t>
        </is>
      </c>
      <c r="B122" s="175">
        <f>IF(AND(OR('Scenario'!$J$39="Good",'Scenario'!$J$39="Fair",'Scenario'!$J$39="Poor"),NOT(AND(ISNUMBER('Scenario'!$J$37),ISNUMBER('Scenario'!$J$38)))),"override score",IF('Metrics'!$F$120="","not rated","complete"))</f>
        <v/>
      </c>
    </row>
    <row r="124">
      <c r="A124" s="169" t="inlineStr">
        <is>
          <t>11. Sediment continuity</t>
        </is>
      </c>
      <c r="B124" s="170" t="inlineStr">
        <is>
          <t>Sediment-supply potential (sediment-supply-potential, worst_index)</t>
        </is>
      </c>
    </row>
    <row r="125">
      <c r="A125" s="171" t="inlineStr">
        <is>
          <t>Item</t>
        </is>
      </c>
      <c r="B125" s="171" t="inlineStr">
        <is>
          <t>Value</t>
        </is>
      </c>
      <c r="C125" s="172" t="inlineStr">
        <is>
          <t>Good</t>
        </is>
      </c>
      <c r="D125" s="173" t="inlineStr">
        <is>
          <t>Fair</t>
        </is>
      </c>
      <c r="E125" s="174" t="inlineStr">
        <is>
          <t>Poor</t>
        </is>
      </c>
      <c r="F125" s="171" t="inlineStr">
        <is>
          <t>Rating</t>
        </is>
      </c>
      <c r="G125" s="171" t="inlineStr">
        <is>
          <t>Index</t>
        </is>
      </c>
      <c r="H125" s="171" t="inlineStr">
        <is>
          <t>Note</t>
        </is>
      </c>
    </row>
    <row r="126">
      <c r="A126" t="inlineStr">
        <is>
          <t>Agricultural cover</t>
        </is>
      </c>
      <c r="B126" s="175">
        <f>IF('Scenario'!$J$9="","",'Scenario'!$J$9)</f>
        <v/>
      </c>
      <c r="C126" s="176" t="inlineStr">
        <is>
          <t>&lt;30%</t>
        </is>
      </c>
      <c r="D126" s="177" t="inlineStr">
        <is>
          <t>30-50%</t>
        </is>
      </c>
      <c r="E126" s="178" t="inlineStr">
        <is>
          <t>&gt;50%</t>
        </is>
      </c>
      <c r="F126" s="175">
        <f>IF(NOT(ISNUMBER('Scenario'!$J$9)),"",IF('Scenario'!$J$9&lt;30,"Good",IF(AND('Scenario'!$J$9&gt;=30,'Scenario'!$J$9&lt;=50),"Fair",IF('Scenario'!$J$9&gt;50,"Poor",""))))</f>
        <v/>
      </c>
      <c r="G126" s="179">
        <f>IF('Metrics'!$F$126="Good",'Reference'!$B$102,IF('Metrics'!$F$126="Fair",'Reference'!$B$103,IF('Metrics'!$F$126="Poor",'Reference'!$B$104,"")))</f>
        <v/>
      </c>
    </row>
    <row r="127">
      <c r="A127" t="inlineStr">
        <is>
          <t>Soil erodibility K-factor</t>
        </is>
      </c>
      <c r="B127" s="175">
        <f>IF('Scenario'!$J$41="","",'Scenario'!$J$41)</f>
        <v/>
      </c>
      <c r="C127" s="176" t="inlineStr">
        <is>
          <t>&lt;0.25</t>
        </is>
      </c>
      <c r="D127" s="177" t="inlineStr">
        <is>
          <t>0.25-0.40</t>
        </is>
      </c>
      <c r="E127" s="178" t="inlineStr">
        <is>
          <t>&gt;0.40</t>
        </is>
      </c>
      <c r="F127" s="175">
        <f>IF(NOT(ISNUMBER('Scenario'!$J$41)),"",IF('Scenario'!$J$41&lt;0.25,"Good",IF(AND('Scenario'!$J$41&gt;=0.25,'Scenario'!$J$41&lt;=0.4),"Fair",IF('Scenario'!$J$41&gt;0.4,"Poor",""))))</f>
        <v/>
      </c>
      <c r="G127" s="179">
        <f>IF('Metrics'!$F$127="Good",'Reference'!$B$102,IF('Metrics'!$F$127="Fair",'Reference'!$B$103,IF('Metrics'!$F$127="Poor",'Reference'!$B$104,"")))</f>
        <v/>
      </c>
    </row>
    <row r="128">
      <c r="A128" t="inlineStr">
        <is>
          <t>Road density</t>
        </is>
      </c>
      <c r="B128" s="175">
        <f>IF('Scenario'!$J$15="","",'Scenario'!$J$15)</f>
        <v/>
      </c>
      <c r="C128" s="176" t="inlineStr">
        <is>
          <t>&lt;1.24 km/km²</t>
        </is>
      </c>
      <c r="D128" s="177" t="inlineStr">
        <is>
          <t>1.24-&lt;1.86 km/km²</t>
        </is>
      </c>
      <c r="E128" s="178" t="inlineStr">
        <is>
          <t>≥1.86 km/km²</t>
        </is>
      </c>
      <c r="F128" s="175">
        <f>IF(NOT(ISNUMBER('Scenario'!$J$15)),"",IF('Scenario'!$J$15&lt;1.24,"Good",IF(AND('Scenario'!$J$15&gt;=1.24,'Scenario'!$J$15&lt;1.86),"Fair",IF('Scenario'!$J$15&gt;=1.86,"Poor",""))))</f>
        <v/>
      </c>
      <c r="G128" s="179">
        <f>IF('Metrics'!$F$128="Good",'Reference'!$B$102,IF('Metrics'!$F$128="Fair",'Reference'!$B$103,IF('Metrics'!$F$128="Poor",'Reference'!$B$104,"")))</f>
        <v/>
      </c>
    </row>
    <row r="129">
      <c r="A129" t="inlineStr">
        <is>
          <t>Governing input</t>
        </is>
      </c>
      <c r="B129" s="175">
        <f>IF('Metrics'!$B$130="","",INDEX('Metrics'!$A$126:$A$128,MATCH('Metrics'!$B$130,'Metrics'!$G$126:$G$128,0)))</f>
        <v/>
      </c>
    </row>
    <row r="130">
      <c r="A130" t="inlineStr">
        <is>
          <t>Combined rating index (the more limiting input)</t>
        </is>
      </c>
      <c r="B130" s="179">
        <f>IF(COUNT('Metrics'!$G$126:$G$128)&lt;3,"",MIN('Metrics'!$G$126:$G$128))</f>
        <v/>
      </c>
    </row>
    <row r="131">
      <c r="A131" t="inlineStr">
        <is>
          <t>Route that applied</t>
        </is>
      </c>
      <c r="B131" s="175">
        <f>IF(OR('Scenario'!$J$43="Good",'Scenario'!$J$43="Fair",'Scenario'!$J$43="Poor"),"override score","automatic method")</f>
        <v/>
      </c>
    </row>
    <row r="132">
      <c r="A132" t="inlineStr">
        <is>
          <t>Computed rating (before the override score)</t>
        </is>
      </c>
      <c r="F132" s="175">
        <f>IF(NOT(ISNUMBER('Metrics'!$B$130)),"",IF('Metrics'!$B$130='Reference'!$B$102,"Good",IF('Metrics'!$B$130='Reference'!$B$103,"Fair",IF('Metrics'!$B$130='Reference'!$B$104,"Poor",""))))</f>
        <v/>
      </c>
    </row>
    <row r="133">
      <c r="A133" t="inlineStr">
        <is>
          <t>Override score (optional entry on the Scenario sheet)</t>
        </is>
      </c>
      <c r="B133" s="175">
        <f>IF('Scenario'!$J$43="","",'Scenario'!$J$43)</f>
        <v/>
      </c>
      <c r="H133" s="180" t="inlineStr">
        <is>
          <t>Replaces the computed rating, as a rating changed in the web application does.</t>
        </is>
      </c>
    </row>
    <row r="134">
      <c r="A134" t="inlineStr">
        <is>
          <t>Function rating</t>
        </is>
      </c>
      <c r="F134" s="181">
        <f>IF(OR('Scenario'!$J$43="Good",'Scenario'!$J$43="Fair",'Scenario'!$J$43="Poor"),'Scenario'!$J$43,'Metrics'!$F$132)</f>
        <v/>
      </c>
      <c r="G134" s="179">
        <f>IF('Metrics'!$F$134="Good",'Reference'!$B$102,IF('Metrics'!$F$134="Fair",'Reference'!$B$103,IF('Metrics'!$F$134="Poor",'Reference'!$B$104,"")))</f>
        <v/>
      </c>
      <c r="H134" s="180" t="inlineStr">
        <is>
          <t>All three inputs are required.</t>
        </is>
      </c>
    </row>
    <row r="135">
      <c r="A135" t="inlineStr">
        <is>
          <t>Function score (0 to 15)</t>
        </is>
      </c>
      <c r="B135" s="181">
        <f>IF('Metrics'!$F$134="Good",'Reference'!$C$102,IF('Metrics'!$F$134="Fair",'Reference'!$C$103,IF('Metrics'!$F$134="Poor",'Reference'!$C$104,"")))</f>
        <v/>
      </c>
    </row>
    <row r="136">
      <c r="A136" t="inlineStr">
        <is>
          <t>Status</t>
        </is>
      </c>
      <c r="B136" s="175">
        <f>IF(OR('Scenario'!$J$43="Good",'Scenario'!$J$43="Fair",'Scenario'!$J$43="Poor"),"override score",IF(COUNT('Metrics'!$G$126:$G$128)&lt;3,"not rated","complete"))</f>
        <v/>
      </c>
    </row>
    <row r="138">
      <c r="A138" s="169" t="inlineStr">
        <is>
          <t>12. Bed composition and large wood</t>
        </is>
      </c>
      <c r="B138" s="170" t="inlineStr">
        <is>
          <t>Substrate condition (watershed-agriculture-share, threshold)</t>
        </is>
      </c>
    </row>
    <row r="139">
      <c r="A139" s="171" t="inlineStr">
        <is>
          <t>Item</t>
        </is>
      </c>
      <c r="B139" s="171" t="inlineStr">
        <is>
          <t>Value</t>
        </is>
      </c>
      <c r="C139" s="172" t="inlineStr">
        <is>
          <t>Good</t>
        </is>
      </c>
      <c r="D139" s="173" t="inlineStr">
        <is>
          <t>Fair</t>
        </is>
      </c>
      <c r="E139" s="174" t="inlineStr">
        <is>
          <t>Poor</t>
        </is>
      </c>
      <c r="F139" s="171" t="inlineStr">
        <is>
          <t>Rating</t>
        </is>
      </c>
      <c r="G139" s="171" t="inlineStr">
        <is>
          <t>Index</t>
        </is>
      </c>
      <c r="H139" s="171" t="inlineStr">
        <is>
          <t>Note</t>
        </is>
      </c>
    </row>
    <row r="140">
      <c r="A140" t="inlineStr">
        <is>
          <t>Watershed agricultural cover</t>
        </is>
      </c>
      <c r="B140" s="175">
        <f>IF('Scenario'!$J$9="","",'Scenario'!$J$9)</f>
        <v/>
      </c>
      <c r="C140" s="176" t="inlineStr">
        <is>
          <t>&lt;30%</t>
        </is>
      </c>
      <c r="D140" s="177" t="inlineStr">
        <is>
          <t>30-50%</t>
        </is>
      </c>
      <c r="E140" s="178" t="inlineStr">
        <is>
          <t>&gt;50%</t>
        </is>
      </c>
    </row>
    <row r="141">
      <c r="A141" t="inlineStr">
        <is>
          <t>Route that applied</t>
        </is>
      </c>
      <c r="B141" s="175">
        <f>IF(OR('Scenario'!$J$45="Good",'Scenario'!$J$45="Fair",'Scenario'!$J$45="Poor"),"override score","automatic method")</f>
        <v/>
      </c>
    </row>
    <row r="142">
      <c r="A142" t="inlineStr">
        <is>
          <t>Computed rating (before the override score)</t>
        </is>
      </c>
      <c r="F142" s="175">
        <f>IF(NOT(ISNUMBER('Scenario'!$J$9)),"",IF('Scenario'!$J$9&lt;30,"Good",IF(AND('Scenario'!$J$9&gt;=30,'Scenario'!$J$9&lt;=50),"Fair",IF('Scenario'!$J$9&gt;50,"Poor",""))))</f>
        <v/>
      </c>
    </row>
    <row r="143">
      <c r="A143" t="inlineStr">
        <is>
          <t>Override score (optional entry on the Scenario sheet)</t>
        </is>
      </c>
      <c r="B143" s="175">
        <f>IF('Scenario'!$J$45="","",'Scenario'!$J$45)</f>
        <v/>
      </c>
      <c r="H143" s="180" t="inlineStr">
        <is>
          <t>Replaces the computed rating, as a rating changed in the web application does.</t>
        </is>
      </c>
    </row>
    <row r="144">
      <c r="A144" t="inlineStr">
        <is>
          <t>Function rating</t>
        </is>
      </c>
      <c r="F144" s="181">
        <f>IF(OR('Scenario'!$J$45="Good",'Scenario'!$J$45="Fair",'Scenario'!$J$45="Poor"),'Scenario'!$J$45,'Metrics'!$F$142)</f>
        <v/>
      </c>
      <c r="G144" s="179">
        <f>IF('Metrics'!$F$144="Good",'Reference'!$B$102,IF('Metrics'!$F$144="Fair",'Reference'!$B$103,IF('Metrics'!$F$144="Poor",'Reference'!$B$104,"")))</f>
        <v/>
      </c>
      <c r="H144" s="180" t="inlineStr">
        <is>
          <t>Pressure proxy sharing the agriculture input of Catchment hydrology; not a bed measurement.</t>
        </is>
      </c>
    </row>
    <row r="145">
      <c r="A145" t="inlineStr">
        <is>
          <t>Function score (0 to 15)</t>
        </is>
      </c>
      <c r="B145" s="181">
        <f>IF('Metrics'!$F$144="Good",'Reference'!$C$102,IF('Metrics'!$F$144="Fair",'Reference'!$C$103,IF('Metrics'!$F$144="Poor",'Reference'!$C$104,"")))</f>
        <v/>
      </c>
    </row>
    <row r="146">
      <c r="A146" t="inlineStr">
        <is>
          <t>Status</t>
        </is>
      </c>
      <c r="B146" s="175">
        <f>IF(OR('Scenario'!$J$45="Good",'Scenario'!$J$45="Fair",'Scenario'!$J$45="Poor"),"override score",IF('Metrics'!$F$144="","not rated","complete"))</f>
        <v/>
      </c>
    </row>
    <row r="148">
      <c r="A148" s="169" t="inlineStr">
        <is>
          <t>13. Light &amp; thermal regime</t>
        </is>
      </c>
      <c r="B148" s="170" t="inlineStr">
        <is>
          <t>Thermal-regulation vulnerability (thermal-regulation-vulnerability, worst_index)</t>
        </is>
      </c>
    </row>
    <row r="149">
      <c r="A149" s="171" t="inlineStr">
        <is>
          <t>Item</t>
        </is>
      </c>
      <c r="B149" s="171" t="inlineStr">
        <is>
          <t>Value</t>
        </is>
      </c>
      <c r="C149" s="172" t="inlineStr">
        <is>
          <t>Good</t>
        </is>
      </c>
      <c r="D149" s="173" t="inlineStr">
        <is>
          <t>Fair</t>
        </is>
      </c>
      <c r="E149" s="174" t="inlineStr">
        <is>
          <t>Poor</t>
        </is>
      </c>
      <c r="F149" s="171" t="inlineStr">
        <is>
          <t>Rating</t>
        </is>
      </c>
      <c r="G149" s="171" t="inlineStr">
        <is>
          <t>Index</t>
        </is>
      </c>
      <c r="H149" s="171" t="inlineStr">
        <is>
          <t>Note</t>
        </is>
      </c>
    </row>
    <row r="150">
      <c r="A150" s="170" t="inlineStr">
        <is>
          <t>Reference curve used (corridor-woody, nars9, national fallback)</t>
        </is>
      </c>
      <c r="B150" s="175">
        <f>IFERROR(MATCH("corridor-woody|"&amp;'Scenario'!$K$3,'Reference'!$A$58:$A$91,0),MATCH("corridor-woody|national",'Reference'!$A$58:$A$91,0))</f>
        <v/>
      </c>
      <c r="H150" s="182">
        <f>INDEX('Reference'!$A$58:$A$91,'Metrics'!$B$150)</f>
        <v/>
      </c>
    </row>
    <row r="151">
      <c r="A151" s="170" t="inlineStr">
        <is>
          <t>Curve index (interpolated, 0 to 1; Good at or above 0.69, Fair at or above 0.39)</t>
        </is>
      </c>
      <c r="B151" s="183">
        <f>IF(NOT(ISNUMBER('Scenario'!$J$46)),"",MAX(0,MIN(1,IF('Scenario'!$J$46&lt;=INDEX('Reference'!$G$58:$G$91,'Metrics'!$B$150),INDEX('Reference'!$L$58:$L$91,'Metrics'!$B$150),IF('Scenario'!$J$46&gt;=INDEX('Reference'!$K$58:$K$91,'Metrics'!$B$150),INDEX('Reference'!$P$58:$P$91,'Metrics'!$B$150),IF('Scenario'!$J$46&lt;=INDEX('Reference'!$H$58:$H$91,'Metrics'!$B$150),INDEX('Reference'!$L$58:$L$91,'Metrics'!$B$150)+(('Scenario'!$J$46-INDEX('Reference'!$G$58:$G$91,'Metrics'!$B$150))/(INDEX('Reference'!$H$58:$H$91,'Metrics'!$B$150)-INDEX('Reference'!$G$58:$G$91,'Metrics'!$B$150)))*(INDEX('Reference'!$M$58:$M$91,'Metrics'!$B$150)-INDEX('Reference'!$L$58:$L$91,'Metrics'!$B$150)),IF('Scenario'!$J$46&lt;=INDEX('Reference'!$I$58:$I$91,'Metrics'!$B$150),INDEX('Reference'!$M$58:$M$91,'Metrics'!$B$150)+(('Scenario'!$J$46-INDEX('Reference'!$H$58:$H$91,'Metrics'!$B$150))/(INDEX('Reference'!$I$58:$I$91,'Metrics'!$B$150)-INDEX('Reference'!$H$58:$H$91,'Metrics'!$B$150)))*(INDEX('Reference'!$N$58:$N$91,'Metrics'!$B$150)-INDEX('Reference'!$M$58:$M$91,'Metrics'!$B$150)),IF('Scenario'!$J$46&lt;=INDEX('Reference'!$J$58:$J$91,'Metrics'!$B$150),INDEX('Reference'!$N$58:$N$91,'Metrics'!$B$150)+(('Scenario'!$J$46-INDEX('Reference'!$I$58:$I$91,'Metrics'!$B$150))/(INDEX('Reference'!$J$58:$J$91,'Metrics'!$B$150)-INDEX('Reference'!$I$58:$I$91,'Metrics'!$B$150)))*(INDEX('Reference'!$O$58:$O$91,'Metrics'!$B$150)-INDEX('Reference'!$N$58:$N$91,'Metrics'!$B$150)),INDEX('Reference'!$O$58:$O$91,'Metrics'!$B$150)+(('Scenario'!$J$46-INDEX('Reference'!$J$58:$J$91,'Metrics'!$B$150))/(INDEX('Reference'!$K$58:$K$91,'Metrics'!$B$150)-INDEX('Reference'!$J$58:$J$91,'Metrics'!$B$150)))*(INDEX('Reference'!$P$58:$P$91,'Metrics'!$B$150)-INDEX('Reference'!$O$58:$O$91,'Metrics'!$B$150))))))))))</f>
        <v/>
      </c>
    </row>
    <row r="152">
      <c r="A152" t="inlineStr">
        <is>
          <t>Woody riparian cover</t>
        </is>
      </c>
      <c r="B152" s="175">
        <f>IF('Scenario'!$J$46="","",'Scenario'!$J$46)</f>
        <v/>
      </c>
      <c r="C152" s="176">
        <f>IF(NOT(ISNUMBER('Metrics'!$B$150)),"","≥"&amp;ROUND(INDEX('Reference'!$U$58:$U$91,'Metrics'!$B$150),1)&amp;"%")</f>
        <v/>
      </c>
      <c r="D152" s="177">
        <f>IF(NOT(ISNUMBER('Metrics'!$B$150)),"",ROUND(INDEX('Reference'!$T$58:$T$91,'Metrics'!$B$150),1)&amp;"-&lt;"&amp;ROUND(INDEX('Reference'!$U$58:$U$91,'Metrics'!$B$150),1)&amp;"%")</f>
        <v/>
      </c>
      <c r="E152" s="178">
        <f>IF(NOT(ISNUMBER('Metrics'!$B$150)),"","&lt;"&amp;ROUND(INDEX('Reference'!$T$58:$T$91,'Metrics'!$B$150),1)&amp;"%")</f>
        <v/>
      </c>
      <c r="F152" s="175">
        <f>IF(NOT(ISNUMBER('Metrics'!$B$151)),"",IF('Metrics'!$B$151&gt;=0.69,"Good",IF('Metrics'!$B$151&gt;=0.39,"Fair","Poor")))</f>
        <v/>
      </c>
      <c r="G152" s="179">
        <f>IF('Metrics'!$F$152="Good",'Reference'!$B$102,IF('Metrics'!$F$152="Fair",'Reference'!$B$103,IF('Metrics'!$F$152="Poor",'Reference'!$B$104,"")))</f>
        <v/>
      </c>
    </row>
    <row r="153">
      <c r="A153" t="inlineStr">
        <is>
          <t>Watershed impervious cover</t>
        </is>
      </c>
      <c r="B153" s="175">
        <f>IF('Scenario'!$J$8="","",'Scenario'!$J$8)</f>
        <v/>
      </c>
      <c r="C153" s="176" t="inlineStr">
        <is>
          <t>&lt;10%</t>
        </is>
      </c>
      <c r="D153" s="177" t="inlineStr">
        <is>
          <t>10-25%</t>
        </is>
      </c>
      <c r="E153" s="178" t="inlineStr">
        <is>
          <t>&gt;25%</t>
        </is>
      </c>
      <c r="F153" s="175">
        <f>IF(NOT(ISNUMBER('Scenario'!$J$8)),"",IF('Scenario'!$J$8&lt;10,"Good",IF(AND('Scenario'!$J$8&gt;=10,'Scenario'!$J$8&lt;=25),"Fair",IF('Scenario'!$J$8&gt;25,"Poor",""))))</f>
        <v/>
      </c>
      <c r="G153" s="179">
        <f>IF('Metrics'!$F$153="Good",'Reference'!$B$102,IF('Metrics'!$F$153="Fair",'Reference'!$B$103,IF('Metrics'!$F$153="Poor",'Reference'!$B$104,"")))</f>
        <v/>
      </c>
    </row>
    <row r="154">
      <c r="A154" t="inlineStr">
        <is>
          <t>Governing input</t>
        </is>
      </c>
      <c r="B154" s="175">
        <f>IF('Metrics'!$B$155="","",INDEX('Metrics'!$A$152:$A$153,MATCH('Metrics'!$B$155,'Metrics'!$G$152:$G$153,0)))</f>
        <v/>
      </c>
    </row>
    <row r="155">
      <c r="A155" t="inlineStr">
        <is>
          <t>Combined rating index (the more limiting input)</t>
        </is>
      </c>
      <c r="B155" s="179">
        <f>IF(COUNT('Metrics'!$G$152:$G$153)&lt;2,"",MIN('Metrics'!$G$152:$G$153))</f>
        <v/>
      </c>
    </row>
    <row r="156">
      <c r="A156" t="inlineStr">
        <is>
          <t>Route that applied</t>
        </is>
      </c>
      <c r="B156" s="175">
        <f>IF(OR('Scenario'!$J$48="Good",'Scenario'!$J$48="Fair",'Scenario'!$J$48="Poor"),"override score","automatic method")</f>
        <v/>
      </c>
    </row>
    <row r="157">
      <c r="A157" t="inlineStr">
        <is>
          <t>Computed rating (before the override score)</t>
        </is>
      </c>
      <c r="F157" s="175">
        <f>IF(NOT(ISNUMBER('Metrics'!$B$155)),"",IF('Metrics'!$B$155='Reference'!$B$102,"Good",IF('Metrics'!$B$155='Reference'!$B$103,"Fair",IF('Metrics'!$B$155='Reference'!$B$104,"Poor",""))))</f>
        <v/>
      </c>
    </row>
    <row r="158">
      <c r="A158" t="inlineStr">
        <is>
          <t>Override score (optional entry on the Scenario sheet)</t>
        </is>
      </c>
      <c r="B158" s="175">
        <f>IF('Scenario'!$J$48="","",'Scenario'!$J$48)</f>
        <v/>
      </c>
      <c r="H158" s="180" t="inlineStr">
        <is>
          <t>Replaces the computed rating, as a rating changed in the web application does.</t>
        </is>
      </c>
    </row>
    <row r="159">
      <c r="A159" t="inlineStr">
        <is>
          <t>Function rating</t>
        </is>
      </c>
      <c r="F159" s="181">
        <f>IF(OR('Scenario'!$J$48="Good",'Scenario'!$J$48="Fair",'Scenario'!$J$48="Poor"),'Scenario'!$J$48,'Metrics'!$F$157)</f>
        <v/>
      </c>
      <c r="G159" s="179">
        <f>IF('Metrics'!$F$159="Good",'Reference'!$B$102,IF('Metrics'!$F$159="Fair",'Reference'!$B$103,IF('Metrics'!$F$159="Poor",'Reference'!$B$104,"")))</f>
        <v/>
      </c>
      <c r="H159" s="180" t="inlineStr">
        <is>
          <t>Both inputs are required.</t>
        </is>
      </c>
    </row>
    <row r="160">
      <c r="A160" t="inlineStr">
        <is>
          <t>Function score (0 to 15)</t>
        </is>
      </c>
      <c r="B160" s="181">
        <f>IF('Metrics'!$F$159="Good",'Reference'!$C$102,IF('Metrics'!$F$159="Fair",'Reference'!$C$103,IF('Metrics'!$F$159="Poor",'Reference'!$C$104,"")))</f>
        <v/>
      </c>
    </row>
    <row r="161">
      <c r="A161" t="inlineStr">
        <is>
          <t>Status</t>
        </is>
      </c>
      <c r="B161" s="175">
        <f>IF(OR('Scenario'!$J$48="Good",'Scenario'!$J$48="Fair",'Scenario'!$J$48="Poor"),"override score",IF(COUNT('Metrics'!$G$152:$G$153)&lt;2,"not rated","complete"))</f>
        <v/>
      </c>
    </row>
    <row r="163">
      <c r="A163" s="169" t="inlineStr">
        <is>
          <t>14. Carbon processing</t>
        </is>
      </c>
      <c r="B163" s="170" t="inlineStr">
        <is>
          <t>Organic-matter supply potential proxy (organic-matter-supply-potential, sum_capped)</t>
        </is>
      </c>
    </row>
    <row r="164">
      <c r="A164" s="171" t="inlineStr">
        <is>
          <t>Item</t>
        </is>
      </c>
      <c r="B164" s="171" t="inlineStr">
        <is>
          <t>Value</t>
        </is>
      </c>
      <c r="C164" s="172" t="inlineStr">
        <is>
          <t>Good</t>
        </is>
      </c>
      <c r="D164" s="173" t="inlineStr">
        <is>
          <t>Fair</t>
        </is>
      </c>
      <c r="E164" s="174" t="inlineStr">
        <is>
          <t>Poor</t>
        </is>
      </c>
      <c r="F164" s="171" t="inlineStr">
        <is>
          <t>Rating</t>
        </is>
      </c>
      <c r="G164" s="171" t="inlineStr">
        <is>
          <t>Index</t>
        </is>
      </c>
      <c r="H164" s="171" t="inlineStr">
        <is>
          <t>Note</t>
        </is>
      </c>
    </row>
    <row r="165">
      <c r="A165" t="inlineStr">
        <is>
          <t>Riparian forest</t>
        </is>
      </c>
      <c r="B165" s="175">
        <f>IF('Scenario'!$J$49="","",'Scenario'!$J$49)</f>
        <v/>
      </c>
    </row>
    <row r="166">
      <c r="A166" t="inlineStr">
        <is>
          <t>Riparian shrub</t>
        </is>
      </c>
      <c r="B166" s="175">
        <f>IF('Scenario'!$J$50="","",'Scenario'!$J$50)</f>
        <v/>
      </c>
    </row>
    <row r="167">
      <c r="A167" t="inlineStr">
        <is>
          <t>Riparian grassland</t>
        </is>
      </c>
      <c r="B167" s="175">
        <f>IF('Scenario'!$J$51="","",'Scenario'!$J$51)</f>
        <v/>
      </c>
    </row>
    <row r="168">
      <c r="A168" t="inlineStr">
        <is>
          <t>Riparian wetland</t>
        </is>
      </c>
      <c r="B168" s="175">
        <f>IF('Scenario'!$J$52="","",'Scenario'!$J$52)</f>
        <v/>
      </c>
    </row>
    <row r="169">
      <c r="A169" t="inlineStr">
        <is>
          <t>Combined value (sum capped at 100)</t>
        </is>
      </c>
      <c r="B169" s="175">
        <f>IF(AND(ISNUMBER('Scenario'!$J$49),ISNUMBER('Scenario'!$J$50),ISNUMBER('Scenario'!$J$51),ISNUMBER('Scenario'!$J$52)),ROUND(MIN('Scenario'!$J$49+'Scenario'!$J$50+'Scenario'!$J$51+'Scenario'!$J$52,100),12),"")</f>
        <v/>
      </c>
      <c r="C169" s="176">
        <f>IF(NOT(ISNUMBER('Metrics'!$B$170)),"","≥"&amp;ROUND(INDEX('Reference'!$U$58:$U$91,'Metrics'!$B$170),1)&amp;"%")</f>
        <v/>
      </c>
      <c r="D169" s="177">
        <f>IF(NOT(ISNUMBER('Metrics'!$B$170)),"",ROUND(INDEX('Reference'!$T$58:$T$91,'Metrics'!$B$170),1)&amp;"-&lt;"&amp;ROUND(INDEX('Reference'!$U$58:$U$91,'Metrics'!$B$170),1)&amp;"%")</f>
        <v/>
      </c>
      <c r="E169" s="178">
        <f>IF(NOT(ISNUMBER('Metrics'!$B$170)),"","&lt;"&amp;ROUND(INDEX('Reference'!$T$58:$T$91,'Metrics'!$B$170),1)&amp;"%")</f>
        <v/>
      </c>
    </row>
    <row r="170">
      <c r="A170" s="170" t="inlineStr">
        <is>
          <t>Reference curve used (corridor-natural, nars9, national fallback)</t>
        </is>
      </c>
      <c r="B170" s="175">
        <f>IFERROR(MATCH("corridor-natural|"&amp;'Scenario'!$K$3,'Reference'!$A$58:$A$91,0),MATCH("corridor-natural|national",'Reference'!$A$58:$A$91,0))</f>
        <v/>
      </c>
      <c r="H170" s="182">
        <f>INDEX('Reference'!$A$58:$A$91,'Metrics'!$B$170)</f>
        <v/>
      </c>
    </row>
    <row r="171">
      <c r="A171" s="170" t="inlineStr">
        <is>
          <t>Curve index (interpolated, 0 to 1; Good at or above 0.69, Fair at or above 0.39)</t>
        </is>
      </c>
      <c r="B171" s="183">
        <f>IF(NOT(ISNUMBER('Metrics'!$B$169)),"",MAX(0,MIN(1,IF('Metrics'!$B$169&lt;=INDEX('Reference'!$G$58:$G$91,'Metrics'!$B$170),INDEX('Reference'!$L$58:$L$91,'Metrics'!$B$170),IF('Metrics'!$B$169&gt;=INDEX('Reference'!$K$58:$K$91,'Metrics'!$B$170),INDEX('Reference'!$P$58:$P$91,'Metrics'!$B$170),IF('Metrics'!$B$169&lt;=INDEX('Reference'!$H$58:$H$91,'Metrics'!$B$170),INDEX('Reference'!$L$58:$L$91,'Metrics'!$B$170)+(('Metrics'!$B$169-INDEX('Reference'!$G$58:$G$91,'Metrics'!$B$170))/(INDEX('Reference'!$H$58:$H$91,'Metrics'!$B$170)-INDEX('Reference'!$G$58:$G$91,'Metrics'!$B$170)))*(INDEX('Reference'!$M$58:$M$91,'Metrics'!$B$170)-INDEX('Reference'!$L$58:$L$91,'Metrics'!$B$170)),IF('Metrics'!$B$169&lt;=INDEX('Reference'!$I$58:$I$91,'Metrics'!$B$170),INDEX('Reference'!$M$58:$M$91,'Metrics'!$B$170)+(('Metrics'!$B$169-INDEX('Reference'!$H$58:$H$91,'Metrics'!$B$170))/(INDEX('Reference'!$I$58:$I$91,'Metrics'!$B$170)-INDEX('Reference'!$H$58:$H$91,'Metrics'!$B$170)))*(INDEX('Reference'!$N$58:$N$91,'Metrics'!$B$170)-INDEX('Reference'!$M$58:$M$91,'Metrics'!$B$170)),IF('Metrics'!$B$169&lt;=INDEX('Reference'!$J$58:$J$91,'Metrics'!$B$170),INDEX('Reference'!$N$58:$N$91,'Metrics'!$B$170)+(('Metrics'!$B$169-INDEX('Reference'!$I$58:$I$91,'Metrics'!$B$170))/(INDEX('Reference'!$J$58:$J$91,'Metrics'!$B$170)-INDEX('Reference'!$I$58:$I$91,'Metrics'!$B$170)))*(INDEX('Reference'!$O$58:$O$91,'Metrics'!$B$170)-INDEX('Reference'!$N$58:$N$91,'Metrics'!$B$170)),INDEX('Reference'!$O$58:$O$91,'Metrics'!$B$170)+(('Metrics'!$B$169-INDEX('Reference'!$J$58:$J$91,'Metrics'!$B$170))/(INDEX('Reference'!$K$58:$K$91,'Metrics'!$B$170)-INDEX('Reference'!$J$58:$J$91,'Metrics'!$B$170)))*(INDEX('Reference'!$P$58:$P$91,'Metrics'!$B$170)-INDEX('Reference'!$O$58:$O$91,'Metrics'!$B$170))))))))))</f>
        <v/>
      </c>
    </row>
    <row r="172">
      <c r="A172" t="inlineStr">
        <is>
          <t>Route that applied</t>
        </is>
      </c>
      <c r="B172" s="175">
        <f>IF(OR('Scenario'!$J$54="Good",'Scenario'!$J$54="Fair",'Scenario'!$J$54="Poor"),"override score","automatic method")</f>
        <v/>
      </c>
    </row>
    <row r="173">
      <c r="A173" t="inlineStr">
        <is>
          <t>Computed rating (before the override score)</t>
        </is>
      </c>
      <c r="F173" s="175">
        <f>IF(NOT(ISNUMBER('Metrics'!$B$171)),"",IF('Metrics'!$B$171&gt;=0.69,"Good",IF('Metrics'!$B$171&gt;=0.39,"Fair","Poor")))</f>
        <v/>
      </c>
    </row>
    <row r="174">
      <c r="A174" t="inlineStr">
        <is>
          <t>Override score (optional entry on the Scenario sheet)</t>
        </is>
      </c>
      <c r="B174" s="175">
        <f>IF('Scenario'!$J$54="","",'Scenario'!$J$54)</f>
        <v/>
      </c>
      <c r="H174" s="180" t="inlineStr">
        <is>
          <t>Replaces the computed rating, as a rating changed in the web application does.</t>
        </is>
      </c>
    </row>
    <row r="175">
      <c r="A175" t="inlineStr">
        <is>
          <t>Function rating</t>
        </is>
      </c>
      <c r="F175" s="181">
        <f>IF(OR('Scenario'!$J$54="Good",'Scenario'!$J$54="Fair",'Scenario'!$J$54="Poor"),'Scenario'!$J$54,'Metrics'!$F$173)</f>
        <v/>
      </c>
      <c r="G175" s="179">
        <f>IF('Metrics'!$F$175="Good",'Reference'!$B$102,IF('Metrics'!$F$175="Fair",'Reference'!$B$103,IF('Metrics'!$F$175="Poor",'Reference'!$B$104,"")))</f>
        <v/>
      </c>
      <c r="H175" s="180" t="inlineStr">
        <is>
          <t>All classes are required. A missing class is unknown, not zero.</t>
        </is>
      </c>
    </row>
    <row r="176">
      <c r="A176" t="inlineStr">
        <is>
          <t>Function score (0 to 15)</t>
        </is>
      </c>
      <c r="B176" s="181">
        <f>IF('Metrics'!$F$175="Good",'Reference'!$C$102,IF('Metrics'!$F$175="Fair",'Reference'!$C$103,IF('Metrics'!$F$175="Poor",'Reference'!$C$104,"")))</f>
        <v/>
      </c>
    </row>
    <row r="177">
      <c r="A177" t="inlineStr">
        <is>
          <t>Status</t>
        </is>
      </c>
      <c r="B177" s="175">
        <f>IF(OR('Scenario'!$J$54="Good",'Scenario'!$J$54="Fair",'Scenario'!$J$54="Poor"),"override score",IF('Metrics'!$F$175="","not rated","complete"))</f>
        <v/>
      </c>
    </row>
    <row r="179">
      <c r="A179" s="169" t="inlineStr">
        <is>
          <t>15. Nutrient cycling</t>
        </is>
      </c>
      <c r="B179" s="170" t="inlineStr">
        <is>
          <t>Nutrient condition (regional-nutrient-condition, worst_index)</t>
        </is>
      </c>
    </row>
    <row r="180">
      <c r="A180" s="171" t="inlineStr">
        <is>
          <t>Item</t>
        </is>
      </c>
      <c r="B180" s="171" t="inlineStr">
        <is>
          <t>Value</t>
        </is>
      </c>
      <c r="C180" s="172" t="inlineStr">
        <is>
          <t>Good</t>
        </is>
      </c>
      <c r="D180" s="173" t="inlineStr">
        <is>
          <t>Fair</t>
        </is>
      </c>
      <c r="E180" s="174" t="inlineStr">
        <is>
          <t>Poor</t>
        </is>
      </c>
      <c r="F180" s="171" t="inlineStr">
        <is>
          <t>Rating</t>
        </is>
      </c>
      <c r="G180" s="171" t="inlineStr">
        <is>
          <t>Index</t>
        </is>
      </c>
      <c r="H180" s="171" t="inlineStr">
        <is>
          <t>Note</t>
        </is>
      </c>
    </row>
    <row r="181">
      <c r="A181" t="inlineStr">
        <is>
          <t>Total nitrogen (mg/L)</t>
        </is>
      </c>
      <c r="B181" s="175">
        <f>IF('Scenario'!$J$55="","",'Scenario'!$J$55)</f>
        <v/>
      </c>
      <c r="C181" s="176">
        <f>IFERROR("≤"&amp;INDEX('Reference'!$B$186:$B$194,MATCH('Scenario'!$K$3,'Reference'!$A$186:$A$194,0))&amp;" mg/L","by NARS-9 region")</f>
        <v/>
      </c>
      <c r="D181" s="177">
        <f>IFERROR("&gt;"&amp;INDEX('Reference'!$B$186:$B$194,MATCH('Scenario'!$K$3,'Reference'!$A$186:$A$194,0))&amp;"-&lt;"&amp;INDEX('Reference'!$C$186:$C$194,MATCH('Scenario'!$K$3,'Reference'!$A$186:$A$194,0))&amp;" mg/L","")</f>
        <v/>
      </c>
      <c r="E181" s="178">
        <f>IFERROR("≥"&amp;INDEX('Reference'!$C$186:$C$194,MATCH('Scenario'!$K$3,'Reference'!$A$186:$A$194,0))&amp;" mg/L","")</f>
        <v/>
      </c>
      <c r="F181" s="175">
        <f>IF(NOT(ISNUMBER('Scenario'!$J$55)),"",IFERROR(IF('Scenario'!$J$55&lt;=INDEX('Reference'!$B$186:$B$194,MATCH('Scenario'!$K$3,'Reference'!$A$186:$A$194,0)),"Good",IF('Scenario'!$J$55&gt;=INDEX('Reference'!$C$186:$C$194,MATCH('Scenario'!$K$3,'Reference'!$A$186:$A$194,0)),"Poor","Fair")),""))</f>
        <v/>
      </c>
      <c r="G181" s="179">
        <f>IF('Metrics'!$F$181="Good",'Reference'!$B$102,IF('Metrics'!$F$181="Fair",'Reference'!$B$103,IF('Metrics'!$F$181="Poor",'Reference'!$B$104,"")))</f>
        <v/>
      </c>
    </row>
    <row r="182">
      <c r="A182" t="inlineStr">
        <is>
          <t>Total phosphorus (mg/L)</t>
        </is>
      </c>
      <c r="B182" s="175">
        <f>IF('Scenario'!$J$56="","",'Scenario'!$J$56)</f>
        <v/>
      </c>
      <c r="C182" s="176">
        <f>IFERROR("≤"&amp;INDEX('Reference'!$D$186:$D$194,MATCH('Scenario'!$K$3,'Reference'!$A$186:$A$194,0))&amp;" mg/L","by NARS-9 region")</f>
        <v/>
      </c>
      <c r="D182" s="177">
        <f>IFERROR("&gt;"&amp;INDEX('Reference'!$D$186:$D$194,MATCH('Scenario'!$K$3,'Reference'!$A$186:$A$194,0))&amp;"-&lt;"&amp;INDEX('Reference'!$E$186:$E$194,MATCH('Scenario'!$K$3,'Reference'!$A$186:$A$194,0))&amp;" mg/L","")</f>
        <v/>
      </c>
      <c r="E182" s="178">
        <f>IFERROR("≥"&amp;INDEX('Reference'!$E$186:$E$194,MATCH('Scenario'!$K$3,'Reference'!$A$186:$A$194,0))&amp;" mg/L","")</f>
        <v/>
      </c>
      <c r="F182" s="175">
        <f>IF(NOT(ISNUMBER('Scenario'!$J$56)),"",IFERROR(IF('Scenario'!$J$56&lt;=INDEX('Reference'!$D$186:$D$194,MATCH('Scenario'!$K$3,'Reference'!$A$186:$A$194,0)),"Good",IF('Scenario'!$J$56&gt;=INDEX('Reference'!$E$186:$E$194,MATCH('Scenario'!$K$3,'Reference'!$A$186:$A$194,0)),"Poor","Fair")),""))</f>
        <v/>
      </c>
      <c r="G182" s="179">
        <f>IF('Metrics'!$F$182="Good",'Reference'!$B$102,IF('Metrics'!$F$182="Fair",'Reference'!$B$103,IF('Metrics'!$F$182="Poor",'Reference'!$B$104,"")))</f>
        <v/>
      </c>
    </row>
    <row r="183">
      <c r="A183" t="inlineStr">
        <is>
          <t>CHEM fallback value (lower of catchment and watershed)</t>
        </is>
      </c>
      <c r="B183" s="175">
        <f>IF(AND(ISNUMBER('Scenario'!$J$57),ISNUMBER('Scenario'!$J$58)),ROUND(MIN('Scenario'!$J$57,'Scenario'!$J$58),12),"")</f>
        <v/>
      </c>
      <c r="C183" s="176" t="inlineStr">
        <is>
          <t>≥0.70</t>
        </is>
      </c>
      <c r="D183" s="177" t="inlineStr">
        <is>
          <t>0.40-&lt;0.70</t>
        </is>
      </c>
      <c r="E183" s="178" t="inlineStr">
        <is>
          <t>&lt;0.40</t>
        </is>
      </c>
    </row>
    <row r="184">
      <c r="A184" t="inlineStr">
        <is>
          <t>Route that applied</t>
        </is>
      </c>
      <c r="B184" s="175">
        <f>IF(OR('Scenario'!$J$59="Good",'Scenario'!$J$59="Fair",'Scenario'!$J$59="Poor"),"override score",IF(COUNT('Metrics'!$G$181:$G$182)&gt;0,"WQP nutrients with regional thresholds",IF(IF(NOT(ISNUMBER('Metrics'!$B$183)),"",IF('Metrics'!$B$183&lt;0.4,"Poor",IF(AND('Metrics'!$B$183&gt;=0.4,'Metrics'!$B$183&lt;0.7),"Fair",IF('Metrics'!$B$183&gt;=0.7,"Good",""))))="","not rated","CHEM integrity fallback")))</f>
        <v/>
      </c>
    </row>
    <row r="185">
      <c r="A185" t="inlineStr">
        <is>
          <t>Computed rating (before the override score)</t>
        </is>
      </c>
      <c r="F185" s="175">
        <f>IF(COUNT('Metrics'!$G$181:$G$182)&gt;0,IF(NOT(ISNUMBER(MIN('Metrics'!$G$181:$G$182))),"",IF(MIN('Metrics'!$G$181:$G$182)='Reference'!$B$102,"Good",IF(MIN('Metrics'!$G$181:$G$182)='Reference'!$B$103,"Fair",IF(MIN('Metrics'!$G$181:$G$182)='Reference'!$B$104,"Poor","")))),IF(NOT(ISNUMBER('Metrics'!$B$183)),"",IF('Metrics'!$B$183&lt;0.4,"Poor",IF(AND('Metrics'!$B$183&gt;=0.4,'Metrics'!$B$183&lt;0.7),"Fair",IF('Metrics'!$B$183&gt;=0.7,"Good","")))))</f>
        <v/>
      </c>
    </row>
    <row r="186">
      <c r="A186" t="inlineStr">
        <is>
          <t>Override score (optional entry on the Scenario sheet)</t>
        </is>
      </c>
      <c r="B186" s="175">
        <f>IF('Scenario'!$J$59="","",'Scenario'!$J$59)</f>
        <v/>
      </c>
      <c r="H186" s="180" t="inlineStr">
        <is>
          <t>Replaces the computed rating, as a rating changed in the web application does.</t>
        </is>
      </c>
    </row>
    <row r="187">
      <c r="A187" t="inlineStr">
        <is>
          <t>Function rating</t>
        </is>
      </c>
      <c r="F187" s="181">
        <f>IF(OR('Scenario'!$J$59="Good",'Scenario'!$J$59="Fair",'Scenario'!$J$59="Poor"),'Scenario'!$J$59,'Metrics'!$F$185)</f>
        <v/>
      </c>
      <c r="G187" s="179">
        <f>IF('Metrics'!$F$187="Good",'Reference'!$B$102,IF('Metrics'!$F$187="Fair",'Reference'!$B$103,IF('Metrics'!$F$187="Poor",'Reference'!$B$104,"")))</f>
        <v/>
      </c>
      <c r="H187" s="180" t="inlineStr">
        <is>
          <t>One rated analyte gives a partial rating; the worse analyte governs. Without a region or observations the CHEM index decides.</t>
        </is>
      </c>
    </row>
    <row r="188">
      <c r="A188" t="inlineStr">
        <is>
          <t>Function score (0 to 15)</t>
        </is>
      </c>
      <c r="B188" s="181">
        <f>IF('Metrics'!$F$187="Good",'Reference'!$C$102,IF('Metrics'!$F$187="Fair",'Reference'!$C$103,IF('Metrics'!$F$187="Poor",'Reference'!$C$104,"")))</f>
        <v/>
      </c>
    </row>
    <row r="189">
      <c r="A189" t="inlineStr">
        <is>
          <t>Status</t>
        </is>
      </c>
      <c r="B189" s="175">
        <f>IF(OR('Scenario'!$J$59="Good",'Scenario'!$J$59="Fair",'Scenario'!$J$59="Poor"),"override score",IF(COUNT('Metrics'!$G$181:$G$182)&gt;0,IF(COUNT('Metrics'!$G$181:$G$182)&lt;2,"partial","complete"),IF(IF(NOT(ISNUMBER('Metrics'!$B$183)),"",IF('Metrics'!$B$183&lt;0.4,"Poor",IF(AND('Metrics'!$B$183&gt;=0.4,'Metrics'!$B$183&lt;0.7),"Fair",IF('Metrics'!$B$183&gt;=0.7,"Good",""))))="","not rated","complete")))</f>
        <v/>
      </c>
    </row>
    <row r="191">
      <c r="A191" s="169" t="inlineStr">
        <is>
          <t>16. Water &amp; soil quality</t>
        </is>
      </c>
      <c r="B191" s="170" t="inlineStr">
        <is>
          <t>Regulatory impairment (attains-regulatory-category, categorical_lookup)</t>
        </is>
      </c>
    </row>
    <row r="192">
      <c r="A192" s="171" t="inlineStr">
        <is>
          <t>Item</t>
        </is>
      </c>
      <c r="B192" s="171" t="inlineStr">
        <is>
          <t>Value</t>
        </is>
      </c>
      <c r="C192" s="172" t="inlineStr">
        <is>
          <t>Good</t>
        </is>
      </c>
      <c r="D192" s="173" t="inlineStr">
        <is>
          <t>Fair</t>
        </is>
      </c>
      <c r="E192" s="174" t="inlineStr">
        <is>
          <t>Poor</t>
        </is>
      </c>
      <c r="F192" s="171" t="inlineStr">
        <is>
          <t>Rating</t>
        </is>
      </c>
      <c r="G192" s="171" t="inlineStr">
        <is>
          <t>Index</t>
        </is>
      </c>
      <c r="H192" s="171" t="inlineStr">
        <is>
          <t>Note</t>
        </is>
      </c>
    </row>
    <row r="193">
      <c r="A193" t="inlineStr">
        <is>
          <t>ATTAINS category</t>
        </is>
      </c>
      <c r="B193" s="175">
        <f>IF('Scenario'!$J$60="","",'Scenario'!$J$60)</f>
        <v/>
      </c>
      <c r="C193" s="176" t="inlineStr">
        <is>
          <t>Category 1, 2</t>
        </is>
      </c>
      <c r="D193" s="177" t="inlineStr">
        <is>
          <t>Category 4A, 4B</t>
        </is>
      </c>
      <c r="E193" s="178" t="inlineStr">
        <is>
          <t>Category 4C, 5</t>
        </is>
      </c>
      <c r="F193" s="175">
        <f>IF('Scenario'!$J$60="","",IFERROR(IF(INDEX('Reference'!$B$198:$B$204,MATCH(SUBSTITUTE(UPPER(TRIM('Scenario'!$J$60&amp;""))," ",""),'Reference'!$A$198:$A$204,0))="none","",INDEX('Reference'!$B$198:$B$204,MATCH(SUBSTITUTE(UPPER(TRIM('Scenario'!$J$60&amp;""))," ",""),'Reference'!$A$198:$A$204,0))),""))</f>
        <v/>
      </c>
      <c r="G193" s="179">
        <f>IF('Metrics'!$F$193="Good",'Reference'!$B$102,IF('Metrics'!$F$193="Fair",'Reference'!$B$103,IF('Metrics'!$F$193="Poor",'Reference'!$B$104,"")))</f>
        <v/>
      </c>
    </row>
    <row r="194">
      <c r="A194" t="inlineStr">
        <is>
          <t>CHEM fallback value (lower of catchment and watershed)</t>
        </is>
      </c>
      <c r="B194" s="175">
        <f>IF(AND(ISNUMBER('Scenario'!$J$57),ISNUMBER('Scenario'!$J$58)),ROUND(MIN('Scenario'!$J$57,'Scenario'!$J$58),12),"")</f>
        <v/>
      </c>
      <c r="C194" s="176" t="inlineStr">
        <is>
          <t>≥0.70</t>
        </is>
      </c>
      <c r="D194" s="177" t="inlineStr">
        <is>
          <t>0.40-&lt;0.70</t>
        </is>
      </c>
      <c r="E194" s="178" t="inlineStr">
        <is>
          <t>&lt;0.40</t>
        </is>
      </c>
    </row>
    <row r="195">
      <c r="A195" t="inlineStr">
        <is>
          <t>Route that applied</t>
        </is>
      </c>
      <c r="B195" s="175">
        <f>IF(OR('Scenario'!$J$63="Good",'Scenario'!$J$63="Fair",'Scenario'!$J$63="Poor"),"override score",IF('Metrics'!$F$193&lt;&gt;"","ATTAINS category",IF(IF(NOT(ISNUMBER('Metrics'!$B$194)),"",IF('Metrics'!$B$194&lt;0.4,"Poor",IF(AND('Metrics'!$B$194&gt;=0.4,'Metrics'!$B$194&lt;0.7),"Fair",IF('Metrics'!$B$194&gt;=0.7,"Good",""))))="","not rated","CHEM integrity fallback")))</f>
        <v/>
      </c>
    </row>
    <row r="196">
      <c r="A196" t="inlineStr">
        <is>
          <t>Computed rating (before the override score)</t>
        </is>
      </c>
      <c r="F196" s="175">
        <f>IF('Metrics'!$F$193&lt;&gt;"",'Metrics'!$F$193,IF(NOT(ISNUMBER('Metrics'!$B$194)),"",IF('Metrics'!$B$194&lt;0.4,"Poor",IF(AND('Metrics'!$B$194&gt;=0.4,'Metrics'!$B$194&lt;0.7),"Fair",IF('Metrics'!$B$194&gt;=0.7,"Good","")))))</f>
        <v/>
      </c>
    </row>
    <row r="197">
      <c r="A197" t="inlineStr">
        <is>
          <t>Override score (optional entry on the Scenario sheet)</t>
        </is>
      </c>
      <c r="B197" s="175">
        <f>IF('Scenario'!$J$63="","",'Scenario'!$J$63)</f>
        <v/>
      </c>
      <c r="H197" s="180" t="inlineStr">
        <is>
          <t>Replaces the computed rating, as a rating changed in the web application does.</t>
        </is>
      </c>
    </row>
    <row r="198">
      <c r="A198" t="inlineStr">
        <is>
          <t>Function rating</t>
        </is>
      </c>
      <c r="F198" s="181">
        <f>IF(OR('Scenario'!$J$63="Good",'Scenario'!$J$63="Fair",'Scenario'!$J$63="Poor"),'Scenario'!$J$63,'Metrics'!$F$196)</f>
        <v/>
      </c>
      <c r="G198" s="179">
        <f>IF('Metrics'!$F$198="Good",'Reference'!$B$102,IF('Metrics'!$F$198="Fair",'Reference'!$B$103,IF('Metrics'!$F$198="Poor",'Reference'!$B$104,"")))</f>
        <v/>
      </c>
      <c r="H198" s="180" t="inlineStr">
        <is>
          <t>Categories 1 and 2 Good, 4A and 4B Fair, 4C and 5 Poor; category 3 and a blank fall back.</t>
        </is>
      </c>
    </row>
    <row r="199">
      <c r="A199" t="inlineStr">
        <is>
          <t>Function score (0 to 15)</t>
        </is>
      </c>
      <c r="B199" s="181">
        <f>IF('Metrics'!$F$198="Good",'Reference'!$C$102,IF('Metrics'!$F$198="Fair",'Reference'!$C$103,IF('Metrics'!$F$198="Poor",'Reference'!$C$104,"")))</f>
        <v/>
      </c>
    </row>
    <row r="200">
      <c r="A200" t="inlineStr">
        <is>
          <t>Status</t>
        </is>
      </c>
      <c r="B200" s="175">
        <f>IF(OR('Scenario'!$J$63="Good",'Scenario'!$J$63="Fair",'Scenario'!$J$63="Poor"),"override score",IF('Metrics'!$F$198="","not rated","complete"))</f>
        <v/>
      </c>
    </row>
    <row r="202">
      <c r="A202" s="169" t="inlineStr">
        <is>
          <t>17. Habitat provision</t>
        </is>
      </c>
      <c r="B202" s="170" t="inlineStr">
        <is>
          <t>Habitat-support potential (woody riparian corridor) (habitat-support-potential, threshold)</t>
        </is>
      </c>
    </row>
    <row r="203">
      <c r="A203" s="171" t="inlineStr">
        <is>
          <t>Item</t>
        </is>
      </c>
      <c r="B203" s="171" t="inlineStr">
        <is>
          <t>Value</t>
        </is>
      </c>
      <c r="C203" s="172" t="inlineStr">
        <is>
          <t>Good</t>
        </is>
      </c>
      <c r="D203" s="173" t="inlineStr">
        <is>
          <t>Fair</t>
        </is>
      </c>
      <c r="E203" s="174" t="inlineStr">
        <is>
          <t>Poor</t>
        </is>
      </c>
      <c r="F203" s="171" t="inlineStr">
        <is>
          <t>Rating</t>
        </is>
      </c>
      <c r="G203" s="171" t="inlineStr">
        <is>
          <t>Index</t>
        </is>
      </c>
      <c r="H203" s="171" t="inlineStr">
        <is>
          <t>Note</t>
        </is>
      </c>
    </row>
    <row r="204">
      <c r="A204" t="inlineStr">
        <is>
          <t>Woody riparian cover</t>
        </is>
      </c>
      <c r="B204" s="175">
        <f>IF('Scenario'!$J$46="","",'Scenario'!$J$46)</f>
        <v/>
      </c>
      <c r="C204" s="176">
        <f>IF(NOT(ISNUMBER('Metrics'!$B$206)),"","≥"&amp;ROUND(INDEX('Reference'!$U$58:$U$91,'Metrics'!$B$206),1)&amp;"%")</f>
        <v/>
      </c>
      <c r="D204" s="177">
        <f>IF(NOT(ISNUMBER('Metrics'!$B$206)),"",ROUND(INDEX('Reference'!$T$58:$T$91,'Metrics'!$B$206),1)&amp;"-&lt;"&amp;ROUND(INDEX('Reference'!$U$58:$U$91,'Metrics'!$B$206),1)&amp;"%")</f>
        <v/>
      </c>
      <c r="E204" s="178">
        <f>IF(NOT(ISNUMBER('Metrics'!$B$206)),"","&lt;"&amp;ROUND(INDEX('Reference'!$T$58:$T$91,'Metrics'!$B$206),1)&amp;"%")</f>
        <v/>
      </c>
    </row>
    <row r="205">
      <c r="A205" t="inlineStr">
        <is>
          <t>Reach sinuosity (context only)</t>
        </is>
      </c>
      <c r="B205" s="175">
        <f>IF('Scenario'!$J$29="","",'Scenario'!$J$29)</f>
        <v/>
      </c>
    </row>
    <row r="206">
      <c r="A206" s="170" t="inlineStr">
        <is>
          <t>Reference curve used (corridor-woody, nars9, national fallback)</t>
        </is>
      </c>
      <c r="B206" s="175">
        <f>IFERROR(MATCH("corridor-woody|"&amp;'Scenario'!$K$3,'Reference'!$A$58:$A$91,0),MATCH("corridor-woody|national",'Reference'!$A$58:$A$91,0))</f>
        <v/>
      </c>
      <c r="H206" s="182">
        <f>INDEX('Reference'!$A$58:$A$91,'Metrics'!$B$206)</f>
        <v/>
      </c>
    </row>
    <row r="207">
      <c r="A207" s="170" t="inlineStr">
        <is>
          <t>Curve index (interpolated, 0 to 1; Good at or above 0.69, Fair at or above 0.39)</t>
        </is>
      </c>
      <c r="B207" s="183">
        <f>IF(NOT(ISNUMBER('Scenario'!$J$46)),"",MAX(0,MIN(1,IF('Scenario'!$J$46&lt;=INDEX('Reference'!$G$58:$G$91,'Metrics'!$B$206),INDEX('Reference'!$L$58:$L$91,'Metrics'!$B$206),IF('Scenario'!$J$46&gt;=INDEX('Reference'!$K$58:$K$91,'Metrics'!$B$206),INDEX('Reference'!$P$58:$P$91,'Metrics'!$B$206),IF('Scenario'!$J$46&lt;=INDEX('Reference'!$H$58:$H$91,'Metrics'!$B$206),INDEX('Reference'!$L$58:$L$91,'Metrics'!$B$206)+(('Scenario'!$J$46-INDEX('Reference'!$G$58:$G$91,'Metrics'!$B$206))/(INDEX('Reference'!$H$58:$H$91,'Metrics'!$B$206)-INDEX('Reference'!$G$58:$G$91,'Metrics'!$B$206)))*(INDEX('Reference'!$M$58:$M$91,'Metrics'!$B$206)-INDEX('Reference'!$L$58:$L$91,'Metrics'!$B$206)),IF('Scenario'!$J$46&lt;=INDEX('Reference'!$I$58:$I$91,'Metrics'!$B$206),INDEX('Reference'!$M$58:$M$91,'Metrics'!$B$206)+(('Scenario'!$J$46-INDEX('Reference'!$H$58:$H$91,'Metrics'!$B$206))/(INDEX('Reference'!$I$58:$I$91,'Metrics'!$B$206)-INDEX('Reference'!$H$58:$H$91,'Metrics'!$B$206)))*(INDEX('Reference'!$N$58:$N$91,'Metrics'!$B$206)-INDEX('Reference'!$M$58:$M$91,'Metrics'!$B$206)),IF('Scenario'!$J$46&lt;=INDEX('Reference'!$J$58:$J$91,'Metrics'!$B$206),INDEX('Reference'!$N$58:$N$91,'Metrics'!$B$206)+(('Scenario'!$J$46-INDEX('Reference'!$I$58:$I$91,'Metrics'!$B$206))/(INDEX('Reference'!$J$58:$J$91,'Metrics'!$B$206)-INDEX('Reference'!$I$58:$I$91,'Metrics'!$B$206)))*(INDEX('Reference'!$O$58:$O$91,'Metrics'!$B$206)-INDEX('Reference'!$N$58:$N$91,'Metrics'!$B$206)),INDEX('Reference'!$O$58:$O$91,'Metrics'!$B$206)+(('Scenario'!$J$46-INDEX('Reference'!$J$58:$J$91,'Metrics'!$B$206))/(INDEX('Reference'!$K$58:$K$91,'Metrics'!$B$206)-INDEX('Reference'!$J$58:$J$91,'Metrics'!$B$206)))*(INDEX('Reference'!$P$58:$P$91,'Metrics'!$B$206)-INDEX('Reference'!$O$58:$O$91,'Metrics'!$B$206))))))))))</f>
        <v/>
      </c>
    </row>
    <row r="208">
      <c r="A208" t="inlineStr">
        <is>
          <t>Route that applied</t>
        </is>
      </c>
      <c r="B208" s="175">
        <f>IF(OR('Scenario'!$J$65="Good",'Scenario'!$J$65="Fair",'Scenario'!$J$65="Poor"),"override score","automatic method")</f>
        <v/>
      </c>
    </row>
    <row r="209">
      <c r="A209" t="inlineStr">
        <is>
          <t>Computed rating (before the override score)</t>
        </is>
      </c>
      <c r="F209" s="175">
        <f>IF(NOT(ISNUMBER('Metrics'!$B$207)),"",IF('Metrics'!$B$207&gt;=0.69,"Good",IF('Metrics'!$B$207&gt;=0.39,"Fair","Poor")))</f>
        <v/>
      </c>
    </row>
    <row r="210">
      <c r="A210" t="inlineStr">
        <is>
          <t>Override score (optional entry on the Scenario sheet)</t>
        </is>
      </c>
      <c r="B210" s="175">
        <f>IF('Scenario'!$J$65="","",'Scenario'!$J$65)</f>
        <v/>
      </c>
      <c r="H210" s="180" t="inlineStr">
        <is>
          <t>Replaces the computed rating, as a rating changed in the web application does.</t>
        </is>
      </c>
    </row>
    <row r="211">
      <c r="A211" t="inlineStr">
        <is>
          <t>Function rating</t>
        </is>
      </c>
      <c r="F211" s="181">
        <f>IF(OR('Scenario'!$J$65="Good",'Scenario'!$J$65="Fair",'Scenario'!$J$65="Poor"),'Scenario'!$J$65,'Metrics'!$F$209)</f>
        <v/>
      </c>
      <c r="G211" s="179">
        <f>IF('Metrics'!$F$211="Good",'Reference'!$B$102,IF('Metrics'!$F$211="Fair",'Reference'!$B$103,IF('Metrics'!$F$211="Poor",'Reference'!$B$104,"")))</f>
        <v/>
      </c>
      <c r="H211" s="180" t="inlineStr">
        <is>
          <t>Rated on the regional woody-corridor curve, national fallback.</t>
        </is>
      </c>
    </row>
    <row r="212">
      <c r="A212" t="inlineStr">
        <is>
          <t>Function score (0 to 15)</t>
        </is>
      </c>
      <c r="B212" s="181">
        <f>IF('Metrics'!$F$211="Good",'Reference'!$C$102,IF('Metrics'!$F$211="Fair",'Reference'!$C$103,IF('Metrics'!$F$211="Poor",'Reference'!$C$104,"")))</f>
        <v/>
      </c>
    </row>
    <row r="213">
      <c r="A213" t="inlineStr">
        <is>
          <t>Status</t>
        </is>
      </c>
      <c r="B213" s="175">
        <f>IF(OR('Scenario'!$J$65="Good",'Scenario'!$J$65="Fair",'Scenario'!$J$65="Poor"),"override score",IF('Metrics'!$F$211="","not rated","complete"))</f>
        <v/>
      </c>
    </row>
    <row r="215">
      <c r="A215" s="169" t="inlineStr">
        <is>
          <t>18. Population support</t>
        </is>
      </c>
      <c r="B215" s="170" t="inlineStr">
        <is>
          <t>Biological integrity (streamcat-prg-bmmi, threshold)</t>
        </is>
      </c>
    </row>
    <row r="216">
      <c r="A216" s="171" t="inlineStr">
        <is>
          <t>Item</t>
        </is>
      </c>
      <c r="B216" s="171" t="inlineStr">
        <is>
          <t>Value</t>
        </is>
      </c>
      <c r="C216" s="172" t="inlineStr">
        <is>
          <t>Good</t>
        </is>
      </c>
      <c r="D216" s="173" t="inlineStr">
        <is>
          <t>Fair</t>
        </is>
      </c>
      <c r="E216" s="174" t="inlineStr">
        <is>
          <t>Poor</t>
        </is>
      </c>
      <c r="F216" s="171" t="inlineStr">
        <is>
          <t>Rating</t>
        </is>
      </c>
      <c r="G216" s="171" t="inlineStr">
        <is>
          <t>Index</t>
        </is>
      </c>
      <c r="H216" s="171" t="inlineStr">
        <is>
          <t>Note</t>
        </is>
      </c>
    </row>
    <row r="217">
      <c r="A217" t="inlineStr">
        <is>
          <t>Predicted probability of Good BMMI condition</t>
        </is>
      </c>
      <c r="B217" s="175">
        <f>IF('Scenario'!$J$66="","",'Scenario'!$J$66)</f>
        <v/>
      </c>
      <c r="C217" s="176" t="inlineStr">
        <is>
          <t>&gt;=0.50</t>
        </is>
      </c>
      <c r="D217" s="177" t="inlineStr">
        <is>
          <t>0.25 to &lt;0.50</t>
        </is>
      </c>
      <c r="E217" s="178" t="inlineStr">
        <is>
          <t>&lt;0.25</t>
        </is>
      </c>
      <c r="F217" s="175">
        <f>IF(AND(ISNUMBER('Scenario'!$J$66),'Scenario'!$J$66&gt;=0,'Scenario'!$J$66&lt;=1),IF(NOT(ISNUMBER('Scenario'!$J$66)),"",IF('Scenario'!$J$66&lt;0.25,"Poor",IF(AND('Scenario'!$J$66&gt;=0.25,'Scenario'!$J$66&lt;0.5),"Fair",IF('Scenario'!$J$66&gt;=0.5,"Good","")))),"")</f>
        <v/>
      </c>
      <c r="G217" s="179">
        <f>IF('Metrics'!$F$217="Good",'Reference'!$B$102,IF('Metrics'!$F$217="Fair",'Reference'!$B$103,IF('Metrics'!$F$217="Poor",'Reference'!$B$104,"")))</f>
        <v/>
      </c>
    </row>
    <row r="218">
      <c r="A218" t="inlineStr">
        <is>
          <t>ICI (product of six ci components)</t>
        </is>
      </c>
      <c r="B218" s="183">
        <f>IF(AND(ISNUMBER('Scenario'!$J$67),ISNUMBER('Scenario'!$J$57),ISNUMBER('Scenario'!$J$68),ISNUMBER('Scenario'!$J$69),ISNUMBER('Scenario'!$J$70),ISNUMBER('Scenario'!$J$71)),PRODUCT('Scenario'!$J$67,'Scenario'!$J$57,'Scenario'!$J$68,'Scenario'!$J$69,'Scenario'!$J$70,'Scenario'!$J$71),"")</f>
        <v/>
      </c>
    </row>
    <row r="219">
      <c r="A219" t="inlineStr">
        <is>
          <t>IWI (product of six wi components)</t>
        </is>
      </c>
      <c r="B219" s="183">
        <f>IF(AND(ISNUMBER('Scenario'!$J$73),ISNUMBER('Scenario'!$J$58),ISNUMBER('Scenario'!$J$74),ISNUMBER('Scenario'!$J$75),ISNUMBER('Scenario'!$J$76),ISNUMBER('Scenario'!$J$77)),PRODUCT('Scenario'!$J$73,'Scenario'!$J$58,'Scenario'!$J$74,'Scenario'!$J$75,'Scenario'!$J$76,'Scenario'!$J$77),"")</f>
        <v/>
      </c>
    </row>
    <row r="220">
      <c r="A220" t="inlineStr">
        <is>
          <t>Fallback value (lower of ICI and IWI)</t>
        </is>
      </c>
      <c r="B220" s="183">
        <f>IF(AND(ISNUMBER('Metrics'!$B$218),ISNUMBER('Metrics'!$B$219)),ROUND(MIN('Metrics'!$B$218,'Metrics'!$B$219),12),"")</f>
        <v/>
      </c>
      <c r="C220" s="176" t="inlineStr">
        <is>
          <t>≥0.70</t>
        </is>
      </c>
      <c r="D220" s="177" t="inlineStr">
        <is>
          <t>0.40-&lt;0.70</t>
        </is>
      </c>
      <c r="E220" s="178" t="inlineStr">
        <is>
          <t>&lt;0.40</t>
        </is>
      </c>
    </row>
    <row r="221">
      <c r="A221" t="inlineStr">
        <is>
          <t>Route that applied</t>
        </is>
      </c>
      <c r="B221" s="175">
        <f>IF(OR('Scenario'!$J$81="Good",'Scenario'!$J$81="Fair",'Scenario'!$J$81="Poor"),"override score",IF('Metrics'!$F$217&lt;&gt;"","published benthic model",IF(IF(NOT(ISNUMBER('Metrics'!$B$220)),"",IF('Metrics'!$B$220&lt;0.4,"Poor",IF(AND('Metrics'!$B$220&gt;=0.4,'Metrics'!$B$220&lt;0.7),"Fair",IF('Metrics'!$B$220&gt;=0.7,"Good",""))))="","not rated","ICI/IWI integrity fallback")))</f>
        <v/>
      </c>
    </row>
    <row r="222">
      <c r="A222" t="inlineStr">
        <is>
          <t>Computed rating (before the override score)</t>
        </is>
      </c>
      <c r="F222" s="175">
        <f>IF('Metrics'!$F$217&lt;&gt;"",'Metrics'!$F$217,IF(NOT(ISNUMBER('Metrics'!$B$220)),"",IF('Metrics'!$B$220&lt;0.4,"Poor",IF(AND('Metrics'!$B$220&gt;=0.4,'Metrics'!$B$220&lt;0.7),"Fair",IF('Metrics'!$B$220&gt;=0.7,"Good","")))))</f>
        <v/>
      </c>
    </row>
    <row r="223">
      <c r="A223" t="inlineStr">
        <is>
          <t>Override score (optional entry on the Scenario sheet)</t>
        </is>
      </c>
      <c r="B223" s="175">
        <f>IF('Scenario'!$J$81="","",'Scenario'!$J$81)</f>
        <v/>
      </c>
      <c r="H223" s="180" t="inlineStr">
        <is>
          <t>Replaces the computed rating, as a rating changed in the web application does.</t>
        </is>
      </c>
    </row>
    <row r="224">
      <c r="A224" t="inlineStr">
        <is>
          <t>Function rating</t>
        </is>
      </c>
      <c r="F224" s="181">
        <f>IF(OR('Scenario'!$J$81="Good",'Scenario'!$J$81="Fair",'Scenario'!$J$81="Poor"),'Scenario'!$J$81,'Metrics'!$F$222)</f>
        <v/>
      </c>
      <c r="G224" s="179">
        <f>IF('Metrics'!$F$224="Good",'Reference'!$B$102,IF('Metrics'!$F$224="Fair",'Reference'!$B$103,IF('Metrics'!$F$224="Poor",'Reference'!$B$104,"")))</f>
        <v/>
      </c>
      <c r="H224" s="180" t="inlineStr">
        <is>
          <t>The model probability governs when present; otherwise all twelve integrity components.</t>
        </is>
      </c>
    </row>
    <row r="225">
      <c r="A225" t="inlineStr">
        <is>
          <t>Function score (0 to 15)</t>
        </is>
      </c>
      <c r="B225" s="181">
        <f>IF('Metrics'!$F$224="Good",'Reference'!$C$102,IF('Metrics'!$F$224="Fair",'Reference'!$C$103,IF('Metrics'!$F$224="Poor",'Reference'!$C$104,"")))</f>
        <v/>
      </c>
    </row>
    <row r="226">
      <c r="A226" t="inlineStr">
        <is>
          <t>Status</t>
        </is>
      </c>
      <c r="B226" s="175">
        <f>IF(OR('Scenario'!$J$81="Good",'Scenario'!$J$81="Fair",'Scenario'!$J$81="Poor"),"override score",IF('Metrics'!$F$224="","not rated","complete"))</f>
        <v/>
      </c>
    </row>
    <row r="228">
      <c r="A228" s="169" t="inlineStr">
        <is>
          <t>19. Community dynamics</t>
        </is>
      </c>
      <c r="B228" s="170" t="inlineStr">
        <is>
          <t>Invasive-species pressure (nas-established-taxa-count, threshold)</t>
        </is>
      </c>
    </row>
    <row r="229">
      <c r="A229" s="171" t="inlineStr">
        <is>
          <t>Item</t>
        </is>
      </c>
      <c r="B229" s="171" t="inlineStr">
        <is>
          <t>Value</t>
        </is>
      </c>
      <c r="C229" s="172" t="inlineStr">
        <is>
          <t>Good</t>
        </is>
      </c>
      <c r="D229" s="173" t="inlineStr">
        <is>
          <t>Fair</t>
        </is>
      </c>
      <c r="E229" s="174" t="inlineStr">
        <is>
          <t>Poor</t>
        </is>
      </c>
      <c r="F229" s="171" t="inlineStr">
        <is>
          <t>Rating</t>
        </is>
      </c>
      <c r="G229" s="171" t="inlineStr">
        <is>
          <t>Index</t>
        </is>
      </c>
      <c r="H229" s="171" t="inlineStr">
        <is>
          <t>Note</t>
        </is>
      </c>
    </row>
    <row r="230">
      <c r="A230" t="inlineStr">
        <is>
          <t>Established NAS taxa count</t>
        </is>
      </c>
      <c r="B230" s="175">
        <f>IF('Scenario'!$J$82="","",'Scenario'!$J$82)</f>
        <v/>
      </c>
      <c r="C230" s="176" t="inlineStr">
        <is>
          <t>0 recorded</t>
        </is>
      </c>
      <c r="D230" s="177" t="inlineStr">
        <is>
          <t>1-2 recorded</t>
        </is>
      </c>
      <c r="E230" s="178" t="inlineStr">
        <is>
          <t>≥3 recorded</t>
        </is>
      </c>
    </row>
    <row r="231">
      <c r="A231" t="inlineStr">
        <is>
          <t>Route that applied</t>
        </is>
      </c>
      <c r="B231" s="175">
        <f>IF(OR('Scenario'!$J$83="Good",'Scenario'!$J$83="Fair",'Scenario'!$J$83="Poor"),"override score","automatic method")</f>
        <v/>
      </c>
    </row>
    <row r="232">
      <c r="A232" t="inlineStr">
        <is>
          <t>Computed rating (before the override score)</t>
        </is>
      </c>
      <c r="F232" s="175">
        <f>IF(NOT(ISNUMBER('Scenario'!$J$82)),"",IF(AND('Scenario'!$J$82&gt;=0,'Scenario'!$J$82&lt;=0),"Good",IF(AND('Scenario'!$J$82&gt;=1,'Scenario'!$J$82&lt;=2),"Fair",IF('Scenario'!$J$82&gt;=3,"Poor",""))))</f>
        <v/>
      </c>
    </row>
    <row r="233">
      <c r="A233" t="inlineStr">
        <is>
          <t>Override score (optional entry on the Scenario sheet)</t>
        </is>
      </c>
      <c r="B233" s="175">
        <f>IF('Scenario'!$J$83="","",'Scenario'!$J$83)</f>
        <v/>
      </c>
      <c r="H233" s="180" t="inlineStr">
        <is>
          <t>Replaces the computed rating, as a rating changed in the web application does.</t>
        </is>
      </c>
    </row>
    <row r="234">
      <c r="A234" t="inlineStr">
        <is>
          <t>Function rating</t>
        </is>
      </c>
      <c r="F234" s="181">
        <f>IF(OR('Scenario'!$J$83="Good",'Scenario'!$J$83="Fair",'Scenario'!$J$83="Poor"),'Scenario'!$J$83,'Metrics'!$F$232)</f>
        <v/>
      </c>
      <c r="G234" s="179">
        <f>IF('Metrics'!$F$234="Good",'Reference'!$B$102,IF('Metrics'!$F$234="Fair",'Reference'!$B$103,IF('Metrics'!$F$234="Poor",'Reference'!$B$104,"")))</f>
        <v/>
      </c>
      <c r="H234" s="180" t="inlineStr">
        <is>
          <t>Whole counts only; a fraction or a negative count is unrated.</t>
        </is>
      </c>
    </row>
    <row r="235">
      <c r="A235" t="inlineStr">
        <is>
          <t>Function score (0 to 15)</t>
        </is>
      </c>
      <c r="B235" s="181">
        <f>IF('Metrics'!$F$234="Good",'Reference'!$C$102,IF('Metrics'!$F$234="Fair",'Reference'!$C$103,IF('Metrics'!$F$234="Poor",'Reference'!$C$104,"")))</f>
        <v/>
      </c>
    </row>
    <row r="236">
      <c r="A236" t="inlineStr">
        <is>
          <t>Status</t>
        </is>
      </c>
      <c r="B236" s="175">
        <f>IF(OR('Scenario'!$J$83="Good",'Scenario'!$J$83="Fair",'Scenario'!$J$83="Poor"),"override score",IF('Metrics'!$F$234="","not rated","complete"))</f>
        <v/>
      </c>
    </row>
    <row r="238">
      <c r="A238" s="169" t="inlineStr">
        <is>
          <t>20. Watershed connectivity</t>
        </is>
      </c>
      <c r="B238" s="170" t="inlineStr">
        <is>
          <t>Nearby dam-proximity proxy (nearby-dam-proximity, threshold)</t>
        </is>
      </c>
    </row>
    <row r="239">
      <c r="A239" s="171" t="inlineStr">
        <is>
          <t>Item</t>
        </is>
      </c>
      <c r="B239" s="171" t="inlineStr">
        <is>
          <t>Value</t>
        </is>
      </c>
      <c r="C239" s="172" t="inlineStr">
        <is>
          <t>Good</t>
        </is>
      </c>
      <c r="D239" s="173" t="inlineStr">
        <is>
          <t>Fair</t>
        </is>
      </c>
      <c r="E239" s="174" t="inlineStr">
        <is>
          <t>Poor</t>
        </is>
      </c>
      <c r="F239" s="171" t="inlineStr">
        <is>
          <t>Rating</t>
        </is>
      </c>
      <c r="G239" s="171" t="inlineStr">
        <is>
          <t>Index</t>
        </is>
      </c>
      <c r="H239" s="171" t="inlineStr">
        <is>
          <t>Note</t>
        </is>
      </c>
    </row>
    <row r="240">
      <c r="A240" t="inlineStr">
        <is>
          <t>Mapped NID dams within one mile</t>
        </is>
      </c>
      <c r="B240" s="175">
        <f>IF('Scenario'!$J$84="","",'Scenario'!$J$84)</f>
        <v/>
      </c>
      <c r="C240" s="176" t="inlineStr">
        <is>
          <t>0 mapped dams</t>
        </is>
      </c>
      <c r="D240" s="177" t="inlineStr">
        <is>
          <t>1 mapped dam</t>
        </is>
      </c>
      <c r="E240" s="178" t="inlineStr">
        <is>
          <t>≥2 mapped dams</t>
        </is>
      </c>
    </row>
    <row r="241">
      <c r="A241" t="inlineStr">
        <is>
          <t>Route that applied</t>
        </is>
      </c>
      <c r="B241" s="175">
        <f>IF(OR('Scenario'!$J$85="Good",'Scenario'!$J$85="Fair",'Scenario'!$J$85="Poor"),"override score","automatic method")</f>
        <v/>
      </c>
    </row>
    <row r="242">
      <c r="A242" t="inlineStr">
        <is>
          <t>Computed rating (before the override score)</t>
        </is>
      </c>
      <c r="F242" s="175">
        <f>IF(NOT(ISNUMBER('Scenario'!$J$84)),"",IF(AND('Scenario'!$J$84&gt;=0,'Scenario'!$J$84&lt;=0),"Good",IF(AND('Scenario'!$J$84&gt;=1,'Scenario'!$J$84&lt;=1),"Fair",IF('Scenario'!$J$84&gt;=2,"Poor",""))))</f>
        <v/>
      </c>
    </row>
    <row r="243">
      <c r="A243" t="inlineStr">
        <is>
          <t>Override score (optional entry on the Scenario sheet)</t>
        </is>
      </c>
      <c r="B243" s="175">
        <f>IF('Scenario'!$J$85="","",'Scenario'!$J$85)</f>
        <v/>
      </c>
      <c r="H243" s="180" t="inlineStr">
        <is>
          <t>Replaces the computed rating, as a rating changed in the web application does.</t>
        </is>
      </c>
    </row>
    <row r="244">
      <c r="A244" t="inlineStr">
        <is>
          <t>Function rating</t>
        </is>
      </c>
      <c r="F244" s="181">
        <f>IF(OR('Scenario'!$J$85="Good",'Scenario'!$J$85="Fair",'Scenario'!$J$85="Poor"),'Scenario'!$J$85,'Metrics'!$F$242)</f>
        <v/>
      </c>
      <c r="G244" s="179">
        <f>IF('Metrics'!$F$244="Good",'Reference'!$B$102,IF('Metrics'!$F$244="Fair",'Reference'!$B$103,IF('Metrics'!$F$244="Poor",'Reference'!$B$104,"")))</f>
        <v/>
      </c>
      <c r="H244" s="180" t="inlineStr">
        <is>
          <t>Whole counts only.</t>
        </is>
      </c>
    </row>
    <row r="245">
      <c r="A245" t="inlineStr">
        <is>
          <t>Function score (0 to 15)</t>
        </is>
      </c>
      <c r="B245" s="181">
        <f>IF('Metrics'!$F$244="Good",'Reference'!$C$102,IF('Metrics'!$F$244="Fair",'Reference'!$C$103,IF('Metrics'!$F$244="Poor",'Reference'!$C$104,"")))</f>
        <v/>
      </c>
    </row>
    <row r="246">
      <c r="A246" t="inlineStr">
        <is>
          <t>Status</t>
        </is>
      </c>
      <c r="B246" s="175">
        <f>IF(OR('Scenario'!$J$85="Good",'Scenario'!$J$85="Fair",'Scenario'!$J$85="Poor"),"override score",IF('Metrics'!$F$244="","not rated","complete"))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tabSelected="0" workbookViewId="0">
      <pane ySplit="4" topLeftCell="A5" activePane="bottomLeft" state="frozen"/>
      <selection pane="bottomLeft" activeCell="A1" sqref="A1"/>
    </sheetView>
  </sheetViews>
  <sheetFormatPr baseColWidth="8" defaultRowHeight="15"/>
  <cols>
    <col width="34" customWidth="1" min="1" max="1"/>
    <col width="14" customWidth="1" min="2" max="2"/>
    <col width="44" customWidth="1" min="3" max="3"/>
    <col width="12" customWidth="1" min="4" max="4"/>
    <col width="10" customWidth="1" min="5" max="5"/>
    <col width="20" customWidth="1" min="6" max="6"/>
    <col width="10" customWidth="1" min="7" max="7"/>
    <col width="10" customWidth="1" min="8" max="8"/>
    <col width="10" customWidth="1" min="9" max="9"/>
    <col width="10" customWidth="1" min="10" max="10"/>
    <col width="8" customWidth="1" min="11" max="11"/>
    <col width="40" customWidth="1" min="12" max="12"/>
  </cols>
  <sheetData>
    <row r="1">
      <c r="A1" s="167" t="inlineStr">
        <is>
          <t>EASI calculator: results</t>
        </is>
      </c>
    </row>
    <row r="2">
      <c r="A2" s="170" t="inlineStr">
        <is>
          <t>Engine sheet (hidden). Function scores, outcome sub-indices and the Ecosystem Condition Index, computed with the STAF rollup: unrated functions leave both the numerator and the denominator. The Scenario sheet displays these cells.</t>
        </is>
      </c>
    </row>
    <row r="4">
      <c r="A4" s="171" t="inlineStr">
        <is>
          <t>Function</t>
        </is>
      </c>
      <c r="B4" s="171" t="inlineStr">
        <is>
          <t>Discipline</t>
        </is>
      </c>
      <c r="C4" s="171" t="inlineStr">
        <is>
          <t>Metric</t>
        </is>
      </c>
      <c r="D4" s="171" t="inlineStr">
        <is>
          <t>Rating</t>
        </is>
      </c>
      <c r="E4" s="171" t="inlineStr">
        <is>
          <t>Score</t>
        </is>
      </c>
      <c r="F4" s="171" t="inlineStr">
        <is>
          <t>Class</t>
        </is>
      </c>
      <c r="G4" s="171" t="inlineStr">
        <is>
          <t>Physical</t>
        </is>
      </c>
      <c r="H4" s="171" t="inlineStr">
        <is>
          <t>Chemical</t>
        </is>
      </c>
      <c r="I4" s="171" t="inlineStr">
        <is>
          <t>Biological</t>
        </is>
      </c>
      <c r="J4" s="171" t="inlineStr">
        <is>
          <t>Score or 0</t>
        </is>
      </c>
      <c r="K4" s="171" t="inlineStr">
        <is>
          <t>Rated</t>
        </is>
      </c>
      <c r="L4" s="171" t="inlineStr">
        <is>
          <t>Route</t>
        </is>
      </c>
    </row>
    <row r="5">
      <c r="A5" t="inlineStr">
        <is>
          <t>Catchment hydrology</t>
        </is>
      </c>
      <c r="B5" t="inlineStr">
        <is>
          <t>Hydrology</t>
        </is>
      </c>
      <c r="C5" t="inlineStr">
        <is>
          <t>Watershed Land-Cover Pressure</t>
        </is>
      </c>
      <c r="D5" s="175">
        <f>'Metrics'!$F$12</f>
        <v/>
      </c>
      <c r="E5" s="175">
        <f>'Metrics'!$B$13</f>
        <v/>
      </c>
      <c r="F5" s="175">
        <f>IF(NOT(ISNUMBER('Results'!$E$5)),"Not assessed",IF('Results'!$E$5&lt;=5,"Non-Functioning",IF('Results'!$E$5&lt;=10,"Functioning-at-Risk","Functioning")))</f>
        <v/>
      </c>
      <c r="G5" t="n">
        <v>1</v>
      </c>
      <c r="H5" t="n">
        <v>0.1</v>
      </c>
      <c r="I5" t="n">
        <v>0.1</v>
      </c>
      <c r="J5" s="175">
        <f>IF(ISNUMBER('Results'!$E$5),'Results'!$E$5,0)</f>
        <v/>
      </c>
      <c r="K5" s="175">
        <f>IF(ISNUMBER('Results'!$E$5),1,0)</f>
        <v/>
      </c>
      <c r="L5" s="175">
        <f>'Metrics'!$B$9</f>
        <v/>
      </c>
    </row>
    <row r="6">
      <c r="A6" t="inlineStr">
        <is>
          <t>Surface water storage</t>
        </is>
      </c>
      <c r="B6" t="inlineStr">
        <is>
          <t>Hydrology</t>
        </is>
      </c>
      <c r="C6" t="inlineStr">
        <is>
          <t>Percent Wetlands in Watershed</t>
        </is>
      </c>
      <c r="D6" s="175">
        <f>'Metrics'!$F$24</f>
        <v/>
      </c>
      <c r="E6" s="175">
        <f>'Metrics'!$B$25</f>
        <v/>
      </c>
      <c r="F6" s="175">
        <f>IF(NOT(ISNUMBER('Results'!$E$6)),"Not assessed",IF('Results'!$E$6&lt;=5,"Non-Functioning",IF('Results'!$E$6&lt;=10,"Functioning-at-Risk","Functioning")))</f>
        <v/>
      </c>
      <c r="G6" t="n">
        <v>1</v>
      </c>
      <c r="H6" t="n">
        <v>0.1</v>
      </c>
      <c r="I6" t="n">
        <v>0.1</v>
      </c>
      <c r="J6" s="175">
        <f>IF(ISNUMBER('Results'!$E$6),'Results'!$E$6,0)</f>
        <v/>
      </c>
      <c r="K6" s="175">
        <f>IF(ISNUMBER('Results'!$E$6),1,0)</f>
        <v/>
      </c>
      <c r="L6" s="175">
        <f>'Metrics'!$B$21</f>
        <v/>
      </c>
    </row>
    <row r="7">
      <c r="A7" t="inlineStr">
        <is>
          <t>Reach inflow</t>
        </is>
      </c>
      <c r="B7" t="inlineStr">
        <is>
          <t>Hydrology</t>
        </is>
      </c>
      <c r="C7" t="inlineStr">
        <is>
          <t>Concentrated Runoff / Stormwater Inputs</t>
        </is>
      </c>
      <c r="D7" s="175">
        <f>'Metrics'!$F$34</f>
        <v/>
      </c>
      <c r="E7" s="175">
        <f>'Metrics'!$B$35</f>
        <v/>
      </c>
      <c r="F7" s="175">
        <f>IF(NOT(ISNUMBER('Results'!$E$7)),"Not assessed",IF('Results'!$E$7&lt;=5,"Non-Functioning",IF('Results'!$E$7&lt;=10,"Functioning-at-Risk","Functioning")))</f>
        <v/>
      </c>
      <c r="G7" t="n">
        <v>1</v>
      </c>
      <c r="H7" t="n">
        <v>0.1</v>
      </c>
      <c r="I7" t="n">
        <v>0.1</v>
      </c>
      <c r="J7" s="175">
        <f>IF(ISNUMBER('Results'!$E$7),'Results'!$E$7,0)</f>
        <v/>
      </c>
      <c r="K7" s="175">
        <f>IF(ISNUMBER('Results'!$E$7),1,0)</f>
        <v/>
      </c>
      <c r="L7" s="175">
        <f>'Metrics'!$B$31</f>
        <v/>
      </c>
    </row>
    <row r="8">
      <c r="A8" t="inlineStr">
        <is>
          <t>Streamflow regime</t>
        </is>
      </c>
      <c r="B8" t="inlineStr">
        <is>
          <t>Hydrology</t>
        </is>
      </c>
      <c r="C8" t="inlineStr">
        <is>
          <t>Flow Alteration (Regulation / Water Use)</t>
        </is>
      </c>
      <c r="D8" s="175">
        <f>'Metrics'!$F$46</f>
        <v/>
      </c>
      <c r="E8" s="175">
        <f>'Metrics'!$B$47</f>
        <v/>
      </c>
      <c r="F8" s="175">
        <f>IF(NOT(ISNUMBER('Results'!$E$8)),"Not assessed",IF('Results'!$E$8&lt;=5,"Non-Functioning",IF('Results'!$E$8&lt;=10,"Functioning-at-Risk","Functioning")))</f>
        <v/>
      </c>
      <c r="G8" t="n">
        <v>1</v>
      </c>
      <c r="H8" t="n">
        <v>0.1</v>
      </c>
      <c r="I8" t="n">
        <v>0.1</v>
      </c>
      <c r="J8" s="175">
        <f>IF(ISNUMBER('Results'!$E$8),'Results'!$E$8,0)</f>
        <v/>
      </c>
      <c r="K8" s="175">
        <f>IF(ISNUMBER('Results'!$E$8),1,0)</f>
        <v/>
      </c>
      <c r="L8" s="175">
        <f>'Metrics'!$B$43</f>
        <v/>
      </c>
    </row>
    <row r="9">
      <c r="A9" t="inlineStr">
        <is>
          <t>Low flow and baseflow dynamics</t>
        </is>
      </c>
      <c r="B9" t="inlineStr">
        <is>
          <t>Hydraulics</t>
        </is>
      </c>
      <c r="C9" t="inlineStr">
        <is>
          <t>Low-flow Wetted Connectivity</t>
        </is>
      </c>
      <c r="D9" s="175">
        <f>'Metrics'!$F$59</f>
        <v/>
      </c>
      <c r="E9" s="175">
        <f>'Metrics'!$B$60</f>
        <v/>
      </c>
      <c r="F9" s="175">
        <f>IF(NOT(ISNUMBER('Results'!$E$9)),"Not assessed",IF('Results'!$E$9&lt;=5,"Non-Functioning",IF('Results'!$E$9&lt;=10,"Functioning-at-Risk","Functioning")))</f>
        <v/>
      </c>
      <c r="G9" t="n">
        <v>1</v>
      </c>
      <c r="H9" t="n">
        <v>0.1</v>
      </c>
      <c r="I9" t="n">
        <v>0.1</v>
      </c>
      <c r="J9" s="175">
        <f>IF(ISNUMBER('Results'!$E$9),'Results'!$E$9,0)</f>
        <v/>
      </c>
      <c r="K9" s="175">
        <f>IF(ISNUMBER('Results'!$E$9),1,0)</f>
        <v/>
      </c>
      <c r="L9" s="175">
        <f>'Metrics'!$B$56</f>
        <v/>
      </c>
    </row>
    <row r="10">
      <c r="A10" t="inlineStr">
        <is>
          <t>High flow dynamics</t>
        </is>
      </c>
      <c r="B10" t="inlineStr">
        <is>
          <t>Hydraulics</t>
        </is>
      </c>
      <c r="C10" t="inlineStr">
        <is>
          <t>Floodplain Engagement Frequency (bankfull recurrence)</t>
        </is>
      </c>
      <c r="D10" s="175">
        <f>'Metrics'!$F$69</f>
        <v/>
      </c>
      <c r="E10" s="175">
        <f>'Metrics'!$B$70</f>
        <v/>
      </c>
      <c r="F10" s="175">
        <f>IF(NOT(ISNUMBER('Results'!$E$10)),"Not assessed",IF('Results'!$E$10&lt;=5,"Non-Functioning",IF('Results'!$E$10&lt;=10,"Functioning-at-Risk","Functioning")))</f>
        <v/>
      </c>
      <c r="G10" t="n">
        <v>1</v>
      </c>
      <c r="H10" t="n">
        <v>0.1</v>
      </c>
      <c r="I10" t="n">
        <v>0.1</v>
      </c>
      <c r="J10" s="175">
        <f>IF(ISNUMBER('Results'!$E$10),'Results'!$E$10,0)</f>
        <v/>
      </c>
      <c r="K10" s="175">
        <f>IF(ISNUMBER('Results'!$E$10),1,0)</f>
        <v/>
      </c>
      <c r="L10" s="175">
        <f>'Metrics'!$B$66</f>
        <v/>
      </c>
    </row>
    <row r="11">
      <c r="A11" t="inlineStr">
        <is>
          <t>Floodplain connectivity</t>
        </is>
      </c>
      <c r="B11" t="inlineStr">
        <is>
          <t>Hydraulics</t>
        </is>
      </c>
      <c r="C11" t="inlineStr">
        <is>
          <t>Floodplain Access / Entrenchment</t>
        </is>
      </c>
      <c r="D11" s="175">
        <f>'Metrics'!$F$81</f>
        <v/>
      </c>
      <c r="E11" s="175">
        <f>'Metrics'!$B$82</f>
        <v/>
      </c>
      <c r="F11" s="175">
        <f>IF(NOT(ISNUMBER('Results'!$E$11)),"Not assessed",IF('Results'!$E$11&lt;=5,"Non-Functioning",IF('Results'!$E$11&lt;=10,"Functioning-at-Risk","Functioning")))</f>
        <v/>
      </c>
      <c r="G11" t="n">
        <v>1</v>
      </c>
      <c r="H11" t="n">
        <v>0.1</v>
      </c>
      <c r="I11" t="n">
        <v>0.1</v>
      </c>
      <c r="J11" s="175">
        <f>IF(ISNUMBER('Results'!$E$11),'Results'!$E$11,0)</f>
        <v/>
      </c>
      <c r="K11" s="175">
        <f>IF(ISNUMBER('Results'!$E$11),1,0)</f>
        <v/>
      </c>
      <c r="L11" s="175">
        <f>'Metrics'!$B$78</f>
        <v/>
      </c>
    </row>
    <row r="12">
      <c r="A12" t="inlineStr">
        <is>
          <t>Hyporheic connectivity</t>
        </is>
      </c>
      <c r="B12" t="inlineStr">
        <is>
          <t>Hydraulics</t>
        </is>
      </c>
      <c r="C12" t="inlineStr">
        <is>
          <t>Hyporheic Exchange Indicators</t>
        </is>
      </c>
      <c r="D12" s="175">
        <f>'Metrics'!$F$94</f>
        <v/>
      </c>
      <c r="E12" s="175">
        <f>'Metrics'!$B$95</f>
        <v/>
      </c>
      <c r="F12" s="175">
        <f>IF(NOT(ISNUMBER('Results'!$E$12)),"Not assessed",IF('Results'!$E$12&lt;=5,"Non-Functioning",IF('Results'!$E$12&lt;=10,"Functioning-at-Risk","Functioning")))</f>
        <v/>
      </c>
      <c r="G12" t="n">
        <v>1</v>
      </c>
      <c r="H12" t="n">
        <v>0.1</v>
      </c>
      <c r="I12" t="n">
        <v>0.1</v>
      </c>
      <c r="J12" s="175">
        <f>IF(ISNUMBER('Results'!$E$12),'Results'!$E$12,0)</f>
        <v/>
      </c>
      <c r="K12" s="175">
        <f>IF(ISNUMBER('Results'!$E$12),1,0)</f>
        <v/>
      </c>
      <c r="L12" s="175">
        <f>'Metrics'!$B$91</f>
        <v/>
      </c>
    </row>
    <row r="13">
      <c r="A13" t="inlineStr">
        <is>
          <t>Channel evolution</t>
        </is>
      </c>
      <c r="B13" t="inlineStr">
        <is>
          <t>Geomorphology</t>
        </is>
      </c>
      <c r="C13" t="inlineStr">
        <is>
          <t>Channel Evolution Stage &amp; Trends</t>
        </is>
      </c>
      <c r="D13" s="175">
        <f>'Metrics'!$F$108</f>
        <v/>
      </c>
      <c r="E13" s="175">
        <f>'Metrics'!$B$109</f>
        <v/>
      </c>
      <c r="F13" s="175">
        <f>IF(NOT(ISNUMBER('Results'!$E$13)),"Not assessed",IF('Results'!$E$13&lt;=5,"Non-Functioning",IF('Results'!$E$13&lt;=10,"Functioning-at-Risk","Functioning")))</f>
        <v/>
      </c>
      <c r="G13" t="n">
        <v>1</v>
      </c>
      <c r="H13" t="n">
        <v>0.1</v>
      </c>
      <c r="I13" t="n">
        <v>0.1</v>
      </c>
      <c r="J13" s="175">
        <f>IF(ISNUMBER('Results'!$E$13),'Results'!$E$13,0)</f>
        <v/>
      </c>
      <c r="K13" s="175">
        <f>IF(ISNUMBER('Results'!$E$13),1,0)</f>
        <v/>
      </c>
      <c r="L13" s="175">
        <f>'Metrics'!$B$105</f>
        <v/>
      </c>
    </row>
    <row r="14">
      <c r="A14" t="inlineStr">
        <is>
          <t>Channel and floodplain dynamics</t>
        </is>
      </c>
      <c r="B14" t="inlineStr">
        <is>
          <t>Geomorphology</t>
        </is>
      </c>
      <c r="C14" t="inlineStr">
        <is>
          <t>Bank Erosion &amp; Armoring Condition</t>
        </is>
      </c>
      <c r="D14" s="175">
        <f>'Metrics'!$F$120</f>
        <v/>
      </c>
      <c r="E14" s="175">
        <f>'Metrics'!$B$121</f>
        <v/>
      </c>
      <c r="F14" s="175">
        <f>IF(NOT(ISNUMBER('Results'!$E$14)),"Not assessed",IF('Results'!$E$14&lt;=5,"Non-Functioning",IF('Results'!$E$14&lt;=10,"Functioning-at-Risk","Functioning")))</f>
        <v/>
      </c>
      <c r="G14" t="n">
        <v>1</v>
      </c>
      <c r="H14" t="n">
        <v>0.1</v>
      </c>
      <c r="I14" t="n">
        <v>0.1</v>
      </c>
      <c r="J14" s="175">
        <f>IF(ISNUMBER('Results'!$E$14),'Results'!$E$14,0)</f>
        <v/>
      </c>
      <c r="K14" s="175">
        <f>IF(ISNUMBER('Results'!$E$14),1,0)</f>
        <v/>
      </c>
      <c r="L14" s="175">
        <f>'Metrics'!$B$117</f>
        <v/>
      </c>
    </row>
    <row r="15">
      <c r="A15" t="inlineStr">
        <is>
          <t>Sediment continuity</t>
        </is>
      </c>
      <c r="B15" t="inlineStr">
        <is>
          <t>Geomorphology</t>
        </is>
      </c>
      <c r="C15" t="inlineStr">
        <is>
          <t>Sediment Supply Potential (watershed/banks)</t>
        </is>
      </c>
      <c r="D15" s="175">
        <f>'Metrics'!$F$134</f>
        <v/>
      </c>
      <c r="E15" s="175">
        <f>'Metrics'!$B$135</f>
        <v/>
      </c>
      <c r="F15" s="175">
        <f>IF(NOT(ISNUMBER('Results'!$E$15)),"Not assessed",IF('Results'!$E$15&lt;=5,"Non-Functioning",IF('Results'!$E$15&lt;=10,"Functioning-at-Risk","Functioning")))</f>
        <v/>
      </c>
      <c r="G15" t="n">
        <v>1</v>
      </c>
      <c r="H15" t="n">
        <v>0.1</v>
      </c>
      <c r="I15" t="n">
        <v>0.1</v>
      </c>
      <c r="J15" s="175">
        <f>IF(ISNUMBER('Results'!$E$15),'Results'!$E$15,0)</f>
        <v/>
      </c>
      <c r="K15" s="175">
        <f>IF(ISNUMBER('Results'!$E$15),1,0)</f>
        <v/>
      </c>
      <c r="L15" s="175">
        <f>'Metrics'!$B$131</f>
        <v/>
      </c>
    </row>
    <row r="16">
      <c r="A16" t="inlineStr">
        <is>
          <t>Bed composition and large wood</t>
        </is>
      </c>
      <c r="B16" t="inlineStr">
        <is>
          <t>Geomorphology</t>
        </is>
      </c>
      <c r="C16" t="inlineStr">
        <is>
          <t>Substrate Condition (grain size/embeddedness/fines/consolidation)</t>
        </is>
      </c>
      <c r="D16" s="175">
        <f>'Metrics'!$F$144</f>
        <v/>
      </c>
      <c r="E16" s="175">
        <f>'Metrics'!$B$145</f>
        <v/>
      </c>
      <c r="F16" s="175">
        <f>IF(NOT(ISNUMBER('Results'!$E$16)),"Not assessed",IF('Results'!$E$16&lt;=5,"Non-Functioning",IF('Results'!$E$16&lt;=10,"Functioning-at-Risk","Functioning")))</f>
        <v/>
      </c>
      <c r="G16" t="n">
        <v>1</v>
      </c>
      <c r="H16" t="n">
        <v>0.1</v>
      </c>
      <c r="I16" t="n">
        <v>0.1</v>
      </c>
      <c r="J16" s="175">
        <f>IF(ISNUMBER('Results'!$E$16),'Results'!$E$16,0)</f>
        <v/>
      </c>
      <c r="K16" s="175">
        <f>IF(ISNUMBER('Results'!$E$16),1,0)</f>
        <v/>
      </c>
      <c r="L16" s="175">
        <f>'Metrics'!$B$141</f>
        <v/>
      </c>
    </row>
    <row r="17">
      <c r="A17" t="inlineStr">
        <is>
          <t>Light &amp; thermal regime</t>
        </is>
      </c>
      <c r="B17" t="inlineStr">
        <is>
          <t>Physicochemistry</t>
        </is>
      </c>
      <c r="C17" t="inlineStr">
        <is>
          <t>Stream Temperature</t>
        </is>
      </c>
      <c r="D17" s="175">
        <f>'Metrics'!$F$159</f>
        <v/>
      </c>
      <c r="E17" s="175">
        <f>'Metrics'!$B$160</f>
        <v/>
      </c>
      <c r="F17" s="175">
        <f>IF(NOT(ISNUMBER('Results'!$E$17)),"Not assessed",IF('Results'!$E$17&lt;=5,"Non-Functioning",IF('Results'!$E$17&lt;=10,"Functioning-at-Risk","Functioning")))</f>
        <v/>
      </c>
      <c r="G17" t="n">
        <v>0</v>
      </c>
      <c r="H17" t="n">
        <v>1</v>
      </c>
      <c r="I17" t="n">
        <v>0.1</v>
      </c>
      <c r="J17" s="175">
        <f>IF(ISNUMBER('Results'!$E$17),'Results'!$E$17,0)</f>
        <v/>
      </c>
      <c r="K17" s="175">
        <f>IF(ISNUMBER('Results'!$E$17),1,0)</f>
        <v/>
      </c>
      <c r="L17" s="175">
        <f>'Metrics'!$B$156</f>
        <v/>
      </c>
    </row>
    <row r="18">
      <c r="A18" t="inlineStr">
        <is>
          <t>Carbon processing</t>
        </is>
      </c>
      <c r="B18" t="inlineStr">
        <is>
          <t>Physicochemistry</t>
        </is>
      </c>
      <c r="C18" t="inlineStr">
        <is>
          <t>Detrital Processing (CPOM retention / shredders)</t>
        </is>
      </c>
      <c r="D18" s="175">
        <f>'Metrics'!$F$175</f>
        <v/>
      </c>
      <c r="E18" s="175">
        <f>'Metrics'!$B$176</f>
        <v/>
      </c>
      <c r="F18" s="175">
        <f>IF(NOT(ISNUMBER('Results'!$E$18)),"Not assessed",IF('Results'!$E$18&lt;=5,"Non-Functioning",IF('Results'!$E$18&lt;=10,"Functioning-at-Risk","Functioning")))</f>
        <v/>
      </c>
      <c r="G18" t="n">
        <v>0</v>
      </c>
      <c r="H18" t="n">
        <v>1</v>
      </c>
      <c r="I18" t="n">
        <v>0.1</v>
      </c>
      <c r="J18" s="175">
        <f>IF(ISNUMBER('Results'!$E$18),'Results'!$E$18,0)</f>
        <v/>
      </c>
      <c r="K18" s="175">
        <f>IF(ISNUMBER('Results'!$E$18),1,0)</f>
        <v/>
      </c>
      <c r="L18" s="175">
        <f>'Metrics'!$B$172</f>
        <v/>
      </c>
    </row>
    <row r="19">
      <c r="A19" t="inlineStr">
        <is>
          <t>Nutrient cycling</t>
        </is>
      </c>
      <c r="B19" t="inlineStr">
        <is>
          <t>Physicochemistry</t>
        </is>
      </c>
      <c r="C19" t="inlineStr">
        <is>
          <t>Nitrogen &amp; Phosphorus Concentrations</t>
        </is>
      </c>
      <c r="D19" s="175">
        <f>'Metrics'!$F$187</f>
        <v/>
      </c>
      <c r="E19" s="175">
        <f>'Metrics'!$B$188</f>
        <v/>
      </c>
      <c r="F19" s="175">
        <f>IF(NOT(ISNUMBER('Results'!$E$19)),"Not assessed",IF('Results'!$E$19&lt;=5,"Non-Functioning",IF('Results'!$E$19&lt;=10,"Functioning-at-Risk","Functioning")))</f>
        <v/>
      </c>
      <c r="G19" t="n">
        <v>0.1</v>
      </c>
      <c r="H19" t="n">
        <v>1</v>
      </c>
      <c r="I19" t="n">
        <v>0.1</v>
      </c>
      <c r="J19" s="175">
        <f>IF(ISNUMBER('Results'!$E$19),'Results'!$E$19,0)</f>
        <v/>
      </c>
      <c r="K19" s="175">
        <f>IF(ISNUMBER('Results'!$E$19),1,0)</f>
        <v/>
      </c>
      <c r="L19" s="175">
        <f>'Metrics'!$B$184</f>
        <v/>
      </c>
    </row>
    <row r="20">
      <c r="A20" t="inlineStr">
        <is>
          <t>Water &amp; soil quality</t>
        </is>
      </c>
      <c r="B20" t="inlineStr">
        <is>
          <t>Physicochemistry</t>
        </is>
      </c>
      <c r="C20" t="inlineStr">
        <is>
          <t>Regulatory Impairment Status (305b/303d/TMDL)</t>
        </is>
      </c>
      <c r="D20" s="175">
        <f>'Metrics'!$F$198</f>
        <v/>
      </c>
      <c r="E20" s="175">
        <f>'Metrics'!$B$199</f>
        <v/>
      </c>
      <c r="F20" s="175">
        <f>IF(NOT(ISNUMBER('Results'!$E$20)),"Not assessed",IF('Results'!$E$20&lt;=5,"Non-Functioning",IF('Results'!$E$20&lt;=10,"Functioning-at-Risk","Functioning")))</f>
        <v/>
      </c>
      <c r="G20" t="n">
        <v>0.1</v>
      </c>
      <c r="H20" t="n">
        <v>1</v>
      </c>
      <c r="I20" t="n">
        <v>0.1</v>
      </c>
      <c r="J20" s="175">
        <f>IF(ISNUMBER('Results'!$E$20),'Results'!$E$20,0)</f>
        <v/>
      </c>
      <c r="K20" s="175">
        <f>IF(ISNUMBER('Results'!$E$20),1,0)</f>
        <v/>
      </c>
      <c r="L20" s="175">
        <f>'Metrics'!$B$195</f>
        <v/>
      </c>
    </row>
    <row r="21">
      <c r="A21" t="inlineStr">
        <is>
          <t>Habitat provision</t>
        </is>
      </c>
      <c r="B21" t="inlineStr">
        <is>
          <t>Biology</t>
        </is>
      </c>
      <c r="C21" t="inlineStr">
        <is>
          <t>In-stream Habitat Complexity &amp; Cover</t>
        </is>
      </c>
      <c r="D21" s="175">
        <f>'Metrics'!$F$211</f>
        <v/>
      </c>
      <c r="E21" s="175">
        <f>'Metrics'!$B$212</f>
        <v/>
      </c>
      <c r="F21" s="175">
        <f>IF(NOT(ISNUMBER('Results'!$E$21)),"Not assessed",IF('Results'!$E$21&lt;=5,"Non-Functioning",IF('Results'!$E$21&lt;=10,"Functioning-at-Risk","Functioning")))</f>
        <v/>
      </c>
      <c r="G21" t="n">
        <v>0</v>
      </c>
      <c r="H21" t="n">
        <v>0</v>
      </c>
      <c r="I21" t="n">
        <v>1</v>
      </c>
      <c r="J21" s="175">
        <f>IF(ISNUMBER('Results'!$E$21),'Results'!$E$21,0)</f>
        <v/>
      </c>
      <c r="K21" s="175">
        <f>IF(ISNUMBER('Results'!$E$21),1,0)</f>
        <v/>
      </c>
      <c r="L21" s="175">
        <f>'Metrics'!$B$208</f>
        <v/>
      </c>
    </row>
    <row r="22">
      <c r="A22" t="inlineStr">
        <is>
          <t>Population support</t>
        </is>
      </c>
      <c r="B22" t="inlineStr">
        <is>
          <t>Biology</t>
        </is>
      </c>
      <c r="C22" t="inlineStr">
        <is>
          <t>Biological Integrity (IBI / community condition)</t>
        </is>
      </c>
      <c r="D22" s="175">
        <f>'Metrics'!$F$224</f>
        <v/>
      </c>
      <c r="E22" s="175">
        <f>'Metrics'!$B$225</f>
        <v/>
      </c>
      <c r="F22" s="175">
        <f>IF(NOT(ISNUMBER('Results'!$E$22)),"Not assessed",IF('Results'!$E$22&lt;=5,"Non-Functioning",IF('Results'!$E$22&lt;=10,"Functioning-at-Risk","Functioning")))</f>
        <v/>
      </c>
      <c r="G22" t="n">
        <v>0.1</v>
      </c>
      <c r="H22" t="n">
        <v>0.1</v>
      </c>
      <c r="I22" t="n">
        <v>1</v>
      </c>
      <c r="J22" s="175">
        <f>IF(ISNUMBER('Results'!$E$22),'Results'!$E$22,0)</f>
        <v/>
      </c>
      <c r="K22" s="175">
        <f>IF(ISNUMBER('Results'!$E$22),1,0)</f>
        <v/>
      </c>
      <c r="L22" s="175">
        <f>'Metrics'!$B$221</f>
        <v/>
      </c>
    </row>
    <row r="23">
      <c r="A23" t="inlineStr">
        <is>
          <t>Community dynamics</t>
        </is>
      </c>
      <c r="B23" t="inlineStr">
        <is>
          <t>Biology</t>
        </is>
      </c>
      <c r="C23" t="inlineStr">
        <is>
          <t>Invasive / Non-native Species Presence</t>
        </is>
      </c>
      <c r="D23" s="175">
        <f>'Metrics'!$F$234</f>
        <v/>
      </c>
      <c r="E23" s="175">
        <f>'Metrics'!$B$235</f>
        <v/>
      </c>
      <c r="F23" s="175">
        <f>IF(NOT(ISNUMBER('Results'!$E$23)),"Not assessed",IF('Results'!$E$23&lt;=5,"Non-Functioning",IF('Results'!$E$23&lt;=10,"Functioning-at-Risk","Functioning")))</f>
        <v/>
      </c>
      <c r="G23" t="n">
        <v>0.1</v>
      </c>
      <c r="H23" t="n">
        <v>0.1</v>
      </c>
      <c r="I23" t="n">
        <v>1</v>
      </c>
      <c r="J23" s="175">
        <f>IF(ISNUMBER('Results'!$E$23),'Results'!$E$23,0)</f>
        <v/>
      </c>
      <c r="K23" s="175">
        <f>IF(ISNUMBER('Results'!$E$23),1,0)</f>
        <v/>
      </c>
      <c r="L23" s="175">
        <f>'Metrics'!$B$231</f>
        <v/>
      </c>
    </row>
    <row r="24">
      <c r="A24" t="inlineStr">
        <is>
          <t>Watershed connectivity</t>
        </is>
      </c>
      <c r="B24" t="inlineStr">
        <is>
          <t>Biology</t>
        </is>
      </c>
      <c r="C24" t="inlineStr">
        <is>
          <t>Fish Passage &amp; Barrier Effects (longitudinal connectivity)</t>
        </is>
      </c>
      <c r="D24" s="175">
        <f>'Metrics'!$F$244</f>
        <v/>
      </c>
      <c r="E24" s="175">
        <f>'Metrics'!$B$245</f>
        <v/>
      </c>
      <c r="F24" s="175">
        <f>IF(NOT(ISNUMBER('Results'!$E$24)),"Not assessed",IF('Results'!$E$24&lt;=5,"Non-Functioning",IF('Results'!$E$24&lt;=10,"Functioning-at-Risk","Functioning")))</f>
        <v/>
      </c>
      <c r="G24" t="n">
        <v>0.1</v>
      </c>
      <c r="H24" t="n">
        <v>0</v>
      </c>
      <c r="I24" t="n">
        <v>1</v>
      </c>
      <c r="J24" s="175">
        <f>IF(ISNUMBER('Results'!$E$24),'Results'!$E$24,0)</f>
        <v/>
      </c>
      <c r="K24" s="175">
        <f>IF(ISNUMBER('Results'!$E$24),1,0)</f>
        <v/>
      </c>
      <c r="L24" s="175">
        <f>'Metrics'!$B$241</f>
        <v/>
      </c>
    </row>
    <row r="26">
      <c r="A26" s="171" t="inlineStr">
        <is>
          <t>Outcome</t>
        </is>
      </c>
      <c r="B26" s="171" t="inlineStr">
        <is>
          <t>Weighted score</t>
        </is>
      </c>
      <c r="C26" s="171" t="inlineStr">
        <is>
          <t>Weighted maximum</t>
        </is>
      </c>
      <c r="D26" s="171" t="inlineStr">
        <is>
          <t>Sub-index</t>
        </is>
      </c>
      <c r="E26" s="171" t="inlineStr">
        <is>
          <t>Displayed</t>
        </is>
      </c>
      <c r="F26" s="171" t="inlineStr">
        <is>
          <t>Class</t>
        </is>
      </c>
      <c r="G26" s="171" t="inlineStr">
        <is>
          <t>Coverage</t>
        </is>
      </c>
    </row>
    <row r="27">
      <c r="A27" t="inlineStr">
        <is>
          <t>Physical</t>
        </is>
      </c>
      <c r="B27" s="175">
        <f>SUMPRODUCT('Results'!$J$5:$J$24,'Results'!$G$5:$G$24,'Results'!$K$5:$K$24)</f>
        <v/>
      </c>
      <c r="C27" s="175">
        <f>SUMPRODUCT('Results'!$G$5:$G$24,'Results'!$K$5:$K$24)*15</f>
        <v/>
      </c>
      <c r="D27" s="184">
        <f>IF('Results'!$C$27=0,"",'Results'!$B$27/'Results'!$C$27)</f>
        <v/>
      </c>
      <c r="E27" s="185">
        <f>IF('Results'!$D$27="","",ROUND('Results'!$D$27,2))</f>
        <v/>
      </c>
      <c r="F27" s="175">
        <f>IF('Results'!$E$27="","Not assessed",IF('Results'!$E$27&lt;=0.39,"Non-Functioning",IF('Results'!$E$27&lt;=0.69,"Functioning-at-Risk","Functioning")))</f>
        <v/>
      </c>
      <c r="G27" s="185">
        <f>IF(SUMPRODUCT('Results'!$G$5:$G$24)=0,"",SUMPRODUCT('Results'!$G$5:$G$24,'Results'!$K$5:$K$24)/SUMPRODUCT('Results'!$G$5:$G$24))</f>
        <v/>
      </c>
    </row>
    <row r="28">
      <c r="A28" t="inlineStr">
        <is>
          <t>Chemical</t>
        </is>
      </c>
      <c r="B28" s="175">
        <f>SUMPRODUCT('Results'!$J$5:$J$24,'Results'!$H$5:$H$24,'Results'!$K$5:$K$24)</f>
        <v/>
      </c>
      <c r="C28" s="175">
        <f>SUMPRODUCT('Results'!$H$5:$H$24,'Results'!$K$5:$K$24)*15</f>
        <v/>
      </c>
      <c r="D28" s="184">
        <f>IF('Results'!$C$28=0,"",'Results'!$B$28/'Results'!$C$28)</f>
        <v/>
      </c>
      <c r="E28" s="185">
        <f>IF('Results'!$D$28="","",ROUND('Results'!$D$28,2))</f>
        <v/>
      </c>
      <c r="F28" s="175">
        <f>IF('Results'!$E$28="","Not assessed",IF('Results'!$E$28&lt;=0.39,"Non-Functioning",IF('Results'!$E$28&lt;=0.69,"Functioning-at-Risk","Functioning")))</f>
        <v/>
      </c>
      <c r="G28" s="185">
        <f>IF(SUMPRODUCT('Results'!$H$5:$H$24)=0,"",SUMPRODUCT('Results'!$H$5:$H$24,'Results'!$K$5:$K$24)/SUMPRODUCT('Results'!$H$5:$H$24))</f>
        <v/>
      </c>
    </row>
    <row r="29">
      <c r="A29" t="inlineStr">
        <is>
          <t>Biological</t>
        </is>
      </c>
      <c r="B29" s="175">
        <f>SUMPRODUCT('Results'!$J$5:$J$24,'Results'!$I$5:$I$24,'Results'!$K$5:$K$24)</f>
        <v/>
      </c>
      <c r="C29" s="175">
        <f>SUMPRODUCT('Results'!$I$5:$I$24,'Results'!$K$5:$K$24)*15</f>
        <v/>
      </c>
      <c r="D29" s="184">
        <f>IF('Results'!$C$29=0,"",'Results'!$B$29/'Results'!$C$29)</f>
        <v/>
      </c>
      <c r="E29" s="185">
        <f>IF('Results'!$D$29="","",ROUND('Results'!$D$29,2))</f>
        <v/>
      </c>
      <c r="F29" s="175">
        <f>IF('Results'!$E$29="","Not assessed",IF('Results'!$E$29&lt;=0.39,"Non-Functioning",IF('Results'!$E$29&lt;=0.69,"Functioning-at-Risk","Functioning")))</f>
        <v/>
      </c>
      <c r="G29" s="185">
        <f>IF(SUMPRODUCT('Results'!$I$5:$I$24)=0,"",SUMPRODUCT('Results'!$I$5:$I$24,'Results'!$K$5:$K$24)/SUMPRODUCT('Results'!$I$5:$I$24))</f>
        <v/>
      </c>
    </row>
    <row r="30">
      <c r="A30" s="168" t="inlineStr">
        <is>
          <t>Ecosystem Condition Index</t>
        </is>
      </c>
      <c r="D30" s="186">
        <f>IF(COUNT('Results'!$D$27,'Results'!$D$28,'Results'!$D$29)=0,"",AVERAGE('Results'!$D$27,'Results'!$D$28,'Results'!$D$29))</f>
        <v/>
      </c>
      <c r="E30" s="187">
        <f>IF('Results'!$D$30="","",ROUND('Results'!$D$30,2))</f>
        <v/>
      </c>
      <c r="F30" s="181">
        <f>IF('Results'!$E$30="","Not assessed",IF('Results'!$E$30&lt;=0.39,"Non-Functioning",IF('Results'!$E$30&lt;=0.69,"Functioning-at-Risk","Functioning")))</f>
        <v/>
      </c>
    </row>
    <row r="32">
      <c r="A32" s="171" t="inlineStr">
        <is>
          <t>Coverage</t>
        </is>
      </c>
      <c r="B32" s="171" t="inlineStr">
        <is>
          <t>Value</t>
        </is>
      </c>
      <c r="C32" s="171" t="inlineStr"/>
      <c r="D32" s="171" t="inlineStr"/>
      <c r="E32" s="171" t="inlineStr"/>
      <c r="F32" s="171" t="inlineStr"/>
      <c r="G32" s="171" t="inlineStr"/>
    </row>
    <row r="33">
      <c r="A33" t="inlineStr">
        <is>
          <t>Functions rated</t>
        </is>
      </c>
      <c r="B33" s="175">
        <f>SUM('Results'!$K$5:$K$24)</f>
        <v/>
      </c>
    </row>
    <row r="34">
      <c r="A34" t="inlineStr">
        <is>
          <t>Functions selected</t>
        </is>
      </c>
      <c r="B34" s="175" t="n">
        <v>20</v>
      </c>
    </row>
    <row r="35">
      <c r="A35" t="inlineStr">
        <is>
          <t>Overall coverage</t>
        </is>
      </c>
      <c r="B35" s="185">
        <f>'Results'!$B$33/'Results'!$B$34</f>
        <v/>
      </c>
    </row>
    <row r="36">
      <c r="A36" t="inlineStr">
        <is>
          <t>Provisional (coverage below 0.70 overall or for an outcome)</t>
        </is>
      </c>
      <c r="B36" s="175">
        <f>IF(OR(AND(ISNUMBER('Results'!$B$35),'Results'!$B$35&lt;0.7),AND(ISNUMBER('Results'!$G$27),'Results'!$G$27&lt;0.7),AND(ISNUMBER('Results'!$G$28),'Results'!$G$28&lt;0.7),AND(ISNUMBER('Results'!$G$29),'Results'!$G$29&lt;0.7)),"yes","no")</f>
        <v/>
      </c>
    </row>
    <row r="37">
      <c r="A37" t="inlineStr">
        <is>
          <t>Status</t>
        </is>
      </c>
      <c r="B37" s="175">
        <f>IF('Results'!$B$35=1,"Complete screening coverage","Partial screening coverage")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5.xml><?xml version="1.0" encoding="utf-8"?>
<worksheet xmlns="http://schemas.openxmlformats.org/spreadsheetml/2006/main">
  <sheetPr>
    <tabColor rgb="00A6A6A6"/>
    <outlinePr summaryBelow="1" summaryRight="1"/>
    <pageSetUpPr/>
  </sheetPr>
  <dimension ref="A1:Y240"/>
  <sheetViews>
    <sheetView showGridLines="0" tabSelected="0" workbookViewId="0">
      <selection activeCell="A1" sqref="A1"/>
    </sheetView>
  </sheetViews>
  <sheetFormatPr baseColWidth="8" defaultRowHeight="15"/>
  <cols>
    <col width="34" customWidth="1" min="1" max="1"/>
    <col width="16" customWidth="1" min="2" max="2"/>
    <col width="16" customWidth="1" min="3" max="3"/>
    <col width="14" customWidth="1" min="4" max="4"/>
    <col width="12"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3" customWidth="1" min="17" max="17"/>
    <col width="13" customWidth="1" min="18" max="18"/>
    <col width="13" customWidth="1" min="19" max="19"/>
  </cols>
  <sheetData>
    <row r="1">
      <c r="A1" s="167" t="inlineStr">
        <is>
          <t>Reference tables generated from the EASI scoring definitions</t>
        </is>
      </c>
      <c r="F1" s="168" t="inlineStr">
        <is>
          <t>**DO NOT INPUT VALUES HERE**</t>
        </is>
      </c>
    </row>
    <row r="3">
      <c r="A3" s="169" t="inlineStr">
        <is>
          <t>Reference curves</t>
        </is>
      </c>
    </row>
    <row r="4">
      <c r="A4" s="170" t="inlineStr">
        <is>
          <t>Each line is the curve of one NARS-9 region or slope class. A value scores the index of its curve: Good at 0.69 and above, Fair at 0.39 and above, Poor below. The Good, Fair and Poor ranges of every curve are in the table under the charts.</t>
        </is>
      </c>
    </row>
    <row r="56">
      <c r="A56" s="169" t="inlineStr">
        <is>
          <t>Reference curves (frozen), one row per curve, knots padded to five</t>
        </is>
      </c>
    </row>
    <row r="57">
      <c r="A57" s="171" t="inlineStr">
        <is>
          <t>Key</t>
        </is>
      </c>
      <c r="B57" s="171" t="inlineStr">
        <is>
          <t>Set</t>
        </is>
      </c>
      <c r="C57" s="171" t="inlineStr">
        <is>
          <t>Stratum</t>
        </is>
      </c>
      <c r="D57" s="171" t="inlineStr">
        <is>
          <t>Higher is better</t>
        </is>
      </c>
      <c r="E57" s="171" t="inlineStr">
        <is>
          <t>n</t>
        </is>
      </c>
      <c r="F57" s="171" t="inlineStr">
        <is>
          <t>Members</t>
        </is>
      </c>
      <c r="G57" s="171" t="inlineStr">
        <is>
          <t>x1</t>
        </is>
      </c>
      <c r="H57" s="171" t="inlineStr">
        <is>
          <t>x2</t>
        </is>
      </c>
      <c r="I57" s="171" t="inlineStr">
        <is>
          <t>x3</t>
        </is>
      </c>
      <c r="J57" s="171" t="inlineStr">
        <is>
          <t>x4</t>
        </is>
      </c>
      <c r="K57" s="171" t="inlineStr">
        <is>
          <t>x5</t>
        </is>
      </c>
      <c r="L57" s="171" t="inlineStr">
        <is>
          <t>y1</t>
        </is>
      </c>
      <c r="M57" s="171" t="inlineStr">
        <is>
          <t>y2</t>
        </is>
      </c>
      <c r="N57" s="171" t="inlineStr">
        <is>
          <t>y3</t>
        </is>
      </c>
      <c r="O57" s="171" t="inlineStr">
        <is>
          <t>y4</t>
        </is>
      </c>
      <c r="P57" s="171" t="inlineStr">
        <is>
          <t>y5</t>
        </is>
      </c>
      <c r="Q57" s="172" t="inlineStr">
        <is>
          <t>Good</t>
        </is>
      </c>
      <c r="R57" s="173" t="inlineStr">
        <is>
          <t>Fair</t>
        </is>
      </c>
      <c r="S57" s="174" t="inlineStr">
        <is>
          <t>Poor</t>
        </is>
      </c>
      <c r="T57" s="171" t="inlineStr">
        <is>
          <t>x39</t>
        </is>
      </c>
      <c r="U57" s="171" t="inlineStr">
        <is>
          <t>x69</t>
        </is>
      </c>
      <c r="V57" s="171" t="inlineStr">
        <is>
          <t>q25</t>
        </is>
      </c>
      <c r="W57" s="171" t="inlineStr">
        <is>
          <t>q50</t>
        </is>
      </c>
      <c r="X57" s="171" t="inlineStr">
        <is>
          <t>q75</t>
        </is>
      </c>
      <c r="Y57" s="171" t="inlineStr">
        <is>
          <t>Tier</t>
        </is>
      </c>
    </row>
    <row r="58">
      <c r="A58" t="inlineStr">
        <is>
          <t>corridor-natural|CPL</t>
        </is>
      </c>
      <c r="B58" t="inlineStr">
        <is>
          <t>corridor-natural</t>
        </is>
      </c>
      <c r="C58" t="inlineStr">
        <is>
          <t>CPL</t>
        </is>
      </c>
      <c r="D58" t="inlineStr">
        <is>
          <t>TRUE</t>
        </is>
      </c>
      <c r="E58" t="n">
        <v>6106</v>
      </c>
      <c r="F58" t="n">
        <v>6130</v>
      </c>
      <c r="G58" t="n">
        <v>0</v>
      </c>
      <c r="H58" t="n">
        <v>39.775713</v>
      </c>
      <c r="I58" t="n">
        <v>92.80999799999999</v>
      </c>
      <c r="J58" t="n">
        <v>99.220001</v>
      </c>
      <c r="K58" t="n">
        <v>100</v>
      </c>
      <c r="L58" t="n">
        <v>0</v>
      </c>
      <c r="M58" t="n">
        <v>0.3</v>
      </c>
      <c r="N58" t="n">
        <v>0.7</v>
      </c>
      <c r="O58" t="n">
        <v>1</v>
      </c>
      <c r="P58" t="n">
        <v>1</v>
      </c>
      <c r="Q58" s="188" t="inlineStr">
        <is>
          <t>≥91.5%</t>
        </is>
      </c>
      <c r="R58" s="189" t="inlineStr">
        <is>
          <t>51.7-&lt;91.5%</t>
        </is>
      </c>
      <c r="S58" s="190" t="inlineStr">
        <is>
          <t>&lt;51.7%</t>
        </is>
      </c>
      <c r="T58" t="n">
        <v>51.708427</v>
      </c>
      <c r="U58" t="n">
        <v>91.48414</v>
      </c>
      <c r="V58" t="n">
        <v>92.80999799999999</v>
      </c>
      <c r="W58" t="n">
        <v>96.949997</v>
      </c>
      <c r="X58" t="n">
        <v>99.220001</v>
      </c>
      <c r="Y58" t="inlineStr">
        <is>
          <t>complete</t>
        </is>
      </c>
    </row>
    <row r="59">
      <c r="A59" t="inlineStr">
        <is>
          <t>corridor-natural|NAP</t>
        </is>
      </c>
      <c r="B59" t="inlineStr">
        <is>
          <t>corridor-natural</t>
        </is>
      </c>
      <c r="C59" t="inlineStr">
        <is>
          <t>NAP</t>
        </is>
      </c>
      <c r="D59" t="inlineStr">
        <is>
          <t>TRUE</t>
        </is>
      </c>
      <c r="E59" t="n">
        <v>3002</v>
      </c>
      <c r="F59" t="n">
        <v>3005</v>
      </c>
      <c r="G59" t="n">
        <v>0</v>
      </c>
      <c r="H59" t="n">
        <v>38.549999</v>
      </c>
      <c r="I59" t="n">
        <v>89.949997</v>
      </c>
      <c r="J59" t="n">
        <v>98.457499</v>
      </c>
      <c r="K59" t="n">
        <v>100</v>
      </c>
      <c r="L59" t="n">
        <v>0</v>
      </c>
      <c r="M59" t="n">
        <v>0.3</v>
      </c>
      <c r="N59" t="n">
        <v>0.7</v>
      </c>
      <c r="O59" t="n">
        <v>1</v>
      </c>
      <c r="P59" t="n">
        <v>1</v>
      </c>
      <c r="Q59" s="188" t="inlineStr">
        <is>
          <t>≥88.7%</t>
        </is>
      </c>
      <c r="R59" s="189" t="inlineStr">
        <is>
          <t>50.1-&lt;88.7%</t>
        </is>
      </c>
      <c r="S59" s="190" t="inlineStr">
        <is>
          <t>&lt;50.1%</t>
        </is>
      </c>
      <c r="T59" t="n">
        <v>50.114998</v>
      </c>
      <c r="U59" t="n">
        <v>88.664997</v>
      </c>
      <c r="V59" t="n">
        <v>89.949997</v>
      </c>
      <c r="W59" t="n">
        <v>95.24499900000001</v>
      </c>
      <c r="X59" t="n">
        <v>98.457499</v>
      </c>
      <c r="Y59" t="inlineStr">
        <is>
          <t>complete</t>
        </is>
      </c>
    </row>
    <row r="60">
      <c r="A60" t="inlineStr">
        <is>
          <t>corridor-natural|NPL</t>
        </is>
      </c>
      <c r="B60" t="inlineStr">
        <is>
          <t>corridor-natural</t>
        </is>
      </c>
      <c r="C60" t="inlineStr">
        <is>
          <t>NPL</t>
        </is>
      </c>
      <c r="D60" t="inlineStr">
        <is>
          <t>TRUE</t>
        </is>
      </c>
      <c r="E60" t="n">
        <v>4318</v>
      </c>
      <c r="F60" t="n">
        <v>4319</v>
      </c>
      <c r="G60" t="n">
        <v>0</v>
      </c>
      <c r="H60" t="n">
        <v>41.7225</v>
      </c>
      <c r="I60" t="n">
        <v>97.35249899999999</v>
      </c>
      <c r="J60" t="n">
        <v>100</v>
      </c>
      <c r="K60" t="n">
        <v>100</v>
      </c>
      <c r="L60" t="n">
        <v>0</v>
      </c>
      <c r="M60" t="n">
        <v>0.3</v>
      </c>
      <c r="N60" t="n">
        <v>0.7</v>
      </c>
      <c r="O60" t="n">
        <v>1</v>
      </c>
      <c r="P60" t="n">
        <v>1</v>
      </c>
      <c r="Q60" s="188" t="inlineStr">
        <is>
          <t>≥96%</t>
        </is>
      </c>
      <c r="R60" s="189" t="inlineStr">
        <is>
          <t>54.2-&lt;96%</t>
        </is>
      </c>
      <c r="S60" s="190" t="inlineStr">
        <is>
          <t>&lt;54.2%</t>
        </is>
      </c>
      <c r="T60" t="n">
        <v>54.239249</v>
      </c>
      <c r="U60" t="n">
        <v>95.961749</v>
      </c>
      <c r="V60" t="n">
        <v>97.35249899999999</v>
      </c>
      <c r="W60" t="n">
        <v>99.58000199999999</v>
      </c>
      <c r="X60" t="n">
        <v>100</v>
      </c>
      <c r="Y60" t="inlineStr">
        <is>
          <t>complete</t>
        </is>
      </c>
    </row>
    <row r="61">
      <c r="A61" t="inlineStr">
        <is>
          <t>corridor-natural|SAP</t>
        </is>
      </c>
      <c r="B61" t="inlineStr">
        <is>
          <t>corridor-natural</t>
        </is>
      </c>
      <c r="C61" t="inlineStr">
        <is>
          <t>SAP</t>
        </is>
      </c>
      <c r="D61" t="inlineStr">
        <is>
          <t>TRUE</t>
        </is>
      </c>
      <c r="E61" t="n">
        <v>6246</v>
      </c>
      <c r="F61" t="n">
        <v>6246</v>
      </c>
      <c r="G61" t="n">
        <v>0</v>
      </c>
      <c r="H61" t="n">
        <v>37.654286</v>
      </c>
      <c r="I61" t="n">
        <v>87.860001</v>
      </c>
      <c r="J61" t="n">
        <v>99.099998</v>
      </c>
      <c r="K61" t="n">
        <v>100</v>
      </c>
      <c r="L61" t="n">
        <v>0</v>
      </c>
      <c r="M61" t="n">
        <v>0.3</v>
      </c>
      <c r="N61" t="n">
        <v>0.7</v>
      </c>
      <c r="O61" t="n">
        <v>1</v>
      </c>
      <c r="P61" t="n">
        <v>1</v>
      </c>
      <c r="Q61" s="188" t="inlineStr">
        <is>
          <t>≥86.6%</t>
        </is>
      </c>
      <c r="R61" s="189" t="inlineStr">
        <is>
          <t>49-&lt;86.6%</t>
        </is>
      </c>
      <c r="S61" s="190" t="inlineStr">
        <is>
          <t>&lt;49%</t>
        </is>
      </c>
      <c r="T61" t="n">
        <v>48.950572</v>
      </c>
      <c r="U61" t="n">
        <v>86.60485799999999</v>
      </c>
      <c r="V61" t="n">
        <v>87.860001</v>
      </c>
      <c r="W61" t="n">
        <v>95.19000200000001</v>
      </c>
      <c r="X61" t="n">
        <v>99.099998</v>
      </c>
      <c r="Y61" t="inlineStr">
        <is>
          <t>complete</t>
        </is>
      </c>
    </row>
    <row r="62">
      <c r="A62" t="inlineStr">
        <is>
          <t>corridor-natural|SPL</t>
        </is>
      </c>
      <c r="B62" t="inlineStr">
        <is>
          <t>corridor-natural</t>
        </is>
      </c>
      <c r="C62" t="inlineStr">
        <is>
          <t>SPL</t>
        </is>
      </c>
      <c r="D62" t="inlineStr">
        <is>
          <t>TRUE</t>
        </is>
      </c>
      <c r="E62" t="n">
        <v>5959</v>
      </c>
      <c r="F62" t="n">
        <v>5960</v>
      </c>
      <c r="G62" t="n">
        <v>0</v>
      </c>
      <c r="H62" t="n">
        <v>41.138571</v>
      </c>
      <c r="I62" t="n">
        <v>95.989998</v>
      </c>
      <c r="J62" t="n">
        <v>99.949997</v>
      </c>
      <c r="K62" t="n">
        <v>100</v>
      </c>
      <c r="L62" t="n">
        <v>0</v>
      </c>
      <c r="M62" t="n">
        <v>0.3</v>
      </c>
      <c r="N62" t="n">
        <v>0.7</v>
      </c>
      <c r="O62" t="n">
        <v>1</v>
      </c>
      <c r="P62" t="n">
        <v>1</v>
      </c>
      <c r="Q62" s="188" t="inlineStr">
        <is>
          <t>≥94.6%</t>
        </is>
      </c>
      <c r="R62" s="189" t="inlineStr">
        <is>
          <t>53.5-&lt;94.6%</t>
        </is>
      </c>
      <c r="S62" s="190" t="inlineStr">
        <is>
          <t>&lt;53.5%</t>
        </is>
      </c>
      <c r="T62" t="n">
        <v>53.480142</v>
      </c>
      <c r="U62" t="n">
        <v>94.618712</v>
      </c>
      <c r="V62" t="n">
        <v>95.989998</v>
      </c>
      <c r="W62" t="n">
        <v>98.639999</v>
      </c>
      <c r="X62" t="n">
        <v>99.949997</v>
      </c>
      <c r="Y62" t="inlineStr">
        <is>
          <t>complete</t>
        </is>
      </c>
    </row>
    <row r="63">
      <c r="A63" t="inlineStr">
        <is>
          <t>corridor-natural|TPL</t>
        </is>
      </c>
      <c r="B63" t="inlineStr">
        <is>
          <t>corridor-natural</t>
        </is>
      </c>
      <c r="C63" t="inlineStr">
        <is>
          <t>TPL</t>
        </is>
      </c>
      <c r="D63" t="inlineStr">
        <is>
          <t>TRUE</t>
        </is>
      </c>
      <c r="E63" t="n">
        <v>870</v>
      </c>
      <c r="F63" t="n">
        <v>874</v>
      </c>
      <c r="G63" t="n">
        <v>0</v>
      </c>
      <c r="H63" t="n">
        <v>38.562858</v>
      </c>
      <c r="I63" t="n">
        <v>89.980001</v>
      </c>
      <c r="J63" t="n">
        <v>98.800003</v>
      </c>
      <c r="K63" t="n">
        <v>100</v>
      </c>
      <c r="L63" t="n">
        <v>0</v>
      </c>
      <c r="M63" t="n">
        <v>0.3</v>
      </c>
      <c r="N63" t="n">
        <v>0.7</v>
      </c>
      <c r="O63" t="n">
        <v>1</v>
      </c>
      <c r="P63" t="n">
        <v>1</v>
      </c>
      <c r="Q63" s="188" t="inlineStr">
        <is>
          <t>≥88.7%</t>
        </is>
      </c>
      <c r="R63" s="189" t="inlineStr">
        <is>
          <t>50.1-&lt;88.7%</t>
        </is>
      </c>
      <c r="S63" s="190" t="inlineStr">
        <is>
          <t>&lt;50.1%</t>
        </is>
      </c>
      <c r="T63" t="n">
        <v>50.131715</v>
      </c>
      <c r="U63" t="n">
        <v>88.69457300000001</v>
      </c>
      <c r="V63" t="n">
        <v>89.980001</v>
      </c>
      <c r="W63" t="n">
        <v>95.25</v>
      </c>
      <c r="X63" t="n">
        <v>98.800003</v>
      </c>
      <c r="Y63" t="inlineStr">
        <is>
          <t>complete</t>
        </is>
      </c>
    </row>
    <row r="64">
      <c r="A64" t="inlineStr">
        <is>
          <t>corridor-natural|UMW</t>
        </is>
      </c>
      <c r="B64" t="inlineStr">
        <is>
          <t>corridor-natural</t>
        </is>
      </c>
      <c r="C64" t="inlineStr">
        <is>
          <t>UMW</t>
        </is>
      </c>
      <c r="D64" t="inlineStr">
        <is>
          <t>TRUE</t>
        </is>
      </c>
      <c r="E64" t="n">
        <v>2431</v>
      </c>
      <c r="F64" t="n">
        <v>2432</v>
      </c>
      <c r="G64" t="n">
        <v>0</v>
      </c>
      <c r="H64" t="n">
        <v>39.462856</v>
      </c>
      <c r="I64" t="n">
        <v>92.079998</v>
      </c>
      <c r="J64" t="n">
        <v>98.514999</v>
      </c>
      <c r="K64" t="n">
        <v>100</v>
      </c>
      <c r="L64" t="n">
        <v>0</v>
      </c>
      <c r="M64" t="n">
        <v>0.3</v>
      </c>
      <c r="N64" t="n">
        <v>0.7</v>
      </c>
      <c r="O64" t="n">
        <v>1</v>
      </c>
      <c r="P64" t="n">
        <v>1</v>
      </c>
      <c r="Q64" s="188" t="inlineStr">
        <is>
          <t>≥90.8%</t>
        </is>
      </c>
      <c r="R64" s="189" t="inlineStr">
        <is>
          <t>51.3-&lt;90.8%</t>
        </is>
      </c>
      <c r="S64" s="190" t="inlineStr">
        <is>
          <t>&lt;51.3%</t>
        </is>
      </c>
      <c r="T64" t="n">
        <v>51.301713</v>
      </c>
      <c r="U64" t="n">
        <v>90.76456899999999</v>
      </c>
      <c r="V64" t="n">
        <v>92.079998</v>
      </c>
      <c r="W64" t="n">
        <v>96.19000200000001</v>
      </c>
      <c r="X64" t="n">
        <v>98.514999</v>
      </c>
      <c r="Y64" t="inlineStr">
        <is>
          <t>complete</t>
        </is>
      </c>
    </row>
    <row r="65">
      <c r="A65" t="inlineStr">
        <is>
          <t>corridor-natural|WMT</t>
        </is>
      </c>
      <c r="B65" t="inlineStr">
        <is>
          <t>corridor-natural</t>
        </is>
      </c>
      <c r="C65" t="inlineStr">
        <is>
          <t>WMT</t>
        </is>
      </c>
      <c r="D65" t="inlineStr">
        <is>
          <t>TRUE</t>
        </is>
      </c>
      <c r="E65" t="n">
        <v>12592</v>
      </c>
      <c r="F65" t="n">
        <v>12592</v>
      </c>
      <c r="G65" t="n">
        <v>0</v>
      </c>
      <c r="H65" t="n">
        <v>41.807144</v>
      </c>
      <c r="I65" t="n">
        <v>97.550003</v>
      </c>
      <c r="J65" t="n">
        <v>100</v>
      </c>
      <c r="K65" t="n">
        <v>100</v>
      </c>
      <c r="L65" t="n">
        <v>0</v>
      </c>
      <c r="M65" t="n">
        <v>0.3</v>
      </c>
      <c r="N65" t="n">
        <v>0.7</v>
      </c>
      <c r="O65" t="n">
        <v>1</v>
      </c>
      <c r="P65" t="n">
        <v>1</v>
      </c>
      <c r="Q65" s="188" t="inlineStr">
        <is>
          <t>≥96.2%</t>
        </is>
      </c>
      <c r="R65" s="189" t="inlineStr">
        <is>
          <t>54.3-&lt;96.2%</t>
        </is>
      </c>
      <c r="S65" s="190" t="inlineStr">
        <is>
          <t>&lt;54.3%</t>
        </is>
      </c>
      <c r="T65" t="n">
        <v>54.349287</v>
      </c>
      <c r="U65" t="n">
        <v>96.156432</v>
      </c>
      <c r="V65" t="n">
        <v>97.550003</v>
      </c>
      <c r="W65" t="n">
        <v>99.900002</v>
      </c>
      <c r="X65" t="n">
        <v>100</v>
      </c>
      <c r="Y65" t="inlineStr">
        <is>
          <t>complete</t>
        </is>
      </c>
    </row>
    <row r="66">
      <c r="A66" t="inlineStr">
        <is>
          <t>corridor-natural|XER</t>
        </is>
      </c>
      <c r="B66" t="inlineStr">
        <is>
          <t>corridor-natural</t>
        </is>
      </c>
      <c r="C66" t="inlineStr">
        <is>
          <t>XER</t>
        </is>
      </c>
      <c r="D66" t="inlineStr">
        <is>
          <t>TRUE</t>
        </is>
      </c>
      <c r="E66" t="n">
        <v>14653</v>
      </c>
      <c r="F66" t="n">
        <v>14654</v>
      </c>
      <c r="G66" t="n">
        <v>0</v>
      </c>
      <c r="H66" t="n">
        <v>41.952857</v>
      </c>
      <c r="I66" t="n">
        <v>97.889999</v>
      </c>
      <c r="J66" t="n">
        <v>100</v>
      </c>
      <c r="K66" t="n">
        <v>100</v>
      </c>
      <c r="L66" t="n">
        <v>0</v>
      </c>
      <c r="M66" t="n">
        <v>0.3</v>
      </c>
      <c r="N66" t="n">
        <v>0.7</v>
      </c>
      <c r="O66" t="n">
        <v>1</v>
      </c>
      <c r="P66" t="n">
        <v>1</v>
      </c>
      <c r="Q66" s="188" t="inlineStr">
        <is>
          <t>≥96.5%</t>
        </is>
      </c>
      <c r="R66" s="189" t="inlineStr">
        <is>
          <t>54.5-&lt;96.5%</t>
        </is>
      </c>
      <c r="S66" s="190" t="inlineStr">
        <is>
          <t>&lt;54.5%</t>
        </is>
      </c>
      <c r="T66" t="n">
        <v>54.538714</v>
      </c>
      <c r="U66" t="n">
        <v>96.49157099999999</v>
      </c>
      <c r="V66" t="n">
        <v>97.889999</v>
      </c>
      <c r="W66" t="n">
        <v>99.879997</v>
      </c>
      <c r="X66" t="n">
        <v>100</v>
      </c>
      <c r="Y66" t="inlineStr">
        <is>
          <t>complete</t>
        </is>
      </c>
    </row>
    <row r="67">
      <c r="A67" t="inlineStr">
        <is>
          <t>corridor-natural|national</t>
        </is>
      </c>
      <c r="B67" t="inlineStr">
        <is>
          <t>corridor-natural</t>
        </is>
      </c>
      <c r="C67" t="inlineStr">
        <is>
          <t>national</t>
        </is>
      </c>
      <c r="D67" t="inlineStr">
        <is>
          <t>TRUE</t>
        </is>
      </c>
      <c r="E67" t="n">
        <v>53175</v>
      </c>
      <c r="F67" t="n">
        <v>53210</v>
      </c>
      <c r="G67" t="n">
        <v>0</v>
      </c>
      <c r="H67" t="n">
        <v>40.675716</v>
      </c>
      <c r="I67" t="n">
        <v>94.910004</v>
      </c>
      <c r="J67" t="n">
        <v>100</v>
      </c>
      <c r="K67" t="n">
        <v>100</v>
      </c>
      <c r="L67" t="n">
        <v>0</v>
      </c>
      <c r="M67" t="n">
        <v>0.3</v>
      </c>
      <c r="N67" t="n">
        <v>0.7</v>
      </c>
      <c r="O67" t="n">
        <v>1</v>
      </c>
      <c r="P67" t="n">
        <v>1</v>
      </c>
      <c r="Q67" s="188" t="inlineStr">
        <is>
          <t>≥93.6%</t>
        </is>
      </c>
      <c r="R67" s="189" t="inlineStr">
        <is>
          <t>52.9-&lt;93.6%</t>
        </is>
      </c>
      <c r="S67" s="190" t="inlineStr">
        <is>
          <t>&lt;52.9%</t>
        </is>
      </c>
      <c r="T67" t="n">
        <v>52.878431</v>
      </c>
      <c r="U67" t="n">
        <v>93.554146</v>
      </c>
      <c r="V67" t="n">
        <v>94.910004</v>
      </c>
      <c r="W67" t="n">
        <v>98.870003</v>
      </c>
      <c r="X67" t="n">
        <v>100</v>
      </c>
      <c r="Y67" t="inlineStr">
        <is>
          <t>complete</t>
        </is>
      </c>
    </row>
    <row r="68">
      <c r="A68" t="inlineStr">
        <is>
          <t>corridor-woody|CPL</t>
        </is>
      </c>
      <c r="B68" t="inlineStr">
        <is>
          <t>corridor-woody</t>
        </is>
      </c>
      <c r="C68" t="inlineStr">
        <is>
          <t>CPL</t>
        </is>
      </c>
      <c r="D68" t="inlineStr">
        <is>
          <t>TRUE</t>
        </is>
      </c>
      <c r="E68" t="n">
        <v>6106</v>
      </c>
      <c r="F68" t="n">
        <v>6130</v>
      </c>
      <c r="G68" t="n">
        <v>0</v>
      </c>
      <c r="H68" t="n">
        <v>35.38607</v>
      </c>
      <c r="I68" t="n">
        <v>82.567497</v>
      </c>
      <c r="J68" t="n">
        <v>97.227503</v>
      </c>
      <c r="K68" t="n">
        <v>100</v>
      </c>
      <c r="L68" t="n">
        <v>0</v>
      </c>
      <c r="M68" t="n">
        <v>0.3</v>
      </c>
      <c r="N68" t="n">
        <v>0.7</v>
      </c>
      <c r="O68" t="n">
        <v>1</v>
      </c>
      <c r="P68" t="n">
        <v>1</v>
      </c>
      <c r="Q68" s="188" t="inlineStr">
        <is>
          <t>≥81.4%</t>
        </is>
      </c>
      <c r="R68" s="189" t="inlineStr">
        <is>
          <t>46-&lt;81.4%</t>
        </is>
      </c>
      <c r="S68" s="190" t="inlineStr">
        <is>
          <t>&lt;46%</t>
        </is>
      </c>
      <c r="T68" t="n">
        <v>46.001891</v>
      </c>
      <c r="U68" t="n">
        <v>81.387962</v>
      </c>
      <c r="V68" t="n">
        <v>82.567497</v>
      </c>
      <c r="W68" t="n">
        <v>92.5</v>
      </c>
      <c r="X68" t="n">
        <v>97.227503</v>
      </c>
      <c r="Y68" t="inlineStr">
        <is>
          <t>complete</t>
        </is>
      </c>
    </row>
    <row r="69">
      <c r="A69" t="inlineStr">
        <is>
          <t>corridor-woody|NAP</t>
        </is>
      </c>
      <c r="B69" t="inlineStr">
        <is>
          <t>corridor-woody</t>
        </is>
      </c>
      <c r="C69" t="inlineStr">
        <is>
          <t>NAP</t>
        </is>
      </c>
      <c r="D69" t="inlineStr">
        <is>
          <t>TRUE</t>
        </is>
      </c>
      <c r="E69" t="n">
        <v>3002</v>
      </c>
      <c r="F69" t="n">
        <v>3005</v>
      </c>
      <c r="G69" t="n">
        <v>0</v>
      </c>
      <c r="H69" t="n">
        <v>36.962142</v>
      </c>
      <c r="I69" t="n">
        <v>86.24499900000001</v>
      </c>
      <c r="J69" t="n">
        <v>96.64750100000001</v>
      </c>
      <c r="K69" t="n">
        <v>99.768252</v>
      </c>
      <c r="L69" t="n">
        <v>0</v>
      </c>
      <c r="M69" t="n">
        <v>0.3</v>
      </c>
      <c r="N69" t="n">
        <v>0.7</v>
      </c>
      <c r="O69" t="n">
        <v>1</v>
      </c>
      <c r="P69" t="n">
        <v>1</v>
      </c>
      <c r="Q69" s="188" t="inlineStr">
        <is>
          <t>≥85%</t>
        </is>
      </c>
      <c r="R69" s="189" t="inlineStr">
        <is>
          <t>48.1-&lt;85%</t>
        </is>
      </c>
      <c r="S69" s="190" t="inlineStr">
        <is>
          <t>&lt;48.1%</t>
        </is>
      </c>
      <c r="T69" t="n">
        <v>48.050785</v>
      </c>
      <c r="U69" t="n">
        <v>85.012928</v>
      </c>
      <c r="V69" t="n">
        <v>86.24499900000001</v>
      </c>
      <c r="W69" t="n">
        <v>92.514999</v>
      </c>
      <c r="X69" t="n">
        <v>96.64750100000001</v>
      </c>
      <c r="Y69" t="inlineStr">
        <is>
          <t>complete</t>
        </is>
      </c>
    </row>
    <row r="70">
      <c r="A70" t="inlineStr">
        <is>
          <t>corridor-woody|NPL</t>
        </is>
      </c>
      <c r="B70" t="inlineStr">
        <is>
          <t>corridor-woody</t>
        </is>
      </c>
      <c r="C70" t="inlineStr">
        <is>
          <t>NPL</t>
        </is>
      </c>
      <c r="D70" t="inlineStr">
        <is>
          <t>TRUE</t>
        </is>
      </c>
      <c r="E70" t="n">
        <v>4318</v>
      </c>
      <c r="F70" t="n">
        <v>4319</v>
      </c>
      <c r="G70" t="n">
        <v>0</v>
      </c>
      <c r="H70" t="n">
        <v>0.620357</v>
      </c>
      <c r="I70" t="n">
        <v>1.4475</v>
      </c>
      <c r="J70" t="n">
        <v>63.462501</v>
      </c>
      <c r="K70" t="n">
        <v>82.067001</v>
      </c>
      <c r="L70" t="n">
        <v>0</v>
      </c>
      <c r="M70" t="n">
        <v>0.3</v>
      </c>
      <c r="N70" t="n">
        <v>0.7</v>
      </c>
      <c r="O70" t="n">
        <v>1</v>
      </c>
      <c r="P70" t="n">
        <v>1</v>
      </c>
      <c r="Q70" s="188" t="inlineStr">
        <is>
          <t>≥1.4%</t>
        </is>
      </c>
      <c r="R70" s="189" t="inlineStr">
        <is>
          <t>0.8-&lt;1.4%</t>
        </is>
      </c>
      <c r="S70" s="190" t="inlineStr">
        <is>
          <t>&lt;0.8%</t>
        </is>
      </c>
      <c r="T70" t="n">
        <v>0.806464</v>
      </c>
      <c r="U70" t="n">
        <v>1.426821</v>
      </c>
      <c r="V70" t="n">
        <v>1.4475</v>
      </c>
      <c r="W70" t="n">
        <v>28.26</v>
      </c>
      <c r="X70" t="n">
        <v>63.462501</v>
      </c>
      <c r="Y70" t="inlineStr">
        <is>
          <t>complete</t>
        </is>
      </c>
    </row>
    <row r="71">
      <c r="A71" t="inlineStr">
        <is>
          <t>corridor-woody|SAP</t>
        </is>
      </c>
      <c r="B71" t="inlineStr">
        <is>
          <t>corridor-woody</t>
        </is>
      </c>
      <c r="C71" t="inlineStr">
        <is>
          <t>SAP</t>
        </is>
      </c>
      <c r="D71" t="inlineStr">
        <is>
          <t>TRUE</t>
        </is>
      </c>
      <c r="E71" t="n">
        <v>6246</v>
      </c>
      <c r="F71" t="n">
        <v>6246</v>
      </c>
      <c r="G71" t="n">
        <v>0</v>
      </c>
      <c r="H71" t="n">
        <v>36.327858</v>
      </c>
      <c r="I71" t="n">
        <v>84.765001</v>
      </c>
      <c r="J71" t="n">
        <v>98.197498</v>
      </c>
      <c r="K71" t="n">
        <v>100</v>
      </c>
      <c r="L71" t="n">
        <v>0</v>
      </c>
      <c r="M71" t="n">
        <v>0.3</v>
      </c>
      <c r="N71" t="n">
        <v>0.7</v>
      </c>
      <c r="O71" t="n">
        <v>1</v>
      </c>
      <c r="P71" t="n">
        <v>1</v>
      </c>
      <c r="Q71" s="188" t="inlineStr">
        <is>
          <t>≥83.6%</t>
        </is>
      </c>
      <c r="R71" s="189" t="inlineStr">
        <is>
          <t>47.2-&lt;83.6%</t>
        </is>
      </c>
      <c r="S71" s="190" t="inlineStr">
        <is>
          <t>&lt;47.2%</t>
        </is>
      </c>
      <c r="T71" t="n">
        <v>47.226215</v>
      </c>
      <c r="U71" t="n">
        <v>83.554073</v>
      </c>
      <c r="V71" t="n">
        <v>84.765001</v>
      </c>
      <c r="W71" t="n">
        <v>92.949997</v>
      </c>
      <c r="X71" t="n">
        <v>98.197498</v>
      </c>
      <c r="Y71" t="inlineStr">
        <is>
          <t>complete</t>
        </is>
      </c>
    </row>
    <row r="72">
      <c r="A72" t="inlineStr">
        <is>
          <t>corridor-woody|SPL</t>
        </is>
      </c>
      <c r="B72" t="inlineStr">
        <is>
          <t>corridor-woody</t>
        </is>
      </c>
      <c r="C72" t="inlineStr">
        <is>
          <t>SPL</t>
        </is>
      </c>
      <c r="D72" t="inlineStr">
        <is>
          <t>TRUE</t>
        </is>
      </c>
      <c r="E72" t="n">
        <v>5959</v>
      </c>
      <c r="F72" t="n">
        <v>5960</v>
      </c>
      <c r="G72" t="n">
        <v>0</v>
      </c>
      <c r="H72" t="n">
        <v>1.68</v>
      </c>
      <c r="I72" t="n">
        <v>3.92</v>
      </c>
      <c r="J72" t="n">
        <v>91.924999</v>
      </c>
      <c r="K72" t="n">
        <v>100</v>
      </c>
      <c r="L72" t="n">
        <v>0</v>
      </c>
      <c r="M72" t="n">
        <v>0.3</v>
      </c>
      <c r="N72" t="n">
        <v>0.7</v>
      </c>
      <c r="O72" t="n">
        <v>1</v>
      </c>
      <c r="P72" t="n">
        <v>1</v>
      </c>
      <c r="Q72" s="188" t="inlineStr">
        <is>
          <t>≥3.9%</t>
        </is>
      </c>
      <c r="R72" s="189" t="inlineStr">
        <is>
          <t>2.2-&lt;3.9%</t>
        </is>
      </c>
      <c r="S72" s="190" t="inlineStr">
        <is>
          <t>&lt;2.2%</t>
        </is>
      </c>
      <c r="T72" t="n">
        <v>2.184</v>
      </c>
      <c r="U72" t="n">
        <v>3.864</v>
      </c>
      <c r="V72" t="n">
        <v>3.92</v>
      </c>
      <c r="W72" t="n">
        <v>49.380001</v>
      </c>
      <c r="X72" t="n">
        <v>91.924999</v>
      </c>
      <c r="Y72" t="inlineStr">
        <is>
          <t>complete</t>
        </is>
      </c>
    </row>
    <row r="73">
      <c r="A73" t="inlineStr">
        <is>
          <t>corridor-woody|TPL</t>
        </is>
      </c>
      <c r="B73" t="inlineStr">
        <is>
          <t>corridor-woody</t>
        </is>
      </c>
      <c r="C73" t="inlineStr">
        <is>
          <t>TPL</t>
        </is>
      </c>
      <c r="D73" t="inlineStr">
        <is>
          <t>TRUE</t>
        </is>
      </c>
      <c r="E73" t="n">
        <v>870</v>
      </c>
      <c r="F73" t="n">
        <v>874</v>
      </c>
      <c r="G73" t="n">
        <v>0</v>
      </c>
      <c r="H73" t="n">
        <v>1.8075</v>
      </c>
      <c r="I73" t="n">
        <v>4.2175</v>
      </c>
      <c r="J73" t="n">
        <v>90.220001</v>
      </c>
      <c r="K73" t="n">
        <v>100</v>
      </c>
      <c r="L73" t="n">
        <v>0</v>
      </c>
      <c r="M73" t="n">
        <v>0.3</v>
      </c>
      <c r="N73" t="n">
        <v>0.7</v>
      </c>
      <c r="O73" t="n">
        <v>1</v>
      </c>
      <c r="P73" t="n">
        <v>1</v>
      </c>
      <c r="Q73" s="188" t="inlineStr">
        <is>
          <t>≥4.2%</t>
        </is>
      </c>
      <c r="R73" s="189" t="inlineStr">
        <is>
          <t>2.3-&lt;4.2%</t>
        </is>
      </c>
      <c r="S73" s="190" t="inlineStr">
        <is>
          <t>&lt;2.3%</t>
        </is>
      </c>
      <c r="T73" t="n">
        <v>2.34975</v>
      </c>
      <c r="U73" t="n">
        <v>4.15725</v>
      </c>
      <c r="V73" t="n">
        <v>4.2175</v>
      </c>
      <c r="W73" t="n">
        <v>49.17</v>
      </c>
      <c r="X73" t="n">
        <v>90.220001</v>
      </c>
      <c r="Y73" t="inlineStr">
        <is>
          <t>complete</t>
        </is>
      </c>
    </row>
    <row r="74">
      <c r="A74" t="inlineStr">
        <is>
          <t>corridor-woody|UMW</t>
        </is>
      </c>
      <c r="B74" t="inlineStr">
        <is>
          <t>corridor-woody</t>
        </is>
      </c>
      <c r="C74" t="inlineStr">
        <is>
          <t>UMW</t>
        </is>
      </c>
      <c r="D74" t="inlineStr">
        <is>
          <t>TRUE</t>
        </is>
      </c>
      <c r="E74" t="n">
        <v>2431</v>
      </c>
      <c r="F74" t="n">
        <v>2432</v>
      </c>
      <c r="G74" t="n">
        <v>0</v>
      </c>
      <c r="H74" t="n">
        <v>33.004285</v>
      </c>
      <c r="I74" t="n">
        <v>77.009998</v>
      </c>
      <c r="J74" t="n">
        <v>94.639999</v>
      </c>
      <c r="K74" t="n">
        <v>99.929</v>
      </c>
      <c r="L74" t="n">
        <v>0</v>
      </c>
      <c r="M74" t="n">
        <v>0.3</v>
      </c>
      <c r="N74" t="n">
        <v>0.7</v>
      </c>
      <c r="O74" t="n">
        <v>1</v>
      </c>
      <c r="P74" t="n">
        <v>1</v>
      </c>
      <c r="Q74" s="188" t="inlineStr">
        <is>
          <t>≥75.9%</t>
        </is>
      </c>
      <c r="R74" s="189" t="inlineStr">
        <is>
          <t>42.9-&lt;75.9%</t>
        </is>
      </c>
      <c r="S74" s="190" t="inlineStr">
        <is>
          <t>&lt;42.9%</t>
        </is>
      </c>
      <c r="T74" t="n">
        <v>42.90557</v>
      </c>
      <c r="U74" t="n">
        <v>75.90985499999999</v>
      </c>
      <c r="V74" t="n">
        <v>77.009998</v>
      </c>
      <c r="W74" t="n">
        <v>88.66999800000001</v>
      </c>
      <c r="X74" t="n">
        <v>94.639999</v>
      </c>
      <c r="Y74" t="inlineStr">
        <is>
          <t>complete</t>
        </is>
      </c>
    </row>
    <row r="75">
      <c r="A75" t="inlineStr">
        <is>
          <t>corridor-woody|WMT</t>
        </is>
      </c>
      <c r="B75" t="inlineStr">
        <is>
          <t>corridor-woody</t>
        </is>
      </c>
      <c r="C75" t="inlineStr">
        <is>
          <t>WMT</t>
        </is>
      </c>
      <c r="D75" t="inlineStr">
        <is>
          <t>TRUE</t>
        </is>
      </c>
      <c r="E75" t="n">
        <v>12592</v>
      </c>
      <c r="F75" t="n">
        <v>12592</v>
      </c>
      <c r="G75" t="n">
        <v>0</v>
      </c>
      <c r="H75" t="n">
        <v>36.603216</v>
      </c>
      <c r="I75" t="n">
        <v>85.40750300000001</v>
      </c>
      <c r="J75" t="n">
        <v>99.599998</v>
      </c>
      <c r="K75" t="n">
        <v>100</v>
      </c>
      <c r="L75" t="n">
        <v>0</v>
      </c>
      <c r="M75" t="n">
        <v>0.3</v>
      </c>
      <c r="N75" t="n">
        <v>0.7</v>
      </c>
      <c r="O75" t="n">
        <v>1</v>
      </c>
      <c r="P75" t="n">
        <v>1</v>
      </c>
      <c r="Q75" s="188" t="inlineStr">
        <is>
          <t>≥84.2%</t>
        </is>
      </c>
      <c r="R75" s="189" t="inlineStr">
        <is>
          <t>47.6-&lt;84.2%</t>
        </is>
      </c>
      <c r="S75" s="190" t="inlineStr">
        <is>
          <t>&lt;47.6%</t>
        </is>
      </c>
      <c r="T75" t="n">
        <v>47.58418</v>
      </c>
      <c r="U75" t="n">
        <v>84.18739600000001</v>
      </c>
      <c r="V75" t="n">
        <v>85.40750300000001</v>
      </c>
      <c r="W75" t="n">
        <v>95.865002</v>
      </c>
      <c r="X75" t="n">
        <v>99.599998</v>
      </c>
      <c r="Y75" t="inlineStr">
        <is>
          <t>complete</t>
        </is>
      </c>
    </row>
    <row r="76">
      <c r="A76" t="inlineStr">
        <is>
          <t>corridor-woody|XER</t>
        </is>
      </c>
      <c r="B76" t="inlineStr">
        <is>
          <t>corridor-woody</t>
        </is>
      </c>
      <c r="C76" t="inlineStr">
        <is>
          <t>XER</t>
        </is>
      </c>
      <c r="D76" t="inlineStr">
        <is>
          <t>TRUE</t>
        </is>
      </c>
      <c r="E76" t="n">
        <v>14653</v>
      </c>
      <c r="F76" t="n">
        <v>14654</v>
      </c>
      <c r="G76" t="n">
        <v>0</v>
      </c>
      <c r="H76" t="n">
        <v>32.708571</v>
      </c>
      <c r="I76" t="n">
        <v>76.31999999999999</v>
      </c>
      <c r="J76" t="n">
        <v>99.489998</v>
      </c>
      <c r="K76" t="n">
        <v>100</v>
      </c>
      <c r="L76" t="n">
        <v>0</v>
      </c>
      <c r="M76" t="n">
        <v>0.3</v>
      </c>
      <c r="N76" t="n">
        <v>0.7</v>
      </c>
      <c r="O76" t="n">
        <v>1</v>
      </c>
      <c r="P76" t="n">
        <v>1</v>
      </c>
      <c r="Q76" s="188" t="inlineStr">
        <is>
          <t>≥75.2%</t>
        </is>
      </c>
      <c r="R76" s="189" t="inlineStr">
        <is>
          <t>42.5-&lt;75.2%</t>
        </is>
      </c>
      <c r="S76" s="190" t="inlineStr">
        <is>
          <t>&lt;42.5%</t>
        </is>
      </c>
      <c r="T76" t="n">
        <v>42.521143</v>
      </c>
      <c r="U76" t="n">
        <v>75.229714</v>
      </c>
      <c r="V76" t="n">
        <v>76.31999999999999</v>
      </c>
      <c r="W76" t="n">
        <v>94.839996</v>
      </c>
      <c r="X76" t="n">
        <v>99.489998</v>
      </c>
      <c r="Y76" t="inlineStr">
        <is>
          <t>complete</t>
        </is>
      </c>
    </row>
    <row r="77">
      <c r="A77" t="inlineStr">
        <is>
          <t>corridor-woody|national</t>
        </is>
      </c>
      <c r="B77" t="inlineStr">
        <is>
          <t>corridor-woody</t>
        </is>
      </c>
      <c r="C77" t="inlineStr">
        <is>
          <t>national</t>
        </is>
      </c>
      <c r="D77" t="inlineStr">
        <is>
          <t>TRUE</t>
        </is>
      </c>
      <c r="E77" t="n">
        <v>53175</v>
      </c>
      <c r="F77" t="n">
        <v>53210</v>
      </c>
      <c r="G77" t="n">
        <v>0</v>
      </c>
      <c r="H77" t="n">
        <v>29.695715</v>
      </c>
      <c r="I77" t="n">
        <v>69.290001</v>
      </c>
      <c r="J77" t="n">
        <v>98.16999800000001</v>
      </c>
      <c r="K77" t="n">
        <v>100</v>
      </c>
      <c r="L77" t="n">
        <v>0</v>
      </c>
      <c r="M77" t="n">
        <v>0.3</v>
      </c>
      <c r="N77" t="n">
        <v>0.7</v>
      </c>
      <c r="O77" t="n">
        <v>1</v>
      </c>
      <c r="P77" t="n">
        <v>1</v>
      </c>
      <c r="Q77" s="188" t="inlineStr">
        <is>
          <t>≥68.3%</t>
        </is>
      </c>
      <c r="R77" s="189" t="inlineStr">
        <is>
          <t>38.6-&lt;68.3%</t>
        </is>
      </c>
      <c r="S77" s="190" t="inlineStr">
        <is>
          <t>&lt;38.6%</t>
        </is>
      </c>
      <c r="T77" t="n">
        <v>38.604429</v>
      </c>
      <c r="U77" t="n">
        <v>68.300144</v>
      </c>
      <c r="V77" t="n">
        <v>69.290001</v>
      </c>
      <c r="W77" t="n">
        <v>91.150002</v>
      </c>
      <c r="X77" t="n">
        <v>98.16999800000001</v>
      </c>
      <c r="Y77" t="inlineStr">
        <is>
          <t>complete</t>
        </is>
      </c>
    </row>
    <row r="78">
      <c r="A78" t="inlineStr">
        <is>
          <t>entrenchment|0.5_to_2</t>
        </is>
      </c>
      <c r="B78" t="inlineStr">
        <is>
          <t>entrenchment</t>
        </is>
      </c>
      <c r="C78" t="inlineStr">
        <is>
          <t>0.5_to_2</t>
        </is>
      </c>
      <c r="D78" t="inlineStr">
        <is>
          <t>TRUE</t>
        </is>
      </c>
      <c r="E78" t="n">
        <v>9416</v>
      </c>
      <c r="F78" t="n">
        <v>17925</v>
      </c>
      <c r="G78" t="n">
        <v>0</v>
      </c>
      <c r="H78" t="n">
        <v>0.621429</v>
      </c>
      <c r="I78" t="n">
        <v>1.45</v>
      </c>
      <c r="J78" t="n">
        <v>2.39</v>
      </c>
      <c r="K78" t="n">
        <v>2.672</v>
      </c>
      <c r="L78" t="n">
        <v>0</v>
      </c>
      <c r="M78" t="n">
        <v>0.3</v>
      </c>
      <c r="N78" t="n">
        <v>0.7</v>
      </c>
      <c r="O78" t="n">
        <v>1</v>
      </c>
      <c r="P78" t="n">
        <v>1</v>
      </c>
      <c r="Q78" s="188" t="inlineStr">
        <is>
          <t>≥1.43</t>
        </is>
      </c>
      <c r="R78" s="189" t="inlineStr">
        <is>
          <t>0.81-&lt;1.43</t>
        </is>
      </c>
      <c r="S78" s="190" t="inlineStr">
        <is>
          <t>&lt;0.81</t>
        </is>
      </c>
      <c r="T78" t="n">
        <v>0.807857</v>
      </c>
      <c r="U78" t="n">
        <v>1.429286</v>
      </c>
      <c r="V78" t="n">
        <v>1.45</v>
      </c>
      <c r="W78" t="n">
        <v>1.7</v>
      </c>
      <c r="X78" t="n">
        <v>2.39</v>
      </c>
      <c r="Y78" t="inlineStr">
        <is>
          <t>complete</t>
        </is>
      </c>
    </row>
    <row r="79">
      <c r="A79" t="inlineStr">
        <is>
          <t>entrenchment|ge_2</t>
        </is>
      </c>
      <c r="B79" t="inlineStr">
        <is>
          <t>entrenchment</t>
        </is>
      </c>
      <c r="C79" t="inlineStr">
        <is>
          <t>ge_2</t>
        </is>
      </c>
      <c r="D79" t="inlineStr">
        <is>
          <t>TRUE</t>
        </is>
      </c>
      <c r="E79" t="n">
        <v>12473</v>
      </c>
      <c r="F79" t="n">
        <v>22316</v>
      </c>
      <c r="G79" t="n">
        <v>0</v>
      </c>
      <c r="H79" t="n">
        <v>0.63</v>
      </c>
      <c r="I79" t="n">
        <v>1.47</v>
      </c>
      <c r="J79" t="n">
        <v>1.91</v>
      </c>
      <c r="K79" t="n">
        <v>2.042</v>
      </c>
      <c r="L79" t="n">
        <v>0</v>
      </c>
      <c r="M79" t="n">
        <v>0.3</v>
      </c>
      <c r="N79" t="n">
        <v>0.7</v>
      </c>
      <c r="O79" t="n">
        <v>1</v>
      </c>
      <c r="P79" t="n">
        <v>1</v>
      </c>
      <c r="Q79" s="188" t="inlineStr">
        <is>
          <t>≥1.45</t>
        </is>
      </c>
      <c r="R79" s="189" t="inlineStr">
        <is>
          <t>0.82-&lt;1.45</t>
        </is>
      </c>
      <c r="S79" s="190" t="inlineStr">
        <is>
          <t>&lt;0.82</t>
        </is>
      </c>
      <c r="T79" t="n">
        <v>0.819</v>
      </c>
      <c r="U79" t="n">
        <v>1.449</v>
      </c>
      <c r="V79" t="n">
        <v>1.47</v>
      </c>
      <c r="W79" t="n">
        <v>1.6</v>
      </c>
      <c r="X79" t="n">
        <v>1.91</v>
      </c>
      <c r="Y79" t="inlineStr">
        <is>
          <t>complete</t>
        </is>
      </c>
    </row>
    <row r="80">
      <c r="A80" t="inlineStr">
        <is>
          <t>entrenchment|lt_0.5</t>
        </is>
      </c>
      <c r="B80" t="inlineStr">
        <is>
          <t>entrenchment</t>
        </is>
      </c>
      <c r="C80" t="inlineStr">
        <is>
          <t>lt_0.5</t>
        </is>
      </c>
      <c r="D80" t="inlineStr">
        <is>
          <t>TRUE</t>
        </is>
      </c>
      <c r="E80" t="n">
        <v>6136</v>
      </c>
      <c r="F80" t="n">
        <v>12426</v>
      </c>
      <c r="G80" t="n">
        <v>0</v>
      </c>
      <c r="H80" t="n">
        <v>0.497143</v>
      </c>
      <c r="I80" t="n">
        <v>1.16</v>
      </c>
      <c r="J80" t="n">
        <v>2.5325</v>
      </c>
      <c r="K80" t="n">
        <v>2.94425</v>
      </c>
      <c r="L80" t="n">
        <v>0</v>
      </c>
      <c r="M80" t="n">
        <v>0.3</v>
      </c>
      <c r="N80" t="n">
        <v>0.7</v>
      </c>
      <c r="O80" t="n">
        <v>1</v>
      </c>
      <c r="P80" t="n">
        <v>1</v>
      </c>
      <c r="Q80" s="188" t="inlineStr">
        <is>
          <t>≥1.14</t>
        </is>
      </c>
      <c r="R80" s="189" t="inlineStr">
        <is>
          <t>0.65-&lt;1.14</t>
        </is>
      </c>
      <c r="S80" s="190" t="inlineStr">
        <is>
          <t>&lt;0.65</t>
        </is>
      </c>
      <c r="T80" t="n">
        <v>0.646286</v>
      </c>
      <c r="U80" t="n">
        <v>1.143429</v>
      </c>
      <c r="V80" t="n">
        <v>1.16</v>
      </c>
      <c r="W80" t="n">
        <v>1.58</v>
      </c>
      <c r="X80" t="n">
        <v>2.5325</v>
      </c>
      <c r="Y80" t="inlineStr">
        <is>
          <t>complete</t>
        </is>
      </c>
    </row>
    <row r="81">
      <c r="A81" t="inlineStr">
        <is>
          <t>entrenchment|national</t>
        </is>
      </c>
      <c r="B81" t="inlineStr">
        <is>
          <t>entrenchment</t>
        </is>
      </c>
      <c r="C81" t="inlineStr">
        <is>
          <t>national</t>
        </is>
      </c>
      <c r="D81" t="inlineStr">
        <is>
          <t>TRUE</t>
        </is>
      </c>
      <c r="E81" t="n">
        <v>28287</v>
      </c>
      <c r="F81" t="n">
        <v>53210</v>
      </c>
      <c r="G81" t="n">
        <v>0</v>
      </c>
      <c r="H81" t="n">
        <v>0.612857</v>
      </c>
      <c r="I81" t="n">
        <v>1.43</v>
      </c>
      <c r="J81" t="n">
        <v>2.09</v>
      </c>
      <c r="K81" t="n">
        <v>2.288</v>
      </c>
      <c r="L81" t="n">
        <v>0</v>
      </c>
      <c r="M81" t="n">
        <v>0.3</v>
      </c>
      <c r="N81" t="n">
        <v>0.7</v>
      </c>
      <c r="O81" t="n">
        <v>1</v>
      </c>
      <c r="P81" t="n">
        <v>1</v>
      </c>
      <c r="Q81" s="188" t="inlineStr">
        <is>
          <t>≥1.41</t>
        </is>
      </c>
      <c r="R81" s="189" t="inlineStr">
        <is>
          <t>0.8-&lt;1.41</t>
        </is>
      </c>
      <c r="S81" s="190" t="inlineStr">
        <is>
          <t>&lt;0.8</t>
        </is>
      </c>
      <c r="T81" t="n">
        <v>0.796714</v>
      </c>
      <c r="U81" t="n">
        <v>1.409571</v>
      </c>
      <c r="V81" t="n">
        <v>1.43</v>
      </c>
      <c r="W81" t="n">
        <v>1.62</v>
      </c>
      <c r="X81" t="n">
        <v>2.09</v>
      </c>
      <c r="Y81" t="inlineStr">
        <is>
          <t>complete</t>
        </is>
      </c>
    </row>
    <row r="82">
      <c r="A82" t="inlineStr">
        <is>
          <t>flow-variability|CPL</t>
        </is>
      </c>
      <c r="B82" t="inlineStr">
        <is>
          <t>flow-variability</t>
        </is>
      </c>
      <c r="C82" t="inlineStr">
        <is>
          <t>CPL</t>
        </is>
      </c>
      <c r="D82" t="inlineStr">
        <is>
          <t>FALSE</t>
        </is>
      </c>
      <c r="E82" t="n">
        <v>6129</v>
      </c>
      <c r="F82" t="n">
        <v>6130</v>
      </c>
      <c r="G82" t="n">
        <v>0.390855</v>
      </c>
      <c r="H82" t="n">
        <v>0.48476</v>
      </c>
      <c r="I82" t="n">
        <v>0.797778</v>
      </c>
      <c r="J82" t="n">
        <v>1.215135</v>
      </c>
      <c r="K82" t="n">
        <v>1.528152</v>
      </c>
      <c r="L82" t="n">
        <v>1</v>
      </c>
      <c r="M82" t="n">
        <v>1</v>
      </c>
      <c r="N82" t="n">
        <v>0.7</v>
      </c>
      <c r="O82" t="n">
        <v>0.3</v>
      </c>
      <c r="P82" t="n">
        <v>0</v>
      </c>
      <c r="Q82" s="188" t="inlineStr">
        <is>
          <t>≤0.81</t>
        </is>
      </c>
      <c r="R82" s="189" t="inlineStr">
        <is>
          <t>&gt;0.81-≤1.12</t>
        </is>
      </c>
      <c r="S82" s="190" t="inlineStr">
        <is>
          <t>&gt;1.12</t>
        </is>
      </c>
      <c r="T82" t="n">
        <v>1.121229</v>
      </c>
      <c r="U82" t="n">
        <v>0.808212</v>
      </c>
      <c r="V82" t="n">
        <v>0.48476</v>
      </c>
      <c r="W82" t="n">
        <v>0.570686</v>
      </c>
      <c r="X82" t="n">
        <v>0.797778</v>
      </c>
      <c r="Y82" t="inlineStr">
        <is>
          <t>complete</t>
        </is>
      </c>
    </row>
    <row r="83">
      <c r="A83" t="inlineStr">
        <is>
          <t>flow-variability|NAP</t>
        </is>
      </c>
      <c r="B83" t="inlineStr">
        <is>
          <t>flow-variability</t>
        </is>
      </c>
      <c r="C83" t="inlineStr">
        <is>
          <t>NAP</t>
        </is>
      </c>
      <c r="D83" t="inlineStr">
        <is>
          <t>FALSE</t>
        </is>
      </c>
      <c r="E83" t="n">
        <v>3005</v>
      </c>
      <c r="F83" t="n">
        <v>3005</v>
      </c>
      <c r="G83" t="n">
        <v>0.293031</v>
      </c>
      <c r="H83" t="n">
        <v>0.43709</v>
      </c>
      <c r="I83" t="n">
        <v>0.917287</v>
      </c>
      <c r="J83" t="n">
        <v>1.55755</v>
      </c>
      <c r="K83" t="n">
        <v>2.037747</v>
      </c>
      <c r="L83" t="n">
        <v>1</v>
      </c>
      <c r="M83" t="n">
        <v>1</v>
      </c>
      <c r="N83" t="n">
        <v>0.7</v>
      </c>
      <c r="O83" t="n">
        <v>0.3</v>
      </c>
      <c r="P83" t="n">
        <v>0</v>
      </c>
      <c r="Q83" s="188" t="inlineStr">
        <is>
          <t>≤0.93</t>
        </is>
      </c>
      <c r="R83" s="189" t="inlineStr">
        <is>
          <t>&gt;0.93-≤1.41</t>
        </is>
      </c>
      <c r="S83" s="190" t="inlineStr">
        <is>
          <t>&gt;1.41</t>
        </is>
      </c>
      <c r="T83" t="n">
        <v>1.413491</v>
      </c>
      <c r="U83" t="n">
        <v>0.933294</v>
      </c>
      <c r="V83" t="n">
        <v>0.43709</v>
      </c>
      <c r="W83" t="n">
        <v>0.5185999999999999</v>
      </c>
      <c r="X83" t="n">
        <v>0.917287</v>
      </c>
      <c r="Y83" t="inlineStr">
        <is>
          <t>complete</t>
        </is>
      </c>
    </row>
    <row r="84">
      <c r="A84" t="inlineStr">
        <is>
          <t>flow-variability|NPL</t>
        </is>
      </c>
      <c r="B84" t="inlineStr">
        <is>
          <t>flow-variability</t>
        </is>
      </c>
      <c r="C84" t="inlineStr">
        <is>
          <t>NPL</t>
        </is>
      </c>
      <c r="D84" t="inlineStr">
        <is>
          <t>FALSE</t>
        </is>
      </c>
      <c r="E84" t="n">
        <v>4319</v>
      </c>
      <c r="F84" t="n">
        <v>4319</v>
      </c>
      <c r="G84" t="n">
        <v>1.295511</v>
      </c>
      <c r="H84" t="n">
        <v>1.420847</v>
      </c>
      <c r="I84" t="n">
        <v>1.838634</v>
      </c>
      <c r="J84" t="n">
        <v>2.395684</v>
      </c>
      <c r="K84" t="n">
        <v>2.81347</v>
      </c>
      <c r="L84" t="n">
        <v>1</v>
      </c>
      <c r="M84" t="n">
        <v>1</v>
      </c>
      <c r="N84" t="n">
        <v>0.7</v>
      </c>
      <c r="O84" t="n">
        <v>0.3</v>
      </c>
      <c r="P84" t="n">
        <v>0</v>
      </c>
      <c r="Q84" s="188" t="inlineStr">
        <is>
          <t>≤1.85</t>
        </is>
      </c>
      <c r="R84" s="189" t="inlineStr">
        <is>
          <t>&gt;1.85-≤2.27</t>
        </is>
      </c>
      <c r="S84" s="190" t="inlineStr">
        <is>
          <t>&gt;2.27</t>
        </is>
      </c>
      <c r="T84" t="n">
        <v>2.270347</v>
      </c>
      <c r="U84" t="n">
        <v>1.85256</v>
      </c>
      <c r="V84" t="n">
        <v>1.420847</v>
      </c>
      <c r="W84" t="n">
        <v>1.65361</v>
      </c>
      <c r="X84" t="n">
        <v>1.838634</v>
      </c>
      <c r="Y84" t="inlineStr">
        <is>
          <t>complete</t>
        </is>
      </c>
    </row>
    <row r="85">
      <c r="A85" t="inlineStr">
        <is>
          <t>flow-variability|SAP</t>
        </is>
      </c>
      <c r="B85" t="inlineStr">
        <is>
          <t>flow-variability</t>
        </is>
      </c>
      <c r="C85" t="inlineStr">
        <is>
          <t>SAP</t>
        </is>
      </c>
      <c r="D85" t="inlineStr">
        <is>
          <t>FALSE</t>
        </is>
      </c>
      <c r="E85" t="n">
        <v>6246</v>
      </c>
      <c r="F85" t="n">
        <v>6246</v>
      </c>
      <c r="G85" t="n">
        <v>0.352293</v>
      </c>
      <c r="H85" t="n">
        <v>0.5165999999999999</v>
      </c>
      <c r="I85" t="n">
        <v>1.064292</v>
      </c>
      <c r="J85" t="n">
        <v>1.794548</v>
      </c>
      <c r="K85" t="n">
        <v>2.342239</v>
      </c>
      <c r="L85" t="n">
        <v>1</v>
      </c>
      <c r="M85" t="n">
        <v>1</v>
      </c>
      <c r="N85" t="n">
        <v>0.7</v>
      </c>
      <c r="O85" t="n">
        <v>0.3</v>
      </c>
      <c r="P85" t="n">
        <v>0</v>
      </c>
      <c r="Q85" s="188" t="inlineStr">
        <is>
          <t>≤1.08</t>
        </is>
      </c>
      <c r="R85" s="189" t="inlineStr">
        <is>
          <t>&gt;1.08-≤1.63</t>
        </is>
      </c>
      <c r="S85" s="190" t="inlineStr">
        <is>
          <t>&gt;1.63</t>
        </is>
      </c>
      <c r="T85" t="n">
        <v>1.63024</v>
      </c>
      <c r="U85" t="n">
        <v>1.082549</v>
      </c>
      <c r="V85" t="n">
        <v>0.5165999999999999</v>
      </c>
      <c r="W85" t="n">
        <v>0.799475</v>
      </c>
      <c r="X85" t="n">
        <v>1.064292</v>
      </c>
      <c r="Y85" t="inlineStr">
        <is>
          <t>complete</t>
        </is>
      </c>
    </row>
    <row r="86">
      <c r="A86" t="inlineStr">
        <is>
          <t>flow-variability|SPL</t>
        </is>
      </c>
      <c r="B86" t="inlineStr">
        <is>
          <t>flow-variability</t>
        </is>
      </c>
      <c r="C86" t="inlineStr">
        <is>
          <t>SPL</t>
        </is>
      </c>
      <c r="D86" t="inlineStr">
        <is>
          <t>FALSE</t>
        </is>
      </c>
      <c r="E86" t="n">
        <v>5955</v>
      </c>
      <c r="F86" t="n">
        <v>5960</v>
      </c>
      <c r="G86" t="n">
        <v>0.483146</v>
      </c>
      <c r="H86" t="n">
        <v>0.550742</v>
      </c>
      <c r="I86" t="n">
        <v>0.776062</v>
      </c>
      <c r="J86" t="n">
        <v>1.076488</v>
      </c>
      <c r="K86" t="n">
        <v>1.301808</v>
      </c>
      <c r="L86" t="n">
        <v>1</v>
      </c>
      <c r="M86" t="n">
        <v>1</v>
      </c>
      <c r="N86" t="n">
        <v>0.7</v>
      </c>
      <c r="O86" t="n">
        <v>0.3</v>
      </c>
      <c r="P86" t="n">
        <v>0</v>
      </c>
      <c r="Q86" s="188" t="inlineStr">
        <is>
          <t>≤0.78</t>
        </is>
      </c>
      <c r="R86" s="189" t="inlineStr">
        <is>
          <t>&gt;0.78-≤1.01</t>
        </is>
      </c>
      <c r="S86" s="190" t="inlineStr">
        <is>
          <t>&gt;1.01</t>
        </is>
      </c>
      <c r="T86" t="n">
        <v>1.008892</v>
      </c>
      <c r="U86" t="n">
        <v>0.783572</v>
      </c>
      <c r="V86" t="n">
        <v>0.550742</v>
      </c>
      <c r="W86" t="n">
        <v>0.66752</v>
      </c>
      <c r="X86" t="n">
        <v>0.776062</v>
      </c>
      <c r="Y86" t="inlineStr">
        <is>
          <t>complete</t>
        </is>
      </c>
    </row>
    <row r="87">
      <c r="A87" t="inlineStr">
        <is>
          <t>flow-variability|TPL</t>
        </is>
      </c>
      <c r="B87" t="inlineStr">
        <is>
          <t>flow-variability</t>
        </is>
      </c>
      <c r="C87" t="inlineStr">
        <is>
          <t>TPL</t>
        </is>
      </c>
      <c r="D87" t="inlineStr">
        <is>
          <t>FALSE</t>
        </is>
      </c>
      <c r="E87" t="n">
        <v>874</v>
      </c>
      <c r="F87" t="n">
        <v>874</v>
      </c>
      <c r="G87" t="n">
        <v>0.399244</v>
      </c>
      <c r="H87" t="n">
        <v>0.795748</v>
      </c>
      <c r="I87" t="n">
        <v>2.11743</v>
      </c>
      <c r="J87" t="n">
        <v>3.879673</v>
      </c>
      <c r="K87" t="n">
        <v>5.201354</v>
      </c>
      <c r="L87" t="n">
        <v>1</v>
      </c>
      <c r="M87" t="n">
        <v>1</v>
      </c>
      <c r="N87" t="n">
        <v>0.7</v>
      </c>
      <c r="O87" t="n">
        <v>0.3</v>
      </c>
      <c r="P87" t="n">
        <v>0</v>
      </c>
      <c r="Q87" s="188" t="inlineStr">
        <is>
          <t>≤2.16</t>
        </is>
      </c>
      <c r="R87" s="189" t="inlineStr">
        <is>
          <t>&gt;2.16-≤3.48</t>
        </is>
      </c>
      <c r="S87" s="190" t="inlineStr">
        <is>
          <t>&gt;3.48</t>
        </is>
      </c>
      <c r="T87" t="n">
        <v>3.483168</v>
      </c>
      <c r="U87" t="n">
        <v>2.161486</v>
      </c>
      <c r="V87" t="n">
        <v>0.795748</v>
      </c>
      <c r="W87" t="n">
        <v>1.071896</v>
      </c>
      <c r="X87" t="n">
        <v>2.11743</v>
      </c>
      <c r="Y87" t="inlineStr">
        <is>
          <t>complete</t>
        </is>
      </c>
    </row>
    <row r="88">
      <c r="A88" t="inlineStr">
        <is>
          <t>flow-variability|UMW</t>
        </is>
      </c>
      <c r="B88" t="inlineStr">
        <is>
          <t>flow-variability</t>
        </is>
      </c>
      <c r="C88" t="inlineStr">
        <is>
          <t>UMW</t>
        </is>
      </c>
      <c r="D88" t="inlineStr">
        <is>
          <t>FALSE</t>
        </is>
      </c>
      <c r="E88" t="n">
        <v>2432</v>
      </c>
      <c r="F88" t="n">
        <v>2432</v>
      </c>
      <c r="G88" t="n">
        <v>0.35689</v>
      </c>
      <c r="H88" t="n">
        <v>0.641498</v>
      </c>
      <c r="I88" t="n">
        <v>1.590192</v>
      </c>
      <c r="J88" t="n">
        <v>2.855118</v>
      </c>
      <c r="K88" t="n">
        <v>3.803812</v>
      </c>
      <c r="L88" t="n">
        <v>1</v>
      </c>
      <c r="M88" t="n">
        <v>1</v>
      </c>
      <c r="N88" t="n">
        <v>0.7</v>
      </c>
      <c r="O88" t="n">
        <v>0.3</v>
      </c>
      <c r="P88" t="n">
        <v>0</v>
      </c>
      <c r="Q88" s="188" t="inlineStr">
        <is>
          <t>≤1.62</t>
        </is>
      </c>
      <c r="R88" s="189" t="inlineStr">
        <is>
          <t>&gt;1.62-≤2.57</t>
        </is>
      </c>
      <c r="S88" s="190" t="inlineStr">
        <is>
          <t>&gt;2.57</t>
        </is>
      </c>
      <c r="T88" t="n">
        <v>2.57051</v>
      </c>
      <c r="U88" t="n">
        <v>1.621816</v>
      </c>
      <c r="V88" t="n">
        <v>0.641498</v>
      </c>
      <c r="W88" t="n">
        <v>0.927893</v>
      </c>
      <c r="X88" t="n">
        <v>1.590192</v>
      </c>
      <c r="Y88" t="inlineStr">
        <is>
          <t>complete</t>
        </is>
      </c>
    </row>
    <row r="89">
      <c r="A89" t="inlineStr">
        <is>
          <t>flow-variability|WMT</t>
        </is>
      </c>
      <c r="B89" t="inlineStr">
        <is>
          <t>flow-variability</t>
        </is>
      </c>
      <c r="C89" t="inlineStr">
        <is>
          <t>WMT</t>
        </is>
      </c>
      <c r="D89" t="inlineStr">
        <is>
          <t>FALSE</t>
        </is>
      </c>
      <c r="E89" t="n">
        <v>12591</v>
      </c>
      <c r="F89" t="n">
        <v>12592</v>
      </c>
      <c r="G89" t="n">
        <v>0.597791</v>
      </c>
      <c r="H89" t="n">
        <v>0.761547</v>
      </c>
      <c r="I89" t="n">
        <v>1.3074</v>
      </c>
      <c r="J89" t="n">
        <v>2.035204</v>
      </c>
      <c r="K89" t="n">
        <v>2.581056</v>
      </c>
      <c r="L89" t="n">
        <v>1</v>
      </c>
      <c r="M89" t="n">
        <v>1</v>
      </c>
      <c r="N89" t="n">
        <v>0.7</v>
      </c>
      <c r="O89" t="n">
        <v>0.3</v>
      </c>
      <c r="P89" t="n">
        <v>0</v>
      </c>
      <c r="Q89" s="188" t="inlineStr">
        <is>
          <t>≤1.33</t>
        </is>
      </c>
      <c r="R89" s="189" t="inlineStr">
        <is>
          <t>&gt;1.33-≤1.87</t>
        </is>
      </c>
      <c r="S89" s="190" t="inlineStr">
        <is>
          <t>&gt;1.87</t>
        </is>
      </c>
      <c r="T89" t="n">
        <v>1.871448</v>
      </c>
      <c r="U89" t="n">
        <v>1.325595</v>
      </c>
      <c r="V89" t="n">
        <v>0.761547</v>
      </c>
      <c r="W89" t="n">
        <v>1.045299</v>
      </c>
      <c r="X89" t="n">
        <v>1.3074</v>
      </c>
      <c r="Y89" t="inlineStr">
        <is>
          <t>complete</t>
        </is>
      </c>
    </row>
    <row r="90">
      <c r="A90" t="inlineStr">
        <is>
          <t>flow-variability|XER</t>
        </is>
      </c>
      <c r="B90" t="inlineStr">
        <is>
          <t>flow-variability</t>
        </is>
      </c>
      <c r="C90" t="inlineStr">
        <is>
          <t>XER</t>
        </is>
      </c>
      <c r="D90" t="inlineStr">
        <is>
          <t>FALSE</t>
        </is>
      </c>
      <c r="E90" t="n">
        <v>14645</v>
      </c>
      <c r="F90" t="n">
        <v>14654</v>
      </c>
      <c r="G90" t="n">
        <v>0.8921559999999999</v>
      </c>
      <c r="H90" t="n">
        <v>1.115726</v>
      </c>
      <c r="I90" t="n">
        <v>1.860961</v>
      </c>
      <c r="J90" t="n">
        <v>2.854607</v>
      </c>
      <c r="K90" t="n">
        <v>3.599841</v>
      </c>
      <c r="L90" t="n">
        <v>1</v>
      </c>
      <c r="M90" t="n">
        <v>1</v>
      </c>
      <c r="N90" t="n">
        <v>0.7</v>
      </c>
      <c r="O90" t="n">
        <v>0.3</v>
      </c>
      <c r="P90" t="n">
        <v>0</v>
      </c>
      <c r="Q90" s="188" t="inlineStr">
        <is>
          <t>≤1.89</t>
        </is>
      </c>
      <c r="R90" s="189" t="inlineStr">
        <is>
          <t>&gt;1.89-≤2.63</t>
        </is>
      </c>
      <c r="S90" s="190" t="inlineStr">
        <is>
          <t>&gt;2.63</t>
        </is>
      </c>
      <c r="T90" t="n">
        <v>2.631037</v>
      </c>
      <c r="U90" t="n">
        <v>1.885802</v>
      </c>
      <c r="V90" t="n">
        <v>1.115726</v>
      </c>
      <c r="W90" t="n">
        <v>1.421819</v>
      </c>
      <c r="X90" t="n">
        <v>1.860961</v>
      </c>
      <c r="Y90" t="inlineStr">
        <is>
          <t>complete</t>
        </is>
      </c>
    </row>
    <row r="91">
      <c r="A91" t="inlineStr">
        <is>
          <t>flow-variability|national</t>
        </is>
      </c>
      <c r="B91" t="inlineStr">
        <is>
          <t>flow-variability</t>
        </is>
      </c>
      <c r="C91" t="inlineStr">
        <is>
          <t>national</t>
        </is>
      </c>
      <c r="D91" t="inlineStr">
        <is>
          <t>FALSE</t>
        </is>
      </c>
      <c r="E91" t="n">
        <v>53197</v>
      </c>
      <c r="F91" t="n">
        <v>53210</v>
      </c>
      <c r="G91" t="n">
        <v>0.38078</v>
      </c>
      <c r="H91" t="n">
        <v>0.630809</v>
      </c>
      <c r="I91" t="n">
        <v>1.464239</v>
      </c>
      <c r="J91" t="n">
        <v>2.575479</v>
      </c>
      <c r="K91" t="n">
        <v>3.408909</v>
      </c>
      <c r="L91" t="n">
        <v>1</v>
      </c>
      <c r="M91" t="n">
        <v>1</v>
      </c>
      <c r="N91" t="n">
        <v>0.7</v>
      </c>
      <c r="O91" t="n">
        <v>0.3</v>
      </c>
      <c r="P91" t="n">
        <v>0</v>
      </c>
      <c r="Q91" s="188" t="inlineStr">
        <is>
          <t>≤1.49</t>
        </is>
      </c>
      <c r="R91" s="189" t="inlineStr">
        <is>
          <t>&gt;1.49-≤2.33</t>
        </is>
      </c>
      <c r="S91" s="190" t="inlineStr">
        <is>
          <t>&gt;2.33</t>
        </is>
      </c>
      <c r="T91" t="n">
        <v>2.32545</v>
      </c>
      <c r="U91" t="n">
        <v>1.49202</v>
      </c>
      <c r="V91" t="n">
        <v>0.630809</v>
      </c>
      <c r="W91" t="n">
        <v>1.00673</v>
      </c>
      <c r="X91" t="n">
        <v>1.464239</v>
      </c>
      <c r="Y91" t="inlineStr">
        <is>
          <t>complete</t>
        </is>
      </c>
    </row>
    <row r="93">
      <c r="A93" s="169" t="inlineStr">
        <is>
          <t>Rating lines of the curve charts</t>
        </is>
      </c>
    </row>
    <row r="94">
      <c r="A94" s="171" t="inlineStr">
        <is>
          <t>Set</t>
        </is>
      </c>
      <c r="B94" s="171" t="inlineStr">
        <is>
          <t>Value from</t>
        </is>
      </c>
      <c r="C94" s="171" t="inlineStr">
        <is>
          <t>Value to</t>
        </is>
      </c>
      <c r="D94" s="171" t="inlineStr">
        <is>
          <t>Index 0.39</t>
        </is>
      </c>
      <c r="E94" s="171" t="inlineStr">
        <is>
          <t>Index 0.39</t>
        </is>
      </c>
      <c r="F94" s="171" t="inlineStr">
        <is>
          <t>Index 0.69</t>
        </is>
      </c>
      <c r="G94" s="171" t="inlineStr">
        <is>
          <t>Index 0.69</t>
        </is>
      </c>
    </row>
    <row r="95">
      <c r="A95" t="inlineStr">
        <is>
          <t>corridor-natural</t>
        </is>
      </c>
      <c r="B95" t="n">
        <v>0</v>
      </c>
      <c r="C95" t="n">
        <v>100</v>
      </c>
      <c r="D95" t="n">
        <v>0.39</v>
      </c>
      <c r="E95" t="n">
        <v>0.39</v>
      </c>
      <c r="F95" t="n">
        <v>0.6899999999999999</v>
      </c>
      <c r="G95" t="n">
        <v>0.6899999999999999</v>
      </c>
    </row>
    <row r="96">
      <c r="A96" t="inlineStr">
        <is>
          <t>corridor-woody</t>
        </is>
      </c>
      <c r="B96" t="n">
        <v>0</v>
      </c>
      <c r="C96" t="n">
        <v>100</v>
      </c>
      <c r="D96" t="n">
        <v>0.39</v>
      </c>
      <c r="E96" t="n">
        <v>0.39</v>
      </c>
      <c r="F96" t="n">
        <v>0.6899999999999999</v>
      </c>
      <c r="G96" t="n">
        <v>0.6899999999999999</v>
      </c>
    </row>
    <row r="97">
      <c r="A97" t="inlineStr">
        <is>
          <t>entrenchment</t>
        </is>
      </c>
      <c r="B97" t="n">
        <v>0</v>
      </c>
      <c r="C97" t="n">
        <v>2.94425</v>
      </c>
      <c r="D97" t="n">
        <v>0.39</v>
      </c>
      <c r="E97" t="n">
        <v>0.39</v>
      </c>
      <c r="F97" t="n">
        <v>0.6899999999999999</v>
      </c>
      <c r="G97" t="n">
        <v>0.6899999999999999</v>
      </c>
    </row>
    <row r="98">
      <c r="A98" t="inlineStr">
        <is>
          <t>flow-variability</t>
        </is>
      </c>
      <c r="B98" t="n">
        <v>0.293031</v>
      </c>
      <c r="C98" t="n">
        <v>5.201354</v>
      </c>
      <c r="D98" t="n">
        <v>0.39</v>
      </c>
      <c r="E98" t="n">
        <v>0.39</v>
      </c>
      <c r="F98" t="n">
        <v>0.6899999999999999</v>
      </c>
      <c r="G98" t="n">
        <v>0.6899999999999999</v>
      </c>
    </row>
    <row r="100">
      <c r="A100" s="169" t="inlineStr">
        <is>
          <t>Rating anchors and function scores</t>
        </is>
      </c>
    </row>
    <row r="101">
      <c r="A101" s="171" t="inlineStr">
        <is>
          <t>Rating</t>
        </is>
      </c>
      <c r="B101" s="171" t="inlineStr">
        <is>
          <t>Index anchor</t>
        </is>
      </c>
      <c r="C101" s="171" t="inlineStr">
        <is>
          <t>Function score</t>
        </is>
      </c>
      <c r="D101" s="171" t="inlineStr">
        <is>
          <t>Score class</t>
        </is>
      </c>
    </row>
    <row r="102">
      <c r="A102" t="inlineStr">
        <is>
          <t>Good</t>
        </is>
      </c>
      <c r="B102" s="191" t="n">
        <v>0.85</v>
      </c>
      <c r="C102" t="n">
        <v>13</v>
      </c>
      <c r="D102" t="inlineStr">
        <is>
          <t>Functioning</t>
        </is>
      </c>
    </row>
    <row r="103">
      <c r="A103" t="inlineStr">
        <is>
          <t>Fair</t>
        </is>
      </c>
      <c r="B103" s="191" t="n">
        <v>0.545</v>
      </c>
      <c r="C103" t="n">
        <v>8</v>
      </c>
      <c r="D103" t="inlineStr">
        <is>
          <t>Functioning-at-Risk</t>
        </is>
      </c>
    </row>
    <row r="104">
      <c r="A104" t="inlineStr">
        <is>
          <t>Poor</t>
        </is>
      </c>
      <c r="B104" s="191" t="n">
        <v>0.195</v>
      </c>
      <c r="C104" t="n">
        <v>3</v>
      </c>
      <c r="D104" t="inlineStr">
        <is>
          <t>Non-Functioning</t>
        </is>
      </c>
    </row>
    <row r="106">
      <c r="A106" s="169" t="inlineStr">
        <is>
          <t>Condition classes</t>
        </is>
      </c>
    </row>
    <row r="107">
      <c r="A107" s="171" t="inlineStr">
        <is>
          <t>Index at or below</t>
        </is>
      </c>
      <c r="B107" s="171" t="inlineStr">
        <is>
          <t>Class</t>
        </is>
      </c>
      <c r="C107" s="171" t="inlineStr">
        <is>
          <t>Function score at or below</t>
        </is>
      </c>
    </row>
    <row r="108">
      <c r="A108" t="n">
        <v>0.39</v>
      </c>
      <c r="B108" t="inlineStr">
        <is>
          <t>Non-Functioning</t>
        </is>
      </c>
      <c r="C108" t="n">
        <v>5</v>
      </c>
    </row>
    <row r="109">
      <c r="A109" t="n">
        <v>0.6899999999999999</v>
      </c>
      <c r="B109" t="inlineStr">
        <is>
          <t>Functioning-at-Risk</t>
        </is>
      </c>
      <c r="C109" t="n">
        <v>10</v>
      </c>
    </row>
    <row r="110">
      <c r="A110" t="n">
        <v>1</v>
      </c>
      <c r="B110" t="inlineStr">
        <is>
          <t>Functioning</t>
        </is>
      </c>
      <c r="C110" t="n">
        <v>15</v>
      </c>
    </row>
    <row r="112">
      <c r="A112" s="169" t="inlineStr">
        <is>
          <t>Fixed bands per input (informational; the Metrics formulas carry the same tests)</t>
        </is>
      </c>
    </row>
    <row r="113">
      <c r="A113" s="171" t="inlineStr">
        <is>
          <t>Method</t>
        </is>
      </c>
      <c r="B113" s="171" t="inlineStr">
        <is>
          <t>Input</t>
        </is>
      </c>
      <c r="C113" s="171" t="inlineStr">
        <is>
          <t>Rating</t>
        </is>
      </c>
      <c r="D113" s="171" t="inlineStr">
        <is>
          <t>Min</t>
        </is>
      </c>
      <c r="E113" s="171" t="inlineStr">
        <is>
          <t>Min inclusive</t>
        </is>
      </c>
      <c r="F113" s="171" t="inlineStr">
        <is>
          <t>Max</t>
        </is>
      </c>
      <c r="G113" s="171" t="inlineStr">
        <is>
          <t>Max inclusive</t>
        </is>
      </c>
      <c r="H113" s="171" t="inlineStr">
        <is>
          <t>Label</t>
        </is>
      </c>
    </row>
    <row r="114">
      <c r="A114" t="inlineStr">
        <is>
          <t>catchment-land-cover-pressure</t>
        </is>
      </c>
      <c r="B114" t="inlineStr">
        <is>
          <t>impervious</t>
        </is>
      </c>
      <c r="C114" t="inlineStr">
        <is>
          <t>Good</t>
        </is>
      </c>
      <c r="E114" t="inlineStr">
        <is>
          <t>FALSE</t>
        </is>
      </c>
      <c r="F114" t="n">
        <v>10</v>
      </c>
      <c r="G114" t="inlineStr">
        <is>
          <t>FALSE</t>
        </is>
      </c>
      <c r="H114" t="inlineStr">
        <is>
          <t>&lt;10%</t>
        </is>
      </c>
    </row>
    <row r="115">
      <c r="A115" t="inlineStr">
        <is>
          <t>catchment-land-cover-pressure</t>
        </is>
      </c>
      <c r="B115" t="inlineStr">
        <is>
          <t>impervious</t>
        </is>
      </c>
      <c r="C115" t="inlineStr">
        <is>
          <t>Fair</t>
        </is>
      </c>
      <c r="D115" t="n">
        <v>10</v>
      </c>
      <c r="E115" t="inlineStr">
        <is>
          <t>TRUE</t>
        </is>
      </c>
      <c r="F115" t="n">
        <v>25</v>
      </c>
      <c r="G115" t="inlineStr">
        <is>
          <t>TRUE</t>
        </is>
      </c>
      <c r="H115" t="inlineStr">
        <is>
          <t>10-25%</t>
        </is>
      </c>
    </row>
    <row r="116">
      <c r="A116" t="inlineStr">
        <is>
          <t>catchment-land-cover-pressure</t>
        </is>
      </c>
      <c r="B116" t="inlineStr">
        <is>
          <t>impervious</t>
        </is>
      </c>
      <c r="C116" t="inlineStr">
        <is>
          <t>Poor</t>
        </is>
      </c>
      <c r="D116" t="n">
        <v>25</v>
      </c>
      <c r="E116" t="inlineStr">
        <is>
          <t>FALSE</t>
        </is>
      </c>
      <c r="G116" t="inlineStr">
        <is>
          <t>FALSE</t>
        </is>
      </c>
      <c r="H116" t="inlineStr">
        <is>
          <t>&gt;25%</t>
        </is>
      </c>
    </row>
    <row r="117">
      <c r="A117" t="inlineStr">
        <is>
          <t>catchment-land-cover-pressure</t>
        </is>
      </c>
      <c r="B117" t="inlineStr">
        <is>
          <t>agriculture</t>
        </is>
      </c>
      <c r="C117" t="inlineStr">
        <is>
          <t>Good</t>
        </is>
      </c>
      <c r="E117" t="inlineStr">
        <is>
          <t>FALSE</t>
        </is>
      </c>
      <c r="F117" t="n">
        <v>30</v>
      </c>
      <c r="G117" t="inlineStr">
        <is>
          <t>FALSE</t>
        </is>
      </c>
      <c r="H117" t="inlineStr">
        <is>
          <t>&lt;30%</t>
        </is>
      </c>
    </row>
    <row r="118">
      <c r="A118" t="inlineStr">
        <is>
          <t>catchment-land-cover-pressure</t>
        </is>
      </c>
      <c r="B118" t="inlineStr">
        <is>
          <t>agriculture</t>
        </is>
      </c>
      <c r="C118" t="inlineStr">
        <is>
          <t>Fair</t>
        </is>
      </c>
      <c r="D118" t="n">
        <v>30</v>
      </c>
      <c r="E118" t="inlineStr">
        <is>
          <t>TRUE</t>
        </is>
      </c>
      <c r="F118" t="n">
        <v>50</v>
      </c>
      <c r="G118" t="inlineStr">
        <is>
          <t>TRUE</t>
        </is>
      </c>
      <c r="H118" t="inlineStr">
        <is>
          <t>30-50%</t>
        </is>
      </c>
    </row>
    <row r="119">
      <c r="A119" t="inlineStr">
        <is>
          <t>catchment-land-cover-pressure</t>
        </is>
      </c>
      <c r="B119" t="inlineStr">
        <is>
          <t>agriculture</t>
        </is>
      </c>
      <c r="C119" t="inlineStr">
        <is>
          <t>Poor</t>
        </is>
      </c>
      <c r="D119" t="n">
        <v>50</v>
      </c>
      <c r="E119" t="inlineStr">
        <is>
          <t>FALSE</t>
        </is>
      </c>
      <c r="G119" t="inlineStr">
        <is>
          <t>FALSE</t>
        </is>
      </c>
      <c r="H119" t="inlineStr">
        <is>
          <t>&gt;50%</t>
        </is>
      </c>
    </row>
    <row r="120">
      <c r="A120" t="inlineStr">
        <is>
          <t>watershed-wetland-extent</t>
        </is>
      </c>
      <c r="B120" t="inlineStr">
        <is>
          <t>(combined)</t>
        </is>
      </c>
      <c r="C120" t="inlineStr">
        <is>
          <t>Poor</t>
        </is>
      </c>
      <c r="E120" t="inlineStr">
        <is>
          <t>FALSE</t>
        </is>
      </c>
      <c r="F120" t="n">
        <v>1</v>
      </c>
      <c r="G120" t="inlineStr">
        <is>
          <t>FALSE</t>
        </is>
      </c>
      <c r="H120" t="inlineStr">
        <is>
          <t>&lt;1%</t>
        </is>
      </c>
    </row>
    <row r="121">
      <c r="A121" t="inlineStr">
        <is>
          <t>watershed-wetland-extent</t>
        </is>
      </c>
      <c r="B121" t="inlineStr">
        <is>
          <t>(combined)</t>
        </is>
      </c>
      <c r="C121" t="inlineStr">
        <is>
          <t>Fair</t>
        </is>
      </c>
      <c r="D121" t="n">
        <v>1</v>
      </c>
      <c r="E121" t="inlineStr">
        <is>
          <t>TRUE</t>
        </is>
      </c>
      <c r="F121" t="n">
        <v>5</v>
      </c>
      <c r="G121" t="inlineStr">
        <is>
          <t>TRUE</t>
        </is>
      </c>
      <c r="H121" t="inlineStr">
        <is>
          <t>1-5%</t>
        </is>
      </c>
    </row>
    <row r="122">
      <c r="A122" t="inlineStr">
        <is>
          <t>watershed-wetland-extent</t>
        </is>
      </c>
      <c r="B122" t="inlineStr">
        <is>
          <t>(combined)</t>
        </is>
      </c>
      <c r="C122" t="inlineStr">
        <is>
          <t>Good</t>
        </is>
      </c>
      <c r="D122" t="n">
        <v>5</v>
      </c>
      <c r="E122" t="inlineStr">
        <is>
          <t>FALSE</t>
        </is>
      </c>
      <c r="G122" t="inlineStr">
        <is>
          <t>FALSE</t>
        </is>
      </c>
      <c r="H122" t="inlineStr">
        <is>
          <t>&gt;5%</t>
        </is>
      </c>
    </row>
    <row r="123">
      <c r="A123" t="inlineStr">
        <is>
          <t>road-density-inflow-pressure</t>
        </is>
      </c>
      <c r="B123" t="inlineStr">
        <is>
          <t>(combined)</t>
        </is>
      </c>
      <c r="C123" t="inlineStr">
        <is>
          <t>Good</t>
        </is>
      </c>
      <c r="E123" t="inlineStr">
        <is>
          <t>FALSE</t>
        </is>
      </c>
      <c r="F123" t="n">
        <v>1</v>
      </c>
      <c r="G123" t="inlineStr">
        <is>
          <t>FALSE</t>
        </is>
      </c>
      <c r="H123" t="inlineStr">
        <is>
          <t>&lt;1 km/km²</t>
        </is>
      </c>
    </row>
    <row r="124">
      <c r="A124" t="inlineStr">
        <is>
          <t>road-density-inflow-pressure</t>
        </is>
      </c>
      <c r="B124" t="inlineStr">
        <is>
          <t>(combined)</t>
        </is>
      </c>
      <c r="C124" t="inlineStr">
        <is>
          <t>Fair</t>
        </is>
      </c>
      <c r="D124" t="n">
        <v>1</v>
      </c>
      <c r="E124" t="inlineStr">
        <is>
          <t>TRUE</t>
        </is>
      </c>
      <c r="F124" t="n">
        <v>3</v>
      </c>
      <c r="G124" t="inlineStr">
        <is>
          <t>FALSE</t>
        </is>
      </c>
      <c r="H124" t="inlineStr">
        <is>
          <t>1-&lt;3 km/km²</t>
        </is>
      </c>
    </row>
    <row r="125">
      <c r="A125" t="inlineStr">
        <is>
          <t>road-density-inflow-pressure</t>
        </is>
      </c>
      <c r="B125" t="inlineStr">
        <is>
          <t>(combined)</t>
        </is>
      </c>
      <c r="C125" t="inlineStr">
        <is>
          <t>Poor</t>
        </is>
      </c>
      <c r="D125" t="n">
        <v>3</v>
      </c>
      <c r="E125" t="inlineStr">
        <is>
          <t>TRUE</t>
        </is>
      </c>
      <c r="G125" t="inlineStr">
        <is>
          <t>FALSE</t>
        </is>
      </c>
      <c r="H125" t="inlineStr">
        <is>
          <t>≥3 km/km²</t>
        </is>
      </c>
    </row>
    <row r="126">
      <c r="A126" t="inlineStr">
        <is>
          <t>degree-of-regulation</t>
        </is>
      </c>
      <c r="B126" t="inlineStr">
        <is>
          <t>(combined)</t>
        </is>
      </c>
      <c r="C126" t="inlineStr">
        <is>
          <t>Good</t>
        </is>
      </c>
      <c r="E126" t="inlineStr">
        <is>
          <t>FALSE</t>
        </is>
      </c>
      <c r="F126" t="n">
        <v>2</v>
      </c>
      <c r="G126" t="inlineStr">
        <is>
          <t>FALSE</t>
        </is>
      </c>
      <c r="H126" t="inlineStr">
        <is>
          <t>&lt;2%</t>
        </is>
      </c>
    </row>
    <row r="127">
      <c r="A127" t="inlineStr">
        <is>
          <t>degree-of-regulation</t>
        </is>
      </c>
      <c r="B127" t="inlineStr">
        <is>
          <t>(combined)</t>
        </is>
      </c>
      <c r="C127" t="inlineStr">
        <is>
          <t>Fair</t>
        </is>
      </c>
      <c r="D127" t="n">
        <v>2</v>
      </c>
      <c r="E127" t="inlineStr">
        <is>
          <t>TRUE</t>
        </is>
      </c>
      <c r="F127" t="n">
        <v>15</v>
      </c>
      <c r="G127" t="inlineStr">
        <is>
          <t>TRUE</t>
        </is>
      </c>
      <c r="H127" t="inlineStr">
        <is>
          <t>2-15%</t>
        </is>
      </c>
    </row>
    <row r="128">
      <c r="A128" t="inlineStr">
        <is>
          <t>degree-of-regulation</t>
        </is>
      </c>
      <c r="B128" t="inlineStr">
        <is>
          <t>(combined)</t>
        </is>
      </c>
      <c r="C128" t="inlineStr">
        <is>
          <t>Poor</t>
        </is>
      </c>
      <c r="D128" t="n">
        <v>15</v>
      </c>
      <c r="E128" t="inlineStr">
        <is>
          <t>FALSE</t>
        </is>
      </c>
      <c r="G128" t="inlineStr">
        <is>
          <t>FALSE</t>
        </is>
      </c>
      <c r="H128" t="inlineStr">
        <is>
          <t>&gt;15%</t>
        </is>
      </c>
    </row>
    <row r="129">
      <c r="A129" t="inlineStr">
        <is>
          <t>bank-height-ratio</t>
        </is>
      </c>
      <c r="B129" t="inlineStr">
        <is>
          <t>(combined)</t>
        </is>
      </c>
      <c r="C129" t="inlineStr">
        <is>
          <t>Good</t>
        </is>
      </c>
      <c r="E129" t="inlineStr">
        <is>
          <t>FALSE</t>
        </is>
      </c>
      <c r="F129" t="n">
        <v>1.3</v>
      </c>
      <c r="G129" t="inlineStr">
        <is>
          <t>TRUE</t>
        </is>
      </c>
      <c r="H129" t="inlineStr">
        <is>
          <t>≤1.3</t>
        </is>
      </c>
    </row>
    <row r="130">
      <c r="A130" t="inlineStr">
        <is>
          <t>bank-height-ratio</t>
        </is>
      </c>
      <c r="B130" t="inlineStr">
        <is>
          <t>(combined)</t>
        </is>
      </c>
      <c r="C130" t="inlineStr">
        <is>
          <t>Fair</t>
        </is>
      </c>
      <c r="D130" t="n">
        <v>1.3</v>
      </c>
      <c r="E130" t="inlineStr">
        <is>
          <t>FALSE</t>
        </is>
      </c>
      <c r="F130" t="n">
        <v>1.5</v>
      </c>
      <c r="G130" t="inlineStr">
        <is>
          <t>TRUE</t>
        </is>
      </c>
      <c r="H130" t="inlineStr">
        <is>
          <t>&gt;1.3-≤1.5</t>
        </is>
      </c>
    </row>
    <row r="131">
      <c r="A131" t="inlineStr">
        <is>
          <t>bank-height-ratio</t>
        </is>
      </c>
      <c r="B131" t="inlineStr">
        <is>
          <t>(combined)</t>
        </is>
      </c>
      <c r="C131" t="inlineStr">
        <is>
          <t>Poor</t>
        </is>
      </c>
      <c r="D131" t="n">
        <v>1.5</v>
      </c>
      <c r="E131" t="inlineStr">
        <is>
          <t>FALSE</t>
        </is>
      </c>
      <c r="G131" t="inlineStr">
        <is>
          <t>FALSE</t>
        </is>
      </c>
      <c r="H131" t="inlineStr">
        <is>
          <t>&gt;1.5</t>
        </is>
      </c>
    </row>
    <row r="132">
      <c r="A132" t="inlineStr">
        <is>
          <t>hyporheic-exchange-potential</t>
        </is>
      </c>
      <c r="B132" t="inlineStr">
        <is>
          <t>slope</t>
        </is>
      </c>
      <c r="C132" t="inlineStr">
        <is>
          <t>Poor</t>
        </is>
      </c>
      <c r="E132" t="inlineStr">
        <is>
          <t>FALSE</t>
        </is>
      </c>
      <c r="F132" t="n">
        <v>0.003</v>
      </c>
      <c r="G132" t="inlineStr">
        <is>
          <t>FALSE</t>
        </is>
      </c>
      <c r="H132" t="inlineStr">
        <is>
          <t>&lt;0.003 m/m</t>
        </is>
      </c>
    </row>
    <row r="133">
      <c r="A133" t="inlineStr">
        <is>
          <t>hyporheic-exchange-potential</t>
        </is>
      </c>
      <c r="B133" t="inlineStr">
        <is>
          <t>slope</t>
        </is>
      </c>
      <c r="C133" t="inlineStr">
        <is>
          <t>Fair</t>
        </is>
      </c>
      <c r="D133" t="n">
        <v>0.003</v>
      </c>
      <c r="E133" t="inlineStr">
        <is>
          <t>TRUE</t>
        </is>
      </c>
      <c r="F133" t="n">
        <v>0.006</v>
      </c>
      <c r="G133" t="inlineStr">
        <is>
          <t>FALSE</t>
        </is>
      </c>
      <c r="H133" t="inlineStr">
        <is>
          <t>0.003-&lt;0.006 m/m</t>
        </is>
      </c>
    </row>
    <row r="134">
      <c r="A134" t="inlineStr">
        <is>
          <t>hyporheic-exchange-potential</t>
        </is>
      </c>
      <c r="B134" t="inlineStr">
        <is>
          <t>slope</t>
        </is>
      </c>
      <c r="C134" t="inlineStr">
        <is>
          <t>Good</t>
        </is>
      </c>
      <c r="D134" t="n">
        <v>0.006</v>
      </c>
      <c r="E134" t="inlineStr">
        <is>
          <t>TRUE</t>
        </is>
      </c>
      <c r="G134" t="inlineStr">
        <is>
          <t>FALSE</t>
        </is>
      </c>
      <c r="H134" t="inlineStr">
        <is>
          <t>≥0.006 m/m</t>
        </is>
      </c>
    </row>
    <row r="135">
      <c r="A135" t="inlineStr">
        <is>
          <t>hyporheic-exchange-potential</t>
        </is>
      </c>
      <c r="B135" t="inlineStr">
        <is>
          <t>sinuosity</t>
        </is>
      </c>
      <c r="C135" t="inlineStr">
        <is>
          <t>Poor</t>
        </is>
      </c>
      <c r="E135" t="inlineStr">
        <is>
          <t>FALSE</t>
        </is>
      </c>
      <c r="F135" t="n">
        <v>1.05</v>
      </c>
      <c r="G135" t="inlineStr">
        <is>
          <t>FALSE</t>
        </is>
      </c>
      <c r="H135" t="inlineStr">
        <is>
          <t>&lt;1.05</t>
        </is>
      </c>
    </row>
    <row r="136">
      <c r="A136" t="inlineStr">
        <is>
          <t>hyporheic-exchange-potential</t>
        </is>
      </c>
      <c r="B136" t="inlineStr">
        <is>
          <t>sinuosity</t>
        </is>
      </c>
      <c r="C136" t="inlineStr">
        <is>
          <t>Fair</t>
        </is>
      </c>
      <c r="D136" t="n">
        <v>1.05</v>
      </c>
      <c r="E136" t="inlineStr">
        <is>
          <t>TRUE</t>
        </is>
      </c>
      <c r="F136" t="n">
        <v>1.2</v>
      </c>
      <c r="G136" t="inlineStr">
        <is>
          <t>FALSE</t>
        </is>
      </c>
      <c r="H136" t="inlineStr">
        <is>
          <t>1.05-&lt;1.2</t>
        </is>
      </c>
    </row>
    <row r="137">
      <c r="A137" t="inlineStr">
        <is>
          <t>hyporheic-exchange-potential</t>
        </is>
      </c>
      <c r="B137" t="inlineStr">
        <is>
          <t>sinuosity</t>
        </is>
      </c>
      <c r="C137" t="inlineStr">
        <is>
          <t>Good</t>
        </is>
      </c>
      <c r="D137" t="n">
        <v>1.2</v>
      </c>
      <c r="E137" t="inlineStr">
        <is>
          <t>TRUE</t>
        </is>
      </c>
      <c r="G137" t="inlineStr">
        <is>
          <t>FALSE</t>
        </is>
      </c>
      <c r="H137" t="inlineStr">
        <is>
          <t>≥1.2</t>
        </is>
      </c>
    </row>
    <row r="138">
      <c r="A138" t="inlineStr">
        <is>
          <t>channel-adjustment-susceptibility</t>
        </is>
      </c>
      <c r="B138" t="inlineStr">
        <is>
          <t>bhr</t>
        </is>
      </c>
      <c r="C138" t="inlineStr">
        <is>
          <t>Good</t>
        </is>
      </c>
      <c r="E138" t="inlineStr">
        <is>
          <t>FALSE</t>
        </is>
      </c>
      <c r="F138" t="n">
        <v>1.3</v>
      </c>
      <c r="G138" t="inlineStr">
        <is>
          <t>TRUE</t>
        </is>
      </c>
      <c r="H138" t="inlineStr">
        <is>
          <t>≤1.3</t>
        </is>
      </c>
    </row>
    <row r="139">
      <c r="A139" t="inlineStr">
        <is>
          <t>channel-adjustment-susceptibility</t>
        </is>
      </c>
      <c r="B139" t="inlineStr">
        <is>
          <t>bhr</t>
        </is>
      </c>
      <c r="C139" t="inlineStr">
        <is>
          <t>Fair</t>
        </is>
      </c>
      <c r="D139" t="n">
        <v>1.3</v>
      </c>
      <c r="E139" t="inlineStr">
        <is>
          <t>FALSE</t>
        </is>
      </c>
      <c r="F139" t="n">
        <v>1.5</v>
      </c>
      <c r="G139" t="inlineStr">
        <is>
          <t>TRUE</t>
        </is>
      </c>
      <c r="H139" t="inlineStr">
        <is>
          <t>&gt;1.3-≤1.5</t>
        </is>
      </c>
    </row>
    <row r="140">
      <c r="A140" t="inlineStr">
        <is>
          <t>channel-adjustment-susceptibility</t>
        </is>
      </c>
      <c r="B140" t="inlineStr">
        <is>
          <t>bhr</t>
        </is>
      </c>
      <c r="C140" t="inlineStr">
        <is>
          <t>Poor</t>
        </is>
      </c>
      <c r="D140" t="n">
        <v>1.5</v>
      </c>
      <c r="E140" t="inlineStr">
        <is>
          <t>FALSE</t>
        </is>
      </c>
      <c r="G140" t="inlineStr">
        <is>
          <t>FALSE</t>
        </is>
      </c>
      <c r="H140" t="inlineStr">
        <is>
          <t>&gt;1.5</t>
        </is>
      </c>
    </row>
    <row r="141">
      <c r="A141" t="inlineStr">
        <is>
          <t>bhr-bank-instability-susceptibility</t>
        </is>
      </c>
      <c r="B141" t="inlineStr">
        <is>
          <t>(combined)</t>
        </is>
      </c>
      <c r="C141" t="inlineStr">
        <is>
          <t>Good</t>
        </is>
      </c>
      <c r="E141" t="inlineStr">
        <is>
          <t>FALSE</t>
        </is>
      </c>
      <c r="F141" t="n">
        <v>1.3</v>
      </c>
      <c r="G141" t="inlineStr">
        <is>
          <t>TRUE</t>
        </is>
      </c>
      <c r="H141" t="inlineStr">
        <is>
          <t>≤1.3</t>
        </is>
      </c>
    </row>
    <row r="142">
      <c r="A142" t="inlineStr">
        <is>
          <t>bhr-bank-instability-susceptibility</t>
        </is>
      </c>
      <c r="B142" t="inlineStr">
        <is>
          <t>(combined)</t>
        </is>
      </c>
      <c r="C142" t="inlineStr">
        <is>
          <t>Fair</t>
        </is>
      </c>
      <c r="D142" t="n">
        <v>1.3</v>
      </c>
      <c r="E142" t="inlineStr">
        <is>
          <t>FALSE</t>
        </is>
      </c>
      <c r="F142" t="n">
        <v>1.5</v>
      </c>
      <c r="G142" t="inlineStr">
        <is>
          <t>TRUE</t>
        </is>
      </c>
      <c r="H142" t="inlineStr">
        <is>
          <t>&gt;1.3-≤1.5</t>
        </is>
      </c>
    </row>
    <row r="143">
      <c r="A143" t="inlineStr">
        <is>
          <t>bhr-bank-instability-susceptibility</t>
        </is>
      </c>
      <c r="B143" t="inlineStr">
        <is>
          <t>(combined)</t>
        </is>
      </c>
      <c r="C143" t="inlineStr">
        <is>
          <t>Poor</t>
        </is>
      </c>
      <c r="D143" t="n">
        <v>1.5</v>
      </c>
      <c r="E143" t="inlineStr">
        <is>
          <t>FALSE</t>
        </is>
      </c>
      <c r="G143" t="inlineStr">
        <is>
          <t>FALSE</t>
        </is>
      </c>
      <c r="H143" t="inlineStr">
        <is>
          <t>&gt;1.5</t>
        </is>
      </c>
    </row>
    <row r="144">
      <c r="A144" t="inlineStr">
        <is>
          <t>observed-bank-condition</t>
        </is>
      </c>
      <c r="B144" t="inlineStr">
        <is>
          <t>erodingBankPct</t>
        </is>
      </c>
      <c r="C144" t="inlineStr">
        <is>
          <t>Good</t>
        </is>
      </c>
      <c r="E144" t="inlineStr">
        <is>
          <t>FALSE</t>
        </is>
      </c>
      <c r="F144" t="n">
        <v>5</v>
      </c>
      <c r="G144" t="inlineStr">
        <is>
          <t>FALSE</t>
        </is>
      </c>
      <c r="H144" t="inlineStr">
        <is>
          <t>&lt;5%</t>
        </is>
      </c>
    </row>
    <row r="145">
      <c r="A145" t="inlineStr">
        <is>
          <t>observed-bank-condition</t>
        </is>
      </c>
      <c r="B145" t="inlineStr">
        <is>
          <t>erodingBankPct</t>
        </is>
      </c>
      <c r="C145" t="inlineStr">
        <is>
          <t>Fair</t>
        </is>
      </c>
      <c r="D145" t="n">
        <v>5</v>
      </c>
      <c r="E145" t="inlineStr">
        <is>
          <t>TRUE</t>
        </is>
      </c>
      <c r="F145" t="n">
        <v>60</v>
      </c>
      <c r="G145" t="inlineStr">
        <is>
          <t>FALSE</t>
        </is>
      </c>
      <c r="H145" t="inlineStr">
        <is>
          <t>5-&lt;60%</t>
        </is>
      </c>
    </row>
    <row r="146">
      <c r="A146" t="inlineStr">
        <is>
          <t>observed-bank-condition</t>
        </is>
      </c>
      <c r="B146" t="inlineStr">
        <is>
          <t>erodingBankPct</t>
        </is>
      </c>
      <c r="C146" t="inlineStr">
        <is>
          <t>Poor</t>
        </is>
      </c>
      <c r="D146" t="n">
        <v>60</v>
      </c>
      <c r="E146" t="inlineStr">
        <is>
          <t>TRUE</t>
        </is>
      </c>
      <c r="G146" t="inlineStr">
        <is>
          <t>FALSE</t>
        </is>
      </c>
      <c r="H146" t="inlineStr">
        <is>
          <t>≥60%</t>
        </is>
      </c>
    </row>
    <row r="147">
      <c r="A147" t="inlineStr">
        <is>
          <t>observed-bank-condition</t>
        </is>
      </c>
      <c r="B147" t="inlineStr">
        <is>
          <t>armoredBankPct</t>
        </is>
      </c>
      <c r="C147" t="inlineStr">
        <is>
          <t>Good</t>
        </is>
      </c>
      <c r="E147" t="inlineStr">
        <is>
          <t>FALSE</t>
        </is>
      </c>
      <c r="F147" t="n">
        <v>0</v>
      </c>
      <c r="G147" t="inlineStr">
        <is>
          <t>TRUE</t>
        </is>
      </c>
      <c r="H147" t="inlineStr">
        <is>
          <t>0%</t>
        </is>
      </c>
    </row>
    <row r="148">
      <c r="A148" t="inlineStr">
        <is>
          <t>observed-bank-condition</t>
        </is>
      </c>
      <c r="B148" t="inlineStr">
        <is>
          <t>armoredBankPct</t>
        </is>
      </c>
      <c r="C148" t="inlineStr">
        <is>
          <t>Fair</t>
        </is>
      </c>
      <c r="D148" t="n">
        <v>0</v>
      </c>
      <c r="E148" t="inlineStr">
        <is>
          <t>FALSE</t>
        </is>
      </c>
      <c r="F148" t="n">
        <v>50</v>
      </c>
      <c r="G148" t="inlineStr">
        <is>
          <t>FALSE</t>
        </is>
      </c>
      <c r="H148" t="inlineStr">
        <is>
          <t>&gt;0-&lt;50%</t>
        </is>
      </c>
    </row>
    <row r="149">
      <c r="A149" t="inlineStr">
        <is>
          <t>observed-bank-condition</t>
        </is>
      </c>
      <c r="B149" t="inlineStr">
        <is>
          <t>armoredBankPct</t>
        </is>
      </c>
      <c r="C149" t="inlineStr">
        <is>
          <t>Poor</t>
        </is>
      </c>
      <c r="D149" t="n">
        <v>50</v>
      </c>
      <c r="E149" t="inlineStr">
        <is>
          <t>TRUE</t>
        </is>
      </c>
      <c r="G149" t="inlineStr">
        <is>
          <t>FALSE</t>
        </is>
      </c>
      <c r="H149" t="inlineStr">
        <is>
          <t>≥50%</t>
        </is>
      </c>
    </row>
    <row r="150">
      <c r="A150" t="inlineStr">
        <is>
          <t>sediment-supply-potential</t>
        </is>
      </c>
      <c r="B150" t="inlineStr">
        <is>
          <t>agriculture</t>
        </is>
      </c>
      <c r="C150" t="inlineStr">
        <is>
          <t>Good</t>
        </is>
      </c>
      <c r="E150" t="inlineStr">
        <is>
          <t>FALSE</t>
        </is>
      </c>
      <c r="F150" t="n">
        <v>30</v>
      </c>
      <c r="G150" t="inlineStr">
        <is>
          <t>FALSE</t>
        </is>
      </c>
      <c r="H150" t="inlineStr">
        <is>
          <t>&lt;30%</t>
        </is>
      </c>
    </row>
    <row r="151">
      <c r="A151" t="inlineStr">
        <is>
          <t>sediment-supply-potential</t>
        </is>
      </c>
      <c r="B151" t="inlineStr">
        <is>
          <t>agriculture</t>
        </is>
      </c>
      <c r="C151" t="inlineStr">
        <is>
          <t>Fair</t>
        </is>
      </c>
      <c r="D151" t="n">
        <v>30</v>
      </c>
      <c r="E151" t="inlineStr">
        <is>
          <t>TRUE</t>
        </is>
      </c>
      <c r="F151" t="n">
        <v>50</v>
      </c>
      <c r="G151" t="inlineStr">
        <is>
          <t>TRUE</t>
        </is>
      </c>
      <c r="H151" t="inlineStr">
        <is>
          <t>30-50%</t>
        </is>
      </c>
    </row>
    <row r="152">
      <c r="A152" t="inlineStr">
        <is>
          <t>sediment-supply-potential</t>
        </is>
      </c>
      <c r="B152" t="inlineStr">
        <is>
          <t>agriculture</t>
        </is>
      </c>
      <c r="C152" t="inlineStr">
        <is>
          <t>Poor</t>
        </is>
      </c>
      <c r="D152" t="n">
        <v>50</v>
      </c>
      <c r="E152" t="inlineStr">
        <is>
          <t>FALSE</t>
        </is>
      </c>
      <c r="G152" t="inlineStr">
        <is>
          <t>FALSE</t>
        </is>
      </c>
      <c r="H152" t="inlineStr">
        <is>
          <t>&gt;50%</t>
        </is>
      </c>
    </row>
    <row r="153">
      <c r="A153" t="inlineStr">
        <is>
          <t>sediment-supply-potential</t>
        </is>
      </c>
      <c r="B153" t="inlineStr">
        <is>
          <t>kFactor</t>
        </is>
      </c>
      <c r="C153" t="inlineStr">
        <is>
          <t>Good</t>
        </is>
      </c>
      <c r="E153" t="inlineStr">
        <is>
          <t>FALSE</t>
        </is>
      </c>
      <c r="F153" t="n">
        <v>0.25</v>
      </c>
      <c r="G153" t="inlineStr">
        <is>
          <t>FALSE</t>
        </is>
      </c>
      <c r="H153" t="inlineStr">
        <is>
          <t>&lt;0.25</t>
        </is>
      </c>
    </row>
    <row r="154">
      <c r="A154" t="inlineStr">
        <is>
          <t>sediment-supply-potential</t>
        </is>
      </c>
      <c r="B154" t="inlineStr">
        <is>
          <t>kFactor</t>
        </is>
      </c>
      <c r="C154" t="inlineStr">
        <is>
          <t>Fair</t>
        </is>
      </c>
      <c r="D154" t="n">
        <v>0.25</v>
      </c>
      <c r="E154" t="inlineStr">
        <is>
          <t>TRUE</t>
        </is>
      </c>
      <c r="F154" t="n">
        <v>0.4</v>
      </c>
      <c r="G154" t="inlineStr">
        <is>
          <t>TRUE</t>
        </is>
      </c>
      <c r="H154" t="inlineStr">
        <is>
          <t>0.25-0.40</t>
        </is>
      </c>
    </row>
    <row r="155">
      <c r="A155" t="inlineStr">
        <is>
          <t>sediment-supply-potential</t>
        </is>
      </c>
      <c r="B155" t="inlineStr">
        <is>
          <t>kFactor</t>
        </is>
      </c>
      <c r="C155" t="inlineStr">
        <is>
          <t>Poor</t>
        </is>
      </c>
      <c r="D155" t="n">
        <v>0.4</v>
      </c>
      <c r="E155" t="inlineStr">
        <is>
          <t>FALSE</t>
        </is>
      </c>
      <c r="G155" t="inlineStr">
        <is>
          <t>FALSE</t>
        </is>
      </c>
      <c r="H155" t="inlineStr">
        <is>
          <t>&gt;0.40</t>
        </is>
      </c>
    </row>
    <row r="156">
      <c r="A156" t="inlineStr">
        <is>
          <t>sediment-supply-potential</t>
        </is>
      </c>
      <c r="B156" t="inlineStr">
        <is>
          <t>roadDensity</t>
        </is>
      </c>
      <c r="C156" t="inlineStr">
        <is>
          <t>Good</t>
        </is>
      </c>
      <c r="E156" t="inlineStr">
        <is>
          <t>FALSE</t>
        </is>
      </c>
      <c r="F156" t="n">
        <v>1.24</v>
      </c>
      <c r="G156" t="inlineStr">
        <is>
          <t>FALSE</t>
        </is>
      </c>
      <c r="H156" t="inlineStr">
        <is>
          <t>&lt;1.24 km/km²</t>
        </is>
      </c>
    </row>
    <row r="157">
      <c r="A157" t="inlineStr">
        <is>
          <t>sediment-supply-potential</t>
        </is>
      </c>
      <c r="B157" t="inlineStr">
        <is>
          <t>roadDensity</t>
        </is>
      </c>
      <c r="C157" t="inlineStr">
        <is>
          <t>Fair</t>
        </is>
      </c>
      <c r="D157" t="n">
        <v>1.24</v>
      </c>
      <c r="E157" t="inlineStr">
        <is>
          <t>TRUE</t>
        </is>
      </c>
      <c r="F157" t="n">
        <v>1.86</v>
      </c>
      <c r="G157" t="inlineStr">
        <is>
          <t>FALSE</t>
        </is>
      </c>
      <c r="H157" t="inlineStr">
        <is>
          <t>1.24-&lt;1.86 km/km²</t>
        </is>
      </c>
    </row>
    <row r="158">
      <c r="A158" t="inlineStr">
        <is>
          <t>sediment-supply-potential</t>
        </is>
      </c>
      <c r="B158" t="inlineStr">
        <is>
          <t>roadDensity</t>
        </is>
      </c>
      <c r="C158" t="inlineStr">
        <is>
          <t>Poor</t>
        </is>
      </c>
      <c r="D158" t="n">
        <v>1.86</v>
      </c>
      <c r="E158" t="inlineStr">
        <is>
          <t>TRUE</t>
        </is>
      </c>
      <c r="G158" t="inlineStr">
        <is>
          <t>FALSE</t>
        </is>
      </c>
      <c r="H158" t="inlineStr">
        <is>
          <t>≥1.86 km/km²</t>
        </is>
      </c>
    </row>
    <row r="159">
      <c r="A159" t="inlineStr">
        <is>
          <t>watershed-agriculture-share</t>
        </is>
      </c>
      <c r="B159" t="inlineStr">
        <is>
          <t>(combined)</t>
        </is>
      </c>
      <c r="C159" t="inlineStr">
        <is>
          <t>Good</t>
        </is>
      </c>
      <c r="E159" t="inlineStr">
        <is>
          <t>FALSE</t>
        </is>
      </c>
      <c r="F159" t="n">
        <v>30</v>
      </c>
      <c r="G159" t="inlineStr">
        <is>
          <t>FALSE</t>
        </is>
      </c>
      <c r="H159" t="inlineStr">
        <is>
          <t>&lt;30%</t>
        </is>
      </c>
    </row>
    <row r="160">
      <c r="A160" t="inlineStr">
        <is>
          <t>watershed-agriculture-share</t>
        </is>
      </c>
      <c r="B160" t="inlineStr">
        <is>
          <t>(combined)</t>
        </is>
      </c>
      <c r="C160" t="inlineStr">
        <is>
          <t>Fair</t>
        </is>
      </c>
      <c r="D160" t="n">
        <v>30</v>
      </c>
      <c r="E160" t="inlineStr">
        <is>
          <t>TRUE</t>
        </is>
      </c>
      <c r="F160" t="n">
        <v>50</v>
      </c>
      <c r="G160" t="inlineStr">
        <is>
          <t>TRUE</t>
        </is>
      </c>
      <c r="H160" t="inlineStr">
        <is>
          <t>30-50%</t>
        </is>
      </c>
    </row>
    <row r="161">
      <c r="A161" t="inlineStr">
        <is>
          <t>watershed-agriculture-share</t>
        </is>
      </c>
      <c r="B161" t="inlineStr">
        <is>
          <t>(combined)</t>
        </is>
      </c>
      <c r="C161" t="inlineStr">
        <is>
          <t>Poor</t>
        </is>
      </c>
      <c r="D161" t="n">
        <v>50</v>
      </c>
      <c r="E161" t="inlineStr">
        <is>
          <t>FALSE</t>
        </is>
      </c>
      <c r="G161" t="inlineStr">
        <is>
          <t>FALSE</t>
        </is>
      </c>
      <c r="H161" t="inlineStr">
        <is>
          <t>&gt;50%</t>
        </is>
      </c>
    </row>
    <row r="162">
      <c r="A162" t="inlineStr">
        <is>
          <t>thermal-regulation-vulnerability</t>
        </is>
      </c>
      <c r="B162" t="inlineStr">
        <is>
          <t>impervious</t>
        </is>
      </c>
      <c r="C162" t="inlineStr">
        <is>
          <t>Good</t>
        </is>
      </c>
      <c r="E162" t="inlineStr">
        <is>
          <t>FALSE</t>
        </is>
      </c>
      <c r="F162" t="n">
        <v>10</v>
      </c>
      <c r="G162" t="inlineStr">
        <is>
          <t>FALSE</t>
        </is>
      </c>
      <c r="H162" t="inlineStr">
        <is>
          <t>&lt;10%</t>
        </is>
      </c>
    </row>
    <row r="163">
      <c r="A163" t="inlineStr">
        <is>
          <t>thermal-regulation-vulnerability</t>
        </is>
      </c>
      <c r="B163" t="inlineStr">
        <is>
          <t>impervious</t>
        </is>
      </c>
      <c r="C163" t="inlineStr">
        <is>
          <t>Fair</t>
        </is>
      </c>
      <c r="D163" t="n">
        <v>10</v>
      </c>
      <c r="E163" t="inlineStr">
        <is>
          <t>TRUE</t>
        </is>
      </c>
      <c r="F163" t="n">
        <v>25</v>
      </c>
      <c r="G163" t="inlineStr">
        <is>
          <t>TRUE</t>
        </is>
      </c>
      <c r="H163" t="inlineStr">
        <is>
          <t>10-25%</t>
        </is>
      </c>
    </row>
    <row r="164">
      <c r="A164" t="inlineStr">
        <is>
          <t>thermal-regulation-vulnerability</t>
        </is>
      </c>
      <c r="B164" t="inlineStr">
        <is>
          <t>impervious</t>
        </is>
      </c>
      <c r="C164" t="inlineStr">
        <is>
          <t>Poor</t>
        </is>
      </c>
      <c r="D164" t="n">
        <v>25</v>
      </c>
      <c r="E164" t="inlineStr">
        <is>
          <t>FALSE</t>
        </is>
      </c>
      <c r="G164" t="inlineStr">
        <is>
          <t>FALSE</t>
        </is>
      </c>
      <c r="H164" t="inlineStr">
        <is>
          <t>&gt;25%</t>
        </is>
      </c>
    </row>
    <row r="165">
      <c r="A165" t="inlineStr">
        <is>
          <t>streamcat-chem-integrity-nutrient</t>
        </is>
      </c>
      <c r="B165" t="inlineStr">
        <is>
          <t>(combined)</t>
        </is>
      </c>
      <c r="C165" t="inlineStr">
        <is>
          <t>Poor</t>
        </is>
      </c>
      <c r="E165" t="inlineStr">
        <is>
          <t>FALSE</t>
        </is>
      </c>
      <c r="F165" t="n">
        <v>0.4</v>
      </c>
      <c r="G165" t="inlineStr">
        <is>
          <t>FALSE</t>
        </is>
      </c>
      <c r="H165" t="inlineStr">
        <is>
          <t>&lt;0.40</t>
        </is>
      </c>
    </row>
    <row r="166">
      <c r="A166" t="inlineStr">
        <is>
          <t>streamcat-chem-integrity-nutrient</t>
        </is>
      </c>
      <c r="B166" t="inlineStr">
        <is>
          <t>(combined)</t>
        </is>
      </c>
      <c r="C166" t="inlineStr">
        <is>
          <t>Fair</t>
        </is>
      </c>
      <c r="D166" t="n">
        <v>0.4</v>
      </c>
      <c r="E166" t="inlineStr">
        <is>
          <t>TRUE</t>
        </is>
      </c>
      <c r="F166" t="n">
        <v>0.7</v>
      </c>
      <c r="G166" t="inlineStr">
        <is>
          <t>FALSE</t>
        </is>
      </c>
      <c r="H166" t="inlineStr">
        <is>
          <t>0.40-&lt;0.70</t>
        </is>
      </c>
    </row>
    <row r="167">
      <c r="A167" t="inlineStr">
        <is>
          <t>streamcat-chem-integrity-nutrient</t>
        </is>
      </c>
      <c r="B167" t="inlineStr">
        <is>
          <t>(combined)</t>
        </is>
      </c>
      <c r="C167" t="inlineStr">
        <is>
          <t>Good</t>
        </is>
      </c>
      <c r="D167" t="n">
        <v>0.7</v>
      </c>
      <c r="E167" t="inlineStr">
        <is>
          <t>TRUE</t>
        </is>
      </c>
      <c r="G167" t="inlineStr">
        <is>
          <t>FALSE</t>
        </is>
      </c>
      <c r="H167" t="inlineStr">
        <is>
          <t>≥0.70</t>
        </is>
      </c>
    </row>
    <row r="168">
      <c r="A168" t="inlineStr">
        <is>
          <t>streamcat-chem-integrity-regulatory</t>
        </is>
      </c>
      <c r="B168" t="inlineStr">
        <is>
          <t>(combined)</t>
        </is>
      </c>
      <c r="C168" t="inlineStr">
        <is>
          <t>Poor</t>
        </is>
      </c>
      <c r="E168" t="inlineStr">
        <is>
          <t>FALSE</t>
        </is>
      </c>
      <c r="F168" t="n">
        <v>0.4</v>
      </c>
      <c r="G168" t="inlineStr">
        <is>
          <t>FALSE</t>
        </is>
      </c>
      <c r="H168" t="inlineStr">
        <is>
          <t>&lt;0.40</t>
        </is>
      </c>
    </row>
    <row r="169">
      <c r="A169" t="inlineStr">
        <is>
          <t>streamcat-chem-integrity-regulatory</t>
        </is>
      </c>
      <c r="B169" t="inlineStr">
        <is>
          <t>(combined)</t>
        </is>
      </c>
      <c r="C169" t="inlineStr">
        <is>
          <t>Fair</t>
        </is>
      </c>
      <c r="D169" t="n">
        <v>0.4</v>
      </c>
      <c r="E169" t="inlineStr">
        <is>
          <t>TRUE</t>
        </is>
      </c>
      <c r="F169" t="n">
        <v>0.7</v>
      </c>
      <c r="G169" t="inlineStr">
        <is>
          <t>FALSE</t>
        </is>
      </c>
      <c r="H169" t="inlineStr">
        <is>
          <t>0.40-&lt;0.70</t>
        </is>
      </c>
    </row>
    <row r="170">
      <c r="A170" t="inlineStr">
        <is>
          <t>streamcat-chem-integrity-regulatory</t>
        </is>
      </c>
      <c r="B170" t="inlineStr">
        <is>
          <t>(combined)</t>
        </is>
      </c>
      <c r="C170" t="inlineStr">
        <is>
          <t>Good</t>
        </is>
      </c>
      <c r="D170" t="n">
        <v>0.7</v>
      </c>
      <c r="E170" t="inlineStr">
        <is>
          <t>TRUE</t>
        </is>
      </c>
      <c r="G170" t="inlineStr">
        <is>
          <t>FALSE</t>
        </is>
      </c>
      <c r="H170" t="inlineStr">
        <is>
          <t>≥0.70</t>
        </is>
      </c>
    </row>
    <row r="171">
      <c r="A171" t="inlineStr">
        <is>
          <t>streamcat-prg-bmmi</t>
        </is>
      </c>
      <c r="B171" t="inlineStr">
        <is>
          <t>(combined)</t>
        </is>
      </c>
      <c r="C171" t="inlineStr">
        <is>
          <t>Poor</t>
        </is>
      </c>
      <c r="E171" t="inlineStr">
        <is>
          <t>FALSE</t>
        </is>
      </c>
      <c r="F171" t="n">
        <v>0.25</v>
      </c>
      <c r="G171" t="inlineStr">
        <is>
          <t>FALSE</t>
        </is>
      </c>
      <c r="H171" t="inlineStr">
        <is>
          <t>&lt;0.25</t>
        </is>
      </c>
    </row>
    <row r="172">
      <c r="A172" t="inlineStr">
        <is>
          <t>streamcat-prg-bmmi</t>
        </is>
      </c>
      <c r="B172" t="inlineStr">
        <is>
          <t>(combined)</t>
        </is>
      </c>
      <c r="C172" t="inlineStr">
        <is>
          <t>Fair</t>
        </is>
      </c>
      <c r="D172" t="n">
        <v>0.25</v>
      </c>
      <c r="E172" t="inlineStr">
        <is>
          <t>TRUE</t>
        </is>
      </c>
      <c r="F172" t="n">
        <v>0.5</v>
      </c>
      <c r="G172" t="inlineStr">
        <is>
          <t>FALSE</t>
        </is>
      </c>
      <c r="H172" t="inlineStr">
        <is>
          <t>0.25 to &lt;0.50</t>
        </is>
      </c>
    </row>
    <row r="173">
      <c r="A173" t="inlineStr">
        <is>
          <t>streamcat-prg-bmmi</t>
        </is>
      </c>
      <c r="B173" t="inlineStr">
        <is>
          <t>(combined)</t>
        </is>
      </c>
      <c r="C173" t="inlineStr">
        <is>
          <t>Good</t>
        </is>
      </c>
      <c r="D173" t="n">
        <v>0.5</v>
      </c>
      <c r="E173" t="inlineStr">
        <is>
          <t>TRUE</t>
        </is>
      </c>
      <c r="G173" t="inlineStr">
        <is>
          <t>FALSE</t>
        </is>
      </c>
      <c r="H173" t="inlineStr">
        <is>
          <t>&gt;=0.50</t>
        </is>
      </c>
    </row>
    <row r="174">
      <c r="A174" t="inlineStr">
        <is>
          <t>streamcat-integrity-products</t>
        </is>
      </c>
      <c r="B174" t="inlineStr">
        <is>
          <t>(combined)</t>
        </is>
      </c>
      <c r="C174" t="inlineStr">
        <is>
          <t>Poor</t>
        </is>
      </c>
      <c r="E174" t="inlineStr">
        <is>
          <t>FALSE</t>
        </is>
      </c>
      <c r="F174" t="n">
        <v>0.4</v>
      </c>
      <c r="G174" t="inlineStr">
        <is>
          <t>FALSE</t>
        </is>
      </c>
      <c r="H174" t="inlineStr">
        <is>
          <t>&lt;0.40</t>
        </is>
      </c>
    </row>
    <row r="175">
      <c r="A175" t="inlineStr">
        <is>
          <t>streamcat-integrity-products</t>
        </is>
      </c>
      <c r="B175" t="inlineStr">
        <is>
          <t>(combined)</t>
        </is>
      </c>
      <c r="C175" t="inlineStr">
        <is>
          <t>Fair</t>
        </is>
      </c>
      <c r="D175" t="n">
        <v>0.4</v>
      </c>
      <c r="E175" t="inlineStr">
        <is>
          <t>TRUE</t>
        </is>
      </c>
      <c r="F175" t="n">
        <v>0.7</v>
      </c>
      <c r="G175" t="inlineStr">
        <is>
          <t>FALSE</t>
        </is>
      </c>
      <c r="H175" t="inlineStr">
        <is>
          <t>0.40-&lt;0.70</t>
        </is>
      </c>
    </row>
    <row r="176">
      <c r="A176" t="inlineStr">
        <is>
          <t>streamcat-integrity-products</t>
        </is>
      </c>
      <c r="B176" t="inlineStr">
        <is>
          <t>(combined)</t>
        </is>
      </c>
      <c r="C176" t="inlineStr">
        <is>
          <t>Good</t>
        </is>
      </c>
      <c r="D176" t="n">
        <v>0.7</v>
      </c>
      <c r="E176" t="inlineStr">
        <is>
          <t>TRUE</t>
        </is>
      </c>
      <c r="G176" t="inlineStr">
        <is>
          <t>FALSE</t>
        </is>
      </c>
      <c r="H176" t="inlineStr">
        <is>
          <t>≥0.70</t>
        </is>
      </c>
    </row>
    <row r="177">
      <c r="A177" t="inlineStr">
        <is>
          <t>nas-established-taxa-count</t>
        </is>
      </c>
      <c r="B177" t="inlineStr">
        <is>
          <t>(combined)</t>
        </is>
      </c>
      <c r="C177" t="inlineStr">
        <is>
          <t>Good</t>
        </is>
      </c>
      <c r="D177" t="n">
        <v>0</v>
      </c>
      <c r="E177" t="inlineStr">
        <is>
          <t>TRUE</t>
        </is>
      </c>
      <c r="F177" t="n">
        <v>0</v>
      </c>
      <c r="G177" t="inlineStr">
        <is>
          <t>TRUE</t>
        </is>
      </c>
      <c r="H177" t="inlineStr">
        <is>
          <t>0 recorded</t>
        </is>
      </c>
    </row>
    <row r="178">
      <c r="A178" t="inlineStr">
        <is>
          <t>nas-established-taxa-count</t>
        </is>
      </c>
      <c r="B178" t="inlineStr">
        <is>
          <t>(combined)</t>
        </is>
      </c>
      <c r="C178" t="inlineStr">
        <is>
          <t>Fair</t>
        </is>
      </c>
      <c r="D178" t="n">
        <v>1</v>
      </c>
      <c r="E178" t="inlineStr">
        <is>
          <t>TRUE</t>
        </is>
      </c>
      <c r="F178" t="n">
        <v>2</v>
      </c>
      <c r="G178" t="inlineStr">
        <is>
          <t>TRUE</t>
        </is>
      </c>
      <c r="H178" t="inlineStr">
        <is>
          <t>1-2 recorded</t>
        </is>
      </c>
    </row>
    <row r="179">
      <c r="A179" t="inlineStr">
        <is>
          <t>nas-established-taxa-count</t>
        </is>
      </c>
      <c r="B179" t="inlineStr">
        <is>
          <t>(combined)</t>
        </is>
      </c>
      <c r="C179" t="inlineStr">
        <is>
          <t>Poor</t>
        </is>
      </c>
      <c r="D179" t="n">
        <v>3</v>
      </c>
      <c r="E179" t="inlineStr">
        <is>
          <t>TRUE</t>
        </is>
      </c>
      <c r="G179" t="inlineStr">
        <is>
          <t>FALSE</t>
        </is>
      </c>
      <c r="H179" t="inlineStr">
        <is>
          <t>≥3 recorded</t>
        </is>
      </c>
    </row>
    <row r="180">
      <c r="A180" t="inlineStr">
        <is>
          <t>nearby-dam-proximity</t>
        </is>
      </c>
      <c r="B180" t="inlineStr">
        <is>
          <t>(combined)</t>
        </is>
      </c>
      <c r="C180" t="inlineStr">
        <is>
          <t>Good</t>
        </is>
      </c>
      <c r="D180" t="n">
        <v>0</v>
      </c>
      <c r="E180" t="inlineStr">
        <is>
          <t>TRUE</t>
        </is>
      </c>
      <c r="F180" t="n">
        <v>0</v>
      </c>
      <c r="G180" t="inlineStr">
        <is>
          <t>TRUE</t>
        </is>
      </c>
      <c r="H180" t="inlineStr">
        <is>
          <t>0 mapped dams</t>
        </is>
      </c>
    </row>
    <row r="181">
      <c r="A181" t="inlineStr">
        <is>
          <t>nearby-dam-proximity</t>
        </is>
      </c>
      <c r="B181" t="inlineStr">
        <is>
          <t>(combined)</t>
        </is>
      </c>
      <c r="C181" t="inlineStr">
        <is>
          <t>Fair</t>
        </is>
      </c>
      <c r="D181" t="n">
        <v>1</v>
      </c>
      <c r="E181" t="inlineStr">
        <is>
          <t>TRUE</t>
        </is>
      </c>
      <c r="F181" t="n">
        <v>1</v>
      </c>
      <c r="G181" t="inlineStr">
        <is>
          <t>TRUE</t>
        </is>
      </c>
      <c r="H181" t="inlineStr">
        <is>
          <t>1 mapped dam</t>
        </is>
      </c>
    </row>
    <row r="182">
      <c r="A182" t="inlineStr">
        <is>
          <t>nearby-dam-proximity</t>
        </is>
      </c>
      <c r="B182" t="inlineStr">
        <is>
          <t>(combined)</t>
        </is>
      </c>
      <c r="C182" t="inlineStr">
        <is>
          <t>Poor</t>
        </is>
      </c>
      <c r="D182" t="n">
        <v>2</v>
      </c>
      <c r="E182" t="inlineStr">
        <is>
          <t>TRUE</t>
        </is>
      </c>
      <c r="G182" t="inlineStr">
        <is>
          <t>FALSE</t>
        </is>
      </c>
      <c r="H182" t="inlineStr">
        <is>
          <t>≥2 mapped dams</t>
        </is>
      </c>
    </row>
    <row r="184">
      <c r="A184" s="169" t="inlineStr">
        <is>
          <t>Nutrient regional thresholds by NARS-9 region (mg/L): Good at or below the first value, Poor at or above the second, Fair between</t>
        </is>
      </c>
    </row>
    <row r="185">
      <c r="A185" s="171" t="inlineStr">
        <is>
          <t>Region</t>
        </is>
      </c>
      <c r="B185" s="171" t="inlineStr">
        <is>
          <t>TN good/fair</t>
        </is>
      </c>
      <c r="C185" s="171" t="inlineStr">
        <is>
          <t>TN fair/poor</t>
        </is>
      </c>
      <c r="D185" s="171" t="inlineStr">
        <is>
          <t>TP good/fair</t>
        </is>
      </c>
      <c r="E185" s="171" t="inlineStr">
        <is>
          <t>TP fair/poor</t>
        </is>
      </c>
    </row>
    <row r="186">
      <c r="A186" t="inlineStr">
        <is>
          <t>CPL</t>
        </is>
      </c>
      <c r="B186" t="n">
        <v>0.624</v>
      </c>
      <c r="C186" t="n">
        <v>1.081</v>
      </c>
      <c r="D186" t="n">
        <v>0.0559</v>
      </c>
      <c r="E186" t="n">
        <v>0.103</v>
      </c>
    </row>
    <row r="187">
      <c r="A187" t="inlineStr">
        <is>
          <t>NAP</t>
        </is>
      </c>
      <c r="B187" t="n">
        <v>0.345</v>
      </c>
      <c r="C187" t="n">
        <v>0.482</v>
      </c>
      <c r="D187" t="n">
        <v>0.0171</v>
      </c>
      <c r="E187" t="n">
        <v>0.0326</v>
      </c>
    </row>
    <row r="188">
      <c r="A188" t="inlineStr">
        <is>
          <t>NPL</t>
        </is>
      </c>
      <c r="B188" t="n">
        <v>0.575</v>
      </c>
      <c r="C188" t="n">
        <v>0.9370000000000001</v>
      </c>
      <c r="D188" t="n">
        <v>0.064</v>
      </c>
      <c r="E188" t="n">
        <v>0.107</v>
      </c>
    </row>
    <row r="189">
      <c r="A189" t="inlineStr">
        <is>
          <t>SAP</t>
        </is>
      </c>
      <c r="B189" t="n">
        <v>0.24</v>
      </c>
      <c r="C189" t="n">
        <v>0.456</v>
      </c>
      <c r="D189" t="n">
        <v>0.0148</v>
      </c>
      <c r="E189" t="n">
        <v>0.0244</v>
      </c>
    </row>
    <row r="190">
      <c r="A190" t="inlineStr">
        <is>
          <t>SPL</t>
        </is>
      </c>
      <c r="B190" t="n">
        <v>0.581</v>
      </c>
      <c r="C190" t="n">
        <v>1.069</v>
      </c>
      <c r="D190" t="n">
        <v>0.0558</v>
      </c>
      <c r="E190" t="n">
        <v>0.127</v>
      </c>
    </row>
    <row r="191">
      <c r="A191" t="inlineStr">
        <is>
          <t>TPL</t>
        </is>
      </c>
      <c r="B191" t="n">
        <v>0.7</v>
      </c>
      <c r="C191" t="n">
        <v>1.274</v>
      </c>
      <c r="D191" t="n">
        <v>0.0886</v>
      </c>
      <c r="E191" t="n">
        <v>0.143</v>
      </c>
    </row>
    <row r="192">
      <c r="A192" t="inlineStr">
        <is>
          <t>UMW</t>
        </is>
      </c>
      <c r="B192" t="n">
        <v>0.583</v>
      </c>
      <c r="C192" t="n">
        <v>1.024</v>
      </c>
      <c r="D192" t="n">
        <v>0.0363</v>
      </c>
      <c r="E192" t="n">
        <v>0.0499</v>
      </c>
    </row>
    <row r="193">
      <c r="A193" t="inlineStr">
        <is>
          <t>WMT</t>
        </is>
      </c>
      <c r="B193" t="n">
        <v>0.139</v>
      </c>
      <c r="C193" t="n">
        <v>0.249</v>
      </c>
      <c r="D193" t="n">
        <v>0.0177</v>
      </c>
      <c r="E193" t="n">
        <v>0.041</v>
      </c>
    </row>
    <row r="194">
      <c r="A194" t="inlineStr">
        <is>
          <t>XER</t>
        </is>
      </c>
      <c r="B194" t="n">
        <v>0.285</v>
      </c>
      <c r="C194" t="n">
        <v>0.529</v>
      </c>
      <c r="D194" t="n">
        <v>0.052</v>
      </c>
      <c r="E194" t="n">
        <v>0.0959</v>
      </c>
    </row>
    <row r="196">
      <c r="A196" s="169" t="inlineStr">
        <is>
          <t>ATTAINS category lookup (category 3 is inconclusive and falls back to the CHEM index)</t>
        </is>
      </c>
    </row>
    <row r="197">
      <c r="A197" s="171" t="inlineStr">
        <is>
          <t>Category</t>
        </is>
      </c>
      <c r="B197" s="171" t="inlineStr">
        <is>
          <t>Rating</t>
        </is>
      </c>
      <c r="C197" s="171" t="inlineStr">
        <is>
          <t>Label</t>
        </is>
      </c>
    </row>
    <row r="198">
      <c r="A198" t="inlineStr">
        <is>
          <t>1</t>
        </is>
      </c>
      <c r="B198" t="inlineStr">
        <is>
          <t>Good</t>
        </is>
      </c>
      <c r="C198" t="inlineStr">
        <is>
          <t>Category 1</t>
        </is>
      </c>
    </row>
    <row r="199">
      <c r="A199" t="inlineStr">
        <is>
          <t>2</t>
        </is>
      </c>
      <c r="B199" t="inlineStr">
        <is>
          <t>Good</t>
        </is>
      </c>
      <c r="C199" t="inlineStr">
        <is>
          <t>Category 2</t>
        </is>
      </c>
    </row>
    <row r="200">
      <c r="A200" t="inlineStr">
        <is>
          <t>3</t>
        </is>
      </c>
      <c r="B200" t="inlineStr">
        <is>
          <t>none</t>
        </is>
      </c>
      <c r="C200" t="inlineStr">
        <is>
          <t>Category 3 (insufficient evidence)</t>
        </is>
      </c>
    </row>
    <row r="201">
      <c r="A201" t="inlineStr">
        <is>
          <t>4A</t>
        </is>
      </c>
      <c r="B201" t="inlineStr">
        <is>
          <t>Fair</t>
        </is>
      </c>
      <c r="C201" t="inlineStr">
        <is>
          <t>Category 4a</t>
        </is>
      </c>
    </row>
    <row r="202">
      <c r="A202" t="inlineStr">
        <is>
          <t>4B</t>
        </is>
      </c>
      <c r="B202" t="inlineStr">
        <is>
          <t>Fair</t>
        </is>
      </c>
      <c r="C202" t="inlineStr">
        <is>
          <t>Category 4b</t>
        </is>
      </c>
    </row>
    <row r="203">
      <c r="A203" t="inlineStr">
        <is>
          <t>4C</t>
        </is>
      </c>
      <c r="B203" t="inlineStr">
        <is>
          <t>Poor</t>
        </is>
      </c>
      <c r="C203" t="inlineStr">
        <is>
          <t>Category 4c</t>
        </is>
      </c>
    </row>
    <row r="204">
      <c r="A204" t="inlineStr">
        <is>
          <t>5</t>
        </is>
      </c>
      <c r="B204" t="inlineStr">
        <is>
          <t>Poor</t>
        </is>
      </c>
      <c r="C204" t="inlineStr">
        <is>
          <t>Category 5</t>
        </is>
      </c>
    </row>
    <row r="206">
      <c r="A206" s="169" t="inlineStr">
        <is>
          <t>Canal and ditch feature codes (Channel evolution rates Poor)</t>
        </is>
      </c>
    </row>
    <row r="207">
      <c r="A207" s="171" t="inlineStr">
        <is>
          <t>FCODE</t>
        </is>
      </c>
      <c r="B207" s="171" t="inlineStr">
        <is>
          <t>Rating</t>
        </is>
      </c>
    </row>
    <row r="208">
      <c r="A208" t="n">
        <v>33600</v>
      </c>
      <c r="B208" t="inlineStr">
        <is>
          <t>Poor</t>
        </is>
      </c>
    </row>
    <row r="209">
      <c r="A209" t="n">
        <v>33601</v>
      </c>
      <c r="B209" t="inlineStr">
        <is>
          <t>Poor</t>
        </is>
      </c>
    </row>
    <row r="210">
      <c r="A210" t="n">
        <v>33603</v>
      </c>
      <c r="B210" t="inlineStr">
        <is>
          <t>Poor</t>
        </is>
      </c>
    </row>
    <row r="212">
      <c r="A212" s="169" t="inlineStr">
        <is>
          <t>Function to outcome mapping and weights (D direct, i indirect)</t>
        </is>
      </c>
    </row>
    <row r="213">
      <c r="A213" s="171" t="inlineStr">
        <is>
          <t>Function</t>
        </is>
      </c>
      <c r="B213" s="171" t="inlineStr">
        <is>
          <t>Physical</t>
        </is>
      </c>
      <c r="C213" s="171" t="inlineStr">
        <is>
          <t>Chemical</t>
        </is>
      </c>
      <c r="D213" s="171" t="inlineStr">
        <is>
          <t>Biological</t>
        </is>
      </c>
      <c r="E213" s="171" t="inlineStr">
        <is>
          <t>Weight D</t>
        </is>
      </c>
      <c r="F213" s="171" t="inlineStr">
        <is>
          <t>Weight i</t>
        </is>
      </c>
    </row>
    <row r="214">
      <c r="A214" t="inlineStr">
        <is>
          <t>Catchment hydrology</t>
        </is>
      </c>
      <c r="B214" t="inlineStr">
        <is>
          <t>D</t>
        </is>
      </c>
      <c r="C214" t="inlineStr">
        <is>
          <t>i</t>
        </is>
      </c>
      <c r="D214" t="inlineStr">
        <is>
          <t>i</t>
        </is>
      </c>
      <c r="E214" t="n">
        <v>1</v>
      </c>
      <c r="F214" t="n">
        <v>0.1</v>
      </c>
    </row>
    <row r="215">
      <c r="A215" t="inlineStr">
        <is>
          <t>Surface water storage</t>
        </is>
      </c>
      <c r="B215" t="inlineStr">
        <is>
          <t>D</t>
        </is>
      </c>
      <c r="C215" t="inlineStr">
        <is>
          <t>i</t>
        </is>
      </c>
      <c r="D215" t="inlineStr">
        <is>
          <t>i</t>
        </is>
      </c>
      <c r="E215" t="n">
        <v>1</v>
      </c>
      <c r="F215" t="n">
        <v>0.1</v>
      </c>
    </row>
    <row r="216">
      <c r="A216" t="inlineStr">
        <is>
          <t>Reach inflow</t>
        </is>
      </c>
      <c r="B216" t="inlineStr">
        <is>
          <t>D</t>
        </is>
      </c>
      <c r="C216" t="inlineStr">
        <is>
          <t>i</t>
        </is>
      </c>
      <c r="D216" t="inlineStr">
        <is>
          <t>i</t>
        </is>
      </c>
      <c r="E216" t="n">
        <v>1</v>
      </c>
      <c r="F216" t="n">
        <v>0.1</v>
      </c>
    </row>
    <row r="217">
      <c r="A217" t="inlineStr">
        <is>
          <t>Streamflow regime</t>
        </is>
      </c>
      <c r="B217" t="inlineStr">
        <is>
          <t>D</t>
        </is>
      </c>
      <c r="C217" t="inlineStr">
        <is>
          <t>i</t>
        </is>
      </c>
      <c r="D217" t="inlineStr">
        <is>
          <t>i</t>
        </is>
      </c>
      <c r="E217" t="n">
        <v>1</v>
      </c>
      <c r="F217" t="n">
        <v>0.1</v>
      </c>
    </row>
    <row r="218">
      <c r="A218" t="inlineStr">
        <is>
          <t>Low flow and baseflow dynamics</t>
        </is>
      </c>
      <c r="B218" t="inlineStr">
        <is>
          <t>D</t>
        </is>
      </c>
      <c r="C218" t="inlineStr">
        <is>
          <t>i</t>
        </is>
      </c>
      <c r="D218" t="inlineStr">
        <is>
          <t>i</t>
        </is>
      </c>
      <c r="E218" t="n">
        <v>1</v>
      </c>
      <c r="F218" t="n">
        <v>0.1</v>
      </c>
    </row>
    <row r="219">
      <c r="A219" t="inlineStr">
        <is>
          <t>High flow dynamics</t>
        </is>
      </c>
      <c r="B219" t="inlineStr">
        <is>
          <t>D</t>
        </is>
      </c>
      <c r="C219" t="inlineStr">
        <is>
          <t>i</t>
        </is>
      </c>
      <c r="D219" t="inlineStr">
        <is>
          <t>i</t>
        </is>
      </c>
      <c r="E219" t="n">
        <v>1</v>
      </c>
      <c r="F219" t="n">
        <v>0.1</v>
      </c>
    </row>
    <row r="220">
      <c r="A220" t="inlineStr">
        <is>
          <t>Floodplain connectivity</t>
        </is>
      </c>
      <c r="B220" t="inlineStr">
        <is>
          <t>D</t>
        </is>
      </c>
      <c r="C220" t="inlineStr">
        <is>
          <t>i</t>
        </is>
      </c>
      <c r="D220" t="inlineStr">
        <is>
          <t>i</t>
        </is>
      </c>
      <c r="E220" t="n">
        <v>1</v>
      </c>
      <c r="F220" t="n">
        <v>0.1</v>
      </c>
    </row>
    <row r="221">
      <c r="A221" t="inlineStr">
        <is>
          <t>Hyporheic connectivity</t>
        </is>
      </c>
      <c r="B221" t="inlineStr">
        <is>
          <t>D</t>
        </is>
      </c>
      <c r="C221" t="inlineStr">
        <is>
          <t>i</t>
        </is>
      </c>
      <c r="D221" t="inlineStr">
        <is>
          <t>i</t>
        </is>
      </c>
      <c r="E221" t="n">
        <v>1</v>
      </c>
      <c r="F221" t="n">
        <v>0.1</v>
      </c>
    </row>
    <row r="222">
      <c r="A222" t="inlineStr">
        <is>
          <t>Channel evolution</t>
        </is>
      </c>
      <c r="B222" t="inlineStr">
        <is>
          <t>D</t>
        </is>
      </c>
      <c r="C222" t="inlineStr">
        <is>
          <t>i</t>
        </is>
      </c>
      <c r="D222" t="inlineStr">
        <is>
          <t>i</t>
        </is>
      </c>
      <c r="E222" t="n">
        <v>1</v>
      </c>
      <c r="F222" t="n">
        <v>0.1</v>
      </c>
    </row>
    <row r="223">
      <c r="A223" t="inlineStr">
        <is>
          <t>Channel and floodplain dynamics</t>
        </is>
      </c>
      <c r="B223" t="inlineStr">
        <is>
          <t>D</t>
        </is>
      </c>
      <c r="C223" t="inlineStr">
        <is>
          <t>i</t>
        </is>
      </c>
      <c r="D223" t="inlineStr">
        <is>
          <t>i</t>
        </is>
      </c>
      <c r="E223" t="n">
        <v>1</v>
      </c>
      <c r="F223" t="n">
        <v>0.1</v>
      </c>
    </row>
    <row r="224">
      <c r="A224" t="inlineStr">
        <is>
          <t>Sediment continuity</t>
        </is>
      </c>
      <c r="B224" t="inlineStr">
        <is>
          <t>D</t>
        </is>
      </c>
      <c r="C224" t="inlineStr">
        <is>
          <t>i</t>
        </is>
      </c>
      <c r="D224" t="inlineStr">
        <is>
          <t>i</t>
        </is>
      </c>
      <c r="E224" t="n">
        <v>1</v>
      </c>
      <c r="F224" t="n">
        <v>0.1</v>
      </c>
    </row>
    <row r="225">
      <c r="A225" t="inlineStr">
        <is>
          <t>Bed composition and large wood</t>
        </is>
      </c>
      <c r="B225" t="inlineStr">
        <is>
          <t>D</t>
        </is>
      </c>
      <c r="C225" t="inlineStr">
        <is>
          <t>i</t>
        </is>
      </c>
      <c r="D225" t="inlineStr">
        <is>
          <t>i</t>
        </is>
      </c>
      <c r="E225" t="n">
        <v>1</v>
      </c>
      <c r="F225" t="n">
        <v>0.1</v>
      </c>
    </row>
    <row r="226">
      <c r="A226" t="inlineStr">
        <is>
          <t>Light &amp; thermal regime</t>
        </is>
      </c>
      <c r="B226" t="inlineStr">
        <is>
          <t>-</t>
        </is>
      </c>
      <c r="C226" t="inlineStr">
        <is>
          <t>D</t>
        </is>
      </c>
      <c r="D226" t="inlineStr">
        <is>
          <t>i</t>
        </is>
      </c>
      <c r="E226" t="n">
        <v>1</v>
      </c>
      <c r="F226" t="n">
        <v>0.1</v>
      </c>
    </row>
    <row r="227">
      <c r="A227" t="inlineStr">
        <is>
          <t>Carbon processing</t>
        </is>
      </c>
      <c r="B227" t="inlineStr">
        <is>
          <t>-</t>
        </is>
      </c>
      <c r="C227" t="inlineStr">
        <is>
          <t>D</t>
        </is>
      </c>
      <c r="D227" t="inlineStr">
        <is>
          <t>i</t>
        </is>
      </c>
      <c r="E227" t="n">
        <v>1</v>
      </c>
      <c r="F227" t="n">
        <v>0.1</v>
      </c>
    </row>
    <row r="228">
      <c r="A228" t="inlineStr">
        <is>
          <t>Nutrient cycling</t>
        </is>
      </c>
      <c r="B228" t="inlineStr">
        <is>
          <t>i</t>
        </is>
      </c>
      <c r="C228" t="inlineStr">
        <is>
          <t>D</t>
        </is>
      </c>
      <c r="D228" t="inlineStr">
        <is>
          <t>i</t>
        </is>
      </c>
      <c r="E228" t="n">
        <v>1</v>
      </c>
      <c r="F228" t="n">
        <v>0.1</v>
      </c>
    </row>
    <row r="229">
      <c r="A229" t="inlineStr">
        <is>
          <t>Water &amp; soil quality</t>
        </is>
      </c>
      <c r="B229" t="inlineStr">
        <is>
          <t>i</t>
        </is>
      </c>
      <c r="C229" t="inlineStr">
        <is>
          <t>D</t>
        </is>
      </c>
      <c r="D229" t="inlineStr">
        <is>
          <t>i</t>
        </is>
      </c>
      <c r="E229" t="n">
        <v>1</v>
      </c>
      <c r="F229" t="n">
        <v>0.1</v>
      </c>
    </row>
    <row r="230">
      <c r="A230" t="inlineStr">
        <is>
          <t>Habitat provision</t>
        </is>
      </c>
      <c r="B230" t="inlineStr">
        <is>
          <t>-</t>
        </is>
      </c>
      <c r="C230" t="inlineStr">
        <is>
          <t>-</t>
        </is>
      </c>
      <c r="D230" t="inlineStr">
        <is>
          <t>D</t>
        </is>
      </c>
      <c r="E230" t="n">
        <v>1</v>
      </c>
      <c r="F230" t="n">
        <v>0.1</v>
      </c>
    </row>
    <row r="231">
      <c r="A231" t="inlineStr">
        <is>
          <t>Population support</t>
        </is>
      </c>
      <c r="B231" t="inlineStr">
        <is>
          <t>i</t>
        </is>
      </c>
      <c r="C231" t="inlineStr">
        <is>
          <t>i</t>
        </is>
      </c>
      <c r="D231" t="inlineStr">
        <is>
          <t>D</t>
        </is>
      </c>
      <c r="E231" t="n">
        <v>1</v>
      </c>
      <c r="F231" t="n">
        <v>0.1</v>
      </c>
    </row>
    <row r="232">
      <c r="A232" t="inlineStr">
        <is>
          <t>Community dynamics</t>
        </is>
      </c>
      <c r="B232" t="inlineStr">
        <is>
          <t>i</t>
        </is>
      </c>
      <c r="C232" t="inlineStr">
        <is>
          <t>i</t>
        </is>
      </c>
      <c r="D232" t="inlineStr">
        <is>
          <t>D</t>
        </is>
      </c>
      <c r="E232" t="n">
        <v>1</v>
      </c>
      <c r="F232" t="n">
        <v>0.1</v>
      </c>
    </row>
    <row r="233">
      <c r="A233" t="inlineStr">
        <is>
          <t>Watershed connectivity</t>
        </is>
      </c>
      <c r="B233" t="inlineStr">
        <is>
          <t>i</t>
        </is>
      </c>
      <c r="C233" t="inlineStr">
        <is>
          <t>-</t>
        </is>
      </c>
      <c r="D233" t="inlineStr">
        <is>
          <t>D</t>
        </is>
      </c>
      <c r="E233" t="n">
        <v>1</v>
      </c>
      <c r="F233" t="n">
        <v>0.1</v>
      </c>
    </row>
    <row r="235">
      <c r="A235" s="169" t="inlineStr">
        <is>
          <t>Slope classes for the entrenchment curves</t>
        </is>
      </c>
    </row>
    <row r="236">
      <c r="A236" s="171" t="inlineStr">
        <is>
          <t>Class</t>
        </is>
      </c>
      <c r="B236" s="171" t="inlineStr">
        <is>
          <t>Channel slope</t>
        </is>
      </c>
    </row>
    <row r="237">
      <c r="A237" t="inlineStr">
        <is>
          <t>lt_0.5</t>
        </is>
      </c>
      <c r="B237" t="inlineStr">
        <is>
          <t>below 0.005 m/m</t>
        </is>
      </c>
    </row>
    <row r="238">
      <c r="A238" t="inlineStr">
        <is>
          <t>0.5_to_2</t>
        </is>
      </c>
      <c r="B238" t="inlineStr">
        <is>
          <t>0.005 to below 0.02 m/m</t>
        </is>
      </c>
    </row>
    <row r="239">
      <c r="A239" t="inlineStr">
        <is>
          <t>ge_2</t>
        </is>
      </c>
      <c r="B239" t="inlineStr">
        <is>
          <t>0.02 m/m and above</t>
        </is>
      </c>
    </row>
    <row r="240">
      <c r="A240" t="inlineStr">
        <is>
          <t>national</t>
        </is>
      </c>
      <c r="B240" t="inlineStr">
        <is>
          <t>slope unknown or negative</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4" customWidth="1" min="1" max="1"/>
  </cols>
  <sheetData>
    <row r="1">
      <c r="A1" s="170" t="inlineStr">
        <is>
          <t>Chart series (hidden). One column per class so each bar takes the class colour.</t>
        </is>
      </c>
    </row>
    <row r="2">
      <c r="A2" s="168" t="inlineStr">
        <is>
          <t>Function</t>
        </is>
      </c>
      <c r="B2" s="168" t="inlineStr">
        <is>
          <t>Score</t>
        </is>
      </c>
      <c r="C2" s="168" t="inlineStr">
        <is>
          <t>Non-Functioning (0-5)</t>
        </is>
      </c>
      <c r="D2" s="168" t="inlineStr">
        <is>
          <t>Functioning At-Risk (6-10)</t>
        </is>
      </c>
      <c r="E2" s="168" t="inlineStr">
        <is>
          <t>Functioning (11-15)</t>
        </is>
      </c>
    </row>
    <row r="3">
      <c r="A3" t="inlineStr">
        <is>
          <t>Catchment hydrology</t>
        </is>
      </c>
      <c r="B3">
        <f>IF('Scenario'!$H$8="","",'Scenario'!$H$8)</f>
        <v/>
      </c>
      <c r="C3">
        <f>IF(ISNUMBER('ChartData'!$B$3),IF('ChartData'!$B$3&lt;=5,'ChartData'!$B$3,NA()),NA())</f>
        <v/>
      </c>
      <c r="D3">
        <f>IF(ISNUMBER('ChartData'!$B$3),IF(AND('ChartData'!$B$3&gt;5,'ChartData'!$B$3&lt;=10),'ChartData'!$B$3,NA()),NA())</f>
        <v/>
      </c>
      <c r="E3">
        <f>IF(ISNUMBER('ChartData'!$B$3),IF('ChartData'!$B$3&gt;10,'ChartData'!$B$3,NA()),NA())</f>
        <v/>
      </c>
    </row>
    <row r="4">
      <c r="A4" t="inlineStr">
        <is>
          <t>Surface water storage</t>
        </is>
      </c>
      <c r="B4">
        <f>IF('Scenario'!$H$11="","",'Scenario'!$H$11)</f>
        <v/>
      </c>
      <c r="C4">
        <f>IF(ISNUMBER('ChartData'!$B$4),IF('ChartData'!$B$4&lt;=5,'ChartData'!$B$4,NA()),NA())</f>
        <v/>
      </c>
      <c r="D4">
        <f>IF(ISNUMBER('ChartData'!$B$4),IF(AND('ChartData'!$B$4&gt;5,'ChartData'!$B$4&lt;=10),'ChartData'!$B$4,NA()),NA())</f>
        <v/>
      </c>
      <c r="E4">
        <f>IF(ISNUMBER('ChartData'!$B$4),IF('ChartData'!$B$4&gt;10,'ChartData'!$B$4,NA()),NA())</f>
        <v/>
      </c>
    </row>
    <row r="5">
      <c r="A5" t="inlineStr">
        <is>
          <t>Reach inflow</t>
        </is>
      </c>
      <c r="B5">
        <f>IF('Scenario'!$H$15="","",'Scenario'!$H$15)</f>
        <v/>
      </c>
      <c r="C5">
        <f>IF(ISNUMBER('ChartData'!$B$5),IF('ChartData'!$B$5&lt;=5,'ChartData'!$B$5,NA()),NA())</f>
        <v/>
      </c>
      <c r="D5">
        <f>IF(ISNUMBER('ChartData'!$B$5),IF(AND('ChartData'!$B$5&gt;5,'ChartData'!$B$5&lt;=10),'ChartData'!$B$5,NA()),NA())</f>
        <v/>
      </c>
      <c r="E5">
        <f>IF(ISNUMBER('ChartData'!$B$5),IF('ChartData'!$B$5&gt;10,'ChartData'!$B$5,NA()),NA())</f>
        <v/>
      </c>
    </row>
    <row r="6">
      <c r="A6" t="inlineStr">
        <is>
          <t>Streamflow regime</t>
        </is>
      </c>
      <c r="B6">
        <f>IF('Scenario'!$H$17="","",'Scenario'!$H$17)</f>
        <v/>
      </c>
      <c r="C6">
        <f>IF(ISNUMBER('ChartData'!$B$6),IF('ChartData'!$B$6&lt;=5,'ChartData'!$B$6,NA()),NA())</f>
        <v/>
      </c>
      <c r="D6">
        <f>IF(ISNUMBER('ChartData'!$B$6),IF(AND('ChartData'!$B$6&gt;5,'ChartData'!$B$6&lt;=10),'ChartData'!$B$6,NA()),NA())</f>
        <v/>
      </c>
      <c r="E6">
        <f>IF(ISNUMBER('ChartData'!$B$6),IF('ChartData'!$B$6&gt;10,'ChartData'!$B$6,NA()),NA())</f>
        <v/>
      </c>
    </row>
    <row r="7">
      <c r="A7" t="inlineStr">
        <is>
          <t>Low flow and baseflow dynamics</t>
        </is>
      </c>
      <c r="B7">
        <f>IF('Scenario'!$H$21="","",'Scenario'!$H$21)</f>
        <v/>
      </c>
      <c r="C7">
        <f>IF(ISNUMBER('ChartData'!$B$7),IF('ChartData'!$B$7&lt;=5,'ChartData'!$B$7,NA()),NA())</f>
        <v/>
      </c>
      <c r="D7">
        <f>IF(ISNUMBER('ChartData'!$B$7),IF(AND('ChartData'!$B$7&gt;5,'ChartData'!$B$7&lt;=10),'ChartData'!$B$7,NA()),NA())</f>
        <v/>
      </c>
      <c r="E7">
        <f>IF(ISNUMBER('ChartData'!$B$7),IF('ChartData'!$B$7&gt;10,'ChartData'!$B$7,NA()),NA())</f>
        <v/>
      </c>
    </row>
    <row r="8">
      <c r="A8" t="inlineStr">
        <is>
          <t>High flow dynamics</t>
        </is>
      </c>
      <c r="B8">
        <f>IF('Scenario'!$H$23="","",'Scenario'!$H$23)</f>
        <v/>
      </c>
      <c r="C8">
        <f>IF(ISNUMBER('ChartData'!$B$8),IF('ChartData'!$B$8&lt;=5,'ChartData'!$B$8,NA()),NA())</f>
        <v/>
      </c>
      <c r="D8">
        <f>IF(ISNUMBER('ChartData'!$B$8),IF(AND('ChartData'!$B$8&gt;5,'ChartData'!$B$8&lt;=10),'ChartData'!$B$8,NA()),NA())</f>
        <v/>
      </c>
      <c r="E8">
        <f>IF(ISNUMBER('ChartData'!$B$8),IF('ChartData'!$B$8&gt;10,'ChartData'!$B$8,NA()),NA())</f>
        <v/>
      </c>
    </row>
    <row r="9">
      <c r="A9" t="inlineStr">
        <is>
          <t>Floodplain connectivity</t>
        </is>
      </c>
      <c r="B9">
        <f>IF('Scenario'!$H$25="","",'Scenario'!$H$25)</f>
        <v/>
      </c>
      <c r="C9">
        <f>IF(ISNUMBER('ChartData'!$B$9),IF('ChartData'!$B$9&lt;=5,'ChartData'!$B$9,NA()),NA())</f>
        <v/>
      </c>
      <c r="D9">
        <f>IF(ISNUMBER('ChartData'!$B$9),IF(AND('ChartData'!$B$9&gt;5,'ChartData'!$B$9&lt;=10),'ChartData'!$B$9,NA()),NA())</f>
        <v/>
      </c>
      <c r="E9">
        <f>IF(ISNUMBER('ChartData'!$B$9),IF('ChartData'!$B$9&gt;10,'ChartData'!$B$9,NA()),NA())</f>
        <v/>
      </c>
    </row>
    <row r="10">
      <c r="A10" t="inlineStr">
        <is>
          <t>Hyporheic connectivity</t>
        </is>
      </c>
      <c r="B10">
        <f>IF('Scenario'!$H$28="","",'Scenario'!$H$28)</f>
        <v/>
      </c>
      <c r="C10">
        <f>IF(ISNUMBER('ChartData'!$B$10),IF('ChartData'!$B$10&lt;=5,'ChartData'!$B$10,NA()),NA())</f>
        <v/>
      </c>
      <c r="D10">
        <f>IF(ISNUMBER('ChartData'!$B$10),IF(AND('ChartData'!$B$10&gt;5,'ChartData'!$B$10&lt;=10),'ChartData'!$B$10,NA()),NA())</f>
        <v/>
      </c>
      <c r="E10">
        <f>IF(ISNUMBER('ChartData'!$B$10),IF('ChartData'!$B$10&gt;10,'ChartData'!$B$10,NA()),NA())</f>
        <v/>
      </c>
    </row>
    <row r="11">
      <c r="A11" t="inlineStr">
        <is>
          <t>Channel evolution</t>
        </is>
      </c>
      <c r="B11">
        <f>IF('Scenario'!$H$31="","",'Scenario'!$H$31)</f>
        <v/>
      </c>
      <c r="C11">
        <f>IF(ISNUMBER('ChartData'!$B$11),IF('ChartData'!$B$11&lt;=5,'ChartData'!$B$11,NA()),NA())</f>
        <v/>
      </c>
      <c r="D11">
        <f>IF(ISNUMBER('ChartData'!$B$11),IF(AND('ChartData'!$B$11&gt;5,'ChartData'!$B$11&lt;=10),'ChartData'!$B$11,NA()),NA())</f>
        <v/>
      </c>
      <c r="E11">
        <f>IF(ISNUMBER('ChartData'!$B$11),IF('ChartData'!$B$11&gt;10,'ChartData'!$B$11,NA()),NA())</f>
        <v/>
      </c>
    </row>
    <row r="12">
      <c r="A12" t="inlineStr">
        <is>
          <t>Channel and floodplain dynamics</t>
        </is>
      </c>
      <c r="B12">
        <f>IF('Scenario'!$H$36="","",'Scenario'!$H$36)</f>
        <v/>
      </c>
      <c r="C12">
        <f>IF(ISNUMBER('ChartData'!$B$12),IF('ChartData'!$B$12&lt;=5,'ChartData'!$B$12,NA()),NA())</f>
        <v/>
      </c>
      <c r="D12">
        <f>IF(ISNUMBER('ChartData'!$B$12),IF(AND('ChartData'!$B$12&gt;5,'ChartData'!$B$12&lt;=10),'ChartData'!$B$12,NA()),NA())</f>
        <v/>
      </c>
      <c r="E12">
        <f>IF(ISNUMBER('ChartData'!$B$12),IF('ChartData'!$B$12&gt;10,'ChartData'!$B$12,NA()),NA())</f>
        <v/>
      </c>
    </row>
    <row r="13">
      <c r="A13" t="inlineStr">
        <is>
          <t>Sediment continuity</t>
        </is>
      </c>
      <c r="B13">
        <f>IF('Scenario'!$H$40="","",'Scenario'!$H$40)</f>
        <v/>
      </c>
      <c r="C13">
        <f>IF(ISNUMBER('ChartData'!$B$13),IF('ChartData'!$B$13&lt;=5,'ChartData'!$B$13,NA()),NA())</f>
        <v/>
      </c>
      <c r="D13">
        <f>IF(ISNUMBER('ChartData'!$B$13),IF(AND('ChartData'!$B$13&gt;5,'ChartData'!$B$13&lt;=10),'ChartData'!$B$13,NA()),NA())</f>
        <v/>
      </c>
      <c r="E13">
        <f>IF(ISNUMBER('ChartData'!$B$13),IF('ChartData'!$B$13&gt;10,'ChartData'!$B$13,NA()),NA())</f>
        <v/>
      </c>
    </row>
    <row r="14">
      <c r="A14" t="inlineStr">
        <is>
          <t>Bed composition and large wood</t>
        </is>
      </c>
      <c r="B14">
        <f>IF('Scenario'!$H$44="","",'Scenario'!$H$44)</f>
        <v/>
      </c>
      <c r="C14">
        <f>IF(ISNUMBER('ChartData'!$B$14),IF('ChartData'!$B$14&lt;=5,'ChartData'!$B$14,NA()),NA())</f>
        <v/>
      </c>
      <c r="D14">
        <f>IF(ISNUMBER('ChartData'!$B$14),IF(AND('ChartData'!$B$14&gt;5,'ChartData'!$B$14&lt;=10),'ChartData'!$B$14,NA()),NA())</f>
        <v/>
      </c>
      <c r="E14">
        <f>IF(ISNUMBER('ChartData'!$B$14),IF('ChartData'!$B$14&gt;10,'ChartData'!$B$14,NA()),NA())</f>
        <v/>
      </c>
    </row>
    <row r="15">
      <c r="A15" t="inlineStr">
        <is>
          <t>Light &amp; thermal regime</t>
        </is>
      </c>
      <c r="B15">
        <f>IF('Scenario'!$H$46="","",'Scenario'!$H$46)</f>
        <v/>
      </c>
      <c r="C15">
        <f>IF(ISNUMBER('ChartData'!$B$15),IF('ChartData'!$B$15&lt;=5,'ChartData'!$B$15,NA()),NA())</f>
        <v/>
      </c>
      <c r="D15">
        <f>IF(ISNUMBER('ChartData'!$B$15),IF(AND('ChartData'!$B$15&gt;5,'ChartData'!$B$15&lt;=10),'ChartData'!$B$15,NA()),NA())</f>
        <v/>
      </c>
      <c r="E15">
        <f>IF(ISNUMBER('ChartData'!$B$15),IF('ChartData'!$B$15&gt;10,'ChartData'!$B$15,NA()),NA())</f>
        <v/>
      </c>
    </row>
    <row r="16">
      <c r="A16" t="inlineStr">
        <is>
          <t>Carbon processing</t>
        </is>
      </c>
      <c r="B16">
        <f>IF('Scenario'!$H$49="","",'Scenario'!$H$49)</f>
        <v/>
      </c>
      <c r="C16">
        <f>IF(ISNUMBER('ChartData'!$B$16),IF('ChartData'!$B$16&lt;=5,'ChartData'!$B$16,NA()),NA())</f>
        <v/>
      </c>
      <c r="D16">
        <f>IF(ISNUMBER('ChartData'!$B$16),IF(AND('ChartData'!$B$16&gt;5,'ChartData'!$B$16&lt;=10),'ChartData'!$B$16,NA()),NA())</f>
        <v/>
      </c>
      <c r="E16">
        <f>IF(ISNUMBER('ChartData'!$B$16),IF('ChartData'!$B$16&gt;10,'ChartData'!$B$16,NA()),NA())</f>
        <v/>
      </c>
    </row>
    <row r="17">
      <c r="A17" t="inlineStr">
        <is>
          <t>Nutrient cycling</t>
        </is>
      </c>
      <c r="B17">
        <f>IF('Scenario'!$H$55="","",'Scenario'!$H$55)</f>
        <v/>
      </c>
      <c r="C17">
        <f>IF(ISNUMBER('ChartData'!$B$17),IF('ChartData'!$B$17&lt;=5,'ChartData'!$B$17,NA()),NA())</f>
        <v/>
      </c>
      <c r="D17">
        <f>IF(ISNUMBER('ChartData'!$B$17),IF(AND('ChartData'!$B$17&gt;5,'ChartData'!$B$17&lt;=10),'ChartData'!$B$17,NA()),NA())</f>
        <v/>
      </c>
      <c r="E17">
        <f>IF(ISNUMBER('ChartData'!$B$17),IF('ChartData'!$B$17&gt;10,'ChartData'!$B$17,NA()),NA())</f>
        <v/>
      </c>
    </row>
    <row r="18">
      <c r="A18" t="inlineStr">
        <is>
          <t>Water &amp; soil quality</t>
        </is>
      </c>
      <c r="B18">
        <f>IF('Scenario'!$H$60="","",'Scenario'!$H$60)</f>
        <v/>
      </c>
      <c r="C18">
        <f>IF(ISNUMBER('ChartData'!$B$18),IF('ChartData'!$B$18&lt;=5,'ChartData'!$B$18,NA()),NA())</f>
        <v/>
      </c>
      <c r="D18">
        <f>IF(ISNUMBER('ChartData'!$B$18),IF(AND('ChartData'!$B$18&gt;5,'ChartData'!$B$18&lt;=10),'ChartData'!$B$18,NA()),NA())</f>
        <v/>
      </c>
      <c r="E18">
        <f>IF(ISNUMBER('ChartData'!$B$18),IF('ChartData'!$B$18&gt;10,'ChartData'!$B$18,NA()),NA())</f>
        <v/>
      </c>
    </row>
    <row r="19">
      <c r="A19" t="inlineStr">
        <is>
          <t>Habitat provision</t>
        </is>
      </c>
      <c r="B19">
        <f>IF('Scenario'!$H$64="","",'Scenario'!$H$64)</f>
        <v/>
      </c>
      <c r="C19">
        <f>IF(ISNUMBER('ChartData'!$B$19),IF('ChartData'!$B$19&lt;=5,'ChartData'!$B$19,NA()),NA())</f>
        <v/>
      </c>
      <c r="D19">
        <f>IF(ISNUMBER('ChartData'!$B$19),IF(AND('ChartData'!$B$19&gt;5,'ChartData'!$B$19&lt;=10),'ChartData'!$B$19,NA()),NA())</f>
        <v/>
      </c>
      <c r="E19">
        <f>IF(ISNUMBER('ChartData'!$B$19),IF('ChartData'!$B$19&gt;10,'ChartData'!$B$19,NA()),NA())</f>
        <v/>
      </c>
    </row>
    <row r="20">
      <c r="A20" t="inlineStr">
        <is>
          <t>Population support</t>
        </is>
      </c>
      <c r="B20">
        <f>IF('Scenario'!$H$66="","",'Scenario'!$H$66)</f>
        <v/>
      </c>
      <c r="C20">
        <f>IF(ISNUMBER('ChartData'!$B$20),IF('ChartData'!$B$20&lt;=5,'ChartData'!$B$20,NA()),NA())</f>
        <v/>
      </c>
      <c r="D20">
        <f>IF(ISNUMBER('ChartData'!$B$20),IF(AND('ChartData'!$B$20&gt;5,'ChartData'!$B$20&lt;=10),'ChartData'!$B$20,NA()),NA())</f>
        <v/>
      </c>
      <c r="E20">
        <f>IF(ISNUMBER('ChartData'!$B$20),IF('ChartData'!$B$20&gt;10,'ChartData'!$B$20,NA()),NA())</f>
        <v/>
      </c>
    </row>
    <row r="21">
      <c r="A21" t="inlineStr">
        <is>
          <t>Community dynamics</t>
        </is>
      </c>
      <c r="B21">
        <f>IF('Scenario'!$H$82="","",'Scenario'!$H$82)</f>
        <v/>
      </c>
      <c r="C21">
        <f>IF(ISNUMBER('ChartData'!$B$21),IF('ChartData'!$B$21&lt;=5,'ChartData'!$B$21,NA()),NA())</f>
        <v/>
      </c>
      <c r="D21">
        <f>IF(ISNUMBER('ChartData'!$B$21),IF(AND('ChartData'!$B$21&gt;5,'ChartData'!$B$21&lt;=10),'ChartData'!$B$21,NA()),NA())</f>
        <v/>
      </c>
      <c r="E21">
        <f>IF(ISNUMBER('ChartData'!$B$21),IF('ChartData'!$B$21&gt;10,'ChartData'!$B$21,NA()),NA())</f>
        <v/>
      </c>
    </row>
    <row r="22">
      <c r="A22" t="inlineStr">
        <is>
          <t>Watershed connectivity</t>
        </is>
      </c>
      <c r="B22">
        <f>IF('Scenario'!$H$84="","",'Scenario'!$H$84)</f>
        <v/>
      </c>
      <c r="C22">
        <f>IF(ISNUMBER('ChartData'!$B$22),IF('ChartData'!$B$22&lt;=5,'ChartData'!$B$22,NA()),NA())</f>
        <v/>
      </c>
      <c r="D22">
        <f>IF(ISNUMBER('ChartData'!$B$22),IF(AND('ChartData'!$B$22&gt;5,'ChartData'!$B$22&lt;=10),'ChartData'!$B$22,NA()),NA())</f>
        <v/>
      </c>
      <c r="E22">
        <f>IF(ISNUMBER('ChartData'!$B$22),IF('ChartData'!$B$22&gt;10,'ChartData'!$B$22,NA()),NA())</f>
        <v/>
      </c>
    </row>
    <row r="24">
      <c r="A24" s="168" t="inlineStr">
        <is>
          <t>Outcome</t>
        </is>
      </c>
      <c r="B24" s="168" t="inlineStr">
        <is>
          <t>Score</t>
        </is>
      </c>
      <c r="C24" s="168" t="inlineStr">
        <is>
          <t>Non-Functioning (0.00-0.39)</t>
        </is>
      </c>
      <c r="D24" s="168" t="inlineStr">
        <is>
          <t>Functioning At-Risk (0.40-0.69)</t>
        </is>
      </c>
      <c r="E24" s="168" t="inlineStr">
        <is>
          <t>Functioning (0.70-1.00)</t>
        </is>
      </c>
    </row>
    <row r="25">
      <c r="A25" t="inlineStr">
        <is>
          <t>Physical</t>
        </is>
      </c>
      <c r="B25">
        <f>IF('Results'!$E$27="","",'Results'!$E$27)</f>
        <v/>
      </c>
      <c r="C25">
        <f>IF(ISNUMBER('ChartData'!$B$25),IF('ChartData'!$B$25&lt;=0.39,'ChartData'!$B$25,NA()),NA())</f>
        <v/>
      </c>
      <c r="D25">
        <f>IF(ISNUMBER('ChartData'!$B$25),IF(AND('ChartData'!$B$25&gt;0.39,'ChartData'!$B$25&lt;=0.69),'ChartData'!$B$25,NA()),NA())</f>
        <v/>
      </c>
      <c r="E25">
        <f>IF(ISNUMBER('ChartData'!$B$25),IF('ChartData'!$B$25&gt;0.69,'ChartData'!$B$25,NA()),NA())</f>
        <v/>
      </c>
    </row>
    <row r="26">
      <c r="A26" t="inlineStr">
        <is>
          <t>Chemical</t>
        </is>
      </c>
      <c r="B26">
        <f>IF('Results'!$E$28="","",'Results'!$E$28)</f>
        <v/>
      </c>
      <c r="C26">
        <f>IF(ISNUMBER('ChartData'!$B$26),IF('ChartData'!$B$26&lt;=0.39,'ChartData'!$B$26,NA()),NA())</f>
        <v/>
      </c>
      <c r="D26">
        <f>IF(ISNUMBER('ChartData'!$B$26),IF(AND('ChartData'!$B$26&gt;0.39,'ChartData'!$B$26&lt;=0.69),'ChartData'!$B$26,NA()),NA())</f>
        <v/>
      </c>
      <c r="E26">
        <f>IF(ISNUMBER('ChartData'!$B$26),IF('ChartData'!$B$26&gt;0.69,'ChartData'!$B$26,NA()),NA())</f>
        <v/>
      </c>
    </row>
    <row r="27">
      <c r="A27" t="inlineStr">
        <is>
          <t>Biological</t>
        </is>
      </c>
      <c r="B27">
        <f>IF('Results'!$E$29="","",'Results'!$E$29)</f>
        <v/>
      </c>
      <c r="C27">
        <f>IF(ISNUMBER('ChartData'!$B$27),IF('ChartData'!$B$27&lt;=0.39,'ChartData'!$B$27,NA()),NA())</f>
        <v/>
      </c>
      <c r="D27">
        <f>IF(ISNUMBER('ChartData'!$B$27),IF(AND('ChartData'!$B$27&gt;0.39,'ChartData'!$B$27&lt;=0.69),'ChartData'!$B$27,NA()),NA())</f>
        <v/>
      </c>
      <c r="E27">
        <f>IF(ISNUMBER('ChartData'!$B$27),IF('ChartData'!$B$27&gt;0.69,'ChartData'!$B$27,NA()),NA())</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7.xml><?xml version="1.0" encoding="utf-8"?>
<worksheet xmlns="http://schemas.openxmlformats.org/spreadsheetml/2006/main" xmlns:r="http://schemas.openxmlformats.org/officeDocument/2006/relationships">
  <sheetPr>
    <pageSetUpPr fitToPage="1"/>
  </sheetPr>
  <dimension ref="A1:D44"/>
  <sheetViews>
    <sheetView workbookViewId="0" showGridLines="0"/>
  </sheetViews>
  <sheetFormatPr defaultRowHeight="15"/>
  <cols>
    <col min="1" max="1" width="29" customWidth="1"/>
    <col min="2" max="2" width="13" customWidth="1"/>
    <col min="3" max="3" width="13" customWidth="1"/>
    <col min="4" max="4" width="10" customWidth="1"/>
  </cols>
  <sheetData>
    <row r="1" ht="28" customHeight="1">
      <c r="A1" s="192" t="inlineStr">
        <is>
          <t xml:space="preserve">EASI assessment summary</t>
        </is>
      </c>
    </row>
    <row r="2" ht="18" customHeight="1"/>
    <row r="3" ht="18" customHeight="1">
      <c r="A3" s="206" t="inlineStr">
        <is>
          <t xml:space="preserve">Reach name</t>
        </is>
      </c>
      <c r="B3" s="208" t="str">
        <f>IF(ISBLANK(Scenario!B2),"",Scenario!B2)</f>
        <v/>
      </c>
      <c r="C3" s="208"/>
      <c r="D3" s="208"/>
    </row>
    <row r="4" ht="18" customHeight="1">
      <c r="A4" s="206" t="inlineStr">
        <is>
          <t xml:space="preserve">Assessment tier</t>
        </is>
      </c>
      <c r="B4" s="209" t="inlineStr">
        <is>
          <t xml:space="preserve">Screening</t>
        </is>
      </c>
      <c r="C4" s="209"/>
      <c r="D4" s="209"/>
    </row>
    <row r="5" ht="18" customHeight="1">
      <c r="A5" s="206" t="inlineStr">
        <is>
          <t xml:space="preserve">Reach length</t>
        </is>
      </c>
      <c r="B5" s="207"/>
      <c r="C5" s="207"/>
      <c r="D5" s="207"/>
    </row>
    <row r="6" ht="18" customHeight="1">
      <c r="A6" s="206" t="inlineStr">
        <is>
          <t xml:space="preserve">Drainage area</t>
        </is>
      </c>
      <c r="B6" s="207"/>
      <c r="C6" s="207"/>
      <c r="D6" s="207"/>
    </row>
    <row r="7" ht="18" customHeight="1">
      <c r="A7" s="206" t="inlineStr">
        <is>
          <t xml:space="preserve">Stream order (Strahler)</t>
        </is>
      </c>
      <c r="B7" s="207"/>
      <c r="C7" s="207"/>
      <c r="D7" s="207"/>
    </row>
    <row r="8" ht="18" customHeight="1">
      <c r="A8" s="206" t="inlineStr">
        <is>
          <t xml:space="preserve">NARS-9 region</t>
        </is>
      </c>
      <c r="B8" s="208" t="str">
        <f>IF(ISBLANK(Scenario!K3),"",Scenario!K3)</f>
        <v/>
      </c>
      <c r="C8" s="208"/>
      <c r="D8" s="208"/>
    </row>
    <row r="9" ht="18" customHeight="1">
      <c r="A9" s="206" t="inlineStr">
        <is>
          <t xml:space="preserve">EPA Level I ecoregion</t>
        </is>
      </c>
      <c r="B9" s="207"/>
      <c r="C9" s="207"/>
      <c r="D9" s="207"/>
    </row>
    <row r="10" ht="18" customHeight="1">
      <c r="A10" s="206" t="inlineStr">
        <is>
          <t xml:space="preserve">EPA Level II ecoregion</t>
        </is>
      </c>
      <c r="B10" s="207"/>
      <c r="C10" s="207"/>
      <c r="D10" s="207"/>
    </row>
    <row r="11" ht="18" customHeight="1">
      <c r="A11" s="206" t="inlineStr">
        <is>
          <t xml:space="preserve">EPA Level III ecoregion</t>
        </is>
      </c>
      <c r="B11" s="207"/>
      <c r="C11" s="207"/>
      <c r="D11" s="207"/>
    </row>
    <row r="12" ht="18" customHeight="1"/>
    <row r="13" ht="28" customHeight="1">
      <c r="A13" s="194" t="inlineStr">
        <is>
          <t xml:space="preserve">Scores</t>
        </is>
      </c>
    </row>
    <row r="14" ht="21" customHeight="1">
      <c r="A14" s="196"/>
      <c r="B14" s="195" t="inlineStr">
        <is>
          <t xml:space="preserve">Scenario</t>
        </is>
      </c>
    </row>
    <row r="15" ht="22" customHeight="1">
      <c r="A15" s="203" t="inlineStr">
        <is>
          <t xml:space="preserve">Index</t>
        </is>
      </c>
      <c r="B15" s="204"/>
    </row>
    <row r="16" ht="18" customHeight="1">
      <c r="A16" s="205" t="inlineStr">
        <is>
          <t xml:space="preserve">ECI</t>
        </is>
      </c>
      <c r="B16" s="210" t="str">
        <f>IF(ISNUMBER(Results!$D$30),Results!$D$30,"")</f>
        <v/>
      </c>
    </row>
    <row r="17" ht="18" customHeight="1">
      <c r="A17" s="198" t="inlineStr">
        <is>
          <t xml:space="preserve">Physical</t>
        </is>
      </c>
      <c r="B17" s="211" t="str">
        <f>IF(ISNUMBER(Results!$D$27),Results!$D$27,"")</f>
        <v/>
      </c>
    </row>
    <row r="18" ht="18" customHeight="1">
      <c r="A18" s="198" t="inlineStr">
        <is>
          <t xml:space="preserve">Chemical</t>
        </is>
      </c>
      <c r="B18" s="211" t="str">
        <f>IF(ISNUMBER(Results!$D$28),Results!$D$28,"")</f>
        <v/>
      </c>
    </row>
    <row r="19" ht="18" customHeight="1">
      <c r="A19" s="198" t="inlineStr">
        <is>
          <t xml:space="preserve">Biological</t>
        </is>
      </c>
      <c r="B19" s="211" t="str">
        <f>IF(ISNUMBER(Results!$D$29),Results!$D$29,"")</f>
        <v/>
      </c>
    </row>
    <row r="20" ht="22" customHeight="1">
      <c r="A20" s="203" t="inlineStr">
        <is>
          <t xml:space="preserve">Hydrology</t>
        </is>
      </c>
      <c r="B20" s="204"/>
    </row>
    <row r="21" ht="18" customHeight="1">
      <c r="A21" s="198" t="inlineStr">
        <is>
          <t xml:space="preserve">Catchment hydrology</t>
        </is>
      </c>
      <c r="B21" s="212" t="str">
        <f>IF(ISNUMBER(Metrics!$B$13),Metrics!$B$13,"")</f>
        <v/>
      </c>
    </row>
    <row r="22" ht="18" customHeight="1">
      <c r="A22" s="198" t="inlineStr">
        <is>
          <t xml:space="preserve">Surface water storage</t>
        </is>
      </c>
      <c r="B22" s="212" t="str">
        <f>IF(ISNUMBER(Metrics!$B$25),Metrics!$B$25,"")</f>
        <v/>
      </c>
    </row>
    <row r="23" ht="18" customHeight="1">
      <c r="A23" s="198" t="inlineStr">
        <is>
          <t xml:space="preserve">Reach inflow</t>
        </is>
      </c>
      <c r="B23" s="212" t="str">
        <f>IF(ISNUMBER(Metrics!$B$35),Metrics!$B$35,"")</f>
        <v/>
      </c>
    </row>
    <row r="24" ht="18" customHeight="1">
      <c r="A24" s="198" t="inlineStr">
        <is>
          <t xml:space="preserve">Streamflow regime</t>
        </is>
      </c>
      <c r="B24" s="212" t="str">
        <f>IF(ISNUMBER(Metrics!$B$47),Metrics!$B$47,"")</f>
        <v/>
      </c>
    </row>
    <row r="25" ht="22" customHeight="1">
      <c r="A25" s="203" t="inlineStr">
        <is>
          <t xml:space="preserve">Hydraulics</t>
        </is>
      </c>
      <c r="B25" s="204"/>
    </row>
    <row r="26" ht="18" customHeight="1">
      <c r="A26" s="198" t="inlineStr">
        <is>
          <t xml:space="preserve">Low flow and baseflow dynamics</t>
        </is>
      </c>
      <c r="B26" s="212" t="str">
        <f>IF(ISNUMBER(Metrics!$B$60),Metrics!$B$60,"")</f>
        <v/>
      </c>
    </row>
    <row r="27" ht="18" customHeight="1">
      <c r="A27" s="198" t="inlineStr">
        <is>
          <t xml:space="preserve">High flow dynamics</t>
        </is>
      </c>
      <c r="B27" s="212" t="str">
        <f>IF(ISNUMBER(Metrics!$B$70),Metrics!$B$70,"")</f>
        <v/>
      </c>
    </row>
    <row r="28" ht="18" customHeight="1">
      <c r="A28" s="198" t="inlineStr">
        <is>
          <t xml:space="preserve">Floodplain connectivity</t>
        </is>
      </c>
      <c r="B28" s="212" t="str">
        <f>IF(ISNUMBER(Metrics!$B$82),Metrics!$B$82,"")</f>
        <v/>
      </c>
    </row>
    <row r="29" ht="18" customHeight="1">
      <c r="A29" s="198" t="inlineStr">
        <is>
          <t xml:space="preserve">Hyporheic connectivity</t>
        </is>
      </c>
      <c r="B29" s="212" t="str">
        <f>IF(ISNUMBER(Metrics!$B$95),Metrics!$B$95,"")</f>
        <v/>
      </c>
    </row>
    <row r="30" ht="22" customHeight="1">
      <c r="A30" s="203" t="inlineStr">
        <is>
          <t xml:space="preserve">Geomorphology</t>
        </is>
      </c>
      <c r="B30" s="204"/>
    </row>
    <row r="31" ht="18" customHeight="1">
      <c r="A31" s="198" t="inlineStr">
        <is>
          <t xml:space="preserve">Channel evolution</t>
        </is>
      </c>
      <c r="B31" s="212" t="str">
        <f>IF(ISNUMBER(Metrics!$B$109),Metrics!$B$109,"")</f>
        <v/>
      </c>
    </row>
    <row r="32" ht="18" customHeight="1">
      <c r="A32" s="198" t="inlineStr">
        <is>
          <t xml:space="preserve">Channel and floodplain dynamics</t>
        </is>
      </c>
      <c r="B32" s="212" t="str">
        <f>IF(ISNUMBER(Metrics!$B$121),Metrics!$B$121,"")</f>
        <v/>
      </c>
    </row>
    <row r="33" ht="18" customHeight="1">
      <c r="A33" s="198" t="inlineStr">
        <is>
          <t xml:space="preserve">Sediment continuity</t>
        </is>
      </c>
      <c r="B33" s="212" t="str">
        <f>IF(ISNUMBER(Metrics!$B$135),Metrics!$B$135,"")</f>
        <v/>
      </c>
    </row>
    <row r="34" ht="18" customHeight="1">
      <c r="A34" s="198" t="inlineStr">
        <is>
          <t xml:space="preserve">Bed composition and large wood</t>
        </is>
      </c>
      <c r="B34" s="212" t="str">
        <f>IF(ISNUMBER(Metrics!$B$145),Metrics!$B$145,"")</f>
        <v/>
      </c>
    </row>
    <row r="35" ht="22" customHeight="1">
      <c r="A35" s="203" t="inlineStr">
        <is>
          <t xml:space="preserve">Physicochemistry</t>
        </is>
      </c>
      <c r="B35" s="204"/>
    </row>
    <row r="36" ht="18" customHeight="1">
      <c r="A36" s="198" t="inlineStr">
        <is>
          <t xml:space="preserve">Light &amp; thermal regime</t>
        </is>
      </c>
      <c r="B36" s="212" t="str">
        <f>IF(ISNUMBER(Metrics!$B$160),Metrics!$B$160,"")</f>
        <v/>
      </c>
    </row>
    <row r="37" ht="18" customHeight="1">
      <c r="A37" s="198" t="inlineStr">
        <is>
          <t xml:space="preserve">Carbon processing</t>
        </is>
      </c>
      <c r="B37" s="212" t="str">
        <f>IF(ISNUMBER(Metrics!$B$176),Metrics!$B$176,"")</f>
        <v/>
      </c>
    </row>
    <row r="38" ht="18" customHeight="1">
      <c r="A38" s="198" t="inlineStr">
        <is>
          <t xml:space="preserve">Nutrient cycling</t>
        </is>
      </c>
      <c r="B38" s="212" t="str">
        <f>IF(ISNUMBER(Metrics!$B$188),Metrics!$B$188,"")</f>
        <v/>
      </c>
    </row>
    <row r="39" ht="18" customHeight="1">
      <c r="A39" s="198" t="inlineStr">
        <is>
          <t xml:space="preserve">Water &amp; soil quality</t>
        </is>
      </c>
      <c r="B39" s="212" t="str">
        <f>IF(ISNUMBER(Metrics!$B$199),Metrics!$B$199,"")</f>
        <v/>
      </c>
    </row>
    <row r="40" ht="22" customHeight="1">
      <c r="A40" s="203" t="inlineStr">
        <is>
          <t xml:space="preserve">Biology</t>
        </is>
      </c>
      <c r="B40" s="204"/>
    </row>
    <row r="41" ht="18" customHeight="1">
      <c r="A41" s="198" t="inlineStr">
        <is>
          <t xml:space="preserve">Habitat provision</t>
        </is>
      </c>
      <c r="B41" s="212" t="str">
        <f>IF(ISNUMBER(Metrics!$B$212),Metrics!$B$212,"")</f>
        <v/>
      </c>
    </row>
    <row r="42" ht="18" customHeight="1">
      <c r="A42" s="198" t="inlineStr">
        <is>
          <t xml:space="preserve">Population support</t>
        </is>
      </c>
      <c r="B42" s="212" t="str">
        <f>IF(ISNUMBER(Metrics!$B$225),Metrics!$B$225,"")</f>
        <v/>
      </c>
    </row>
    <row r="43" ht="18" customHeight="1">
      <c r="A43" s="198" t="inlineStr">
        <is>
          <t xml:space="preserve">Community dynamics</t>
        </is>
      </c>
      <c r="B43" s="212" t="str">
        <f>IF(ISNUMBER(Metrics!$B$235),Metrics!$B$235,"")</f>
        <v/>
      </c>
    </row>
    <row r="44" ht="18" customHeight="1">
      <c r="A44" s="198" t="inlineStr">
        <is>
          <t xml:space="preserve">Watershed connectivity</t>
        </is>
      </c>
      <c r="B44" s="212" t="str">
        <f>IF(ISNUMBER(Metrics!$B$245),Metrics!$B$245,"")</f>
        <v/>
      </c>
    </row>
  </sheetData>
  <mergeCells count="9">
    <mergeCell ref="B3:D3"/>
    <mergeCell ref="B4:D4"/>
    <mergeCell ref="B5:D5"/>
    <mergeCell ref="B6:D6"/>
    <mergeCell ref="B7:D7"/>
    <mergeCell ref="B8:D8"/>
    <mergeCell ref="B9:D9"/>
    <mergeCell ref="B10:D10"/>
    <mergeCell ref="B11:D11"/>
  </mergeCells>
  <printOptions horizontalCentered="1"/>
  <pageMargins left="0.5" right="0.5" top="0.6" bottom="0.6" header="0.3" footer="0.3"/>
  <pageSetup orientation="portrait" fitToWidth="1" fitToHeight="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EASI</dc:creator>
  <dc:title xmlns:dc="http://purl.org/dc/elements/1.1/">EASI calculator</dc:title>
  <dcterms:created xmlns:dcterms="http://purl.org/dc/terms/" xmlns:xsi="http://www.w3.org/2001/XMLSchema-instance" xsi:type="dcterms:W3CDTF">2026-10-23T00:00:00Z</dcterms:created>
  <dcterms:modified xmlns:dcterms="http://purl.org/dc/terms/" xmlns:xsi="http://www.w3.org/2001/XMLSchema-instance" xsi:type="dcterms:W3CDTF">2026-10-23T00:00:00Z</dcterms:modified>
  <cp:lastModifiedBy>EASI</cp:lastModifiedBy>
</cp:coreProperties>
</file>

<file path=docProps/custom.xml><?xml version="1.0" encoding="utf-8"?>
<Properties xmlns="http://schemas.openxmlformats.org/officeDocument/2006/custom-properties">
  <property name="Scoring method digest" fmtid="{D5CDD505-2E9C-101B-9397-08002B2CF9AE}" pid="2">
    <vt:lpwstr xmlns:vt="http://schemas.openxmlformats.org/officeDocument/2006/docPropsVTypes">e91118cc821c</vt:lpwstr>
  </property>
  <property name="Package digest" fmtid="{D5CDD505-2E9C-101B-9397-08002B2CF9AE}" pid="3">
    <vt:lpwstr xmlns:vt="http://schemas.openxmlformats.org/officeDocument/2006/docPropsVTypes">sha256:7e44b19d4ad8415da0e0216f19c9d03a9e5bd021136439f8c43931e0fc44933d</vt:lpwstr>
  </property>
  <property name="Generator sha256" fmtid="{D5CDD505-2E9C-101B-9397-08002B2CF9AE}" pid="4">
    <vt:lpwstr xmlns:vt="http://schemas.openxmlformats.org/officeDocument/2006/docPropsVTypes">2513c70c292dd32dd413f6fd87e455c1d1aca6075c64c5d349b558522625007b</vt:lpwstr>
  </property>
</Properties>
</file>