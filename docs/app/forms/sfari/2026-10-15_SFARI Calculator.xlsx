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xr:revisionPtr revIDLastSave="0" documentId="13_ncr:1_{354484F0-81BF-4BFC-B6D9-971B49C46730}" xr6:coauthVersionLast="47" xr6:coauthVersionMax="47" xr10:uidLastSave="{00000000-0000-0000-0000-000000000000}"/>
  <bookViews>
    <workbookView firstSheet="0" activeTab="0" xWindow="-108" yWindow="-84" windowWidth="23256" windowHeight="13872" xr2:uid="{00000000-000D-0000-FFFF-FFFF00000000}"/>
  </bookViews>
  <sheets>
    <sheet name="Instructions" sheetId="73" r:id="rId1"/>
    <sheet name="Summary" sheetId="75" r:id="rId13"/>
    <sheet name="Existing Conditions" sheetId="72" r:id="rId2"/>
    <sheet name="ReferenceCurves" sheetId="76" r:id="rId14"/>
    <sheet name="Sheet1" sheetId="74" state="hidden" r:id="rId3"/>
    <sheet name="REFI Multiple Score" sheetId="3" state="hidden" r:id="rId4"/>
    <sheet name="Global" sheetId="22" state="hidden" r:id="rId5"/>
  </sheets>
  <definedNames>
    <definedName name="_xlnm.Print_Titles" localSheetId="1">Summary!$14:$14</definedName>
  </definedName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<sst xmlns="http://schemas.openxmlformats.org/spreadsheetml/2006/main" count="397" uniqueCount="295">
  <si>
    <t>Model Name</t>
  </si>
  <si>
    <t>Color Coding Key:</t>
  </si>
  <si>
    <t>Developers</t>
  </si>
  <si>
    <t>**DO NOT INPUT VALUES HERE**</t>
  </si>
  <si>
    <t>U.S. Army Engineer Research and Development Center, Environmental Laboratory</t>
  </si>
  <si>
    <t>Calculated</t>
  </si>
  <si>
    <t>Value</t>
  </si>
  <si>
    <t>Red (0-5)</t>
  </si>
  <si>
    <t>Yellow (6-10)</t>
  </si>
  <si>
    <t>Vicksburg, MS</t>
  </si>
  <si>
    <t>Linked to Another Sheet</t>
  </si>
  <si>
    <t>Model Version</t>
  </si>
  <si>
    <t>Date of Last Update</t>
  </si>
  <si>
    <t>Waiver</t>
  </si>
  <si>
    <t>None of the authors nor the US Army Corps of Engineers accepts responsibility or liability for the model's use by third parties.</t>
  </si>
  <si>
    <t>Instructions</t>
  </si>
  <si>
    <t>1)</t>
  </si>
  <si>
    <t xml:space="preserve">2) </t>
  </si>
  <si>
    <t xml:space="preserve">3) </t>
  </si>
  <si>
    <t xml:space="preserve">4) </t>
  </si>
  <si>
    <t>5)</t>
  </si>
  <si>
    <t>Comments/Assumptions</t>
  </si>
  <si>
    <t xml:space="preserve">1) </t>
  </si>
  <si>
    <t>Strongly Agree</t>
  </si>
  <si>
    <t>Agree</t>
  </si>
  <si>
    <t>Lat/Long</t>
  </si>
  <si>
    <t>Reach Length (ft)</t>
  </si>
  <si>
    <t>Neutral</t>
  </si>
  <si>
    <t>Date</t>
  </si>
  <si>
    <t>Disagree</t>
  </si>
  <si>
    <t>Assessor(s)</t>
  </si>
  <si>
    <t>Strongly Disagree</t>
  </si>
  <si>
    <t>Overall</t>
  </si>
  <si>
    <t>Outcomes</t>
  </si>
  <si>
    <t>Categories</t>
  </si>
  <si>
    <t>Variable</t>
  </si>
  <si>
    <t>Indicators</t>
  </si>
  <si>
    <t>NA</t>
  </si>
  <si>
    <t>Index Score</t>
  </si>
  <si>
    <t>Name</t>
  </si>
  <si>
    <t>Manual Score</t>
  </si>
  <si>
    <t>Likert Scale Score</t>
  </si>
  <si>
    <t>Indicator</t>
  </si>
  <si>
    <t>Physical Processes</t>
  </si>
  <si>
    <t>Upland Runoff</t>
  </si>
  <si>
    <t>Bypassing Flows</t>
  </si>
  <si>
    <t>Floodplain Slope</t>
  </si>
  <si>
    <t>Runoff Pollution</t>
  </si>
  <si>
    <t>Hydrologic Connection</t>
  </si>
  <si>
    <t>Floodplain Connectivity</t>
  </si>
  <si>
    <t>Floodplain Roughness</t>
  </si>
  <si>
    <t>Flood Storage</t>
  </si>
  <si>
    <t>Erosion Potential</t>
  </si>
  <si>
    <t>Reach Erosion</t>
  </si>
  <si>
    <t>Channel Evolution</t>
  </si>
  <si>
    <t>Sediment Supply</t>
  </si>
  <si>
    <t>Biogeochemical Processes</t>
  </si>
  <si>
    <t>Carbon Sources</t>
  </si>
  <si>
    <t>Root Zone</t>
  </si>
  <si>
    <t>Soil Suitability</t>
  </si>
  <si>
    <t>Mobilizing Flows</t>
  </si>
  <si>
    <t>Riparian Filtering</t>
  </si>
  <si>
    <t>Buffer Width</t>
  </si>
  <si>
    <t>Buffer Density</t>
  </si>
  <si>
    <t>Ground Cover</t>
  </si>
  <si>
    <t>Ecological Connectivity</t>
  </si>
  <si>
    <t>Lateral</t>
  </si>
  <si>
    <t>Adjacent Land Use</t>
  </si>
  <si>
    <t>Average Buffer Width</t>
  </si>
  <si>
    <t>Distance from Buffer</t>
  </si>
  <si>
    <t>Longitudinal</t>
  </si>
  <si>
    <t>Longitudinal Movement and Habitat</t>
  </si>
  <si>
    <t>Corridor Movement</t>
  </si>
  <si>
    <t>Habitat Interspersion</t>
  </si>
  <si>
    <t>Unique and Important Habitats</t>
  </si>
  <si>
    <t>Terrestrial</t>
  </si>
  <si>
    <t>Plant Community</t>
  </si>
  <si>
    <t>Riparian Extent Vegetation</t>
  </si>
  <si>
    <t>Invasive/Non-Native Species</t>
  </si>
  <si>
    <t>Canopy Habitat</t>
  </si>
  <si>
    <t>Vertical Structural Diversity</t>
  </si>
  <si>
    <t>Horizontal Structural Diversity</t>
  </si>
  <si>
    <t>Understory Habitat</t>
  </si>
  <si>
    <t>Snag Density</t>
  </si>
  <si>
    <t>Forest Floor Habitat</t>
  </si>
  <si>
    <t>Detritus Cover</t>
  </si>
  <si>
    <t>Aquatic</t>
  </si>
  <si>
    <t>Stream Habitat</t>
  </si>
  <si>
    <t>Near-Bank Canopy Cover</t>
  </si>
  <si>
    <t>Near-Bank Organic Material</t>
  </si>
  <si>
    <t>In-Stream Coarse Wood</t>
  </si>
  <si>
    <t>Condition Index</t>
  </si>
  <si>
    <t>Variable Scoring</t>
  </si>
  <si>
    <t>Functioning</t>
  </si>
  <si>
    <t>Functioning At-Risk</t>
  </si>
  <si>
    <t>Non-Functioning</t>
  </si>
  <si>
    <t>Riparian Zone Ecological Function Index (REFI) Worksheet</t>
  </si>
  <si>
    <t>Optional Automated Scoring</t>
  </si>
  <si>
    <t>Both</t>
  </si>
  <si>
    <t>Reach</t>
  </si>
  <si>
    <t>Columns for Multiple Score Reach</t>
  </si>
  <si>
    <t>Somewhat Agree</t>
  </si>
  <si>
    <t>Left</t>
  </si>
  <si>
    <t>Score ID</t>
  </si>
  <si>
    <t>Right</t>
  </si>
  <si>
    <t>River Bank (Both / Left / Right)</t>
  </si>
  <si>
    <t>Somewhat Disagree</t>
  </si>
  <si>
    <t>Assessor</t>
  </si>
  <si>
    <t>Score Length</t>
  </si>
  <si>
    <t>Length</t>
  </si>
  <si>
    <t>Score</t>
  </si>
  <si>
    <t>Variable Score</t>
  </si>
  <si>
    <t>Subtotal</t>
  </si>
  <si>
    <t>Instream functions</t>
  </si>
  <si>
    <t>Direct Runoff</t>
  </si>
  <si>
    <t>Instream Hydrology</t>
  </si>
  <si>
    <t>Streamflow Processes</t>
  </si>
  <si>
    <t>Energy Sources and Biogeochemical Processes</t>
  </si>
  <si>
    <t>Lateral Disturbance</t>
  </si>
  <si>
    <t>Tree Size Class Diversity</t>
  </si>
  <si>
    <t>Terrestrial Vegetation Contribution</t>
  </si>
  <si>
    <t>For Index Value Type</t>
  </si>
  <si>
    <t>Measurement Types</t>
  </si>
  <si>
    <t>Riparian Classification</t>
  </si>
  <si>
    <t>Poor: LL</t>
  </si>
  <si>
    <t>Numeric</t>
  </si>
  <si>
    <t>Good</t>
  </si>
  <si>
    <t>Forested</t>
  </si>
  <si>
    <t>Poor: UL</t>
  </si>
  <si>
    <t>Categorical</t>
  </si>
  <si>
    <t>Fair</t>
  </si>
  <si>
    <t>Scrub-shrub</t>
  </si>
  <si>
    <t>Fair: LL</t>
  </si>
  <si>
    <t>Poor</t>
  </si>
  <si>
    <t>Herbacious</t>
  </si>
  <si>
    <t>Fair: UL</t>
  </si>
  <si>
    <t>Good: LL</t>
  </si>
  <si>
    <t>Good: UL</t>
  </si>
  <si>
    <t>Leanne Stepchinski, Gabrielle David, Samantha Wiest, and Garrett Menichino</t>
  </si>
  <si>
    <t>Leanne.M.Stepchinski@usace.army.mil, Gabrielle.C.David@usace.army.mil, Samantha.R.Wiest@erdc.dren.mil, Garrett.T.Menichino@usace.army.mil</t>
  </si>
  <si>
    <t>This model is provided for free as part of the USACE Technical Report "Stream Functions Assessment and Rapid Index" by Leanne Stepchinski, Gabrielle David, Samantha R. Wiest, and Garrett T. Menichino</t>
  </si>
  <si>
    <t>Stream Functions Assessment and Rapid Index (SFARI)</t>
  </si>
  <si>
    <t>Functions</t>
  </si>
  <si>
    <t>Function Score Check</t>
  </si>
  <si>
    <t>Catchment Hydrology</t>
  </si>
  <si>
    <t>Surface water storage</t>
  </si>
  <si>
    <t>Reach inflow</t>
  </si>
  <si>
    <t>Hydrology</t>
  </si>
  <si>
    <t>Impervious surface area</t>
  </si>
  <si>
    <t>Road density</t>
  </si>
  <si>
    <t>Land Use Change</t>
  </si>
  <si>
    <t>Impoundments</t>
  </si>
  <si>
    <t>Wetland coverage</t>
  </si>
  <si>
    <t>Floodplain water retention</t>
  </si>
  <si>
    <t>In-channel ponding/beaver</t>
  </si>
  <si>
    <t>Off-channel storage</t>
  </si>
  <si>
    <t>Reach Inflow</t>
  </si>
  <si>
    <t>Concentrated flow inputs</t>
  </si>
  <si>
    <t>Tributary Condition and Impact</t>
  </si>
  <si>
    <t>Local runoff diversions</t>
  </si>
  <si>
    <t>Road/highway drainage</t>
  </si>
  <si>
    <t>Physical</t>
  </si>
  <si>
    <t>Chemical</t>
  </si>
  <si>
    <t>Biological</t>
  </si>
  <si>
    <t>Hydraulics</t>
  </si>
  <si>
    <t>Geomorphology</t>
  </si>
  <si>
    <t>Overbank Flow Frequency</t>
  </si>
  <si>
    <t>Bed Mobilization Frequency</t>
  </si>
  <si>
    <t>Floodplain Complexity</t>
  </si>
  <si>
    <t>Channel Condition</t>
  </si>
  <si>
    <t>Lateral Floodplain inundation</t>
  </si>
  <si>
    <t>Channel Complexity for Exchange</t>
  </si>
  <si>
    <t>Floodplain Permeability</t>
  </si>
  <si>
    <t>Bed Surface Grain Size</t>
  </si>
  <si>
    <t>Visible Hyporheic Metrics</t>
  </si>
  <si>
    <t>High Flow Dynamics</t>
  </si>
  <si>
    <t>Hyporheic Connectivity</t>
  </si>
  <si>
    <t>Incision Trend (headcuts)</t>
  </si>
  <si>
    <t>Widening Trend</t>
  </si>
  <si>
    <t>Sinuosity</t>
  </si>
  <si>
    <t>Sediment Deposition Patterns</t>
  </si>
  <si>
    <t>Channel Degradation (Incision)</t>
  </si>
  <si>
    <t>Fine Sediment Balance</t>
  </si>
  <si>
    <t>Transport Capacity</t>
  </si>
  <si>
    <t>Riparian Wood Recruitment</t>
  </si>
  <si>
    <t>Sediment Continuity</t>
  </si>
  <si>
    <t>SFARI</t>
  </si>
  <si>
    <t>Riparian Canopy Cover</t>
  </si>
  <si>
    <t>Stream Temperature</t>
  </si>
  <si>
    <t>Algal Growth (light-limited)</t>
  </si>
  <si>
    <t>Thermal Refugia</t>
  </si>
  <si>
    <t>CPOM Retention</t>
  </si>
  <si>
    <t>Riparian Corridor Width/Quality</t>
  </si>
  <si>
    <t>Algal/Primary Production</t>
  </si>
  <si>
    <t>Visible Algal Indications (N/P)</t>
  </si>
  <si>
    <t>N/P Concentrations (surrogates)</t>
  </si>
  <si>
    <t>Vegetated Riparian Corridor Width</t>
  </si>
  <si>
    <t>Water Clarity/Turbidity</t>
  </si>
  <si>
    <t>Dissolved Oxygen</t>
  </si>
  <si>
    <t>In-Stream Habitat Complexity</t>
  </si>
  <si>
    <t>Aquatic Invertebrate Habitat</t>
  </si>
  <si>
    <t>Lateral/Off-Channel Habitats</t>
  </si>
  <si>
    <t>Aquatic Invertebrate Community</t>
  </si>
  <si>
    <t>Amphibian/ Crayfish Presence</t>
  </si>
  <si>
    <t>Light and Thermal Regime</t>
  </si>
  <si>
    <t>Carbon Processing</t>
  </si>
  <si>
    <t>Nutrient Cycling</t>
  </si>
  <si>
    <t>Water and Soil Quality</t>
  </si>
  <si>
    <t>Biology</t>
  </si>
  <si>
    <t>Habitat Provision</t>
  </si>
  <si>
    <t>Physicochemistry</t>
  </si>
  <si>
    <t>Population Support</t>
  </si>
  <si>
    <t>Community Dynamics</t>
  </si>
  <si>
    <t>Watershed Connectivity</t>
  </si>
  <si>
    <t>SFARI v1.1</t>
  </si>
  <si>
    <t>Metrics</t>
  </si>
  <si>
    <t>Weighted Scores</t>
  </si>
  <si>
    <t>Functional Categories</t>
  </si>
  <si>
    <t>Physical weight</t>
  </si>
  <si>
    <t>Chemical weight</t>
  </si>
  <si>
    <t>Biological weight</t>
  </si>
  <si>
    <t>D</t>
  </si>
  <si>
    <t>i</t>
  </si>
  <si>
    <t>Catchment hydrology</t>
  </si>
  <si>
    <t>High flow dynamics</t>
  </si>
  <si>
    <t>Floodplain connectivity</t>
  </si>
  <si>
    <t>Hyporheic connectivity</t>
  </si>
  <si>
    <t>Channel evolution</t>
  </si>
  <si>
    <t>Sediment continuity</t>
  </si>
  <si>
    <t>Light and thermal regime</t>
  </si>
  <si>
    <t>Carbon processing</t>
  </si>
  <si>
    <t>Nutrient cycling</t>
  </si>
  <si>
    <t>Water and soil quality</t>
  </si>
  <si>
    <t>Habitat provision</t>
  </si>
  <si>
    <t>Population support</t>
  </si>
  <si>
    <t>Community dynamics</t>
  </si>
  <si>
    <t>Watershed connectivity</t>
  </si>
  <si>
    <t>Sub-index Scores</t>
  </si>
  <si>
    <t>SFARI Index</t>
  </si>
  <si>
    <t>Peak Flow Capacity (Morphological)</t>
  </si>
  <si>
    <t>Stream Function Assessment and Rapid Index (SFARI) Worksheet</t>
  </si>
  <si>
    <t>Streamflow Regime</t>
  </si>
  <si>
    <t>Flow Permanence</t>
  </si>
  <si>
    <t>Low flow velocity</t>
  </si>
  <si>
    <t>Low flow depth</t>
  </si>
  <si>
    <t>Longitudinal connectivity</t>
  </si>
  <si>
    <t>Lateral connectivity</t>
  </si>
  <si>
    <t>Channel and Floodplain Dynamics</t>
  </si>
  <si>
    <t>Bank Erosion Potential</t>
  </si>
  <si>
    <t>Bank Migration and Meander</t>
  </si>
  <si>
    <t>Channel Pattern</t>
  </si>
  <si>
    <t>Large wood frequency and diversity</t>
  </si>
  <si>
    <t>Substrate composition</t>
  </si>
  <si>
    <t>Bedform diversity</t>
  </si>
  <si>
    <t>Low flow and baseflow</t>
  </si>
  <si>
    <t>Channel and floodplain dynamics</t>
  </si>
  <si>
    <t>Bed composition and bedform dynamics</t>
  </si>
  <si>
    <t>Flow Statistics</t>
  </si>
  <si>
    <t>Channel natural flow regime</t>
  </si>
  <si>
    <t>Artificial structures and inputs</t>
  </si>
  <si>
    <t>Low Flow and Baseflow Dynamics</t>
  </si>
  <si>
    <t>Fish habitat</t>
  </si>
  <si>
    <t>Fish Presence</t>
  </si>
  <si>
    <t>Native and non-native species</t>
  </si>
  <si>
    <t>Riparian communities</t>
  </si>
  <si>
    <t>Keystone species</t>
  </si>
  <si>
    <t>Lateral connectivity for riparian fauna</t>
  </si>
  <si>
    <t>Peak Flow Capacity (Velocity/Shear)</t>
  </si>
  <si>
    <t>Detritus Decomposition, Shredders</t>
  </si>
  <si>
    <t>Species richness, comp, and abundance</t>
  </si>
  <si>
    <r>
      <t xml:space="preserve">Add the field site information into the </t>
    </r>
    <r>
      <rPr>
        <sz val="11"/>
        <rFont val="Calibri"/>
        <family val="2"/>
        <scheme val="minor"/>
      </rPr>
      <t>orange</t>
    </r>
    <r>
      <rPr>
        <sz val="11"/>
        <color theme="1"/>
        <rFont val="Calibri"/>
        <family val="2"/>
        <scheme val="minor"/>
      </rPr>
      <t xml:space="preserve"> cells at the top of the Existing Conditions worksheet.</t>
    </r>
  </si>
  <si>
    <t>Record the metric scores using the Likert scale drop-down menu (column J).</t>
  </si>
  <si>
    <t>Record the function scores by entering a quantitative value between 0-15 (column H).</t>
  </si>
  <si>
    <t>Record other metrics, notes, or regional outliers in the grey box at the bottom of the worksheet.</t>
  </si>
  <si>
    <t>User Input</t>
  </si>
  <si>
    <t>Blue (11-15)</t>
  </si>
  <si>
    <t>Sub-Index Score</t>
  </si>
  <si>
    <t>For the manual scoring approach, the user determines a function score based on a scale of 0-15. For optional automatic scoring, column G provides a "Function Score Check" based on the Likert Scale Scoring in column J.</t>
  </si>
  <si>
    <t>Function</t>
  </si>
  <si>
    <t>Reach ID</t>
  </si>
  <si>
    <t>Surface Water Storage</t>
  </si>
  <si>
    <t>Bed Composition and Bedform Dynamics</t>
  </si>
  <si>
    <t>Other Metrics/Notes:</t>
  </si>
  <si>
    <t>Once the metric and function scores are recorded, the Functional Categories, Outcomes, and overall SFARI Index scores will auto-populate (column A). The scoring summary table and the bar charts to the right of the table will also auto-populate.</t>
  </si>
  <si>
    <t>Relative Denitrification Potential (visual)</t>
  </si>
  <si>
    <t>Entrenchment Ratio (ER)</t>
  </si>
  <si>
    <t>Recovery Indicators</t>
  </si>
  <si>
    <t>Toxic Pollutants</t>
  </si>
  <si>
    <t>pH &amp; Specific Conductivity</t>
  </si>
  <si>
    <t>Overhanging Vegetation</t>
  </si>
  <si>
    <t>Upstream/downstream barriers</t>
  </si>
  <si>
    <t>Culvert/road-crossing passability</t>
  </si>
  <si>
    <t>Dewatered/intermittent segments</t>
  </si>
  <si>
    <t>Protect/unprotect password:</t>
  </si>
  <si>
    <t>sfari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</si>
</sst>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m\ d\,\ yyyy;@"/>
  </numFmts>
  <fonts x14ac:knownFonts="1" count="33">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0"/>
      <name val="Arial"/>
      <family val="2"/>
    </font>
    <font>
      <i/>
      <sz val="12"/>
      <color theme="1"/>
      <name val="Calibri"/>
      <family val="2"/>
      <scheme val="minor"/>
    </font>
    <font>
      <i/>
      <sz val="11"/>
      <color theme="1"/>
      <name val="Calibri"/>
      <family val="2"/>
      <scheme val="minor"/>
    </font>
    <font>
      <b/>
      <sz val="11"/>
      <color rgb="FFFA7D00"/>
      <name val="Calibri"/>
      <family val="2"/>
      <scheme val="minor"/>
    </font>
    <font>
      <u/>
      <sz val="11"/>
      <color theme="10"/>
      <name val="Calibri"/>
      <family val="2"/>
      <scheme val="minor"/>
    </font>
    <font>
      <b/>
      <sz val="10"/>
      <name val="Arial"/>
      <family val="2"/>
    </font>
    <font>
      <b/>
      <sz val="12"/>
      <name val="Arial"/>
      <family val="2"/>
    </font>
    <font>
      <u/>
      <sz val="10"/>
      <color indexed="12"/>
      <name val="Arial"/>
      <family val="2"/>
    </font>
    <font>
      <sz val="11"/>
      <name val="Calibri"/>
      <family val="2"/>
      <scheme val="minor"/>
    </font>
    <font>
      <sz val="11"/>
      <color theme="1"/>
      <name val="Calibri"/>
      <family val="2"/>
    </font>
    <font>
      <b/>
      <sz val="12"/>
      <color rgb="FF000000"/>
      <name val="Calibri"/>
      <family val="2"/>
    </font>
    <font>
      <sz val="12"/>
      <color rgb="FF000000"/>
      <name val="Calibri"/>
      <family val="2"/>
    </font>
    <font>
      <sz val="10"/>
      <color rgb="FF000000"/>
      <name val="Calibri"/>
      <family val="2"/>
    </font>
    <font>
      <b/>
      <sz val="10"/>
      <color rgb="FF0D0D0D"/>
      <name val="Calibri"/>
      <family val="2"/>
    </font>
    <font>
      <sz val="11"/>
      <name val="Calibri"/>
      <family val="2"/>
    </font>
    <font>
      <sz val="12"/>
      <color theme="1"/>
      <name val="Calibri"/>
      <family val="2"/>
    </font>
    <font>
      <b/>
      <sz val="11"/>
      <color theme="1"/>
      <name val="Calibri"/>
      <family val="2"/>
    </font>
    <font>
      <b/>
      <sz val="12"/>
      <color rgb="FF000000"/>
      <name val="Calibri"/>
      <family val="2"/>
      <scheme val="minor"/>
    </font>
    <font>
      <b/>
      <sz val="11"/>
      <name val="Calibri"/>
      <family val="2"/>
      <scheme val="minor"/>
    </font>
    <font>
      <sz val="10"/>
      <name val="Calibri"/>
      <family val="2"/>
      <scheme val="minor"/>
    </font>
    <font>
      <b/>
      <sz val="16"/>
      <color rgb="FF2B3445"/>
      <name val="Calibri"/>
      <family val="2"/>
    </font>
    <font>
      <sz val="11"/>
      <color rgb="FF7A8699"/>
      <name val="Calibri"/>
      <family val="2"/>
    </font>
    <font>
      <b/>
      <sz val="12"/>
      <color rgb="FF2B3445"/>
      <name val="Calibri"/>
      <family val="2"/>
    </font>
    <font>
      <b/>
      <sz val="11"/>
      <color rgb="FF2B3445"/>
      <name val="Calibri"/>
      <family val="2"/>
    </font>
    <font>
      <sz val="11"/>
      <color rgb="FF2B3445"/>
      <name val="Calibri"/>
      <family val="2"/>
    </font>
    <font>
      <sz val="11"/>
      <color rgb="FF5A6578"/>
      <name val="Calibri"/>
      <family val="2"/>
    </font>
    <font>
      <b/>
      <sz val="11"/>
      <color rgb="FF5A6578"/>
      <name val="Calibri"/>
      <family val="2"/>
    </font>
  </fonts>
  <fills count="25">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19861"/>
        <bgColor indexed="64"/>
      </patternFill>
    </fill>
    <fill>
      <patternFill patternType="solid">
        <fgColor theme="0" tint="-0.249977111117893"/>
        <bgColor indexed="64"/>
      </patternFill>
    </fill>
    <fill>
      <patternFill patternType="solid">
        <fgColor rgb="FFF2F2F2"/>
      </patternFill>
    </fill>
    <fill>
      <patternFill patternType="solid">
        <fgColor rgb="FFFF6969"/>
        <bgColor indexed="64"/>
      </patternFill>
    </fill>
    <fill>
      <patternFill patternType="solid">
        <fgColor rgb="FFD9E1F2"/>
        <bgColor indexed="64"/>
      </patternFill>
    </fill>
    <fill>
      <patternFill patternType="solid">
        <fgColor rgb="FFB4C6E7"/>
        <bgColor indexed="64"/>
      </patternFill>
    </fill>
    <fill>
      <patternFill patternType="solid">
        <fgColor rgb="FFFCE4D6"/>
        <bgColor indexed="64"/>
      </patternFill>
    </fill>
    <fill>
      <patternFill patternType="solid">
        <fgColor rgb="FFFFF2CC"/>
        <bgColor indexed="64"/>
      </patternFill>
    </fill>
    <fill>
      <patternFill patternType="solid">
        <fgColor rgb="FFE2EFDA"/>
        <bgColor indexed="64"/>
      </patternFill>
    </fill>
    <fill>
      <patternFill patternType="solid">
        <fgColor rgb="FFF6F8FB"/>
        <bgColor indexed="64"/>
      </patternFill>
    </fill>
  </fills>
  <borders count="7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9"/>
      </left>
      <right style="thin">
        <color indexed="9"/>
      </right>
      <top/>
      <bottom/>
      <diagonal/>
    </border>
    <border>
      <left/>
      <right/>
      <top/>
      <bottom style="medium">
        <color rgb="FFD5DEEA"/>
      </bottom>
      <diagonal/>
    </border>
    <border>
      <left/>
      <right/>
      <top/>
      <bottom style="thin">
        <color rgb="FFE5E8EE"/>
      </bottom>
      <diagonal/>
    </border>
    <border>
      <left/>
      <right/>
      <top/>
      <bottom style="thin">
        <color rgb="FFD5DEEA"/>
      </bottom>
      <diagonal/>
    </border>
  </borders>
  <cellStyleXfs count="5">
    <xf numFmtId="0" fontId="0" fillId="0" borderId="0"/>
    <xf numFmtId="9" fontId="1" fillId="0" borderId="0" applyFont="0" applyFill="0" applyBorder="0" applyAlignment="0" applyProtection="0"/>
    <xf numFmtId="0" fontId="6" fillId="0" borderId="0"/>
    <xf numFmtId="0" fontId="9" fillId="17" borderId="54" applyNumberFormat="0" applyAlignment="0" applyProtection="0"/>
    <xf numFmtId="0" fontId="10" fillId="0" borderId="0" applyNumberFormat="0" applyFill="0" applyBorder="0" applyAlignment="0" applyProtection="0"/>
  </cellStyleXfs>
  <cellXfs count="386">
    <xf numFmtId="0" fontId="0" fillId="0" borderId="0" xfId="0"/>
    <xf numFmtId="0" fontId="2" fillId="0" borderId="0" xfId="0" applyFont="1"/>
    <xf numFmtId="0" fontId="0" fillId="12" borderId="5" xfId="0" applyFill="1" applyBorder="1"/>
    <xf numFmtId="0" fontId="0" fillId="6" borderId="5" xfId="0" applyFill="1" applyBorder="1"/>
    <xf numFmtId="2" fontId="4" fillId="0" borderId="0" xfId="1" applyNumberFormat="1" applyFont="1" applyFill="1" applyBorder="1" applyAlignment="1" applyProtection="1">
      <alignment vertical="center"/>
      <protection locked="0"/>
    </xf>
    <xf numFmtId="0" fontId="0" fillId="0" borderId="5" xfId="0" applyBorder="1"/>
    <xf numFmtId="0" fontId="3" fillId="0" borderId="0" xfId="0" applyFont="1" applyAlignment="1">
      <alignment vertical="center" wrapText="1"/>
    </xf>
    <xf numFmtId="0" fontId="0" fillId="2" borderId="8" xfId="0" applyFill="1" applyBorder="1"/>
    <xf numFmtId="0" fontId="0" fillId="2" borderId="0" xfId="0" applyFill="1"/>
    <xf numFmtId="0" fontId="0" fillId="3" borderId="8" xfId="0" applyFill="1" applyBorder="1"/>
    <xf numFmtId="0" fontId="0" fillId="3" borderId="0" xfId="0" applyFill="1"/>
    <xf numFmtId="0" fontId="0" fillId="7" borderId="0" xfId="0" applyFill="1" applyAlignment="1">
      <alignment horizontal="left"/>
    </xf>
    <xf numFmtId="0" fontId="0" fillId="7" borderId="11" xfId="0" applyFill="1" applyBorder="1" applyAlignment="1">
      <alignment horizontal="left"/>
    </xf>
    <xf numFmtId="0" fontId="0" fillId="4" borderId="0" xfId="0" applyFill="1"/>
    <xf numFmtId="0" fontId="0" fillId="4" borderId="11" xfId="0" applyFill="1" applyBorder="1" applyAlignment="1">
      <alignment horizontal="left"/>
    </xf>
    <xf numFmtId="0" fontId="0" fillId="10" borderId="0" xfId="0" applyFill="1"/>
    <xf numFmtId="0" fontId="0" fillId="10" borderId="11" xfId="0" applyFill="1" applyBorder="1" applyAlignment="1">
      <alignment horizontal="left"/>
    </xf>
    <xf numFmtId="0" fontId="0" fillId="11" borderId="0" xfId="0" applyFill="1"/>
    <xf numFmtId="0" fontId="0" fillId="11" borderId="11" xfId="0" applyFill="1" applyBorder="1" applyAlignment="1">
      <alignment horizontal="left"/>
    </xf>
    <xf numFmtId="1" fontId="0" fillId="13" borderId="5" xfId="0" applyNumberFormat="1" applyFill="1" applyBorder="1" applyAlignment="1">
      <alignment horizontal="center" vertical="center"/>
    </xf>
    <xf numFmtId="0" fontId="5" fillId="14" borderId="2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4" fillId="14" borderId="9" xfId="0" applyFont="1" applyFill="1" applyBorder="1" applyAlignment="1" applyProtection="1">
      <alignment vertical="center"/>
      <protection locked="0"/>
    </xf>
    <xf numFmtId="0" fontId="4" fillId="14" borderId="0" xfId="0" applyFont="1" applyFill="1" applyAlignment="1" applyProtection="1">
      <alignment vertical="center"/>
      <protection locked="0"/>
    </xf>
    <xf numFmtId="0" fontId="4" fillId="14" borderId="0" xfId="0" applyFont="1" applyFill="1" applyAlignment="1" applyProtection="1">
      <alignment horizontal="right" vertical="center"/>
      <protection locked="0"/>
    </xf>
    <xf numFmtId="0" fontId="0" fillId="7" borderId="8" xfId="0" applyFill="1" applyBorder="1"/>
    <xf numFmtId="0" fontId="0" fillId="7" borderId="16" xfId="0" applyFill="1" applyBorder="1"/>
    <xf numFmtId="0" fontId="0" fillId="7" borderId="17" xfId="0" applyFill="1" applyBorder="1"/>
    <xf numFmtId="0" fontId="4" fillId="14" borderId="20" xfId="0" applyFont="1" applyFill="1" applyBorder="1" applyAlignment="1" applyProtection="1">
      <alignment horizontal="right" vertical="center"/>
      <protection locked="0"/>
    </xf>
    <xf numFmtId="0" fontId="0" fillId="4" borderId="19" xfId="0" applyFill="1" applyBorder="1"/>
    <xf numFmtId="0" fontId="0" fillId="15" borderId="0" xfId="0" applyFill="1" applyAlignment="1">
      <alignment horizontal="left"/>
    </xf>
    <xf numFmtId="0" fontId="0" fillId="15" borderId="44" xfId="0" applyFill="1" applyBorder="1" applyAlignment="1">
      <alignment horizontal="left"/>
    </xf>
    <xf numFmtId="1" fontId="0" fillId="13" borderId="26" xfId="0" applyNumberFormat="1" applyFill="1" applyBorder="1" applyAlignment="1">
      <alignment horizontal="center" vertical="center"/>
    </xf>
    <xf numFmtId="0" fontId="0" fillId="0" borderId="10" xfId="0" applyBorder="1"/>
    <xf numFmtId="1" fontId="0" fillId="2" borderId="2" xfId="1" applyNumberFormat="1" applyFont="1" applyFill="1" applyBorder="1" applyAlignment="1" applyProtection="1">
      <alignment horizontal="center"/>
      <protection locked="0"/>
    </xf>
    <xf numFmtId="1" fontId="0" fillId="2" borderId="10" xfId="1" applyNumberFormat="1" applyFont="1" applyFill="1" applyBorder="1" applyAlignment="1" applyProtection="1">
      <alignment horizontal="center"/>
      <protection locked="0"/>
    </xf>
    <xf numFmtId="1" fontId="0" fillId="3" borderId="2" xfId="1" applyNumberFormat="1" applyFont="1" applyFill="1" applyBorder="1" applyAlignment="1" applyProtection="1">
      <alignment horizontal="center"/>
      <protection locked="0"/>
    </xf>
    <xf numFmtId="1" fontId="0" fillId="3" borderId="10" xfId="1" applyNumberFormat="1" applyFont="1" applyFill="1" applyBorder="1" applyAlignment="1" applyProtection="1">
      <alignment horizontal="center"/>
      <protection locked="0"/>
    </xf>
    <xf numFmtId="1" fontId="0" fillId="7" borderId="2" xfId="1" applyNumberFormat="1" applyFont="1" applyFill="1" applyBorder="1" applyAlignment="1" applyProtection="1">
      <alignment horizontal="center"/>
      <protection locked="0"/>
    </xf>
    <xf numFmtId="1" fontId="0" fillId="7" borderId="4" xfId="1" applyNumberFormat="1" applyFont="1" applyFill="1" applyBorder="1" applyAlignment="1" applyProtection="1">
      <alignment horizontal="center"/>
      <protection locked="0"/>
    </xf>
    <xf numFmtId="1" fontId="0" fillId="7" borderId="10" xfId="1" applyNumberFormat="1" applyFont="1" applyFill="1" applyBorder="1" applyAlignment="1" applyProtection="1">
      <alignment horizontal="center"/>
      <protection locked="0"/>
    </xf>
    <xf numFmtId="1" fontId="0" fillId="4" borderId="10" xfId="1" applyNumberFormat="1" applyFont="1" applyFill="1" applyBorder="1" applyAlignment="1" applyProtection="1">
      <alignment horizontal="center"/>
      <protection locked="0"/>
    </xf>
    <xf numFmtId="1" fontId="0" fillId="4" borderId="4" xfId="1" applyNumberFormat="1" applyFont="1" applyFill="1" applyBorder="1" applyAlignment="1" applyProtection="1">
      <alignment horizontal="center"/>
      <protection locked="0"/>
    </xf>
    <xf numFmtId="1" fontId="0" fillId="10" borderId="10" xfId="1" applyNumberFormat="1" applyFont="1" applyFill="1" applyBorder="1" applyAlignment="1" applyProtection="1">
      <alignment horizontal="center"/>
      <protection locked="0"/>
    </xf>
    <xf numFmtId="1" fontId="0" fillId="10" borderId="4" xfId="1" applyNumberFormat="1" applyFont="1" applyFill="1" applyBorder="1" applyAlignment="1" applyProtection="1">
      <alignment horizontal="center"/>
      <protection locked="0"/>
    </xf>
    <xf numFmtId="1" fontId="0" fillId="11" borderId="10" xfId="1" applyNumberFormat="1" applyFont="1" applyFill="1" applyBorder="1" applyAlignment="1" applyProtection="1">
      <alignment horizontal="center"/>
      <protection locked="0"/>
    </xf>
    <xf numFmtId="1" fontId="0" fillId="11" borderId="4" xfId="1" applyNumberFormat="1" applyFont="1" applyFill="1" applyBorder="1" applyAlignment="1" applyProtection="1">
      <alignment horizontal="center"/>
      <protection locked="0"/>
    </xf>
    <xf numFmtId="1" fontId="0" fillId="15" borderId="10" xfId="1" applyNumberFormat="1" applyFont="1" applyFill="1" applyBorder="1" applyAlignment="1" applyProtection="1">
      <alignment horizontal="center"/>
      <protection locked="0"/>
    </xf>
    <xf numFmtId="1" fontId="0" fillId="15" borderId="4" xfId="1" applyNumberFormat="1" applyFont="1" applyFill="1" applyBorder="1" applyAlignment="1" applyProtection="1">
      <alignment horizontal="center"/>
      <protection locked="0"/>
    </xf>
    <xf numFmtId="1" fontId="0" fillId="13" borderId="15" xfId="0" applyNumberFormat="1" applyFill="1" applyBorder="1" applyAlignment="1">
      <alignment horizontal="center" vertical="center"/>
    </xf>
    <xf numFmtId="1" fontId="0" fillId="13" borderId="45" xfId="0" applyNumberFormat="1" applyFill="1" applyBorder="1" applyAlignment="1">
      <alignment horizontal="center" vertical="center"/>
    </xf>
    <xf numFmtId="1" fontId="0" fillId="2" borderId="4" xfId="1" applyNumberFormat="1" applyFont="1" applyFill="1" applyBorder="1" applyAlignment="1" applyProtection="1">
      <alignment horizontal="center"/>
      <protection locked="0"/>
    </xf>
    <xf numFmtId="0" fontId="8" fillId="0" borderId="5" xfId="0" applyFont="1" applyBorder="1"/>
    <xf numFmtId="0" fontId="8" fillId="0" borderId="5" xfId="0" applyFont="1" applyBorder="1" applyAlignment="1">
      <alignment horizontal="left"/>
    </xf>
    <xf numFmtId="0" fontId="4" fillId="13" borderId="5" xfId="0" applyFont="1" applyFill="1" applyBorder="1" applyAlignment="1" applyProtection="1">
      <alignment horizontal="center" vertical="center"/>
      <protection locked="0"/>
    </xf>
    <xf numFmtId="0" fontId="4" fillId="13" borderId="15" xfId="0" applyFont="1" applyFill="1" applyBorder="1" applyAlignment="1" applyProtection="1">
      <alignment horizontal="center" vertical="center"/>
      <protection locked="0"/>
    </xf>
    <xf numFmtId="0" fontId="4" fillId="13" borderId="26" xfId="0" applyFont="1" applyFill="1" applyBorder="1" applyAlignment="1" applyProtection="1">
      <alignment horizontal="center" vertical="center"/>
      <protection locked="0"/>
    </xf>
    <xf numFmtId="0" fontId="4" fillId="13" borderId="45" xfId="0" applyFont="1" applyFill="1" applyBorder="1" applyAlignment="1" applyProtection="1">
      <alignment horizontal="center" vertical="center"/>
      <protection locked="0"/>
    </xf>
    <xf numFmtId="0" fontId="0" fillId="0" borderId="5" xfId="0" applyBorder="1" applyAlignment="1">
      <alignment horizontal="left"/>
    </xf>
    <xf numFmtId="0" fontId="8" fillId="0" borderId="0" xfId="0" applyFont="1" applyAlignment="1">
      <alignment horizontal="center"/>
    </xf>
    <xf numFmtId="164" fontId="0" fillId="0" borderId="0" xfId="0" applyNumberFormat="1" applyAlignment="1">
      <alignment horizontal="center"/>
    </xf>
    <xf numFmtId="0" fontId="0" fillId="8" borderId="0" xfId="0" applyFill="1"/>
    <xf numFmtId="0" fontId="2" fillId="8" borderId="0" xfId="0" applyFont="1" applyFill="1"/>
    <xf numFmtId="2" fontId="4" fillId="8" borderId="0" xfId="1" applyNumberFormat="1" applyFont="1" applyFill="1" applyBorder="1" applyAlignment="1" applyProtection="1">
      <alignment vertical="center"/>
      <protection locked="0"/>
    </xf>
    <xf numFmtId="0" fontId="0" fillId="8" borderId="0" xfId="0" applyFill="1" applyAlignment="1">
      <alignment horizontal="center"/>
    </xf>
    <xf numFmtId="0" fontId="11" fillId="8" borderId="55" xfId="0" applyFont="1" applyFill="1" applyBorder="1"/>
    <xf numFmtId="0" fontId="0" fillId="8" borderId="55" xfId="0" applyFill="1" applyBorder="1"/>
    <xf numFmtId="0" fontId="0" fillId="8" borderId="56" xfId="0" applyFill="1" applyBorder="1"/>
    <xf numFmtId="0" fontId="11" fillId="8" borderId="57" xfId="0" applyFont="1" applyFill="1" applyBorder="1"/>
    <xf numFmtId="0" fontId="0" fillId="8" borderId="5" xfId="0" applyFill="1" applyBorder="1" applyAlignment="1">
      <alignment horizontal="center"/>
    </xf>
    <xf numFmtId="0" fontId="13" fillId="8" borderId="55" xfId="4" applyFont="1" applyFill="1" applyBorder="1" applyAlignment="1" applyProtection="1"/>
    <xf numFmtId="0" fontId="6" fillId="8" borderId="55" xfId="0" applyFont="1" applyFill="1" applyBorder="1"/>
    <xf numFmtId="165" fontId="0" fillId="8" borderId="55" xfId="0" applyNumberFormat="1" applyFill="1" applyBorder="1" applyAlignment="1">
      <alignment horizontal="left"/>
    </xf>
    <xf numFmtId="0" fontId="6" fillId="8" borderId="55" xfId="0" applyFont="1" applyFill="1" applyBorder="1" applyAlignment="1">
      <alignment wrapText="1"/>
    </xf>
    <xf numFmtId="0" fontId="11" fillId="8" borderId="56" xfId="0" applyFont="1" applyFill="1" applyBorder="1"/>
    <xf numFmtId="0" fontId="11" fillId="8" borderId="0" xfId="0" applyFont="1" applyFill="1"/>
    <xf numFmtId="0" fontId="12" fillId="8" borderId="0" xfId="0" applyFont="1" applyFill="1" applyAlignment="1">
      <alignment horizontal="center"/>
    </xf>
    <xf numFmtId="0" fontId="0" fillId="8" borderId="9" xfId="0" applyFill="1" applyBorder="1" applyAlignment="1">
      <alignment horizontal="center"/>
    </xf>
    <xf numFmtId="0" fontId="14" fillId="17" borderId="54" xfId="3" applyFont="1"/>
    <xf numFmtId="2" fontId="14" fillId="17" borderId="54" xfId="3" applyNumberFormat="1" applyFont="1"/>
    <xf numFmtId="0" fontId="14" fillId="17" borderId="54" xfId="3" applyFont="1" applyAlignment="1">
      <alignment horizontal="center"/>
    </xf>
    <xf numFmtId="0" fontId="0" fillId="10" borderId="5" xfId="0" applyFill="1" applyBorder="1" applyAlignment="1">
      <alignment horizontal="center"/>
    </xf>
    <xf numFmtId="0" fontId="0" fillId="8" borderId="47" xfId="0" applyFill="1" applyBorder="1" applyAlignment="1">
      <alignment horizontal="center"/>
    </xf>
    <xf numFmtId="0" fontId="0" fillId="8" borderId="18" xfId="0" applyFill="1" applyBorder="1" applyAlignment="1">
      <alignment horizontal="center"/>
    </xf>
    <xf numFmtId="0" fontId="0" fillId="8" borderId="62" xfId="0" applyFill="1" applyBorder="1" applyAlignment="1">
      <alignment horizontal="center"/>
    </xf>
    <xf numFmtId="0" fontId="0" fillId="8" borderId="21" xfId="0" applyFill="1" applyBorder="1" applyAlignment="1">
      <alignment horizontal="center"/>
    </xf>
    <xf numFmtId="164" fontId="0" fillId="8" borderId="29" xfId="0" applyNumberFormat="1" applyFill="1" applyBorder="1" applyAlignment="1">
      <alignment horizontal="center"/>
    </xf>
    <xf numFmtId="0" fontId="0" fillId="8" borderId="30" xfId="0" applyFill="1" applyBorder="1" applyAlignment="1">
      <alignment horizontal="center"/>
    </xf>
    <xf numFmtId="0" fontId="0" fillId="8" borderId="64" xfId="0" applyFill="1" applyBorder="1" applyAlignment="1">
      <alignment horizontal="center"/>
    </xf>
    <xf numFmtId="164" fontId="0" fillId="8" borderId="33" xfId="0" applyNumberFormat="1" applyFill="1" applyBorder="1" applyAlignment="1">
      <alignment horizontal="center"/>
    </xf>
    <xf numFmtId="0" fontId="2" fillId="8" borderId="0" xfId="0" applyFont="1" applyFill="1" applyAlignment="1">
      <alignment horizontal="center" wrapText="1"/>
    </xf>
    <xf numFmtId="0" fontId="0" fillId="14" borderId="44" xfId="0" applyFill="1" applyBorder="1"/>
    <xf numFmtId="0" fontId="0" fillId="16" borderId="16" xfId="0" applyFill="1" applyBorder="1"/>
    <xf numFmtId="0" fontId="0" fillId="6" borderId="68" xfId="0" applyFill="1" applyBorder="1"/>
    <xf numFmtId="0" fontId="0" fillId="6" borderId="16" xfId="0" applyFill="1" applyBorder="1"/>
    <xf numFmtId="0" fontId="0" fillId="6" borderId="44" xfId="0" applyFill="1" applyBorder="1"/>
    <xf numFmtId="1" fontId="14" fillId="17" borderId="54" xfId="3" applyNumberFormat="1" applyFont="1"/>
    <xf numFmtId="0" fontId="0" fillId="16" borderId="44" xfId="0" applyFill="1" applyBorder="1"/>
    <xf numFmtId="0" fontId="0" fillId="8" borderId="14" xfId="0" applyFill="1" applyBorder="1"/>
    <xf numFmtId="0" fontId="0" fillId="16" borderId="14" xfId="0" applyFill="1" applyBorder="1"/>
    <xf numFmtId="0" fontId="0" fillId="14" borderId="17" xfId="0" applyFill="1" applyBorder="1"/>
    <xf numFmtId="0" fontId="0" fillId="8" borderId="5" xfId="0" applyFill="1" applyBorder="1" applyAlignment="1">
      <alignment horizontal="center" vertical="center"/>
    </xf>
    <xf numFmtId="0" fontId="0" fillId="8" borderId="5" xfId="0" applyFill="1" applyBorder="1" applyAlignment="1">
      <alignment horizontal="left" vertical="center" wrapText="1"/>
    </xf>
    <xf numFmtId="0" fontId="0" fillId="8" borderId="5" xfId="0" applyFill="1" applyBorder="1" applyAlignment="1">
      <alignment wrapText="1"/>
    </xf>
    <xf numFmtId="0" fontId="24" fillId="17" borderId="54" xfId="3" applyFont="1"/>
    <xf numFmtId="0" fontId="0" fillId="14" borderId="27" xfId="0" applyFill="1" applyBorder="1"/>
    <xf numFmtId="0" fontId="0" fillId="14" borderId="14" xfId="0" applyFill="1" applyBorder="1"/>
    <xf numFmtId="0" fontId="0" fillId="16" borderId="68" xfId="0" applyFill="1" applyBorder="1"/>
    <xf numFmtId="0" fontId="0" fillId="16" borderId="44" xfId="0" applyFill="1" applyBorder="1" applyAlignment="1">
      <alignment horizontal="left"/>
    </xf>
    <xf numFmtId="0" fontId="0" fillId="16" borderId="16" xfId="0" applyFill="1" applyBorder="1" applyAlignment="1">
      <alignment horizontal="left"/>
    </xf>
    <xf numFmtId="0" fontId="0" fillId="16" borderId="27" xfId="0" applyFill="1" applyBorder="1"/>
    <xf numFmtId="1" fontId="0" fillId="10" borderId="5" xfId="0" applyNumberFormat="1" applyFill="1" applyBorder="1" applyAlignment="1" applyProtection="1">
      <alignment horizontal="center" vertical="center"/>
      <protection locked="0"/>
    </xf>
    <xf numFmtId="1" fontId="0" fillId="10" borderId="12" xfId="0" applyNumberFormat="1" applyFill="1" applyBorder="1" applyAlignment="1" applyProtection="1">
      <alignment horizontal="center" vertical="center"/>
      <protection locked="0"/>
    </xf>
    <xf numFmtId="0" fontId="3" fillId="0" borderId="4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49" xfId="0" applyFont="1" applyBorder="1" applyAlignment="1">
      <alignment horizontal="center" vertical="center"/>
    </xf>
    <xf numFmtId="0" fontId="3" fillId="0" borderId="10" xfId="0" applyFont="1" applyBorder="1" applyAlignment="1">
      <alignment horizontal="center" vertical="center"/>
    </xf>
    <xf numFmtId="0" fontId="3" fillId="0" borderId="70" xfId="0" applyFont="1" applyBorder="1" applyAlignment="1">
      <alignment horizontal="center" vertical="center"/>
    </xf>
    <xf numFmtId="0" fontId="8" fillId="8" borderId="5" xfId="0" applyFont="1" applyFill="1" applyBorder="1" applyAlignment="1">
      <alignment horizontal="left"/>
    </xf>
    <xf numFmtId="0" fontId="8" fillId="8" borderId="0" xfId="0" applyFont="1" applyFill="1"/>
    <xf numFmtId="0" fontId="0" fillId="8" borderId="48" xfId="0" applyFill="1" applyBorder="1"/>
    <xf numFmtId="0" fontId="0" fillId="8" borderId="22" xfId="0" applyFill="1" applyBorder="1"/>
    <xf numFmtId="0" fontId="0" fillId="8" borderId="47" xfId="0" applyFill="1" applyBorder="1"/>
    <xf numFmtId="0" fontId="0" fillId="8" borderId="18" xfId="0" applyFill="1" applyBorder="1"/>
    <xf numFmtId="0" fontId="15" fillId="0" borderId="0" xfId="0" applyFont="1"/>
    <xf numFmtId="0" fontId="15" fillId="0" borderId="0" xfId="0" applyFont="1" applyAlignment="1">
      <alignment horizontal="center"/>
    </xf>
    <xf numFmtId="0" fontId="0" fillId="0" borderId="14" xfId="0" applyBorder="1"/>
    <xf numFmtId="0" fontId="0" fillId="0" borderId="18" xfId="0" applyBorder="1"/>
    <xf numFmtId="0" fontId="17" fillId="14" borderId="5" xfId="0" applyFont="1" applyFill="1" applyBorder="1" applyAlignment="1">
      <alignment horizontal="center" vertical="center" wrapText="1"/>
    </xf>
    <xf numFmtId="1" fontId="0" fillId="8" borderId="49" xfId="1" applyNumberFormat="1" applyFont="1" applyFill="1" applyBorder="1" applyAlignment="1" applyProtection="1">
      <alignment horizontal="center"/>
    </xf>
    <xf numFmtId="0" fontId="18" fillId="19" borderId="5" xfId="0" applyFont="1" applyFill="1" applyBorder="1" applyAlignment="1">
      <alignment vertical="center"/>
    </xf>
    <xf numFmtId="1" fontId="19" fillId="0" borderId="5" xfId="0" applyNumberFormat="1" applyFont="1" applyBorder="1" applyAlignment="1">
      <alignment horizontal="center" vertical="center"/>
    </xf>
    <xf numFmtId="0" fontId="18" fillId="19" borderId="5" xfId="0" applyFont="1" applyFill="1" applyBorder="1" applyAlignment="1">
      <alignment horizontal="center" vertical="center"/>
    </xf>
    <xf numFmtId="0" fontId="15" fillId="14" borderId="5" xfId="0" applyFont="1" applyFill="1" applyBorder="1"/>
    <xf numFmtId="0" fontId="20" fillId="14" borderId="5" xfId="0" applyFont="1" applyFill="1" applyBorder="1" applyAlignment="1">
      <alignment horizontal="center"/>
    </xf>
    <xf numFmtId="0" fontId="15" fillId="14" borderId="5" xfId="0" applyFont="1" applyFill="1" applyBorder="1" applyAlignment="1">
      <alignment horizontal="center"/>
    </xf>
    <xf numFmtId="0" fontId="18" fillId="20" borderId="5" xfId="0" applyFont="1" applyFill="1" applyBorder="1" applyAlignment="1">
      <alignment horizontal="center" vertical="center"/>
    </xf>
    <xf numFmtId="0" fontId="18" fillId="20" borderId="5" xfId="0" applyFont="1" applyFill="1" applyBorder="1" applyAlignment="1">
      <alignment vertical="center"/>
    </xf>
    <xf numFmtId="0" fontId="18" fillId="21" borderId="5" xfId="0" applyFont="1" applyFill="1" applyBorder="1" applyAlignment="1">
      <alignment horizontal="center" vertical="center"/>
    </xf>
    <xf numFmtId="0" fontId="18" fillId="21" borderId="5" xfId="0" applyFont="1" applyFill="1" applyBorder="1" applyAlignment="1">
      <alignment vertical="center"/>
    </xf>
    <xf numFmtId="0" fontId="18" fillId="22" borderId="5" xfId="0" applyFont="1" applyFill="1" applyBorder="1" applyAlignment="1">
      <alignment horizontal="center" vertical="center"/>
    </xf>
    <xf numFmtId="0" fontId="18" fillId="22" borderId="5" xfId="0" applyFont="1" applyFill="1" applyBorder="1" applyAlignment="1">
      <alignment vertical="center"/>
    </xf>
    <xf numFmtId="0" fontId="21" fillId="22" borderId="5" xfId="0" applyFont="1" applyFill="1" applyBorder="1" applyAlignment="1">
      <alignment vertical="top"/>
    </xf>
    <xf numFmtId="0" fontId="18" fillId="23" borderId="5" xfId="0" applyFont="1" applyFill="1" applyBorder="1" applyAlignment="1">
      <alignment horizontal="center" vertical="center"/>
    </xf>
    <xf numFmtId="0" fontId="18" fillId="23" borderId="5" xfId="0" applyFont="1" applyFill="1" applyBorder="1" applyAlignment="1">
      <alignment vertical="center"/>
    </xf>
    <xf numFmtId="0" fontId="21" fillId="23" borderId="5" xfId="0" applyFont="1" applyFill="1" applyBorder="1" applyAlignment="1">
      <alignment vertical="top"/>
    </xf>
    <xf numFmtId="2" fontId="22" fillId="8" borderId="12" xfId="0" applyNumberFormat="1" applyFont="1" applyFill="1" applyBorder="1" applyAlignment="1">
      <alignment horizontal="center"/>
    </xf>
    <xf numFmtId="0" fontId="15" fillId="14" borderId="4" xfId="0" applyFont="1" applyFill="1" applyBorder="1"/>
    <xf numFmtId="0" fontId="15" fillId="14" borderId="12" xfId="0" applyFont="1" applyFill="1" applyBorder="1"/>
    <xf numFmtId="164" fontId="15" fillId="14" borderId="12" xfId="0" applyNumberFormat="1" applyFont="1" applyFill="1" applyBorder="1" applyAlignment="1">
      <alignment horizontal="center"/>
    </xf>
    <xf numFmtId="164" fontId="15" fillId="14" borderId="0" xfId="0" applyNumberFormat="1" applyFont="1" applyFill="1" applyAlignment="1">
      <alignment horizontal="center"/>
    </xf>
    <xf numFmtId="1" fontId="0" fillId="0" borderId="49" xfId="1" applyNumberFormat="1" applyFont="1" applyFill="1" applyBorder="1" applyAlignment="1" applyProtection="1">
      <alignment horizontal="center"/>
    </xf>
    <xf numFmtId="0" fontId="0" fillId="8" borderId="19" xfId="0" applyFill="1" applyBorder="1"/>
    <xf numFmtId="0" fontId="0" fillId="8" borderId="20" xfId="0" applyFill="1" applyBorder="1"/>
    <xf numFmtId="0" fontId="0" fillId="8" borderId="21" xfId="0" applyFill="1" applyBorder="1"/>
    <xf numFmtId="1" fontId="0" fillId="0" borderId="12" xfId="1" applyNumberFormat="1" applyFont="1" applyFill="1" applyBorder="1" applyAlignment="1" applyProtection="1">
      <alignment horizontal="center"/>
    </xf>
    <xf numFmtId="0" fontId="25" fillId="8" borderId="72" xfId="0" applyFont="1" applyFill="1" applyBorder="1" applyAlignment="1">
      <alignment horizontal="center"/>
    </xf>
    <xf numFmtId="0" fontId="0" fillId="8" borderId="58" xfId="0" applyFill="1" applyBorder="1"/>
    <xf numFmtId="0" fontId="2" fillId="8" borderId="0" xfId="0" applyFont="1" applyFill="1" applyAlignment="1">
      <alignment horizontal="center"/>
    </xf>
    <xf numFmtId="0" fontId="11" fillId="8" borderId="6" xfId="0" applyFont="1" applyFill="1" applyBorder="1" applyAlignment="1">
      <alignment horizontal="center"/>
    </xf>
    <xf numFmtId="0" fontId="11" fillId="8" borderId="53" xfId="0" applyFont="1" applyFill="1" applyBorder="1" applyAlignment="1">
      <alignment horizontal="center"/>
    </xf>
    <xf numFmtId="0" fontId="2" fillId="8" borderId="6" xfId="0" applyFont="1" applyFill="1" applyBorder="1" applyAlignment="1">
      <alignment horizontal="center"/>
    </xf>
    <xf numFmtId="0" fontId="2" fillId="8" borderId="53" xfId="0" applyFont="1" applyFill="1" applyBorder="1" applyAlignment="1">
      <alignment horizontal="center"/>
    </xf>
    <xf numFmtId="0" fontId="15" fillId="0" borderId="11" xfId="0" applyFont="1" applyBorder="1" applyAlignment="1">
      <alignment horizontal="center"/>
    </xf>
    <xf numFmtId="0" fontId="22" fillId="8" borderId="0" xfId="0" applyFont="1" applyFill="1" applyAlignment="1">
      <alignment horizontal="right"/>
    </xf>
    <xf numFmtId="0" fontId="22" fillId="8" borderId="10" xfId="0" applyFont="1" applyFill="1" applyBorder="1" applyAlignment="1">
      <alignment horizontal="right"/>
    </xf>
    <xf numFmtId="2" fontId="22" fillId="8" borderId="5" xfId="0" applyNumberFormat="1" applyFont="1" applyFill="1" applyBorder="1" applyAlignment="1">
      <alignment horizontal="center"/>
    </xf>
    <xf numFmtId="0" fontId="18" fillId="19" borderId="59" xfId="0" applyFont="1" applyFill="1" applyBorder="1" applyAlignment="1">
      <alignment horizontal="center" vertical="center"/>
    </xf>
    <xf numFmtId="0" fontId="18" fillId="19" borderId="49" xfId="0" applyFont="1" applyFill="1" applyBorder="1" applyAlignment="1">
      <alignment horizontal="center" vertical="center"/>
    </xf>
    <xf numFmtId="0" fontId="18" fillId="20" borderId="5" xfId="0" applyFont="1" applyFill="1" applyBorder="1" applyAlignment="1">
      <alignment horizontal="center" vertical="center"/>
    </xf>
    <xf numFmtId="0" fontId="18" fillId="21" borderId="5" xfId="0" applyFont="1" applyFill="1" applyBorder="1" applyAlignment="1">
      <alignment horizontal="center" vertical="center"/>
    </xf>
    <xf numFmtId="0" fontId="18" fillId="22" borderId="5" xfId="0" applyFont="1" applyFill="1" applyBorder="1" applyAlignment="1">
      <alignment horizontal="center" vertical="center"/>
    </xf>
    <xf numFmtId="164" fontId="22" fillId="8" borderId="8" xfId="0" applyNumberFormat="1" applyFont="1" applyFill="1" applyBorder="1" applyAlignment="1">
      <alignment horizontal="right"/>
    </xf>
    <xf numFmtId="164" fontId="22" fillId="8" borderId="2" xfId="0" applyNumberFormat="1" applyFont="1" applyFill="1" applyBorder="1" applyAlignment="1">
      <alignment horizontal="right"/>
    </xf>
    <xf numFmtId="0" fontId="18" fillId="23" borderId="5" xfId="0" applyFont="1" applyFill="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53" xfId="0" applyFont="1" applyBorder="1" applyAlignment="1">
      <alignment horizontal="center"/>
    </xf>
    <xf numFmtId="0" fontId="16" fillId="0" borderId="5" xfId="0" applyFont="1" applyBorder="1" applyAlignment="1">
      <alignment horizontal="center" vertical="center" wrapText="1"/>
    </xf>
    <xf numFmtId="0" fontId="16" fillId="0" borderId="5" xfId="0" applyFont="1" applyBorder="1" applyAlignment="1">
      <alignment horizontal="center" vertical="center"/>
    </xf>
    <xf numFmtId="0" fontId="23" fillId="0" borderId="5" xfId="0" applyFont="1" applyBorder="1" applyAlignment="1">
      <alignment horizontal="center" vertical="center"/>
    </xf>
    <xf numFmtId="0" fontId="17" fillId="14" borderId="59" xfId="0" applyFont="1" applyFill="1" applyBorder="1" applyAlignment="1">
      <alignment horizontal="center" vertical="center"/>
    </xf>
    <xf numFmtId="0" fontId="17" fillId="14" borderId="12" xfId="0" applyFont="1" applyFill="1" applyBorder="1" applyAlignment="1">
      <alignment horizontal="center" vertical="center"/>
    </xf>
    <xf numFmtId="0" fontId="17" fillId="14" borderId="5" xfId="0" applyFont="1" applyFill="1" applyBorder="1" applyAlignment="1">
      <alignment horizontal="center" vertical="center"/>
    </xf>
    <xf numFmtId="0" fontId="4" fillId="16" borderId="8"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1" xfId="0" applyFont="1" applyFill="1" applyBorder="1" applyAlignment="1">
      <alignment horizontal="center" vertical="center" wrapText="1"/>
    </xf>
    <xf numFmtId="2" fontId="4" fillId="16" borderId="2" xfId="0" applyNumberFormat="1" applyFont="1" applyFill="1" applyBorder="1" applyAlignment="1">
      <alignment horizontal="center" vertical="center"/>
    </xf>
    <xf numFmtId="2" fontId="4" fillId="16" borderId="10" xfId="0" applyNumberFormat="1" applyFont="1" applyFill="1" applyBorder="1" applyAlignment="1">
      <alignment horizontal="center" vertical="center"/>
    </xf>
    <xf numFmtId="2" fontId="4" fillId="16" borderId="4" xfId="0" applyNumberFormat="1" applyFont="1" applyFill="1" applyBorder="1" applyAlignment="1">
      <alignment horizontal="center" vertical="center"/>
    </xf>
    <xf numFmtId="1" fontId="4" fillId="16" borderId="59" xfId="0" applyNumberFormat="1" applyFont="1" applyFill="1" applyBorder="1" applyAlignment="1">
      <alignment horizontal="center" vertical="center" wrapText="1"/>
    </xf>
    <xf numFmtId="1" fontId="4" fillId="16" borderId="49" xfId="0" applyNumberFormat="1" applyFont="1" applyFill="1" applyBorder="1" applyAlignment="1">
      <alignment horizontal="center" vertical="center" wrapText="1"/>
    </xf>
    <xf numFmtId="1" fontId="4" fillId="16" borderId="12" xfId="0" applyNumberFormat="1" applyFont="1" applyFill="1" applyBorder="1" applyAlignment="1">
      <alignment horizontal="center" vertical="center" wrapText="1"/>
    </xf>
    <xf numFmtId="1" fontId="4" fillId="10" borderId="65" xfId="1" applyNumberFormat="1" applyFont="1" applyFill="1" applyBorder="1" applyAlignment="1" applyProtection="1">
      <alignment horizontal="center" vertical="center"/>
      <protection locked="0"/>
    </xf>
    <xf numFmtId="1" fontId="4" fillId="10" borderId="43" xfId="1" applyNumberFormat="1" applyFont="1" applyFill="1" applyBorder="1" applyAlignment="1" applyProtection="1">
      <alignment horizontal="center" vertical="center"/>
      <protection locked="0"/>
    </xf>
    <xf numFmtId="1" fontId="4" fillId="10" borderId="66" xfId="1" applyNumberFormat="1" applyFont="1" applyFill="1" applyBorder="1" applyAlignment="1" applyProtection="1">
      <alignment horizontal="center" vertical="center"/>
      <protection locked="0"/>
    </xf>
    <xf numFmtId="164" fontId="4" fillId="8" borderId="8" xfId="1" applyNumberFormat="1" applyFont="1" applyFill="1" applyBorder="1" applyAlignment="1" applyProtection="1">
      <alignment horizontal="center" vertical="center" wrapText="1"/>
    </xf>
    <xf numFmtId="164" fontId="4" fillId="8" borderId="0" xfId="1" applyNumberFormat="1" applyFont="1" applyFill="1" applyBorder="1" applyAlignment="1" applyProtection="1">
      <alignment horizontal="center" vertical="center" wrapText="1"/>
    </xf>
    <xf numFmtId="164" fontId="4" fillId="8" borderId="11" xfId="1" applyNumberFormat="1" applyFont="1" applyFill="1" applyBorder="1" applyAlignment="1" applyProtection="1">
      <alignment horizontal="center" vertical="center" wrapText="1"/>
    </xf>
    <xf numFmtId="0" fontId="4" fillId="6" borderId="27" xfId="0" applyFont="1" applyFill="1" applyBorder="1" applyAlignment="1">
      <alignment horizontal="center" vertical="center" wrapText="1"/>
    </xf>
    <xf numFmtId="0" fontId="4" fillId="6" borderId="14" xfId="0" applyFont="1" applyFill="1" applyBorder="1" applyAlignment="1">
      <alignment horizontal="center" vertical="center" wrapText="1"/>
    </xf>
    <xf numFmtId="2" fontId="4" fillId="6" borderId="68" xfId="0" applyNumberFormat="1" applyFont="1" applyFill="1" applyBorder="1" applyAlignment="1">
      <alignment horizontal="center" vertical="center"/>
    </xf>
    <xf numFmtId="2" fontId="4" fillId="6" borderId="16" xfId="0" applyNumberFormat="1" applyFont="1" applyFill="1" applyBorder="1" applyAlignment="1">
      <alignment horizontal="center" vertical="center"/>
    </xf>
    <xf numFmtId="1" fontId="4" fillId="6" borderId="59" xfId="0" applyNumberFormat="1" applyFont="1" applyFill="1" applyBorder="1" applyAlignment="1">
      <alignment horizontal="center" vertical="center" wrapText="1"/>
    </xf>
    <xf numFmtId="1" fontId="4" fillId="6" borderId="49" xfId="0" applyNumberFormat="1" applyFont="1" applyFill="1" applyBorder="1" applyAlignment="1">
      <alignment horizontal="center" vertical="center" wrapText="1"/>
    </xf>
    <xf numFmtId="1" fontId="4" fillId="6" borderId="12"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xf>
    <xf numFmtId="2" fontId="4" fillId="6" borderId="68" xfId="0" applyNumberFormat="1" applyFont="1" applyFill="1" applyBorder="1" applyAlignment="1">
      <alignment horizontal="center" vertical="center" wrapText="1"/>
    </xf>
    <xf numFmtId="2" fontId="4" fillId="6" borderId="16"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wrapText="1"/>
    </xf>
    <xf numFmtId="1" fontId="4" fillId="14" borderId="5" xfId="0" applyNumberFormat="1" applyFont="1" applyFill="1" applyBorder="1" applyAlignment="1">
      <alignment horizontal="center" vertical="center" wrapText="1"/>
    </xf>
    <xf numFmtId="1" fontId="4" fillId="14" borderId="59" xfId="0" applyNumberFormat="1" applyFont="1" applyFill="1" applyBorder="1" applyAlignment="1">
      <alignment horizontal="center" vertical="center" wrapText="1"/>
    </xf>
    <xf numFmtId="1" fontId="4" fillId="14" borderId="49" xfId="0" applyNumberFormat="1" applyFont="1" applyFill="1" applyBorder="1" applyAlignment="1">
      <alignment horizontal="center" vertical="center" wrapText="1"/>
    </xf>
    <xf numFmtId="1" fontId="4" fillId="14" borderId="12" xfId="0" applyNumberFormat="1"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14" borderId="68" xfId="0" applyFont="1" applyFill="1" applyBorder="1" applyAlignment="1">
      <alignment horizontal="center" vertical="center" wrapText="1"/>
    </xf>
    <xf numFmtId="0" fontId="4" fillId="14" borderId="44" xfId="0" applyFont="1" applyFill="1" applyBorder="1" applyAlignment="1">
      <alignment horizontal="center" vertical="center" wrapText="1"/>
    </xf>
    <xf numFmtId="14" fontId="4" fillId="10" borderId="41" xfId="0" applyNumberFormat="1" applyFont="1" applyFill="1" applyBorder="1" applyAlignment="1" applyProtection="1">
      <alignment horizontal="left" vertical="center"/>
      <protection locked="0"/>
    </xf>
    <xf numFmtId="0" fontId="4" fillId="10" borderId="38" xfId="0" applyFont="1" applyFill="1" applyBorder="1" applyAlignment="1" applyProtection="1">
      <alignment horizontal="left" vertical="center"/>
      <protection locked="0"/>
    </xf>
    <xf numFmtId="0" fontId="5" fillId="14" borderId="39" xfId="0" applyFont="1" applyFill="1" applyBorder="1" applyAlignment="1">
      <alignment horizontal="center"/>
    </xf>
    <xf numFmtId="0" fontId="5" fillId="14" borderId="40" xfId="0" applyFont="1" applyFill="1" applyBorder="1" applyAlignment="1">
      <alignment horizontal="center"/>
    </xf>
    <xf numFmtId="0" fontId="4" fillId="14" borderId="27"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67" xfId="0" applyFont="1" applyFill="1" applyBorder="1" applyAlignment="1">
      <alignment horizontal="center" vertical="center" wrapText="1"/>
    </xf>
    <xf numFmtId="0" fontId="3" fillId="14" borderId="51" xfId="0" applyFont="1" applyFill="1" applyBorder="1" applyAlignment="1">
      <alignment horizontal="center" vertical="center"/>
    </xf>
    <xf numFmtId="0" fontId="3" fillId="14" borderId="42"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52" xfId="0" applyFont="1" applyFill="1" applyBorder="1" applyAlignment="1">
      <alignment horizontal="center" vertical="center"/>
    </xf>
    <xf numFmtId="0" fontId="5" fillId="8" borderId="0" xfId="0" applyFont="1" applyFill="1" applyAlignment="1">
      <alignment horizontal="center"/>
    </xf>
    <xf numFmtId="0" fontId="4" fillId="10" borderId="50" xfId="0" applyFont="1" applyFill="1" applyBorder="1" applyAlignment="1" applyProtection="1">
      <alignment horizontal="left" vertical="center"/>
      <protection locked="0"/>
    </xf>
    <xf numFmtId="0" fontId="4" fillId="10" borderId="13" xfId="0" applyFont="1" applyFill="1" applyBorder="1" applyAlignment="1" applyProtection="1">
      <alignment horizontal="left" vertical="center"/>
      <protection locked="0"/>
    </xf>
    <xf numFmtId="0" fontId="4" fillId="10" borderId="6" xfId="0" applyFont="1" applyFill="1" applyBorder="1" applyAlignment="1" applyProtection="1">
      <alignment horizontal="left" vertical="center"/>
      <protection locked="0"/>
    </xf>
    <xf numFmtId="0" fontId="4" fillId="10" borderId="7" xfId="0" applyFont="1" applyFill="1" applyBorder="1" applyAlignment="1" applyProtection="1">
      <alignment horizontal="left" vertical="center"/>
      <protection locked="0"/>
    </xf>
    <xf numFmtId="0" fontId="4" fillId="10" borderId="53" xfId="0" applyFont="1" applyFill="1" applyBorder="1" applyAlignment="1" applyProtection="1">
      <alignment horizontal="left" vertical="center"/>
      <protection locked="0"/>
    </xf>
    <xf numFmtId="0" fontId="5" fillId="8" borderId="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3" xfId="0" applyFont="1" applyBorder="1" applyAlignment="1">
      <alignment horizontal="center" vertical="center" wrapText="1"/>
    </xf>
    <xf numFmtId="0" fontId="4" fillId="14" borderId="28" xfId="0" applyFont="1" applyFill="1" applyBorder="1" applyAlignment="1">
      <alignment horizontal="center" vertical="center" wrapText="1"/>
    </xf>
    <xf numFmtId="164" fontId="4" fillId="8" borderId="34" xfId="1" applyNumberFormat="1" applyFont="1" applyFill="1" applyBorder="1" applyAlignment="1" applyProtection="1">
      <alignment horizontal="center" vertical="center"/>
    </xf>
    <xf numFmtId="164" fontId="4" fillId="8" borderId="18" xfId="1" applyNumberFormat="1" applyFont="1" applyFill="1" applyBorder="1" applyAlignment="1" applyProtection="1">
      <alignment horizontal="center" vertical="center"/>
    </xf>
    <xf numFmtId="0" fontId="4" fillId="10" borderId="41" xfId="0" applyFont="1" applyFill="1" applyBorder="1" applyAlignment="1" applyProtection="1">
      <alignment horizontal="left" vertical="center"/>
      <protection locked="0"/>
    </xf>
    <xf numFmtId="0" fontId="4" fillId="10" borderId="71" xfId="0" applyFont="1" applyFill="1" applyBorder="1" applyAlignment="1" applyProtection="1">
      <alignment horizontal="left" vertical="center"/>
      <protection locked="0"/>
    </xf>
    <xf numFmtId="0" fontId="5" fillId="14" borderId="22" xfId="0" applyFont="1" applyFill="1" applyBorder="1" applyAlignment="1">
      <alignment horizontal="center"/>
    </xf>
    <xf numFmtId="0" fontId="5" fillId="14" borderId="69" xfId="0" applyFont="1" applyFill="1" applyBorder="1" applyAlignment="1">
      <alignment horizontal="center"/>
    </xf>
    <xf numFmtId="0" fontId="4" fillId="6" borderId="28" xfId="0" applyFont="1" applyFill="1" applyBorder="1" applyAlignment="1">
      <alignment horizontal="center" vertical="center" wrapText="1"/>
    </xf>
    <xf numFmtId="0" fontId="0" fillId="14" borderId="48" xfId="0" applyFill="1" applyBorder="1" applyAlignment="1" applyProtection="1">
      <alignment horizontal="left" vertical="top"/>
      <protection locked="0"/>
    </xf>
    <xf numFmtId="0" fontId="0" fillId="14" borderId="22" xfId="0" applyFill="1" applyBorder="1" applyAlignment="1" applyProtection="1">
      <alignment horizontal="left" vertical="top"/>
      <protection locked="0"/>
    </xf>
    <xf numFmtId="0" fontId="0" fillId="14" borderId="47" xfId="0" applyFill="1" applyBorder="1" applyAlignment="1" applyProtection="1">
      <alignment horizontal="left" vertical="top"/>
      <protection locked="0"/>
    </xf>
    <xf numFmtId="0" fontId="0" fillId="14" borderId="14" xfId="0" applyFill="1" applyBorder="1" applyAlignment="1" applyProtection="1">
      <alignment horizontal="left" vertical="top"/>
      <protection locked="0"/>
    </xf>
    <xf numFmtId="0" fontId="0" fillId="14" borderId="0" xfId="0" applyFill="1" applyAlignment="1" applyProtection="1">
      <alignment horizontal="left" vertical="top"/>
      <protection locked="0"/>
    </xf>
    <xf numFmtId="0" fontId="0" fillId="14" borderId="18" xfId="0" applyFill="1" applyBorder="1" applyAlignment="1" applyProtection="1">
      <alignment horizontal="left" vertical="top"/>
      <protection locked="0"/>
    </xf>
    <xf numFmtId="0" fontId="0" fillId="14" borderId="19" xfId="0" applyFill="1" applyBorder="1" applyAlignment="1" applyProtection="1">
      <alignment horizontal="left" vertical="top"/>
      <protection locked="0"/>
    </xf>
    <xf numFmtId="0" fontId="0" fillId="14" borderId="20" xfId="0" applyFill="1" applyBorder="1" applyAlignment="1" applyProtection="1">
      <alignment horizontal="left" vertical="top"/>
      <protection locked="0"/>
    </xf>
    <xf numFmtId="0" fontId="0" fillId="14" borderId="21" xfId="0" applyFill="1" applyBorder="1" applyAlignment="1" applyProtection="1">
      <alignment horizontal="left" vertical="top"/>
      <protection locked="0"/>
    </xf>
    <xf numFmtId="1" fontId="4" fillId="16" borderId="5" xfId="0" applyNumberFormat="1" applyFont="1" applyFill="1" applyBorder="1" applyAlignment="1">
      <alignment horizontal="center" vertical="center" wrapText="1"/>
    </xf>
    <xf numFmtId="2" fontId="4" fillId="8" borderId="32" xfId="1" applyNumberFormat="1" applyFont="1" applyFill="1" applyBorder="1" applyAlignment="1" applyProtection="1">
      <alignment horizontal="center" vertical="center"/>
    </xf>
    <xf numFmtId="2" fontId="4" fillId="8" borderId="30" xfId="1" applyNumberFormat="1" applyFont="1" applyFill="1" applyBorder="1" applyAlignment="1" applyProtection="1">
      <alignment horizontal="center" vertical="center"/>
    </xf>
    <xf numFmtId="0" fontId="4" fillId="16" borderId="28" xfId="0" applyFont="1" applyFill="1" applyBorder="1" applyAlignment="1">
      <alignment horizontal="center" vertical="center" wrapText="1"/>
    </xf>
    <xf numFmtId="164" fontId="4" fillId="8" borderId="7" xfId="1" applyNumberFormat="1" applyFont="1" applyFill="1" applyBorder="1" applyAlignment="1" applyProtection="1">
      <alignment horizontal="center" vertical="center"/>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0" xfId="0" applyFont="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0" fillId="9" borderId="22" xfId="0" applyFill="1" applyBorder="1" applyAlignment="1">
      <alignment horizontal="center"/>
    </xf>
    <xf numFmtId="0" fontId="0" fillId="9" borderId="0" xfId="0" applyFill="1" applyAlignment="1">
      <alignment horizontal="center"/>
    </xf>
    <xf numFmtId="0" fontId="0" fillId="13" borderId="0" xfId="0" applyFill="1" applyAlignment="1">
      <alignment horizontal="center"/>
    </xf>
    <xf numFmtId="0" fontId="0" fillId="18" borderId="0" xfId="0" applyFill="1" applyAlignment="1">
      <alignment horizontal="center"/>
    </xf>
    <xf numFmtId="0" fontId="0" fillId="18" borderId="20" xfId="0" applyFill="1" applyBorder="1" applyAlignment="1">
      <alignment horizontal="center"/>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1" fontId="4" fillId="8" borderId="32" xfId="1" applyNumberFormat="1" applyFont="1" applyFill="1" applyBorder="1" applyAlignment="1" applyProtection="1">
      <alignment horizontal="center" vertical="center"/>
      <protection locked="0"/>
    </xf>
    <xf numFmtId="1" fontId="4" fillId="8" borderId="30" xfId="1" applyNumberFormat="1" applyFont="1" applyFill="1" applyBorder="1" applyAlignment="1" applyProtection="1">
      <alignment horizontal="center" vertical="center"/>
      <protection locked="0"/>
    </xf>
    <xf numFmtId="1" fontId="4" fillId="8" borderId="33" xfId="1" applyNumberFormat="1" applyFont="1" applyFill="1" applyBorder="1" applyAlignment="1" applyProtection="1">
      <alignment horizontal="center" vertical="center"/>
      <protection locked="0"/>
    </xf>
    <xf numFmtId="1" fontId="4" fillId="8" borderId="34" xfId="1" applyNumberFormat="1" applyFont="1" applyFill="1" applyBorder="1" applyAlignment="1" applyProtection="1">
      <alignment horizontal="center" vertical="center"/>
      <protection locked="0"/>
    </xf>
    <xf numFmtId="1" fontId="4" fillId="8" borderId="18" xfId="1" applyNumberFormat="1" applyFont="1" applyFill="1" applyBorder="1" applyAlignment="1" applyProtection="1">
      <alignment horizontal="center" vertical="center"/>
      <protection locked="0"/>
    </xf>
    <xf numFmtId="1" fontId="4" fillId="8" borderId="35" xfId="1" applyNumberFormat="1" applyFont="1" applyFill="1" applyBorder="1" applyAlignment="1" applyProtection="1">
      <alignment horizontal="center" vertical="center"/>
      <protection locked="0"/>
    </xf>
    <xf numFmtId="1" fontId="4" fillId="8" borderId="36" xfId="1" applyNumberFormat="1" applyFont="1" applyFill="1" applyBorder="1" applyAlignment="1" applyProtection="1">
      <alignment horizontal="center" vertical="center"/>
      <protection locked="0"/>
    </xf>
    <xf numFmtId="0" fontId="4" fillId="4" borderId="28"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10" borderId="28" xfId="0" applyFont="1" applyFill="1" applyBorder="1" applyAlignment="1">
      <alignment horizontal="center" vertical="center"/>
    </xf>
    <xf numFmtId="0" fontId="4" fillId="10" borderId="37" xfId="0" applyFont="1" applyFill="1" applyBorder="1" applyAlignment="1">
      <alignment horizontal="center" vertical="center"/>
    </xf>
    <xf numFmtId="0" fontId="4" fillId="9" borderId="27"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4" xfId="0" applyFont="1" applyFill="1" applyBorder="1" applyAlignment="1">
      <alignment horizontal="center" vertical="center" wrapText="1"/>
    </xf>
    <xf numFmtId="1" fontId="4" fillId="8" borderId="24" xfId="1" applyNumberFormat="1" applyFont="1" applyFill="1" applyBorder="1" applyAlignment="1" applyProtection="1">
      <alignment horizontal="center" vertical="center"/>
      <protection locked="0"/>
    </xf>
    <xf numFmtId="0" fontId="4" fillId="4" borderId="2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3" borderId="17" xfId="0" applyFont="1" applyFill="1" applyBorder="1" applyAlignment="1">
      <alignment horizontal="center" vertical="center" wrapText="1"/>
    </xf>
    <xf numFmtId="1" fontId="4" fillId="13" borderId="34" xfId="1" applyNumberFormat="1" applyFont="1" applyFill="1" applyBorder="1" applyAlignment="1" applyProtection="1">
      <alignment horizontal="center" vertical="center"/>
      <protection locked="0"/>
    </xf>
    <xf numFmtId="1" fontId="4" fillId="13" borderId="18" xfId="1" applyNumberFormat="1" applyFont="1" applyFill="1" applyBorder="1" applyAlignment="1" applyProtection="1">
      <alignment horizontal="center" vertical="center"/>
      <protection locked="0"/>
    </xf>
    <xf numFmtId="1" fontId="4" fillId="13" borderId="24" xfId="1" applyNumberFormat="1" applyFont="1" applyFill="1" applyBorder="1" applyAlignment="1" applyProtection="1">
      <alignment horizontal="center" vertical="center"/>
      <protection locked="0"/>
    </xf>
    <xf numFmtId="2" fontId="4" fillId="7" borderId="27" xfId="0" applyNumberFormat="1" applyFont="1" applyFill="1" applyBorder="1" applyAlignment="1">
      <alignment horizontal="center" vertical="center"/>
    </xf>
    <xf numFmtId="2" fontId="4" fillId="7" borderId="14" xfId="0" applyNumberFormat="1" applyFont="1" applyFill="1" applyBorder="1" applyAlignment="1">
      <alignment horizontal="center" vertical="center"/>
    </xf>
    <xf numFmtId="2" fontId="4" fillId="7" borderId="17" xfId="0" applyNumberFormat="1" applyFont="1" applyFill="1" applyBorder="1" applyAlignment="1">
      <alignment horizontal="center" vertical="center"/>
    </xf>
    <xf numFmtId="0" fontId="4" fillId="7" borderId="28" xfId="0" applyFont="1" applyFill="1" applyBorder="1" applyAlignment="1">
      <alignment horizontal="center" vertical="center"/>
    </xf>
    <xf numFmtId="0" fontId="4" fillId="5" borderId="28" xfId="0" applyFont="1" applyFill="1" applyBorder="1" applyAlignment="1">
      <alignment horizontal="center" vertical="center"/>
    </xf>
    <xf numFmtId="1" fontId="4" fillId="13" borderId="21" xfId="1" applyNumberFormat="1" applyFont="1" applyFill="1" applyBorder="1" applyAlignment="1" applyProtection="1">
      <alignment horizontal="center" vertical="center"/>
      <protection locked="0"/>
    </xf>
    <xf numFmtId="2" fontId="4" fillId="4" borderId="27" xfId="0" applyNumberFormat="1" applyFont="1" applyFill="1" applyBorder="1" applyAlignment="1">
      <alignment horizontal="center" vertical="center"/>
    </xf>
    <xf numFmtId="2" fontId="4" fillId="4" borderId="14" xfId="0" applyNumberFormat="1" applyFont="1" applyFill="1" applyBorder="1" applyAlignment="1">
      <alignment horizontal="center" vertical="center"/>
    </xf>
    <xf numFmtId="2" fontId="4" fillId="4" borderId="19" xfId="0" applyNumberFormat="1" applyFont="1" applyFill="1" applyBorder="1" applyAlignment="1">
      <alignment horizontal="center" vertical="center"/>
    </xf>
    <xf numFmtId="2" fontId="4" fillId="15" borderId="27" xfId="0" applyNumberFormat="1" applyFont="1" applyFill="1" applyBorder="1" applyAlignment="1">
      <alignment horizontal="center" vertical="center"/>
    </xf>
    <xf numFmtId="2" fontId="4" fillId="15" borderId="17" xfId="0" applyNumberFormat="1" applyFont="1" applyFill="1" applyBorder="1" applyAlignment="1">
      <alignment horizontal="center" vertical="center"/>
    </xf>
    <xf numFmtId="2" fontId="4" fillId="7" borderId="28" xfId="0" applyNumberFormat="1" applyFont="1" applyFill="1" applyBorder="1" applyAlignment="1">
      <alignment horizontal="center" vertical="center" wrapText="1"/>
    </xf>
    <xf numFmtId="2" fontId="4" fillId="10" borderId="28" xfId="0" applyNumberFormat="1" applyFont="1" applyFill="1" applyBorder="1" applyAlignment="1">
      <alignment horizontal="center" vertical="center"/>
    </xf>
    <xf numFmtId="2" fontId="4" fillId="11" borderId="28" xfId="0" applyNumberFormat="1" applyFont="1" applyFill="1" applyBorder="1" applyAlignment="1">
      <alignment horizontal="center" vertical="center"/>
    </xf>
    <xf numFmtId="2" fontId="4" fillId="4" borderId="28" xfId="0" applyNumberFormat="1" applyFont="1" applyFill="1" applyBorder="1" applyAlignment="1">
      <alignment horizontal="center" vertical="center"/>
    </xf>
    <xf numFmtId="0" fontId="5" fillId="0" borderId="5" xfId="0" applyFont="1" applyBorder="1" applyAlignment="1">
      <alignment horizontal="center"/>
    </xf>
    <xf numFmtId="0" fontId="5" fillId="0" borderId="5" xfId="0" applyFont="1" applyBorder="1" applyAlignment="1">
      <alignment horizontal="center" vertical="center" wrapText="1"/>
    </xf>
    <xf numFmtId="1" fontId="4" fillId="2" borderId="1"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 fontId="4" fillId="3" borderId="8" xfId="0" applyNumberFormat="1" applyFont="1" applyFill="1" applyBorder="1" applyAlignment="1">
      <alignment horizontal="center" vertical="center" wrapText="1"/>
    </xf>
    <xf numFmtId="1" fontId="4" fillId="3" borderId="0" xfId="0" applyNumberFormat="1" applyFont="1" applyFill="1" applyAlignment="1">
      <alignment horizontal="center" vertical="center" wrapText="1"/>
    </xf>
    <xf numFmtId="0" fontId="5" fillId="0" borderId="15" xfId="0" applyFont="1" applyBorder="1" applyAlignment="1">
      <alignment horizontal="center" vertical="center" wrapText="1"/>
    </xf>
    <xf numFmtId="0" fontId="3" fillId="14" borderId="46" xfId="0" applyFont="1" applyFill="1" applyBorder="1" applyAlignment="1">
      <alignment horizontal="center" vertical="center"/>
    </xf>
    <xf numFmtId="0" fontId="3" fillId="14" borderId="25" xfId="0" applyFont="1" applyFill="1" applyBorder="1" applyAlignment="1">
      <alignment horizontal="center" vertical="center"/>
    </xf>
    <xf numFmtId="0" fontId="5" fillId="14" borderId="16" xfId="0" applyFont="1" applyFill="1" applyBorder="1" applyAlignment="1">
      <alignment horizontal="center"/>
    </xf>
    <xf numFmtId="0" fontId="5" fillId="14" borderId="12" xfId="0" applyFont="1" applyFill="1" applyBorder="1" applyAlignment="1">
      <alignment horizontal="center"/>
    </xf>
    <xf numFmtId="0" fontId="5" fillId="14" borderId="9" xfId="0" applyFont="1" applyFill="1" applyBorder="1" applyAlignment="1">
      <alignment horizontal="center"/>
    </xf>
    <xf numFmtId="0" fontId="5" fillId="14" borderId="43" xfId="0" applyFont="1" applyFill="1" applyBorder="1" applyAlignment="1">
      <alignment horizontal="center"/>
    </xf>
    <xf numFmtId="0" fontId="4" fillId="13" borderId="3" xfId="0" applyFont="1" applyFill="1" applyBorder="1" applyAlignment="1" applyProtection="1">
      <alignment horizontal="left" vertical="center"/>
      <protection locked="0"/>
    </xf>
    <xf numFmtId="0" fontId="4" fillId="13" borderId="11" xfId="0" applyFont="1" applyFill="1" applyBorder="1" applyAlignment="1" applyProtection="1">
      <alignment horizontal="left" vertical="center"/>
      <protection locked="0"/>
    </xf>
    <xf numFmtId="0" fontId="4" fillId="13" borderId="6" xfId="0" applyFont="1" applyFill="1" applyBorder="1" applyAlignment="1" applyProtection="1">
      <alignment horizontal="left" vertical="center"/>
      <protection locked="0"/>
    </xf>
    <xf numFmtId="0" fontId="4" fillId="13" borderId="7" xfId="0" applyFont="1" applyFill="1" applyBorder="1" applyAlignment="1" applyProtection="1">
      <alignment horizontal="left" vertical="center"/>
      <protection locked="0"/>
    </xf>
    <xf numFmtId="0" fontId="4" fillId="13" borderId="41" xfId="0" applyFont="1" applyFill="1" applyBorder="1" applyAlignment="1" applyProtection="1">
      <alignment horizontal="left" vertical="center"/>
      <protection locked="0"/>
    </xf>
    <xf numFmtId="0" fontId="4" fillId="13" borderId="38" xfId="0" applyFont="1" applyFill="1" applyBorder="1" applyAlignment="1" applyProtection="1">
      <alignment horizontal="left" vertical="center"/>
      <protection locked="0"/>
    </xf>
    <xf numFmtId="1" fontId="4" fillId="4" borderId="8" xfId="0" applyNumberFormat="1" applyFont="1" applyFill="1" applyBorder="1" applyAlignment="1">
      <alignment horizontal="center" vertical="center"/>
    </xf>
    <xf numFmtId="1" fontId="4" fillId="4" borderId="0" xfId="0" applyNumberFormat="1" applyFont="1" applyFill="1" applyAlignment="1">
      <alignment horizontal="center" vertical="center"/>
    </xf>
    <xf numFmtId="1" fontId="4" fillId="4" borderId="11" xfId="0" applyNumberFormat="1" applyFont="1" applyFill="1" applyBorder="1" applyAlignment="1">
      <alignment horizontal="center" vertical="center"/>
    </xf>
    <xf numFmtId="0" fontId="7" fillId="14" borderId="13" xfId="0" applyFont="1" applyFill="1" applyBorder="1" applyAlignment="1" applyProtection="1">
      <alignment horizontal="center" vertical="center"/>
      <protection locked="0"/>
    </xf>
    <xf numFmtId="0" fontId="7" fillId="14" borderId="23" xfId="0" applyFont="1" applyFill="1" applyBorder="1" applyAlignment="1" applyProtection="1">
      <alignment horizontal="center" vertical="center"/>
      <protection locked="0"/>
    </xf>
    <xf numFmtId="1" fontId="4" fillId="7" borderId="7" xfId="0" applyNumberFormat="1" applyFont="1" applyFill="1" applyBorder="1" applyAlignment="1">
      <alignment horizontal="center" vertical="center" wrapText="1"/>
    </xf>
    <xf numFmtId="1" fontId="4" fillId="4" borderId="7"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1" fontId="4" fillId="11" borderId="7" xfId="0" applyNumberFormat="1" applyFont="1" applyFill="1" applyBorder="1" applyAlignment="1">
      <alignment horizontal="center" vertical="center"/>
    </xf>
    <xf numFmtId="1" fontId="4" fillId="15" borderId="1"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11" xfId="0" applyNumberFormat="1" applyFont="1" applyFill="1" applyBorder="1" applyAlignment="1">
      <alignment horizontal="center" vertical="center" wrapText="1"/>
    </xf>
    <xf numFmtId="1" fontId="4" fillId="3" borderId="1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xf>
    <xf numFmtId="1" fontId="4" fillId="7" borderId="9"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xf numFmtId="0" fontId="26" fillId="0" borderId="0" xfId="0" applyNumberFormat="1" applyFont="1" applyFill="1" applyBorder="1" applyAlignment="1">
      <alignment vertical="center"/>
    </xf>
    <xf numFmtId="0" fontId="27" fillId="0" borderId="0" xfId="0" applyNumberFormat="1" applyFont="1" applyFill="1" applyBorder="1" applyAlignment="1">
      <alignment vertical="center"/>
    </xf>
    <xf numFmtId="0" fontId="28" fillId="0" borderId="0" xfId="0" applyNumberFormat="1" applyFont="1" applyFill="1" applyBorder="1" applyAlignment="1">
      <alignment vertical="bottom"/>
    </xf>
    <xf numFmtId="0" fontId="29" fillId="0" borderId="73" xfId="0" applyNumberFormat="1" applyFont="1" applyFill="1" applyBorder="1" applyAlignment="1">
      <alignment vertical="bottom" horizontal="center" wrapText="1"/>
    </xf>
    <xf numFmtId="0" fontId="29" fillId="0" borderId="73" xfId="0" applyNumberFormat="1" applyFont="1" applyFill="1" applyBorder="1" applyAlignment="1">
      <alignment vertical="bottom" horizontal="left" wrapText="1"/>
    </xf>
    <xf numFmtId="0" fontId="30" fillId="0" borderId="74" xfId="0" applyNumberFormat="1" applyFont="1" applyFill="1" applyBorder="1" applyAlignment="1">
      <alignment vertical="center" horizontal="center"/>
    </xf>
    <xf numFmtId="0" fontId="30" fillId="0" borderId="74" xfId="0" applyNumberFormat="1" applyFont="1" applyFill="1" applyBorder="1" applyAlignment="1">
      <alignment vertical="center" wrapText="1"/>
    </xf>
    <xf numFmtId="0" fontId="31" fillId="0" borderId="0" xfId="0" applyNumberFormat="1" applyFont="1" applyFill="1" applyBorder="1" applyAlignment="1">
      <alignment vertical="top" wrapText="1"/>
    </xf>
    <xf numFmtId="0" fontId="30" fillId="0" borderId="0" xfId="0" applyNumberFormat="1" applyFont="1" applyFill="1" applyBorder="1" applyAlignment="1">
      <alignment vertical="top" wrapText="1"/>
    </xf>
    <xf numFmtId="0" fontId="27" fillId="0" borderId="0" xfId="0" applyNumberFormat="1" applyFont="1" applyFill="1" applyBorder="1" applyAlignment="1">
      <alignment vertical="top" wrapText="1"/>
    </xf>
    <xf numFmtId="0" fontId="27" fillId="0" borderId="73" xfId="0" applyNumberFormat="1" applyFont="1" applyFill="1" applyBorder="1" applyAlignment="1">
      <alignment vertical="bottom" horizontal="center" wrapText="1"/>
    </xf>
    <xf numFmtId="0" fontId="32" fillId="0" borderId="75" xfId="0" applyNumberFormat="1" applyFont="1" applyFill="1" applyBorder="1" applyAlignment="1">
      <alignment vertical="bottom"/>
    </xf>
    <xf numFmtId="0" fontId="0" fillId="0" borderId="75" xfId="0" applyNumberFormat="1" applyFont="1" applyFill="1" applyBorder="1" applyAlignment="1">
      <alignment vertical="bottom"/>
    </xf>
    <xf numFmtId="0" fontId="29" fillId="0" borderId="74" xfId="0" applyNumberFormat="1" applyFont="1" applyFill="1" applyBorder="1" applyAlignment="1">
      <alignment vertical="center" wrapText="1"/>
    </xf>
    <xf numFmtId="2" fontId="29" fillId="24" borderId="74" xfId="0" applyNumberFormat="1" applyFont="1" applyFill="1" applyBorder="1" applyAlignment="1">
      <alignment vertical="center" horizontal="center"/>
    </xf>
    <xf numFmtId="2" fontId="30" fillId="24" borderId="74" xfId="0" applyNumberFormat="1" applyFont="1" applyFill="1" applyBorder="1" applyAlignment="1">
      <alignment vertical="center" horizontal="center"/>
    </xf>
    <xf numFmtId="1" fontId="30" fillId="24" borderId="74" xfId="0" applyNumberFormat="1" applyFont="1" applyFill="1" applyBorder="1" applyAlignment="1">
      <alignment vertical="center" horizontal="center"/>
    </xf>
  </cellXfs>
  <cellStyles count="5">
    <cellStyle name="Calculation" xfId="3" builtinId="22"/>
    <cellStyle name="Hyperlink" xfId="4" builtinId="8"/>
    <cellStyle name="Normal" xfId="0" builtinId="0"/>
    <cellStyle name="Normal 2" xfId="2" xr:uid="{00000000-0005-0000-0000-000001000000}"/>
    <cellStyle name="Percent" xfId="1" builtinId="5"/>
  </cellStyles>
  <dxfs count="2">
    <dxf>
      <font>
        <b/>
        <color rgb="FF2F7A4B"/>
      </font>
    </dxf>
    <dxf>
      <font>
        <b/>
        <color rgb="FFA33A3A"/>
      </font>
    </dxf>
  </dxfs>
  <tableStyles count="0" defaultTableStyle="TableStyleMedium2" defaultPivotStyle="PivotStyleLight16"/>
  <colors>
    <mruColors>
      <color rgb="FFFF7C80"/>
      <color rgb="FFFF5050"/>
      <color rgb="FFA50021"/>
      <color rgb="FFFFFF99"/>
      <color rgb="FF336699"/>
      <color rgb="FF3366CC"/>
      <color rgb="FFFF6969"/>
      <color rgb="FFE2E5FE"/>
      <color rgb="FFCC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13" Type="http://schemas.openxmlformats.org/officeDocument/2006/relationships/worksheet" Target="worksheets/sheet6.xml"/><Relationship Id="rId14" Type="http://schemas.openxmlformats.org/officeDocument/2006/relationships/worksheet" Target="worksheets/sheet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(0-5)</c:v>
          </c:tx>
          <c:spPr>
            <a:solidFill>
              <a:srgbClr val="FF696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Instructions!$N$4:$N$23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314-49E1-A2EF-78A8005819B5}"/>
            </c:ext>
          </c:extLst>
        </c:ser>
        <c:ser>
          <c:idx val="1"/>
          <c:order val="1"/>
          <c:tx>
            <c:v>Functioning At-Risk (6-10)</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Instructions!$O$4:$O$23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D314-49E1-A2EF-78A8005819B5}"/>
            </c:ext>
          </c:extLst>
        </c:ser>
        <c:ser>
          <c:idx val="2"/>
          <c:order val="2"/>
          <c:tx>
            <c:v>Functioning (11-15)</c:v>
          </c:tx>
          <c:spPr>
            <a:solidFill>
              <a:schemeClr val="accent1">
                <a:lumMod val="60000"/>
                <a:lumOff val="4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Instructions!$P$4:$P$23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D314-49E1-A2EF-78A8005819B5}"/>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5"/>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Function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(0-0.39)</c:v>
          </c:tx>
          <c:spPr>
            <a:solidFill>
              <a:srgbClr val="FF6969">
                <a:alpha val="75000"/>
              </a:srgbClr>
            </a:solidFill>
            <a:ln>
              <a:solidFill>
                <a:schemeClr val="tx1"/>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Instructions!$N$25:$N$27</c:f>
              <c:numCache>
                <c:formatCode>General</c:formatCode>
                <c:ptCount val="3"/>
                <c:pt idx="0">
                  <c:v>0</c:v>
                </c:pt>
                <c:pt idx="1">
                  <c:v>0</c:v>
                </c:pt>
                <c:pt idx="2" formatCode="0.00">
                  <c:v>0</c:v>
                </c:pt>
              </c:numCache>
            </c:numRef>
          </c:val>
          <c:extLst>
            <c:ext xmlns:c16="http://schemas.microsoft.com/office/drawing/2014/chart" uri="{C3380CC4-5D6E-409C-BE32-E72D297353CC}">
              <c16:uniqueId val="{00000000-ACF0-4150-97C0-464687994C71}"/>
            </c:ext>
          </c:extLst>
        </c:ser>
        <c:ser>
          <c:idx val="1"/>
          <c:order val="1"/>
          <c:tx>
            <c:v>Functioning At-Risk (0.4-0.69)</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Instructions!$O$25:$O$27</c:f>
              <c:numCache>
                <c:formatCode>0.00</c:formatCode>
                <c:ptCount val="3"/>
                <c:pt idx="0">
                  <c:v>#N/A</c:v>
                </c:pt>
                <c:pt idx="1">
                  <c:v>#N/A</c:v>
                </c:pt>
                <c:pt idx="2">
                  <c:v>#N/A</c:v>
                </c:pt>
              </c:numCache>
            </c:numRef>
          </c:val>
          <c:extLst>
            <c:ext xmlns:c16="http://schemas.microsoft.com/office/drawing/2014/chart" uri="{C3380CC4-5D6E-409C-BE32-E72D297353CC}">
              <c16:uniqueId val="{00000001-ACF0-4150-97C0-464687994C71}"/>
            </c:ext>
          </c:extLst>
        </c:ser>
        <c:ser>
          <c:idx val="2"/>
          <c:order val="2"/>
          <c:tx>
            <c:v>Functioning (0.7-1)</c:v>
          </c:tx>
          <c:spPr>
            <a:solidFill>
              <a:schemeClr val="accent1">
                <a:lumMod val="60000"/>
                <a:lumOff val="40000"/>
                <a:alpha val="75000"/>
              </a:schemeClr>
            </a:solidFill>
            <a:ln>
              <a:solidFill>
                <a:schemeClr val="tx1"/>
              </a:solid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92-4AF1-888F-242A598FFEF6}"/>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Instructions!$P$25:$P$27</c:f>
              <c:numCache>
                <c:formatCode>0.00</c:formatCode>
                <c:ptCount val="3"/>
                <c:pt idx="0">
                  <c:v>#N/A</c:v>
                </c:pt>
                <c:pt idx="1">
                  <c:v>#N/A</c:v>
                </c:pt>
                <c:pt idx="2">
                  <c:v>#N/A</c:v>
                </c:pt>
              </c:numCache>
            </c:numRef>
          </c:val>
          <c:extLst>
            <c:ext xmlns:c16="http://schemas.microsoft.com/office/drawing/2014/chart" uri="{C3380CC4-5D6E-409C-BE32-E72D297353CC}">
              <c16:uniqueId val="{00000002-ACF0-4150-97C0-464687994C71}"/>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Outcome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0.1"/>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1173480</xdr:colOff>
      <xdr:row>13</xdr:row>
      <xdr:rowOff>68580</xdr:rowOff>
    </xdr:from>
    <xdr:to>
      <xdr:col>9</xdr:col>
      <xdr:colOff>198120</xdr:colOff>
      <xdr:row>18</xdr:row>
      <xdr:rowOff>441330</xdr:rowOff>
    </xdr:to>
    <xdr:pic>
      <xdr:nvPicPr>
        <xdr:cNvPr id="4" name="Picture 3">
          <a:extLst>
            <a:ext uri="{FF2B5EF4-FFF2-40B4-BE49-F238E27FC236}">
              <a16:creationId xmlns:a16="http://schemas.microsoft.com/office/drawing/2014/main" id="{53616E61-8A0A-4205-8709-916F2529A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6980" y="2781300"/>
          <a:ext cx="2148840" cy="17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190500</xdr:colOff>
      <xdr:row>19</xdr:row>
      <xdr:rowOff>45678</xdr:rowOff>
    </xdr:from>
    <xdr:to>
      <xdr:col>8</xdr:col>
      <xdr:colOff>1767840</xdr:colOff>
      <xdr:row>24</xdr:row>
      <xdr:rowOff>46568</xdr:rowOff>
    </xdr:to>
    <xdr:pic>
      <xdr:nvPicPr>
        <xdr:cNvPr id="8" name="Picture 7">
          <a:extLst>
            <a:ext uri="{FF2B5EF4-FFF2-40B4-BE49-F238E27FC236}">
              <a16:creationId xmlns:a16="http://schemas.microsoft.com/office/drawing/2014/main" id="{04357858-B51D-4D87-BCB2-F1379DF21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739598"/>
          <a:ext cx="1577340" cy="14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198121</xdr:colOff>
      <xdr:row>13</xdr:row>
      <xdr:rowOff>152399</xdr:rowOff>
    </xdr:from>
    <xdr:to>
      <xdr:col>5</xdr:col>
      <xdr:colOff>31235</xdr:colOff>
      <xdr:row>22</xdr:row>
      <xdr:rowOff>437850</xdr:rowOff>
    </xdr:to>
    <xdr:pic>
      <xdr:nvPicPr>
        <xdr:cNvPr id="11" name="Picture 10">
          <a:extLst>
            <a:ext uri="{FF2B5EF4-FFF2-40B4-BE49-F238E27FC236}">
              <a16:creationId xmlns:a16="http://schemas.microsoft.com/office/drawing/2014/main" id="{A2198A3C-2C73-4336-9B3E-F6A1F410CE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03621" y="2865119"/>
          <a:ext cx="1661914" cy="313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390978</xdr:colOff>
      <xdr:row>13</xdr:row>
      <xdr:rowOff>128694</xdr:rowOff>
    </xdr:from>
    <xdr:to>
      <xdr:col>7</xdr:col>
      <xdr:colOff>753137</xdr:colOff>
      <xdr:row>23</xdr:row>
      <xdr:rowOff>60960</xdr:rowOff>
    </xdr:to>
    <xdr:pic>
      <xdr:nvPicPr>
        <xdr:cNvPr id="12" name="Picture 11">
          <a:extLst>
            <a:ext uri="{FF2B5EF4-FFF2-40B4-BE49-F238E27FC236}">
              <a16:creationId xmlns:a16="http://schemas.microsoft.com/office/drawing/2014/main" id="{995E87FB-F9EE-4F54-927C-C5D1899732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25278" y="2841414"/>
          <a:ext cx="1581359" cy="333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199633</xdr:colOff>
      <xdr:row>31</xdr:row>
      <xdr:rowOff>73478</xdr:rowOff>
    </xdr:from>
    <xdr:to>
      <xdr:col>48</xdr:col>
      <xdr:colOff>618524</xdr:colOff>
      <xdr:row>77</xdr:row>
      <xdr:rowOff>193221</xdr:rowOff>
    </xdr:to>
    <xdr:graphicFrame macro="">
      <xdr:nvGraphicFramePr>
        <xdr:cNvPr id="7" name="Chart 6">
          <a:extLst>
            <a:ext uri="{FF2B5EF4-FFF2-40B4-BE49-F238E27FC236}">
              <a16:creationId xmlns:a16="http://schemas.microsoft.com/office/drawing/2014/main" id="{477D4701-A628-5ED4-B2F5-B9397FEB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138794</xdr:colOff>
      <xdr:row>80</xdr:row>
      <xdr:rowOff>75062</xdr:rowOff>
    </xdr:from>
    <xdr:to>
      <xdr:col>48</xdr:col>
      <xdr:colOff>591912</xdr:colOff>
      <xdr:row>93</xdr:row>
      <xdr:rowOff>155800</xdr:rowOff>
    </xdr:to>
    <xdr:graphicFrame macro="">
      <xdr:nvGraphicFramePr>
        <xdr:cNvPr id="8" name="Chart 7">
          <a:extLst>
            <a:ext uri="{FF2B5EF4-FFF2-40B4-BE49-F238E27FC236}">
              <a16:creationId xmlns:a16="http://schemas.microsoft.com/office/drawing/2014/main" id="{51EE681E-4B28-461A-A681-881256B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293913</xdr:colOff>
      <xdr:row>0</xdr:row>
      <xdr:rowOff>163285</xdr:rowOff>
    </xdr:from>
    <xdr:to>
      <xdr:col>20</xdr:col>
      <xdr:colOff>642256</xdr:colOff>
      <xdr:row>23</xdr:row>
      <xdr:rowOff>37177</xdr:rowOff>
    </xdr:to>
    <xdr:pic>
      <xdr:nvPicPr>
        <xdr:cNvPr id="9" name="Picture 8">
          <a:extLst>
            <a:ext uri="{FF2B5EF4-FFF2-40B4-BE49-F238E27FC236}">
              <a16:creationId xmlns:a16="http://schemas.microsoft.com/office/drawing/2014/main" id="{0F221DDC-8E36-4CD6-90DA-990AAB188B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25599" y="163285"/>
          <a:ext cx="4354286" cy="4718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13</xdr:col>
      <xdr:colOff>288137</xdr:colOff>
      <xdr:row>19</xdr:row>
      <xdr:rowOff>95755</xdr:rowOff>
    </xdr:to>
    <xdr:pic>
      <xdr:nvPicPr>
        <xdr:cNvPr id="2" name="Picture 1">
          <a:extLst>
            <a:ext uri="{FF2B5EF4-FFF2-40B4-BE49-F238E27FC236}">
              <a16:creationId xmlns:a16="http://schemas.microsoft.com/office/drawing/2014/main" id="{C9BE8080-3ECE-4413-A741-431364548989}"/>
            </a:ext>
            <a:ext uri="{147F2762-F138-4A5C-976F-8EAC2B608ADB}">
              <a16:predDERef xmlns:a16="http://schemas.microsoft.com/office/drawing/2014/main" pred="{51EE681E-4B28-461A-A681-881256BE0F2D}"/>
            </a:ext>
          </a:extLst>
        </xdr:cNvPr>
        <xdr:cNvPicPr>
          <a:picLocks noChangeAspect="1"/>
        </xdr:cNvPicPr>
      </xdr:nvPicPr>
      <xdr:blipFill>
        <a:blip xmlns:r="http://schemas.openxmlformats.org/officeDocument/2006/relationships" r:embed="rId1"/>
        <a:stretch>
          <a:fillRect/>
        </a:stretch>
      </xdr:blipFill>
      <xdr:spPr>
        <a:xfrm>
          <a:off x="7505700" y="381000"/>
          <a:ext cx="1503527" cy="3515230"/>
        </a:xfrm>
        <a:prstGeom prst="rect">
          <a:avLst/>
        </a:prstGeom>
      </xdr:spPr>
    </xdr:pic>
    <xdr:clientData/>
  </xdr:twoCellAnchor>
  <xdr:twoCellAnchor editAs="oneCell">
    <xdr:from>
      <xdr:col>15</xdr:col>
      <xdr:colOff>0</xdr:colOff>
      <xdr:row>9</xdr:row>
      <xdr:rowOff>0</xdr:rowOff>
    </xdr:from>
    <xdr:to>
      <xdr:col>18</xdr:col>
      <xdr:colOff>382634</xdr:colOff>
      <xdr:row>35</xdr:row>
      <xdr:rowOff>51169</xdr:rowOff>
    </xdr:to>
    <xdr:pic>
      <xdr:nvPicPr>
        <xdr:cNvPr id="3" name="Picture 2">
          <a:extLst>
            <a:ext uri="{FF2B5EF4-FFF2-40B4-BE49-F238E27FC236}">
              <a16:creationId xmlns:a16="http://schemas.microsoft.com/office/drawing/2014/main" id="{EC3005CA-0AEC-47A1-9657-887E1E3A7EC5}"/>
            </a:ext>
            <a:ext uri="{147F2762-F138-4A5C-976F-8EAC2B608ADB}">
              <a16:predDERef xmlns:a16="http://schemas.microsoft.com/office/drawing/2014/main" pred="{C9BE8080-3ECE-4413-A741-431364548989}"/>
            </a:ext>
          </a:extLst>
        </xdr:cNvPr>
        <xdr:cNvPicPr>
          <a:picLocks noChangeAspect="1"/>
        </xdr:cNvPicPr>
      </xdr:nvPicPr>
      <xdr:blipFill>
        <a:blip xmlns:r="http://schemas.openxmlformats.org/officeDocument/2006/relationships" r:embed="rId2"/>
        <a:stretch>
          <a:fillRect/>
        </a:stretch>
      </xdr:blipFill>
      <xdr:spPr>
        <a:xfrm>
          <a:off x="9944100" y="1714500"/>
          <a:ext cx="2211434" cy="5208004"/>
        </a:xfrm>
        <a:prstGeom prst="rect">
          <a:avLst/>
        </a:prstGeom>
      </xdr:spPr>
    </xdr:pic>
    <xdr:clientData/>
  </xdr:twoCellAnchor>
  <xdr:twoCellAnchor editAs="oneCell">
    <xdr:from>
      <xdr:col>20</xdr:col>
      <xdr:colOff>0</xdr:colOff>
      <xdr:row>13</xdr:row>
      <xdr:rowOff>0</xdr:rowOff>
    </xdr:from>
    <xdr:to>
      <xdr:col>24</xdr:col>
      <xdr:colOff>213030</xdr:colOff>
      <xdr:row>21</xdr:row>
      <xdr:rowOff>130629</xdr:rowOff>
    </xdr:to>
    <xdr:pic>
      <xdr:nvPicPr>
        <xdr:cNvPr id="4" name="Picture 3">
          <a:extLst>
            <a:ext uri="{FF2B5EF4-FFF2-40B4-BE49-F238E27FC236}">
              <a16:creationId xmlns:a16="http://schemas.microsoft.com/office/drawing/2014/main" id="{06F602D6-B2B1-40BF-ABD0-8FB260E97AD3}"/>
            </a:ext>
            <a:ext uri="{147F2762-F138-4A5C-976F-8EAC2B608ADB}">
              <a16:predDERef xmlns:a16="http://schemas.microsoft.com/office/drawing/2014/main" pred="{EC3005CA-0AEC-47A1-9657-887E1E3A7EC5}"/>
            </a:ext>
          </a:extLst>
        </xdr:cNvPr>
        <xdr:cNvPicPr>
          <a:picLocks noChangeAspect="1"/>
        </xdr:cNvPicPr>
      </xdr:nvPicPr>
      <xdr:blipFill>
        <a:blip xmlns:r="http://schemas.openxmlformats.org/officeDocument/2006/relationships" r:embed="rId3"/>
        <a:stretch>
          <a:fillRect/>
        </a:stretch>
      </xdr:blipFill>
      <xdr:spPr>
        <a:xfrm>
          <a:off x="12992100" y="2476500"/>
          <a:ext cx="2655240" cy="1847034"/>
        </a:xfrm>
        <a:prstGeom prst="rect">
          <a:avLst/>
        </a:prstGeom>
      </xdr:spPr>
    </xdr:pic>
    <xdr:clientData/>
  </xdr:twoCellAnchor>
  <xdr:twoCellAnchor editAs="oneCell">
    <xdr:from>
      <xdr:col>12</xdr:col>
      <xdr:colOff>0</xdr:colOff>
      <xdr:row>33</xdr:row>
      <xdr:rowOff>0</xdr:rowOff>
    </xdr:from>
    <xdr:to>
      <xdr:col>15</xdr:col>
      <xdr:colOff>21264</xdr:colOff>
      <xdr:row>43</xdr:row>
      <xdr:rowOff>11991</xdr:rowOff>
    </xdr:to>
    <xdr:pic>
      <xdr:nvPicPr>
        <xdr:cNvPr id="5" name="Picture 4">
          <a:extLst>
            <a:ext uri="{FF2B5EF4-FFF2-40B4-BE49-F238E27FC236}">
              <a16:creationId xmlns:a16="http://schemas.microsoft.com/office/drawing/2014/main" id="{8D5686C8-9952-411A-A79F-7F835BA04B0C}"/>
            </a:ext>
            <a:ext uri="{147F2762-F138-4A5C-976F-8EAC2B608ADB}">
              <a16:predDERef xmlns:a16="http://schemas.microsoft.com/office/drawing/2014/main" pred="{06F602D6-B2B1-40BF-ABD0-8FB260E97AD3}"/>
            </a:ext>
          </a:extLst>
        </xdr:cNvPr>
        <xdr:cNvPicPr>
          <a:picLocks noChangeAspect="1"/>
        </xdr:cNvPicPr>
      </xdr:nvPicPr>
      <xdr:blipFill>
        <a:blip xmlns:r="http://schemas.openxmlformats.org/officeDocument/2006/relationships" r:embed="rId4"/>
        <a:stretch>
          <a:fillRect/>
        </a:stretch>
      </xdr:blipFill>
      <xdr:spPr>
        <a:xfrm>
          <a:off x="8115300" y="6286500"/>
          <a:ext cx="1861494" cy="1916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280148</xdr:colOff>
      <xdr:row>11</xdr:row>
      <xdr:rowOff>156468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8382001" cy="2251968"/>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7DDB-CF12-4643-A96F-EEE2D2A3223F}">
  <dimension ref="A1:P27"/>
  <sheetViews>
    <sheetView tabSelected="1" zoomScaleNormal="100" workbookViewId="0">
      <selection activeCell="P28" sqref="P28"/>
    </sheetView>
  </sheetViews>
  <sheetFormatPr defaultColWidth="8.85546875" defaultRowHeight="15" x14ac:dyDescent="0.25"/>
  <cols>
    <col min="1" max="1" width="18.5703125" style="62" bestFit="1" customWidth="1"/>
    <col min="2" max="2" width="67.5703125" style="62" customWidth="1"/>
    <col min="3" max="7" width="8.85546875" style="62"/>
    <col min="8" max="8" width="18.85546875" style="62" customWidth="1"/>
    <col min="9" max="9" width="26.7109375" style="62" bestFit="1" customWidth="1"/>
    <col min="10" max="11" width="8.85546875" style="62"/>
    <col min="12" max="12" width="34.140625" style="62" customWidth="1"/>
    <col min="13" max="15" width="8.85546875" style="62" customWidth="1"/>
    <col min="16" max="16" width="12.5703125" style="62" customWidth="1"/>
    <col min="17" max="24" width="8.85546875" style="62"/>
    <col min="25" max="25" width="12.5703125" style="62" bestFit="1" customWidth="1"/>
    <col min="26" max="16384" width="8.85546875" style="62"/>
  </cols>
  <sheetData>
    <row r="1" spans="1:16" x14ac:dyDescent="0.25">
      <c r="A1" s="66" t="s">
        <v>0</v>
      </c>
      <c r="B1" s="66" t="s">
        <v>141</v>
      </c>
      <c r="C1" s="67"/>
      <c r="D1" s="67"/>
      <c r="E1" s="67"/>
      <c r="F1" s="67"/>
      <c r="G1" s="67"/>
      <c r="H1" s="66"/>
      <c r="I1" s="68" t="s">
        <v>1</v>
      </c>
    </row>
    <row r="2" spans="1:16" x14ac:dyDescent="0.25">
      <c r="A2" s="66" t="s">
        <v>2</v>
      </c>
      <c r="B2" s="67" t="s">
        <v>138</v>
      </c>
      <c r="C2" s="67"/>
      <c r="D2" s="67"/>
      <c r="E2" s="67"/>
      <c r="F2" s="67"/>
      <c r="G2" s="67"/>
      <c r="H2" s="69"/>
      <c r="I2" s="82" t="s">
        <v>274</v>
      </c>
      <c r="L2" s="160" t="s">
        <v>3</v>
      </c>
      <c r="M2" s="160"/>
      <c r="N2" s="160"/>
      <c r="O2" s="160"/>
      <c r="P2" s="160"/>
    </row>
    <row r="3" spans="1:16" x14ac:dyDescent="0.25">
      <c r="A3" s="66"/>
      <c r="B3" s="67" t="s">
        <v>4</v>
      </c>
      <c r="C3" s="67"/>
      <c r="D3" s="67"/>
      <c r="E3" s="67"/>
      <c r="F3" s="67"/>
      <c r="G3" s="67"/>
      <c r="H3" s="69"/>
      <c r="I3" s="70" t="s">
        <v>5</v>
      </c>
      <c r="L3" s="105" t="s">
        <v>278</v>
      </c>
      <c r="M3" s="105" t="s">
        <v>6</v>
      </c>
      <c r="N3" s="105" t="s">
        <v>7</v>
      </c>
      <c r="O3" s="105" t="s">
        <v>8</v>
      </c>
      <c r="P3" s="105" t="s">
        <v>275</v>
      </c>
    </row>
    <row r="4" spans="1:16" x14ac:dyDescent="0.25">
      <c r="A4" s="66"/>
      <c r="B4" s="67" t="s">
        <v>9</v>
      </c>
      <c r="C4" s="67"/>
      <c r="D4" s="67"/>
      <c r="E4" s="67"/>
      <c r="F4" s="67"/>
      <c r="G4" s="67"/>
      <c r="H4" s="69"/>
      <c r="I4" s="81" t="s">
        <v>10</v>
      </c>
      <c r="L4" s="79" t="str">
        <f>'Existing Conditions'!F8</f>
        <v>Catchment Hydrology</v>
      </c>
      <c r="M4" s="97">
        <f>'Existing Conditions'!H8</f>
        <v>0</v>
      </c>
      <c r="N4" s="79">
        <f t="shared" ref="N4:N13" si="0">IF(M4/15&lt;=0.39, M4, IF(M4/15&lt;=0.69, NA(), NA()))</f>
        <v>0</v>
      </c>
      <c r="O4" s="79" t="e">
        <f t="shared" ref="O4:O13" si="1">IF(M4/15&lt;=0.39, NA(), IF(M4/15&lt;=0.69, M4,NA()))</f>
        <v>#N/A</v>
      </c>
      <c r="P4" s="79" t="e">
        <f t="shared" ref="P4:P13" si="2">IF(M4/15&lt;=0.39, NA(), IF(M4/15&lt;=0.69, NA(), M4))</f>
        <v>#N/A</v>
      </c>
    </row>
    <row r="5" spans="1:16" ht="15.75" x14ac:dyDescent="0.25">
      <c r="A5" s="66"/>
      <c r="B5" s="67" t="s">
        <v>139</v>
      </c>
      <c r="C5" s="67"/>
      <c r="D5" s="67"/>
      <c r="E5" s="67"/>
      <c r="F5" s="67"/>
      <c r="G5" s="67"/>
      <c r="H5" s="69"/>
      <c r="I5" s="77"/>
      <c r="L5" s="79" t="str">
        <f>'Existing Conditions'!F12</f>
        <v>Surface Water Storage</v>
      </c>
      <c r="M5" s="97">
        <f>'Existing Conditions'!H12</f>
        <v>0</v>
      </c>
      <c r="N5" s="79">
        <f t="shared" si="0"/>
        <v>0</v>
      </c>
      <c r="O5" s="79" t="e">
        <f t="shared" si="1"/>
        <v>#N/A</v>
      </c>
      <c r="P5" s="79" t="e">
        <f t="shared" si="2"/>
        <v>#N/A</v>
      </c>
    </row>
    <row r="6" spans="1:16" x14ac:dyDescent="0.25">
      <c r="A6" s="66"/>
      <c r="B6" s="71"/>
      <c r="C6" s="67"/>
      <c r="D6" s="67"/>
      <c r="E6" s="67"/>
      <c r="F6" s="67"/>
      <c r="G6" s="67"/>
      <c r="H6" s="66"/>
      <c r="I6" s="158" t="s">
        <v>293</v>
      </c>
      <c r="L6" s="79" t="str">
        <f>'Existing Conditions'!F16</f>
        <v>Reach Inflow</v>
      </c>
      <c r="M6" s="97">
        <f>'Existing Conditions'!H16</f>
        <v>0</v>
      </c>
      <c r="N6" s="79">
        <f t="shared" si="0"/>
        <v>0</v>
      </c>
      <c r="O6" s="79" t="e">
        <f t="shared" si="1"/>
        <v>#N/A</v>
      </c>
      <c r="P6" s="79" t="e">
        <f t="shared" si="2"/>
        <v>#N/A</v>
      </c>
    </row>
    <row r="7" spans="1:16" x14ac:dyDescent="0.25">
      <c r="A7" s="66" t="s">
        <v>11</v>
      </c>
      <c r="B7" s="72" t="s">
        <v>214</v>
      </c>
      <c r="C7" s="67"/>
      <c r="D7" s="67"/>
      <c r="E7" s="67"/>
      <c r="F7" s="67"/>
      <c r="G7" s="67"/>
      <c r="H7" s="69"/>
      <c r="I7" s="70" t="s">
        <v>294</v>
      </c>
      <c r="L7" s="79" t="str">
        <f>'Existing Conditions'!F20</f>
        <v>Streamflow Regime</v>
      </c>
      <c r="M7" s="97">
        <f>'Existing Conditions'!H20</f>
        <v>0</v>
      </c>
      <c r="N7" s="79">
        <f t="shared" si="0"/>
        <v>0</v>
      </c>
      <c r="O7" s="79" t="e">
        <f t="shared" si="1"/>
        <v>#N/A</v>
      </c>
      <c r="P7" s="79" t="e">
        <f t="shared" si="2"/>
        <v>#N/A</v>
      </c>
    </row>
    <row r="8" spans="1:16" x14ac:dyDescent="0.25">
      <c r="A8" s="66" t="s">
        <v>12</v>
      </c>
      <c r="B8" s="73">
        <v>46294</v>
      </c>
      <c r="C8" s="67"/>
      <c r="D8" s="67"/>
      <c r="E8" s="67"/>
      <c r="F8" s="67"/>
      <c r="G8" s="67"/>
      <c r="H8" s="66"/>
      <c r="I8" s="159"/>
      <c r="L8" s="79" t="str">
        <f>'Existing Conditions'!F24</f>
        <v>Low Flow and Baseflow Dynamics</v>
      </c>
      <c r="M8" s="97">
        <f>'Existing Conditions'!H24</f>
        <v>0</v>
      </c>
      <c r="N8" s="79">
        <f t="shared" si="0"/>
        <v>0</v>
      </c>
      <c r="O8" s="79" t="e">
        <f t="shared" si="1"/>
        <v>#N/A</v>
      </c>
      <c r="P8" s="79" t="e">
        <f t="shared" si="2"/>
        <v>#N/A</v>
      </c>
    </row>
    <row r="9" spans="1:16" x14ac:dyDescent="0.25">
      <c r="A9" s="66"/>
      <c r="B9" s="72"/>
      <c r="C9" s="67"/>
      <c r="D9" s="67"/>
      <c r="E9" s="67"/>
      <c r="F9" s="67"/>
      <c r="G9" s="67"/>
      <c r="H9" s="66"/>
      <c r="I9" s="67"/>
      <c r="L9" s="79" t="str">
        <f>'Existing Conditions'!F28</f>
        <v>High Flow Dynamics</v>
      </c>
      <c r="M9" s="97">
        <f>'Existing Conditions'!H28</f>
        <v>0</v>
      </c>
      <c r="N9" s="79">
        <f t="shared" si="0"/>
        <v>0</v>
      </c>
      <c r="O9" s="79" t="e">
        <f t="shared" si="1"/>
        <v>#N/A</v>
      </c>
      <c r="P9" s="79" t="e">
        <f t="shared" si="2"/>
        <v>#N/A</v>
      </c>
    </row>
    <row r="10" spans="1:16" ht="39.6" customHeight="1" x14ac:dyDescent="0.25">
      <c r="A10" s="66" t="s">
        <v>13</v>
      </c>
      <c r="B10" s="74" t="s">
        <v>140</v>
      </c>
      <c r="C10" s="67"/>
      <c r="D10" s="67"/>
      <c r="E10" s="67"/>
      <c r="F10" s="67"/>
      <c r="G10" s="67"/>
      <c r="H10" s="66"/>
      <c r="I10" s="67"/>
      <c r="L10" s="79" t="str">
        <f>'Existing Conditions'!F32</f>
        <v>Floodplain Connectivity</v>
      </c>
      <c r="M10" s="97">
        <f>'Existing Conditions'!H32</f>
        <v>0</v>
      </c>
      <c r="N10" s="79">
        <f t="shared" si="0"/>
        <v>0</v>
      </c>
      <c r="O10" s="79" t="e">
        <f t="shared" si="1"/>
        <v>#N/A</v>
      </c>
      <c r="P10" s="79" t="e">
        <f t="shared" si="2"/>
        <v>#N/A</v>
      </c>
    </row>
    <row r="11" spans="1:16" x14ac:dyDescent="0.25">
      <c r="A11" s="66"/>
      <c r="B11" s="72" t="s">
        <v>14</v>
      </c>
      <c r="C11" s="67"/>
      <c r="D11" s="67"/>
      <c r="E11" s="67"/>
      <c r="F11" s="67"/>
      <c r="G11" s="67"/>
      <c r="H11" s="67"/>
      <c r="I11" s="67"/>
      <c r="L11" s="79" t="str">
        <f>'Existing Conditions'!F36</f>
        <v>Hyporheic Connectivity</v>
      </c>
      <c r="M11" s="97">
        <f>'Existing Conditions'!H36</f>
        <v>0</v>
      </c>
      <c r="N11" s="79">
        <f t="shared" si="0"/>
        <v>0</v>
      </c>
      <c r="O11" s="79" t="e">
        <f t="shared" si="1"/>
        <v>#N/A</v>
      </c>
      <c r="P11" s="79" t="e">
        <f t="shared" si="2"/>
        <v>#N/A</v>
      </c>
    </row>
    <row r="12" spans="1:16" x14ac:dyDescent="0.25">
      <c r="A12" s="66"/>
      <c r="B12" s="67"/>
      <c r="C12" s="67"/>
      <c r="D12" s="67"/>
      <c r="E12" s="67"/>
      <c r="F12" s="67"/>
      <c r="G12" s="67"/>
      <c r="H12" s="67"/>
      <c r="I12" s="67"/>
      <c r="L12" s="79" t="str">
        <f>'Existing Conditions'!F40</f>
        <v>Channel Evolution</v>
      </c>
      <c r="M12" s="97">
        <f>'Existing Conditions'!H40</f>
        <v>0</v>
      </c>
      <c r="N12" s="79">
        <f t="shared" si="0"/>
        <v>0</v>
      </c>
      <c r="O12" s="79" t="e">
        <f t="shared" si="1"/>
        <v>#N/A</v>
      </c>
      <c r="P12" s="79" t="e">
        <f t="shared" si="2"/>
        <v>#N/A</v>
      </c>
    </row>
    <row r="13" spans="1:16" x14ac:dyDescent="0.25">
      <c r="A13" s="75"/>
      <c r="B13" s="68"/>
      <c r="C13" s="68"/>
      <c r="D13" s="68"/>
      <c r="E13" s="68"/>
      <c r="F13" s="68"/>
      <c r="G13" s="68"/>
      <c r="H13" s="68"/>
      <c r="I13" s="68"/>
      <c r="L13" s="79" t="str">
        <f>'Existing Conditions'!F44</f>
        <v>Channel and Floodplain Dynamics</v>
      </c>
      <c r="M13" s="97">
        <f>'Existing Conditions'!H44</f>
        <v>0</v>
      </c>
      <c r="N13" s="79">
        <f t="shared" si="0"/>
        <v>0</v>
      </c>
      <c r="O13" s="79" t="e">
        <f t="shared" si="1"/>
        <v>#N/A</v>
      </c>
      <c r="P13" s="79" t="e">
        <f t="shared" si="2"/>
        <v>#N/A</v>
      </c>
    </row>
    <row r="14" spans="1:16" x14ac:dyDescent="0.25">
      <c r="A14" s="76"/>
      <c r="L14" s="79" t="str">
        <f>'Existing Conditions'!F48</f>
        <v>Sediment Continuity</v>
      </c>
      <c r="M14" s="97">
        <f>'Existing Conditions'!H48</f>
        <v>0</v>
      </c>
      <c r="N14" s="79">
        <f t="shared" ref="N14:N23" si="3">IF(M14/15&lt;=0.39, M14, IF(M14/15&lt;=0.69, NA(), NA()))</f>
        <v>0</v>
      </c>
      <c r="O14" s="79" t="e">
        <f t="shared" ref="O14:O23" si="4">IF(M14/15&lt;=0.39, NA(), IF(M14/15&lt;=0.69, M14,NA()))</f>
        <v>#N/A</v>
      </c>
      <c r="P14" s="79" t="e">
        <f t="shared" ref="P14:P23" si="5">IF(M14/15&lt;=0.39, NA(), IF(M14/15&lt;=0.69, NA(), M14))</f>
        <v>#N/A</v>
      </c>
    </row>
    <row r="15" spans="1:16" x14ac:dyDescent="0.25">
      <c r="A15" s="161" t="s">
        <v>15</v>
      </c>
      <c r="B15" s="162"/>
      <c r="L15" s="79" t="str">
        <f>'Existing Conditions'!F52</f>
        <v>Bed Composition and Bedform Dynamics</v>
      </c>
      <c r="M15" s="97">
        <f>'Existing Conditions'!H52</f>
        <v>0</v>
      </c>
      <c r="N15" s="79">
        <f t="shared" si="3"/>
        <v>0</v>
      </c>
      <c r="O15" s="79" t="e">
        <f t="shared" si="4"/>
        <v>#N/A</v>
      </c>
      <c r="P15" s="79" t="e">
        <f t="shared" si="5"/>
        <v>#N/A</v>
      </c>
    </row>
    <row r="16" spans="1:16" ht="28.9" customHeight="1" x14ac:dyDescent="0.25">
      <c r="A16" s="102" t="s">
        <v>16</v>
      </c>
      <c r="B16" s="103" t="s">
        <v>270</v>
      </c>
      <c r="L16" s="80" t="str">
        <f>'Existing Conditions'!F56</f>
        <v>Light and Thermal Regime</v>
      </c>
      <c r="M16" s="97">
        <f>'Existing Conditions'!H56</f>
        <v>0</v>
      </c>
      <c r="N16" s="79">
        <f t="shared" si="3"/>
        <v>0</v>
      </c>
      <c r="O16" s="79" t="e">
        <f t="shared" si="4"/>
        <v>#N/A</v>
      </c>
      <c r="P16" s="79" t="e">
        <f t="shared" si="5"/>
        <v>#N/A</v>
      </c>
    </row>
    <row r="17" spans="1:16" ht="22.9" customHeight="1" x14ac:dyDescent="0.25">
      <c r="A17" s="102" t="s">
        <v>17</v>
      </c>
      <c r="B17" s="103" t="s">
        <v>271</v>
      </c>
      <c r="L17" s="80" t="str">
        <f>'Existing Conditions'!F60</f>
        <v>Carbon Processing</v>
      </c>
      <c r="M17" s="97">
        <f>'Existing Conditions'!H60</f>
        <v>0</v>
      </c>
      <c r="N17" s="79">
        <f t="shared" si="3"/>
        <v>0</v>
      </c>
      <c r="O17" s="79" t="e">
        <f t="shared" si="4"/>
        <v>#N/A</v>
      </c>
      <c r="P17" s="79" t="e">
        <f t="shared" si="5"/>
        <v>#N/A</v>
      </c>
    </row>
    <row r="18" spans="1:16" ht="30" x14ac:dyDescent="0.25">
      <c r="A18" s="102" t="s">
        <v>18</v>
      </c>
      <c r="B18" s="103" t="s">
        <v>272</v>
      </c>
      <c r="L18" s="80" t="str">
        <f>'Existing Conditions'!F64</f>
        <v>Nutrient Cycling</v>
      </c>
      <c r="M18" s="97">
        <f>'Existing Conditions'!H64</f>
        <v>0</v>
      </c>
      <c r="N18" s="79">
        <f t="shared" si="3"/>
        <v>0</v>
      </c>
      <c r="O18" s="79" t="e">
        <f t="shared" si="4"/>
        <v>#N/A</v>
      </c>
      <c r="P18" s="79" t="e">
        <f t="shared" si="5"/>
        <v>#N/A</v>
      </c>
    </row>
    <row r="19" spans="1:16" ht="60" x14ac:dyDescent="0.25">
      <c r="A19" s="102" t="s">
        <v>19</v>
      </c>
      <c r="B19" s="103" t="s">
        <v>283</v>
      </c>
      <c r="L19" s="80" t="str">
        <f>'Existing Conditions'!F68</f>
        <v>Water and Soil Quality</v>
      </c>
      <c r="M19" s="97">
        <f>'Existing Conditions'!H68</f>
        <v>0</v>
      </c>
      <c r="N19" s="79">
        <f t="shared" si="3"/>
        <v>0</v>
      </c>
      <c r="O19" s="79" t="e">
        <f t="shared" si="4"/>
        <v>#N/A</v>
      </c>
      <c r="P19" s="79" t="e">
        <f t="shared" si="5"/>
        <v>#N/A</v>
      </c>
    </row>
    <row r="20" spans="1:16" ht="30" x14ac:dyDescent="0.25">
      <c r="A20" s="102" t="s">
        <v>20</v>
      </c>
      <c r="B20" s="103" t="s">
        <v>273</v>
      </c>
      <c r="L20" s="80" t="str">
        <f>'Existing Conditions'!F72</f>
        <v>Habitat Provision</v>
      </c>
      <c r="M20" s="97">
        <f>'Existing Conditions'!H72</f>
        <v>0</v>
      </c>
      <c r="N20" s="79">
        <f t="shared" si="3"/>
        <v>0</v>
      </c>
      <c r="O20" s="79" t="e">
        <f t="shared" si="4"/>
        <v>#N/A</v>
      </c>
      <c r="P20" s="79" t="e">
        <f t="shared" si="5"/>
        <v>#N/A</v>
      </c>
    </row>
    <row r="21" spans="1:16" x14ac:dyDescent="0.25">
      <c r="L21" s="80" t="str">
        <f>'Existing Conditions'!F76</f>
        <v>Population Support</v>
      </c>
      <c r="M21" s="97">
        <f>'Existing Conditions'!H76</f>
        <v>0</v>
      </c>
      <c r="N21" s="79">
        <f t="shared" si="3"/>
        <v>0</v>
      </c>
      <c r="O21" s="79" t="e">
        <f t="shared" si="4"/>
        <v>#N/A</v>
      </c>
      <c r="P21" s="79" t="e">
        <f t="shared" si="5"/>
        <v>#N/A</v>
      </c>
    </row>
    <row r="22" spans="1:16" x14ac:dyDescent="0.25">
      <c r="A22" s="163" t="s">
        <v>21</v>
      </c>
      <c r="B22" s="164"/>
      <c r="L22" s="80" t="str">
        <f>'Existing Conditions'!F80</f>
        <v>Community Dynamics</v>
      </c>
      <c r="M22" s="97">
        <f>'Existing Conditions'!H80</f>
        <v>0</v>
      </c>
      <c r="N22" s="79">
        <f t="shared" si="3"/>
        <v>0</v>
      </c>
      <c r="O22" s="79" t="e">
        <f t="shared" si="4"/>
        <v>#N/A</v>
      </c>
      <c r="P22" s="79" t="e">
        <f t="shared" si="5"/>
        <v>#N/A</v>
      </c>
    </row>
    <row r="23" spans="1:16" ht="60" x14ac:dyDescent="0.25">
      <c r="A23" s="102" t="s">
        <v>22</v>
      </c>
      <c r="B23" s="104" t="s">
        <v>277</v>
      </c>
      <c r="L23" s="80" t="str">
        <f>'Existing Conditions'!F84</f>
        <v>Watershed Connectivity</v>
      </c>
      <c r="M23" s="97">
        <f>'Existing Conditions'!H84</f>
        <v>0</v>
      </c>
      <c r="N23" s="79">
        <f t="shared" si="3"/>
        <v>0</v>
      </c>
      <c r="O23" s="79" t="e">
        <f t="shared" si="4"/>
        <v>#N/A</v>
      </c>
      <c r="P23" s="79" t="e">
        <f t="shared" si="5"/>
        <v>#N/A</v>
      </c>
    </row>
    <row r="24" spans="1:16" x14ac:dyDescent="0.25">
      <c r="A24" s="102"/>
      <c r="B24" s="104"/>
      <c r="L24" s="79"/>
      <c r="M24" s="79"/>
      <c r="N24" s="79"/>
      <c r="O24" s="79"/>
      <c r="P24" s="79"/>
    </row>
    <row r="25" spans="1:16" x14ac:dyDescent="0.25">
      <c r="A25" s="78"/>
      <c r="L25" s="79" t="str">
        <f>'Existing Conditions'!B8</f>
        <v>Physical</v>
      </c>
      <c r="M25" s="80">
        <f>'Existing Conditions'!C8</f>
        <v>0</v>
      </c>
      <c r="N25" s="79">
        <f>IF(M25&lt;=0.395, M25, IF(M25&lt;=0.695, NA(), NA()))</f>
        <v>0</v>
      </c>
      <c r="O25" s="80" t="e">
        <f>IF(M25&lt;=0.395, NA(), IF(M25&lt;=0.695, M25,NA()))</f>
        <v>#N/A</v>
      </c>
      <c r="P25" s="80" t="e">
        <f>IF(M25&lt;=0.395, NA(), IF(M25&lt;=0.695, NA(), M25))</f>
        <v>#N/A</v>
      </c>
    </row>
    <row r="26" spans="1:16" x14ac:dyDescent="0.25">
      <c r="A26" s="65"/>
      <c r="L26" s="79" t="str">
        <f>'Existing Conditions'!B56</f>
        <v>Chemical</v>
      </c>
      <c r="M26" s="80">
        <f>'Existing Conditions'!C56</f>
        <v>0</v>
      </c>
      <c r="N26" s="79">
        <f>IF(M26&lt;=0.395, M26, IF(M26&lt;=0.695, NA(), NA()))</f>
        <v>0</v>
      </c>
      <c r="O26" s="80" t="e">
        <f>IF(M26&lt;=0.395, NA(), IF(M26&lt;=0.695, M26,NA()))</f>
        <v>#N/A</v>
      </c>
      <c r="P26" s="80" t="e">
        <f>IF(M26&lt;=0.395, NA(), IF(M26&lt;=0.695, NA(), M26))</f>
        <v>#N/A</v>
      </c>
    </row>
    <row r="27" spans="1:16" x14ac:dyDescent="0.25">
      <c r="L27" s="79" t="str">
        <f>'Existing Conditions'!B72</f>
        <v>Biological</v>
      </c>
      <c r="M27" s="80">
        <f>'Existing Conditions'!C72</f>
        <v>0</v>
      </c>
      <c r="N27" s="80">
        <f>IF(M27&lt;=0.395, M27, IF(M27&lt;=0.695, NA(), NA()))</f>
        <v>0</v>
      </c>
      <c r="O27" s="80" t="e">
        <f>IF(M27&lt;=0.395, NA(), IF(M27&lt;=0.695, M27,NA()))</f>
        <v>#N/A</v>
      </c>
      <c r="P27" s="80" t="e">
        <f>IF(M27&lt;=0.395, NA(), IF(M27&lt;=0.695, NA(), M27))</f>
        <v>#N/A</v>
      </c>
    </row>
  </sheetData>
  <sheetProtection algorithmName="SHA-512" hashValue="nxJEgPxj9mw5yjdgKEFLC9whgj6w98jgfWbZC8+smJvdhho4ZuvJecsW5oa/gWWGK2e6RAlQi6k4yid4RfL0yw==" saltValue="ut+p4Du7VYh2bEYaXHETlQ==" spinCount="100000" sheet="1" objects="1" scenarios="1"/>
  <mergeCells count="3">
    <mergeCell ref="L2:P2"/>
    <mergeCell ref="A15:B15"/>
    <mergeCell ref="A22:B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5489-C34D-4081-B204-0E1254FA5100}">
  <dimension ref="A1:AP101"/>
  <sheetViews>
    <sheetView zoomScale="70" zoomScaleNormal="70" workbookViewId="0">
      <selection activeCell="AU15" sqref="AU15"/>
    </sheetView>
  </sheetViews>
  <sheetFormatPr defaultRowHeight="15" customHeight="1" x14ac:dyDescent="0.25"/>
  <cols>
    <col min="1" max="1" width="15.5703125" customWidth="1"/>
    <col min="2" max="2" width="15.42578125" customWidth="1"/>
    <col min="3" max="3" width="16.5703125" customWidth="1"/>
    <col min="4" max="4" width="21" customWidth="1"/>
    <col min="5" max="5" width="16.5703125" customWidth="1"/>
    <col min="6" max="6" width="27.42578125" customWidth="1"/>
    <col min="7" max="7" width="18.7109375" customWidth="1"/>
    <col min="8" max="8" width="13.7109375" customWidth="1"/>
    <col min="9" max="9" width="38.85546875" bestFit="1" customWidth="1"/>
    <col min="10" max="10" width="21" customWidth="1"/>
    <col min="11" max="13" width="9.7109375" customWidth="1"/>
    <col min="14" max="14" width="5.85546875" customWidth="1"/>
    <col min="15" max="15" width="14.42578125" customWidth="1"/>
    <col min="16" max="16" width="13.140625" hidden="1" customWidth="1"/>
    <col min="17" max="17" width="3.5703125" hidden="1" customWidth="1"/>
    <col min="18" max="19" width="9.140625" hidden="1" customWidth="1"/>
    <col min="20" max="20" width="9.140625" customWidth="1"/>
    <col min="21" max="21" width="10.5703125" customWidth="1"/>
    <col min="22" max="22" width="5" customWidth="1"/>
    <col min="23" max="23" width="17.28515625" customWidth="1"/>
    <col min="24" max="24" width="36.85546875" customWidth="1"/>
    <col min="25" max="25" width="10.7109375" customWidth="1"/>
    <col min="26" max="26" width="13" customWidth="1"/>
    <col min="27" max="27" width="12" customWidth="1"/>
    <col min="28" max="28" width="13.42578125" customWidth="1"/>
    <col min="29" max="29" width="4.140625" customWidth="1"/>
    <col min="31" max="42" width="9.140625" hidden="1" customWidth="1"/>
    <col min="43" max="43" width="3.85546875" customWidth="1"/>
    <col min="44" max="44" width="5.42578125" customWidth="1"/>
    <col min="45" max="45" width="6" customWidth="1"/>
    <col min="46" max="46" width="4.28515625" customWidth="1"/>
    <col min="47" max="47" width="7.42578125" customWidth="1"/>
    <col min="48" max="48" width="4.85546875" customWidth="1"/>
    <col min="49" max="49" width="9.140625" customWidth="1"/>
    <col min="50" max="50" width="4.85546875" customWidth="1"/>
    <col min="51" max="62" width="9.140625" customWidth="1"/>
  </cols>
  <sheetData>
    <row r="1" spans="1:42" ht="21.75" thickBot="1" x14ac:dyDescent="0.3">
      <c r="A1" s="226" t="s">
        <v>240</v>
      </c>
      <c r="B1" s="227"/>
      <c r="C1" s="227"/>
      <c r="D1" s="227"/>
      <c r="E1" s="227"/>
      <c r="F1" s="227"/>
      <c r="G1" s="228"/>
      <c r="H1" s="228"/>
      <c r="I1" s="228"/>
      <c r="J1" s="229"/>
      <c r="K1" s="63"/>
      <c r="L1" s="63"/>
      <c r="M1" s="63"/>
      <c r="N1" s="63"/>
      <c r="O1" s="230"/>
      <c r="P1" s="230"/>
      <c r="Q1" s="62"/>
      <c r="R1" s="120" t="s">
        <v>23</v>
      </c>
      <c r="S1" s="62">
        <v>14</v>
      </c>
      <c r="T1" s="62"/>
      <c r="U1" s="62"/>
    </row>
    <row r="2" spans="1:42" ht="21" customHeight="1" x14ac:dyDescent="0.25">
      <c r="A2" s="114" t="s">
        <v>279</v>
      </c>
      <c r="B2" s="231"/>
      <c r="C2" s="232"/>
      <c r="D2" s="232"/>
      <c r="E2" s="232"/>
      <c r="F2" s="117" t="s">
        <v>26</v>
      </c>
      <c r="G2" s="233"/>
      <c r="H2" s="234"/>
      <c r="I2" s="234"/>
      <c r="J2" s="235"/>
      <c r="K2" s="63"/>
      <c r="L2" s="63"/>
      <c r="M2" s="63"/>
      <c r="N2" s="63"/>
      <c r="O2" s="121"/>
      <c r="P2" s="121"/>
      <c r="Q2" s="62"/>
      <c r="R2" s="120" t="s">
        <v>24</v>
      </c>
      <c r="S2" s="62">
        <v>11</v>
      </c>
      <c r="T2" s="62"/>
      <c r="U2" s="62"/>
    </row>
    <row r="3" spans="1:42" ht="21" customHeight="1" thickBot="1" x14ac:dyDescent="0.3">
      <c r="A3" s="115" t="s">
        <v>25</v>
      </c>
      <c r="B3" s="233"/>
      <c r="C3" s="234"/>
      <c r="D3" s="234"/>
      <c r="E3" s="235"/>
      <c r="F3" s="118" t="s">
        <v>30</v>
      </c>
      <c r="G3" s="233"/>
      <c r="H3" s="234"/>
      <c r="I3" s="234"/>
      <c r="J3" s="235"/>
      <c r="K3" s="63"/>
      <c r="L3" s="63"/>
      <c r="M3" s="63"/>
      <c r="N3" s="63"/>
      <c r="O3" s="121"/>
      <c r="P3" s="121"/>
      <c r="Q3" s="62"/>
      <c r="R3" s="120" t="s">
        <v>27</v>
      </c>
      <c r="S3" s="62">
        <v>8</v>
      </c>
      <c r="T3" s="62"/>
      <c r="U3" s="62"/>
    </row>
    <row r="4" spans="1:42" ht="21" customHeight="1" thickBot="1" x14ac:dyDescent="0.3">
      <c r="A4" s="116" t="s">
        <v>28</v>
      </c>
      <c r="B4" s="219"/>
      <c r="C4" s="220"/>
      <c r="D4" s="220"/>
      <c r="E4" s="220"/>
      <c r="F4" s="119"/>
      <c r="G4" s="249"/>
      <c r="H4" s="220"/>
      <c r="I4" s="220"/>
      <c r="J4" s="250"/>
      <c r="K4" s="63"/>
      <c r="L4" s="63"/>
      <c r="M4" s="63"/>
      <c r="N4" s="63"/>
      <c r="O4" s="121"/>
      <c r="P4" s="121"/>
      <c r="Q4" s="62"/>
      <c r="R4" s="120" t="s">
        <v>29</v>
      </c>
      <c r="S4" s="62">
        <v>5</v>
      </c>
      <c r="T4" s="62"/>
      <c r="U4" s="62"/>
      <c r="V4" s="122"/>
      <c r="W4" s="123"/>
      <c r="X4" s="123"/>
      <c r="Y4" s="123"/>
      <c r="Z4" s="123"/>
      <c r="AA4" s="123"/>
      <c r="AB4" s="123"/>
      <c r="AC4" s="124"/>
    </row>
    <row r="5" spans="1:42" ht="15.75" x14ac:dyDescent="0.25">
      <c r="A5" s="20" t="s">
        <v>186</v>
      </c>
      <c r="B5" s="221" t="s">
        <v>33</v>
      </c>
      <c r="C5" s="222"/>
      <c r="D5" s="221" t="s">
        <v>217</v>
      </c>
      <c r="E5" s="222"/>
      <c r="F5" s="221" t="s">
        <v>142</v>
      </c>
      <c r="G5" s="251"/>
      <c r="H5" s="222"/>
      <c r="I5" s="221" t="s">
        <v>215</v>
      </c>
      <c r="J5" s="252"/>
      <c r="K5" s="62"/>
      <c r="L5" s="62"/>
      <c r="M5" s="62"/>
      <c r="N5" s="62"/>
      <c r="O5" s="121"/>
      <c r="P5" s="121"/>
      <c r="Q5" s="62"/>
      <c r="R5" s="120" t="s">
        <v>31</v>
      </c>
      <c r="S5" s="62">
        <v>2</v>
      </c>
      <c r="T5" s="62"/>
      <c r="U5" s="62"/>
      <c r="V5" s="99"/>
      <c r="W5" s="63"/>
      <c r="X5" s="63"/>
      <c r="Y5" s="63"/>
      <c r="Z5" s="177" t="s">
        <v>33</v>
      </c>
      <c r="AA5" s="178"/>
      <c r="AB5" s="179"/>
      <c r="AC5" s="125"/>
      <c r="AE5" s="126"/>
      <c r="AF5" s="126"/>
      <c r="AG5" s="126"/>
      <c r="AH5" s="165" t="s">
        <v>216</v>
      </c>
      <c r="AI5" s="165"/>
      <c r="AJ5" s="165"/>
      <c r="AK5" s="127"/>
      <c r="AL5" s="127"/>
      <c r="AM5" s="127"/>
    </row>
    <row r="6" spans="1:42" ht="15" customHeight="1" x14ac:dyDescent="0.25">
      <c r="A6" s="271" t="s">
        <v>38</v>
      </c>
      <c r="B6" s="243" t="s">
        <v>39</v>
      </c>
      <c r="C6" s="241" t="s">
        <v>276</v>
      </c>
      <c r="D6" s="268" t="s">
        <v>39</v>
      </c>
      <c r="E6" s="241" t="s">
        <v>276</v>
      </c>
      <c r="F6" s="239" t="s">
        <v>39</v>
      </c>
      <c r="G6" s="270" t="s">
        <v>143</v>
      </c>
      <c r="H6" s="241" t="s">
        <v>40</v>
      </c>
      <c r="I6" s="243" t="s">
        <v>39</v>
      </c>
      <c r="J6" s="244" t="s">
        <v>41</v>
      </c>
      <c r="K6" s="62"/>
      <c r="L6" s="62"/>
      <c r="M6" s="62"/>
      <c r="N6" s="62"/>
      <c r="O6" s="62"/>
      <c r="P6" s="236" t="s">
        <v>42</v>
      </c>
      <c r="Q6" s="62"/>
      <c r="R6" s="120" t="s">
        <v>37</v>
      </c>
      <c r="S6" s="62"/>
      <c r="T6" s="62"/>
      <c r="U6" s="62"/>
      <c r="V6" s="99"/>
      <c r="W6" s="180" t="s">
        <v>217</v>
      </c>
      <c r="X6" s="181" t="s">
        <v>142</v>
      </c>
      <c r="Y6" s="181" t="s">
        <v>110</v>
      </c>
      <c r="Z6" s="182" t="s">
        <v>161</v>
      </c>
      <c r="AA6" s="182" t="s">
        <v>162</v>
      </c>
      <c r="AB6" s="182" t="s">
        <v>163</v>
      </c>
      <c r="AC6" s="125"/>
      <c r="AE6" s="183" t="s">
        <v>218</v>
      </c>
      <c r="AF6" s="185" t="s">
        <v>219</v>
      </c>
      <c r="AG6" s="185" t="s">
        <v>220</v>
      </c>
      <c r="AH6" s="185" t="s">
        <v>161</v>
      </c>
      <c r="AI6" s="185" t="s">
        <v>162</v>
      </c>
      <c r="AJ6" s="185" t="s">
        <v>163</v>
      </c>
      <c r="AK6" s="185"/>
      <c r="AL6" s="185"/>
      <c r="AM6" s="185"/>
    </row>
    <row r="7" spans="1:42" ht="15" customHeight="1" x14ac:dyDescent="0.25">
      <c r="A7" s="272"/>
      <c r="B7" s="239"/>
      <c r="C7" s="242"/>
      <c r="D7" s="269"/>
      <c r="E7" s="242"/>
      <c r="F7" s="240"/>
      <c r="G7" s="270"/>
      <c r="H7" s="242"/>
      <c r="I7" s="239"/>
      <c r="J7" s="245"/>
      <c r="K7" s="62"/>
      <c r="L7" s="62"/>
      <c r="M7" s="62"/>
      <c r="N7" s="62"/>
      <c r="O7" s="62"/>
      <c r="P7" s="237"/>
      <c r="Q7" s="62"/>
      <c r="R7" s="62"/>
      <c r="S7" s="62"/>
      <c r="T7" s="62"/>
      <c r="U7" s="62"/>
      <c r="V7" s="128"/>
      <c r="W7" s="180"/>
      <c r="X7" s="181"/>
      <c r="Y7" s="181"/>
      <c r="Z7" s="182"/>
      <c r="AA7" s="182"/>
      <c r="AB7" s="182"/>
      <c r="AC7" s="129"/>
      <c r="AE7" s="184"/>
      <c r="AF7" s="185"/>
      <c r="AG7" s="185"/>
      <c r="AH7" s="185"/>
      <c r="AI7" s="185"/>
      <c r="AJ7" s="185"/>
      <c r="AK7" s="185"/>
      <c r="AL7" s="185"/>
      <c r="AM7" s="185"/>
      <c r="AO7" s="130" t="s">
        <v>221</v>
      </c>
      <c r="AP7" s="130" t="s">
        <v>222</v>
      </c>
    </row>
    <row r="8" spans="1:42" ht="14.45" customHeight="1" x14ac:dyDescent="0.25">
      <c r="A8" s="264">
        <f>AVERAGE(C8:C87)</f>
        <v>0</v>
      </c>
      <c r="B8" s="246" t="s">
        <v>161</v>
      </c>
      <c r="C8" s="247">
        <f>Z28</f>
        <v>0</v>
      </c>
      <c r="D8" s="223" t="s">
        <v>147</v>
      </c>
      <c r="E8" s="198" t="e">
        <f>IF(AVERAGE(H8:H23)/15&lt;0.4, "Non-Functioning", IF(AVERAGE(H8:H23)/15&lt;0.7, "Functioning At-Risk", "Functioning"))</f>
        <v>#DIV/0!</v>
      </c>
      <c r="F8" s="223" t="s">
        <v>144</v>
      </c>
      <c r="G8" s="212" t="e">
        <f>AVERAGEIF(P8:P11,"&lt;&gt;#N/A")</f>
        <v>#DIV/0!</v>
      </c>
      <c r="H8" s="195"/>
      <c r="I8" s="106" t="s">
        <v>148</v>
      </c>
      <c r="J8" s="112"/>
      <c r="K8" s="62"/>
      <c r="L8" s="62"/>
      <c r="N8" s="62"/>
      <c r="O8" s="62"/>
      <c r="P8" s="131" t="e">
        <f t="array" ref="P8">VLOOKUP($J8:$J8,$R$1:$S$5,2,FALSE)</f>
        <v>#N/A</v>
      </c>
      <c r="Q8" s="62"/>
      <c r="R8" s="62"/>
      <c r="S8" s="62"/>
      <c r="T8" s="65"/>
      <c r="U8" s="62"/>
      <c r="V8" s="99"/>
      <c r="W8" s="169" t="s">
        <v>147</v>
      </c>
      <c r="X8" s="132" t="s">
        <v>223</v>
      </c>
      <c r="Y8" s="133">
        <f>H8</f>
        <v>0</v>
      </c>
      <c r="Z8" s="134" t="s">
        <v>221</v>
      </c>
      <c r="AA8" s="134" t="s">
        <v>222</v>
      </c>
      <c r="AB8" s="134" t="s">
        <v>222</v>
      </c>
      <c r="AC8" s="125"/>
      <c r="AE8" s="135">
        <f>IF('Existing Conditions'!Z8="D",'Existing Conditions'!$AO$8,IF('Existing Conditions'!Z8="I",'Existing Conditions'!$AP$8,0))</f>
        <v>1</v>
      </c>
      <c r="AF8" s="135">
        <f>IF('Existing Conditions'!AA8="D",'Existing Conditions'!$AO$8,IF('Existing Conditions'!AA8="I",'Existing Conditions'!$AP$8,0))</f>
        <v>0.1</v>
      </c>
      <c r="AG8" s="135">
        <f>IF('Existing Conditions'!AB8="D",'Existing Conditions'!$AO$8,IF('Existing Conditions'!AB8="I",'Existing Conditions'!$AP$8,0))</f>
        <v>0.1</v>
      </c>
      <c r="AH8" s="136">
        <f>IF(OR(ISBLANK('Existing Conditions'!Z8),ISBLANK('Existing Conditions'!Y8)),NA(),'Existing Conditions'!$Y8)*AE8</f>
        <v>0</v>
      </c>
      <c r="AI8" s="136">
        <f>IF(OR(ISBLANK('Existing Conditions'!AA8),ISBLANK('Existing Conditions'!Y8)),NA(),'Existing Conditions'!$Y8)*AF8</f>
        <v>0</v>
      </c>
      <c r="AJ8" s="136">
        <f>IF(OR(ISBLANK('Existing Conditions'!AB8),ISBLANK('Existing Conditions'!Y8)),NA(),'Existing Conditions'!$Y8)*AG8</f>
        <v>0</v>
      </c>
      <c r="AK8" s="137">
        <f>IF(ISBLANK('Existing Conditions'!$Y$8), 0, AE8*15)</f>
        <v>15</v>
      </c>
      <c r="AL8" s="137">
        <f>IF(ISBLANK('Existing Conditions'!$Y$8), 0, AF8*15)</f>
        <v>1.5</v>
      </c>
      <c r="AM8" s="137">
        <f>IF(ISBLANK('Existing Conditions'!$Y$8), 0, AG8*15)</f>
        <v>1.5</v>
      </c>
      <c r="AO8" s="137">
        <v>1</v>
      </c>
      <c r="AP8" s="137">
        <v>0.1</v>
      </c>
    </row>
    <row r="9" spans="1:42" ht="17.25" customHeight="1" x14ac:dyDescent="0.25">
      <c r="A9" s="265"/>
      <c r="B9" s="246"/>
      <c r="C9" s="248"/>
      <c r="D9" s="224"/>
      <c r="E9" s="199"/>
      <c r="F9" s="224"/>
      <c r="G9" s="212"/>
      <c r="H9" s="196"/>
      <c r="I9" s="107" t="s">
        <v>149</v>
      </c>
      <c r="J9" s="112"/>
      <c r="K9" s="62"/>
      <c r="L9" s="62"/>
      <c r="M9" s="62"/>
      <c r="N9" s="62"/>
      <c r="O9" s="62"/>
      <c r="P9" s="131" t="e">
        <f t="array" ref="P9">VLOOKUP($J9:$J9,$R$1:$S$5,2,FALSE)</f>
        <v>#N/A</v>
      </c>
      <c r="Q9" s="62"/>
      <c r="R9" s="62"/>
      <c r="S9" s="62"/>
      <c r="T9" s="65"/>
      <c r="U9" s="62"/>
      <c r="V9" s="99"/>
      <c r="W9" s="170"/>
      <c r="X9" s="132" t="s">
        <v>145</v>
      </c>
      <c r="Y9" s="133">
        <f>H12</f>
        <v>0</v>
      </c>
      <c r="Z9" s="134" t="s">
        <v>221</v>
      </c>
      <c r="AA9" s="134" t="s">
        <v>222</v>
      </c>
      <c r="AB9" s="134" t="s">
        <v>222</v>
      </c>
      <c r="AC9" s="125"/>
      <c r="AE9" s="135">
        <f>IF('Existing Conditions'!Z9="D",'Existing Conditions'!$AO$8,IF('Existing Conditions'!Z9="I",'Existing Conditions'!$AP$8,0))</f>
        <v>1</v>
      </c>
      <c r="AF9" s="135">
        <f>IF('Existing Conditions'!AA9="D",'Existing Conditions'!$AO$8,IF('Existing Conditions'!AA9="I",'Existing Conditions'!$AP$8,0))</f>
        <v>0.1</v>
      </c>
      <c r="AG9" s="135">
        <f>IF('Existing Conditions'!AB9="D",'Existing Conditions'!$AO$8,IF('Existing Conditions'!AB9="I",'Existing Conditions'!$AP$8,0))</f>
        <v>0.1</v>
      </c>
      <c r="AH9" s="136">
        <f>IF(OR(ISBLANK('Existing Conditions'!Z9),ISBLANK('Existing Conditions'!Y9)),NA(),'Existing Conditions'!$Y9)*AE9</f>
        <v>0</v>
      </c>
      <c r="AI9" s="136">
        <f>IF(OR(ISBLANK('Existing Conditions'!AA9),ISBLANK('Existing Conditions'!Y9)),NA(),'Existing Conditions'!$Y9)*AF9</f>
        <v>0</v>
      </c>
      <c r="AJ9" s="136">
        <f>IF(OR(ISBLANK('Existing Conditions'!AB9),ISBLANK('Existing Conditions'!Y9)),NA(),'Existing Conditions'!$Y9)*AG9</f>
        <v>0</v>
      </c>
      <c r="AK9" s="137">
        <f>IF(ISBLANK('Existing Conditions'!$Y$9), 0, AE9*15)</f>
        <v>15</v>
      </c>
      <c r="AL9" s="137">
        <f>IF(ISBLANK('Existing Conditions'!$Y$9), 0, AF9*15)</f>
        <v>1.5</v>
      </c>
      <c r="AM9" s="137">
        <f>IF(ISBLANK('Existing Conditions'!$Y$9), 0, AG9*15)</f>
        <v>1.5</v>
      </c>
    </row>
    <row r="10" spans="1:42" ht="17.25" customHeight="1" x14ac:dyDescent="0.25">
      <c r="A10" s="265"/>
      <c r="B10" s="246"/>
      <c r="C10" s="248"/>
      <c r="D10" s="224"/>
      <c r="E10" s="199"/>
      <c r="F10" s="224"/>
      <c r="G10" s="212"/>
      <c r="H10" s="196"/>
      <c r="I10" s="107" t="s">
        <v>150</v>
      </c>
      <c r="J10" s="112"/>
      <c r="K10" s="62"/>
      <c r="L10" s="62"/>
      <c r="M10" s="62"/>
      <c r="N10" s="62"/>
      <c r="O10" s="62"/>
      <c r="P10" s="131" t="e">
        <f t="array" ref="P10">VLOOKUP($J10:$J10,$R$1:$S$5,2,FALSE)</f>
        <v>#N/A</v>
      </c>
      <c r="Q10" s="62"/>
      <c r="R10" s="62"/>
      <c r="S10" s="62"/>
      <c r="T10" s="65"/>
      <c r="U10" s="62"/>
      <c r="V10" s="99"/>
      <c r="W10" s="170"/>
      <c r="X10" s="132" t="s">
        <v>146</v>
      </c>
      <c r="Y10" s="133">
        <f>H16</f>
        <v>0</v>
      </c>
      <c r="Z10" s="134" t="s">
        <v>221</v>
      </c>
      <c r="AA10" s="134" t="s">
        <v>222</v>
      </c>
      <c r="AB10" s="134"/>
      <c r="AC10" s="125"/>
      <c r="AE10" s="135">
        <f>IF('Existing Conditions'!Z10="D",'Existing Conditions'!$AO$8,IF('Existing Conditions'!Z10="I",'Existing Conditions'!$AP$8,0))</f>
        <v>1</v>
      </c>
      <c r="AF10" s="135">
        <f>IF('Existing Conditions'!AA10="D",'Existing Conditions'!$AO$8,IF('Existing Conditions'!AA10="I",'Existing Conditions'!$AP$8,0))</f>
        <v>0.1</v>
      </c>
      <c r="AG10" s="135">
        <f>IF('Existing Conditions'!AB10="D",'Existing Conditions'!$AO$8,IF('Existing Conditions'!AB10="I",'Existing Conditions'!$AP$8,0))</f>
        <v>0</v>
      </c>
      <c r="AH10" s="136">
        <f>IF(OR(ISBLANK('Existing Conditions'!Z10),ISBLANK('Existing Conditions'!Y10)),NA(),'Existing Conditions'!$Y10)*AE10</f>
        <v>0</v>
      </c>
      <c r="AI10" s="136">
        <f>IF(OR(ISBLANK('Existing Conditions'!AA10),ISBLANK('Existing Conditions'!Y10)),NA(),'Existing Conditions'!$Y10)*AF10</f>
        <v>0</v>
      </c>
      <c r="AJ10" s="136" t="e">
        <f>IF(OR(ISBLANK('Existing Conditions'!AB10),ISBLANK('Existing Conditions'!Y10)),NA(),'Existing Conditions'!$Y10)*AG10</f>
        <v>#N/A</v>
      </c>
      <c r="AK10" s="137">
        <f>IF(ISBLANK('Existing Conditions'!$Y$10), 0, AE10*15)</f>
        <v>15</v>
      </c>
      <c r="AL10" s="137">
        <f>IF(ISBLANK('Existing Conditions'!$Y$10), 0, AF10*15)</f>
        <v>1.5</v>
      </c>
      <c r="AM10" s="137">
        <f>IF(ISBLANK('Existing Conditions'!$Y$10), 0, AG10*15)</f>
        <v>0</v>
      </c>
    </row>
    <row r="11" spans="1:42" ht="15" customHeight="1" x14ac:dyDescent="0.25">
      <c r="A11" s="265"/>
      <c r="B11" s="246"/>
      <c r="C11" s="248"/>
      <c r="D11" s="224"/>
      <c r="E11" s="199"/>
      <c r="F11" s="238"/>
      <c r="G11" s="212"/>
      <c r="H11" s="197"/>
      <c r="I11" s="107" t="s">
        <v>151</v>
      </c>
      <c r="J11" s="112"/>
      <c r="K11" s="62"/>
      <c r="L11" s="62"/>
      <c r="M11" s="62"/>
      <c r="N11" s="62"/>
      <c r="O11" s="62"/>
      <c r="P11" s="131" t="e">
        <f t="array" ref="P11">VLOOKUP($J11:$J11,$R$1:$S$5,2,FALSE)</f>
        <v>#N/A</v>
      </c>
      <c r="Q11" s="62"/>
      <c r="R11" s="62"/>
      <c r="S11" s="62"/>
      <c r="T11" s="65"/>
      <c r="U11" s="62"/>
      <c r="V11" s="99"/>
      <c r="W11" s="170"/>
      <c r="X11" s="132" t="s">
        <v>241</v>
      </c>
      <c r="Y11" s="133">
        <f>H20</f>
        <v>0</v>
      </c>
      <c r="Z11" s="134" t="s">
        <v>221</v>
      </c>
      <c r="AA11" s="134" t="s">
        <v>222</v>
      </c>
      <c r="AB11" s="134" t="s">
        <v>222</v>
      </c>
      <c r="AC11" s="125"/>
      <c r="AE11" s="135">
        <f>IF('Existing Conditions'!Z11="D",'Existing Conditions'!$AO$8,IF('Existing Conditions'!Z11="I",'Existing Conditions'!$AP$8,0))</f>
        <v>1</v>
      </c>
      <c r="AF11" s="135">
        <f>IF('Existing Conditions'!AA11="D",'Existing Conditions'!$AO$8,IF('Existing Conditions'!AA11="I",'Existing Conditions'!$AP$8,0))</f>
        <v>0.1</v>
      </c>
      <c r="AG11" s="135">
        <f>IF('Existing Conditions'!AB11="D",'Existing Conditions'!$AO$8,IF('Existing Conditions'!AB11="I",'Existing Conditions'!$AP$8,0))</f>
        <v>0.1</v>
      </c>
      <c r="AH11" s="136">
        <f>IF(OR(ISBLANK('Existing Conditions'!Z11),ISBLANK('Existing Conditions'!Y11)),NA(),'Existing Conditions'!$Y11)*AE11</f>
        <v>0</v>
      </c>
      <c r="AI11" s="136">
        <f>IF(OR(ISBLANK('Existing Conditions'!AA11),ISBLANK('Existing Conditions'!Y11)),NA(),'Existing Conditions'!$Y11)*AF11</f>
        <v>0</v>
      </c>
      <c r="AJ11" s="136">
        <f>IF(OR(ISBLANK('Existing Conditions'!AB11),ISBLANK('Existing Conditions'!Y11)),NA(),'Existing Conditions'!$Y11)*AG11</f>
        <v>0</v>
      </c>
      <c r="AK11" s="137">
        <f>IF(ISBLANK('Existing Conditions'!$Y$11), 0, AE11*15)</f>
        <v>15</v>
      </c>
      <c r="AL11" s="137">
        <f>IF(ISBLANK('Existing Conditions'!$Y$11), 0, AF11*15)</f>
        <v>1.5</v>
      </c>
      <c r="AM11" s="137">
        <f>IF(ISBLANK('Existing Conditions'!$Y$11), 0, AG11*15)</f>
        <v>1.5</v>
      </c>
    </row>
    <row r="12" spans="1:42" ht="15" customHeight="1" x14ac:dyDescent="0.25">
      <c r="A12" s="265"/>
      <c r="B12" s="246"/>
      <c r="C12" s="248"/>
      <c r="D12" s="224"/>
      <c r="E12" s="199"/>
      <c r="F12" s="217" t="s">
        <v>280</v>
      </c>
      <c r="G12" s="212" t="e">
        <f>AVERAGEIF(P12:P15,"&lt;&gt;#N/A")</f>
        <v>#DIV/0!</v>
      </c>
      <c r="H12" s="195"/>
      <c r="I12" s="106" t="s">
        <v>152</v>
      </c>
      <c r="J12" s="112"/>
      <c r="K12" s="62"/>
      <c r="L12" s="62"/>
      <c r="M12" s="62"/>
      <c r="N12" s="62"/>
      <c r="O12" s="62"/>
      <c r="P12" s="131" t="e">
        <f t="array" ref="P12">VLOOKUP($J12:$J12,$R$1:$S$5,2,FALSE)</f>
        <v>#N/A</v>
      </c>
      <c r="Q12" s="62"/>
      <c r="R12" s="62"/>
      <c r="S12" s="62"/>
      <c r="T12" s="65"/>
      <c r="U12" s="62"/>
      <c r="V12" s="99"/>
      <c r="W12" s="171" t="s">
        <v>164</v>
      </c>
      <c r="X12" s="139" t="s">
        <v>254</v>
      </c>
      <c r="Y12" s="133">
        <f>H24</f>
        <v>0</v>
      </c>
      <c r="Z12" s="138" t="s">
        <v>221</v>
      </c>
      <c r="AA12" s="138" t="s">
        <v>222</v>
      </c>
      <c r="AB12" s="138" t="s">
        <v>222</v>
      </c>
      <c r="AC12" s="125"/>
      <c r="AE12" s="135">
        <f>IF('Existing Conditions'!Z12="D",'Existing Conditions'!$AO$8,IF('Existing Conditions'!Z12="I",'Existing Conditions'!$AP$8,0))</f>
        <v>1</v>
      </c>
      <c r="AF12" s="135">
        <f>IF('Existing Conditions'!AA12="D",'Existing Conditions'!$AO$8,IF('Existing Conditions'!AA12="I",'Existing Conditions'!$AP$8,0))</f>
        <v>0.1</v>
      </c>
      <c r="AG12" s="135">
        <f>IF('Existing Conditions'!AB12="D",'Existing Conditions'!$AO$8,IF('Existing Conditions'!AB12="I",'Existing Conditions'!$AP$8,0))</f>
        <v>0.1</v>
      </c>
      <c r="AH12" s="136">
        <f>IF(OR(ISBLANK('Existing Conditions'!Z12),ISBLANK('Existing Conditions'!Y12)),NA(),'Existing Conditions'!$Y12)*AE12</f>
        <v>0</v>
      </c>
      <c r="AI12" s="136">
        <f>IF(OR(ISBLANK('Existing Conditions'!AA12),ISBLANK('Existing Conditions'!Y12)),NA(),'Existing Conditions'!$Y12)*AF12</f>
        <v>0</v>
      </c>
      <c r="AJ12" s="136">
        <f>IF(OR(ISBLANK('Existing Conditions'!AB12),ISBLANK('Existing Conditions'!Y12)),NA(),'Existing Conditions'!$Y12)*AG12</f>
        <v>0</v>
      </c>
      <c r="AK12" s="137">
        <f>IF(ISBLANK('Existing Conditions'!$Y$12), 0, AE12*15)</f>
        <v>15</v>
      </c>
      <c r="AL12" s="137">
        <f>IF(ISBLANK('Existing Conditions'!$Y$12), 0, AF12*15)</f>
        <v>1.5</v>
      </c>
      <c r="AM12" s="137">
        <f>IF(ISBLANK('Existing Conditions'!$Y$12), 0, AG12*15)</f>
        <v>1.5</v>
      </c>
    </row>
    <row r="13" spans="1:42" ht="15" customHeight="1" x14ac:dyDescent="0.25">
      <c r="A13" s="265"/>
      <c r="B13" s="246"/>
      <c r="C13" s="248"/>
      <c r="D13" s="224"/>
      <c r="E13" s="199"/>
      <c r="F13" s="216"/>
      <c r="G13" s="212"/>
      <c r="H13" s="196"/>
      <c r="I13" s="107" t="s">
        <v>153</v>
      </c>
      <c r="J13" s="112"/>
      <c r="K13" s="62"/>
      <c r="L13" s="62"/>
      <c r="M13" s="62"/>
      <c r="N13" s="62"/>
      <c r="O13" s="62"/>
      <c r="P13" s="131" t="e">
        <f t="array" ref="P13">VLOOKUP($J13:$J13,$R$1:$S$5,2,FALSE)</f>
        <v>#N/A</v>
      </c>
      <c r="Q13" s="62"/>
      <c r="R13" s="65"/>
      <c r="S13" s="65"/>
      <c r="T13" s="65"/>
      <c r="U13" s="62"/>
      <c r="V13" s="99"/>
      <c r="W13" s="171"/>
      <c r="X13" s="139" t="s">
        <v>224</v>
      </c>
      <c r="Y13" s="133">
        <f>H28</f>
        <v>0</v>
      </c>
      <c r="Z13" s="138" t="s">
        <v>221</v>
      </c>
      <c r="AA13" s="138" t="s">
        <v>222</v>
      </c>
      <c r="AB13" s="138" t="s">
        <v>222</v>
      </c>
      <c r="AC13" s="125"/>
      <c r="AE13" s="135">
        <f>IF('Existing Conditions'!Z13="D",'Existing Conditions'!$AO$8,IF('Existing Conditions'!Z13="I",'Existing Conditions'!$AP$8,0))</f>
        <v>1</v>
      </c>
      <c r="AF13" s="135">
        <f>IF('Existing Conditions'!AA13="D",'Existing Conditions'!$AO$8,IF('Existing Conditions'!AA13="I",'Existing Conditions'!$AP$8,0))</f>
        <v>0.1</v>
      </c>
      <c r="AG13" s="135">
        <f>IF('Existing Conditions'!AB13="D",'Existing Conditions'!$AO$8,IF('Existing Conditions'!AB13="I",'Existing Conditions'!$AP$8,0))</f>
        <v>0.1</v>
      </c>
      <c r="AH13" s="136">
        <f>IF(OR(ISBLANK('Existing Conditions'!Z13),ISBLANK('Existing Conditions'!Y13)),NA(),'Existing Conditions'!$Y13)*AE13</f>
        <v>0</v>
      </c>
      <c r="AI13" s="136">
        <f>IF(OR(ISBLANK('Existing Conditions'!AA13),ISBLANK('Existing Conditions'!Y13)),NA(),'Existing Conditions'!$Y13)*AF13</f>
        <v>0</v>
      </c>
      <c r="AJ13" s="136">
        <f>IF(OR(ISBLANK('Existing Conditions'!AB13),ISBLANK('Existing Conditions'!Y13)),NA(),'Existing Conditions'!$Y13)*AG13</f>
        <v>0</v>
      </c>
      <c r="AK13" s="137">
        <f>IF(ISBLANK('Existing Conditions'!$Y$13), 0, AE13*15)</f>
        <v>15</v>
      </c>
      <c r="AL13" s="137">
        <f>IF(ISBLANK('Existing Conditions'!$Y$13), 0, AF13*15)</f>
        <v>1.5</v>
      </c>
      <c r="AM13" s="137">
        <f>IF(ISBLANK('Existing Conditions'!$Y$13), 0, AG13*15)</f>
        <v>1.5</v>
      </c>
    </row>
    <row r="14" spans="1:42" ht="15" customHeight="1" x14ac:dyDescent="0.25">
      <c r="A14" s="265"/>
      <c r="B14" s="246"/>
      <c r="C14" s="248"/>
      <c r="D14" s="224"/>
      <c r="E14" s="199"/>
      <c r="F14" s="216"/>
      <c r="G14" s="212"/>
      <c r="H14" s="196"/>
      <c r="I14" s="107" t="s">
        <v>154</v>
      </c>
      <c r="J14" s="112"/>
      <c r="K14" s="62"/>
      <c r="L14" s="62"/>
      <c r="M14" s="62"/>
      <c r="N14" s="62"/>
      <c r="O14" s="62"/>
      <c r="P14" s="131" t="e">
        <f t="array" ref="P14">VLOOKUP($J14:$J14,$R$1:$S$5,2,FALSE)</f>
        <v>#N/A</v>
      </c>
      <c r="Q14" s="62"/>
      <c r="R14" s="65"/>
      <c r="S14" s="65"/>
      <c r="T14" s="65"/>
      <c r="U14" s="62"/>
      <c r="V14" s="99"/>
      <c r="W14" s="171"/>
      <c r="X14" s="139" t="s">
        <v>225</v>
      </c>
      <c r="Y14" s="133">
        <f>H32</f>
        <v>0</v>
      </c>
      <c r="Z14" s="138" t="s">
        <v>222</v>
      </c>
      <c r="AA14" s="138" t="s">
        <v>222</v>
      </c>
      <c r="AB14" s="138" t="s">
        <v>222</v>
      </c>
      <c r="AC14" s="125"/>
      <c r="AE14" s="135">
        <f>IF('Existing Conditions'!Z14="D",'Existing Conditions'!$AO$8,IF('Existing Conditions'!Z14="I",'Existing Conditions'!$AP$8,0))</f>
        <v>0.1</v>
      </c>
      <c r="AF14" s="135">
        <f>IF('Existing Conditions'!AA14="D",'Existing Conditions'!$AO$8,IF('Existing Conditions'!AA14="I",'Existing Conditions'!$AP$8,0))</f>
        <v>0.1</v>
      </c>
      <c r="AG14" s="135">
        <f>IF('Existing Conditions'!AB14="D",'Existing Conditions'!$AO$8,IF('Existing Conditions'!AB14="I",'Existing Conditions'!$AP$8,0))</f>
        <v>0.1</v>
      </c>
      <c r="AH14" s="136">
        <f>IF(OR(ISBLANK('Existing Conditions'!Z14),ISBLANK('Existing Conditions'!Y14)),NA(),'Existing Conditions'!$Y14)*AE14</f>
        <v>0</v>
      </c>
      <c r="AI14" s="136">
        <f>IF(OR(ISBLANK('Existing Conditions'!AA14),ISBLANK('Existing Conditions'!Y14)),NA(),'Existing Conditions'!$Y14)*AF14</f>
        <v>0</v>
      </c>
      <c r="AJ14" s="136">
        <f>IF(OR(ISBLANK('Existing Conditions'!AB14),ISBLANK('Existing Conditions'!Y14)),NA(),'Existing Conditions'!$Y14)*AG14</f>
        <v>0</v>
      </c>
      <c r="AK14" s="137">
        <f>IF(ISBLANK('Existing Conditions'!$Y$14), 0, AE14*15)</f>
        <v>1.5</v>
      </c>
      <c r="AL14" s="137">
        <f>IF(ISBLANK('Existing Conditions'!$Y$14), 0, AF14*15)</f>
        <v>1.5</v>
      </c>
      <c r="AM14" s="137">
        <f>IF(ISBLANK('Existing Conditions'!$Y$14), 0, AG14*15)</f>
        <v>1.5</v>
      </c>
    </row>
    <row r="15" spans="1:42" ht="15" customHeight="1" x14ac:dyDescent="0.25">
      <c r="A15" s="265"/>
      <c r="B15" s="246"/>
      <c r="C15" s="248"/>
      <c r="D15" s="224"/>
      <c r="E15" s="199"/>
      <c r="F15" s="216"/>
      <c r="G15" s="212"/>
      <c r="H15" s="197"/>
      <c r="I15" s="107" t="s">
        <v>155</v>
      </c>
      <c r="J15" s="112"/>
      <c r="K15" s="62"/>
      <c r="L15" s="62"/>
      <c r="M15" s="62"/>
      <c r="N15" s="62"/>
      <c r="O15" s="62"/>
      <c r="P15" s="131" t="e">
        <f t="array" ref="P15">VLOOKUP($J15:$J15,$R$1:$S$5,2,FALSE)</f>
        <v>#N/A</v>
      </c>
      <c r="Q15" s="62"/>
      <c r="R15" s="65"/>
      <c r="S15" s="65"/>
      <c r="T15" s="65"/>
      <c r="U15" s="62"/>
      <c r="V15" s="99"/>
      <c r="W15" s="171"/>
      <c r="X15" s="139" t="s">
        <v>226</v>
      </c>
      <c r="Y15" s="133">
        <f>H36</f>
        <v>0</v>
      </c>
      <c r="Z15" s="138" t="s">
        <v>222</v>
      </c>
      <c r="AA15" s="138" t="s">
        <v>222</v>
      </c>
      <c r="AB15" s="138" t="s">
        <v>222</v>
      </c>
      <c r="AC15" s="125"/>
      <c r="AE15" s="135">
        <f>IF('Existing Conditions'!Z15="D",'Existing Conditions'!$AO$8,IF('Existing Conditions'!Z15="I",'Existing Conditions'!$AP$8,0))</f>
        <v>0.1</v>
      </c>
      <c r="AF15" s="135">
        <f>IF('Existing Conditions'!AA15="D",'Existing Conditions'!$AO$8,IF('Existing Conditions'!AA15="I",'Existing Conditions'!$AP$8,0))</f>
        <v>0.1</v>
      </c>
      <c r="AG15" s="135">
        <f>IF('Existing Conditions'!AB15="D",'Existing Conditions'!$AO$8,IF('Existing Conditions'!AB15="I",'Existing Conditions'!$AP$8,0))</f>
        <v>0.1</v>
      </c>
      <c r="AH15" s="136">
        <f>IF(OR(ISBLANK('Existing Conditions'!Z15),ISBLANK('Existing Conditions'!Y15)),NA(),'Existing Conditions'!$Y15)*AE15</f>
        <v>0</v>
      </c>
      <c r="AI15" s="136">
        <f>IF(OR(ISBLANK('Existing Conditions'!AA15),ISBLANK('Existing Conditions'!Y15)),NA(),'Existing Conditions'!$Y15)*AF15</f>
        <v>0</v>
      </c>
      <c r="AJ15" s="136">
        <f>IF(OR(ISBLANK('Existing Conditions'!AB15),ISBLANK('Existing Conditions'!Y15)),NA(),'Existing Conditions'!$Y15)*AG15</f>
        <v>0</v>
      </c>
      <c r="AK15" s="137">
        <f>IF(ISBLANK('Existing Conditions'!$Y$15), 0, AE15*15)</f>
        <v>1.5</v>
      </c>
      <c r="AL15" s="137">
        <f>IF(ISBLANK('Existing Conditions'!$Y$15), 0, AF15*15)</f>
        <v>1.5</v>
      </c>
      <c r="AM15" s="137">
        <f>IF(ISBLANK('Existing Conditions'!$Y$15), 0, AG15*15)</f>
        <v>1.5</v>
      </c>
    </row>
    <row r="16" spans="1:42" ht="15" customHeight="1" x14ac:dyDescent="0.25">
      <c r="A16" s="265"/>
      <c r="B16" s="246"/>
      <c r="C16" s="248"/>
      <c r="D16" s="224"/>
      <c r="E16" s="199"/>
      <c r="F16" s="225" t="s">
        <v>156</v>
      </c>
      <c r="G16" s="212" t="e">
        <f>AVERAGEIF(P16:P19,"&lt;&gt;#N/A")</f>
        <v>#DIV/0!</v>
      </c>
      <c r="H16" s="195"/>
      <c r="I16" s="106" t="s">
        <v>157</v>
      </c>
      <c r="J16" s="112"/>
      <c r="K16" s="62"/>
      <c r="L16" s="62"/>
      <c r="M16" s="62"/>
      <c r="N16" s="62"/>
      <c r="O16" s="62"/>
      <c r="P16" s="131" t="e">
        <f t="array" ref="P16">VLOOKUP($J16:$J16,$R$1:$S$5,2,FALSE)</f>
        <v>#N/A</v>
      </c>
      <c r="Q16" s="62"/>
      <c r="R16" s="65"/>
      <c r="S16" s="65"/>
      <c r="T16" s="65"/>
      <c r="U16" s="62"/>
      <c r="V16" s="99"/>
      <c r="W16" s="172" t="s">
        <v>165</v>
      </c>
      <c r="X16" s="141" t="s">
        <v>227</v>
      </c>
      <c r="Y16" s="133">
        <f>H40</f>
        <v>0</v>
      </c>
      <c r="Z16" s="140" t="s">
        <v>221</v>
      </c>
      <c r="AA16" s="140" t="s">
        <v>222</v>
      </c>
      <c r="AB16" s="140" t="s">
        <v>222</v>
      </c>
      <c r="AC16" s="125"/>
      <c r="AE16" s="135">
        <f>IF('Existing Conditions'!Z16="D",'Existing Conditions'!$AO$8,IF('Existing Conditions'!Z16="I",'Existing Conditions'!$AP$8,0))</f>
        <v>1</v>
      </c>
      <c r="AF16" s="135">
        <f>IF('Existing Conditions'!AA16="D",'Existing Conditions'!$AO$8,IF('Existing Conditions'!AA16="I",'Existing Conditions'!$AP$8,0))</f>
        <v>0.1</v>
      </c>
      <c r="AG16" s="135">
        <f>IF('Existing Conditions'!AB16="D",'Existing Conditions'!$AO$8,IF('Existing Conditions'!AB16="I",'Existing Conditions'!$AP$8,0))</f>
        <v>0.1</v>
      </c>
      <c r="AH16" s="136">
        <f>IF(OR(ISBLANK('Existing Conditions'!Z16),ISBLANK('Existing Conditions'!Y16)),NA(),'Existing Conditions'!$Y16)*AE16</f>
        <v>0</v>
      </c>
      <c r="AI16" s="136">
        <f>IF(OR(ISBLANK('Existing Conditions'!AA16),ISBLANK('Existing Conditions'!Y16)),NA(),'Existing Conditions'!$Y16)*AF16</f>
        <v>0</v>
      </c>
      <c r="AJ16" s="136">
        <f>IF(OR(ISBLANK('Existing Conditions'!AB16),ISBLANK('Existing Conditions'!Y16)),NA(),'Existing Conditions'!$Y16)*AG16</f>
        <v>0</v>
      </c>
      <c r="AK16" s="137">
        <f>IF(ISBLANK('Existing Conditions'!$Y$16), 0, AE16*15)</f>
        <v>15</v>
      </c>
      <c r="AL16" s="137">
        <f>IF(ISBLANK('Existing Conditions'!$Y$16), 0, AF16*15)</f>
        <v>1.5</v>
      </c>
      <c r="AM16" s="137">
        <f>IF(ISBLANK('Existing Conditions'!$Y$16), 0, AG16*15)</f>
        <v>1.5</v>
      </c>
    </row>
    <row r="17" spans="1:39" ht="15" customHeight="1" x14ac:dyDescent="0.25">
      <c r="A17" s="265"/>
      <c r="B17" s="246"/>
      <c r="C17" s="248"/>
      <c r="D17" s="224"/>
      <c r="E17" s="199"/>
      <c r="F17" s="225"/>
      <c r="G17" s="212"/>
      <c r="H17" s="196"/>
      <c r="I17" s="107" t="s">
        <v>158</v>
      </c>
      <c r="J17" s="112"/>
      <c r="K17" s="62"/>
      <c r="L17" s="62"/>
      <c r="M17" s="62"/>
      <c r="N17" s="62"/>
      <c r="O17" s="62"/>
      <c r="P17" s="131" t="e">
        <f t="array" ref="P17">VLOOKUP($J17:$J17,$R$1:$S$5,2,FALSE)</f>
        <v>#N/A</v>
      </c>
      <c r="Q17" s="62"/>
      <c r="R17" s="65"/>
      <c r="S17" s="65"/>
      <c r="T17" s="65"/>
      <c r="U17" s="62"/>
      <c r="V17" s="99"/>
      <c r="W17" s="172"/>
      <c r="X17" s="141" t="s">
        <v>255</v>
      </c>
      <c r="Y17" s="133">
        <f>H44</f>
        <v>0</v>
      </c>
      <c r="Z17" s="140" t="s">
        <v>221</v>
      </c>
      <c r="AA17" s="140" t="s">
        <v>222</v>
      </c>
      <c r="AB17" s="140" t="s">
        <v>222</v>
      </c>
      <c r="AC17" s="125"/>
      <c r="AE17" s="135">
        <f>IF('Existing Conditions'!Z17="D",'Existing Conditions'!$AO$8,IF('Existing Conditions'!Z17="I",'Existing Conditions'!$AP$8,0))</f>
        <v>1</v>
      </c>
      <c r="AF17" s="135">
        <f>IF('Existing Conditions'!AA17="D",'Existing Conditions'!$AO$8,IF('Existing Conditions'!AA17="I",'Existing Conditions'!$AP$8,0))</f>
        <v>0.1</v>
      </c>
      <c r="AG17" s="135">
        <f>IF('Existing Conditions'!AB17="D",'Existing Conditions'!$AO$8,IF('Existing Conditions'!AB17="I",'Existing Conditions'!$AP$8,0))</f>
        <v>0.1</v>
      </c>
      <c r="AH17" s="136">
        <f>IF(OR(ISBLANK('Existing Conditions'!Z17),ISBLANK('Existing Conditions'!Y17)),NA(),'Existing Conditions'!$Y17)*AE17</f>
        <v>0</v>
      </c>
      <c r="AI17" s="136">
        <f>IF(OR(ISBLANK('Existing Conditions'!AA17),ISBLANK('Existing Conditions'!Y17)),NA(),'Existing Conditions'!$Y17)*AF17</f>
        <v>0</v>
      </c>
      <c r="AJ17" s="136">
        <f>IF(OR(ISBLANK('Existing Conditions'!AB17),ISBLANK('Existing Conditions'!Y17)),NA(),'Existing Conditions'!$Y17)*AG17</f>
        <v>0</v>
      </c>
      <c r="AK17" s="137">
        <f>IF(ISBLANK('Existing Conditions'!$Y$17), 0, AE17*15)</f>
        <v>15</v>
      </c>
      <c r="AL17" s="137">
        <f>IF(ISBLANK('Existing Conditions'!$Y$17), 0, AF17*15)</f>
        <v>1.5</v>
      </c>
      <c r="AM17" s="137">
        <f>IF(ISBLANK('Existing Conditions'!$Y$17), 0, AG17*15)</f>
        <v>1.5</v>
      </c>
    </row>
    <row r="18" spans="1:39" ht="15" customHeight="1" x14ac:dyDescent="0.25">
      <c r="A18" s="265"/>
      <c r="B18" s="246"/>
      <c r="C18" s="248"/>
      <c r="D18" s="224"/>
      <c r="E18" s="199"/>
      <c r="F18" s="225"/>
      <c r="G18" s="212"/>
      <c r="H18" s="196"/>
      <c r="I18" s="107" t="s">
        <v>159</v>
      </c>
      <c r="J18" s="112"/>
      <c r="K18" s="62"/>
      <c r="L18" s="62"/>
      <c r="M18" s="62"/>
      <c r="N18" s="62"/>
      <c r="O18" s="62"/>
      <c r="P18" s="131" t="e">
        <f t="array" ref="P18">VLOOKUP($J18:$J18,$R$1:$S$5,2,FALSE)</f>
        <v>#N/A</v>
      </c>
      <c r="Q18" s="62"/>
      <c r="R18" s="65"/>
      <c r="S18" s="65"/>
      <c r="T18" s="65"/>
      <c r="U18" s="62"/>
      <c r="V18" s="99"/>
      <c r="W18" s="172"/>
      <c r="X18" s="141" t="s">
        <v>228</v>
      </c>
      <c r="Y18" s="133">
        <f>H48</f>
        <v>0</v>
      </c>
      <c r="Z18" s="140" t="s">
        <v>221</v>
      </c>
      <c r="AA18" s="140" t="s">
        <v>222</v>
      </c>
      <c r="AB18" s="140" t="s">
        <v>222</v>
      </c>
      <c r="AC18" s="125"/>
      <c r="AE18" s="135">
        <f>IF('Existing Conditions'!Z18="D",'Existing Conditions'!$AO$8,IF('Existing Conditions'!Z18="I",'Existing Conditions'!$AP$8,0))</f>
        <v>1</v>
      </c>
      <c r="AF18" s="135">
        <f>IF('Existing Conditions'!AA18="D",'Existing Conditions'!$AO$8,IF('Existing Conditions'!AA18="I",'Existing Conditions'!$AP$8,0))</f>
        <v>0.1</v>
      </c>
      <c r="AG18" s="135">
        <f>IF('Existing Conditions'!AB18="D",'Existing Conditions'!$AO$8,IF('Existing Conditions'!AB18="I",'Existing Conditions'!$AP$8,0))</f>
        <v>0.1</v>
      </c>
      <c r="AH18" s="136">
        <f>IF(OR(ISBLANK('Existing Conditions'!Z18),ISBLANK('Existing Conditions'!Y18)),NA(),'Existing Conditions'!$Y18)*AE18</f>
        <v>0</v>
      </c>
      <c r="AI18" s="136">
        <f>IF(OR(ISBLANK('Existing Conditions'!AA18),ISBLANK('Existing Conditions'!Y18)),NA(),'Existing Conditions'!$Y18)*AF18</f>
        <v>0</v>
      </c>
      <c r="AJ18" s="136">
        <f>IF(OR(ISBLANK('Existing Conditions'!AB18),ISBLANK('Existing Conditions'!Y18)),NA(),'Existing Conditions'!$Y18)*AG18</f>
        <v>0</v>
      </c>
      <c r="AK18" s="137">
        <f>IF(ISBLANK('Existing Conditions'!$Y$18), 0, AE18*15)</f>
        <v>15</v>
      </c>
      <c r="AL18" s="137">
        <f>IF(ISBLANK('Existing Conditions'!$Y$18), 0, AF18*15)</f>
        <v>1.5</v>
      </c>
      <c r="AM18" s="137">
        <f>IF(ISBLANK('Existing Conditions'!$Y$18), 0, AG18*15)</f>
        <v>1.5</v>
      </c>
    </row>
    <row r="19" spans="1:39" ht="15" customHeight="1" x14ac:dyDescent="0.25">
      <c r="A19" s="265"/>
      <c r="B19" s="246"/>
      <c r="C19" s="248"/>
      <c r="D19" s="224"/>
      <c r="E19" s="199"/>
      <c r="F19" s="225"/>
      <c r="G19" s="212"/>
      <c r="H19" s="197"/>
      <c r="I19" s="107" t="s">
        <v>160</v>
      </c>
      <c r="J19" s="112"/>
      <c r="K19" s="62"/>
      <c r="L19" s="62"/>
      <c r="M19" s="62"/>
      <c r="N19" s="62"/>
      <c r="O19" s="62"/>
      <c r="P19" s="131" t="e">
        <f t="array" ref="P19">VLOOKUP($J19:$J19,$R$1:$S$5,2,FALSE)</f>
        <v>#N/A</v>
      </c>
      <c r="Q19" s="62"/>
      <c r="R19" s="65"/>
      <c r="S19" s="65"/>
      <c r="T19" s="65"/>
      <c r="U19" s="62"/>
      <c r="V19" s="99"/>
      <c r="W19" s="172"/>
      <c r="X19" s="141" t="s">
        <v>256</v>
      </c>
      <c r="Y19" s="133">
        <f>H52</f>
        <v>0</v>
      </c>
      <c r="Z19" s="140" t="s">
        <v>221</v>
      </c>
      <c r="AA19" s="140" t="s">
        <v>222</v>
      </c>
      <c r="AB19" s="140" t="s">
        <v>222</v>
      </c>
      <c r="AC19" s="125"/>
      <c r="AE19" s="135">
        <f>IF('Existing Conditions'!Z19="D",'Existing Conditions'!$AO$8,IF('Existing Conditions'!Z19="I",'Existing Conditions'!$AP$8,0))</f>
        <v>1</v>
      </c>
      <c r="AF19" s="135">
        <f>IF('Existing Conditions'!AA19="D",'Existing Conditions'!$AO$8,IF('Existing Conditions'!AA19="I",'Existing Conditions'!$AP$8,0))</f>
        <v>0.1</v>
      </c>
      <c r="AG19" s="135">
        <f>IF('Existing Conditions'!AB19="D",'Existing Conditions'!$AO$8,IF('Existing Conditions'!AB19="I",'Existing Conditions'!$AP$8,0))</f>
        <v>0.1</v>
      </c>
      <c r="AH19" s="136">
        <f>IF(OR(ISBLANK('Existing Conditions'!Z19),ISBLANK('Existing Conditions'!Y19)),NA(),'Existing Conditions'!$Y19)*AE19</f>
        <v>0</v>
      </c>
      <c r="AI19" s="136">
        <f>IF(OR(ISBLANK('Existing Conditions'!AA19),ISBLANK('Existing Conditions'!Y19)),NA(),'Existing Conditions'!$Y19)*AF19</f>
        <v>0</v>
      </c>
      <c r="AJ19" s="136">
        <f>IF(OR(ISBLANK('Existing Conditions'!AB19),ISBLANK('Existing Conditions'!Y19)),NA(),'Existing Conditions'!$Y19)*AG19</f>
        <v>0</v>
      </c>
      <c r="AK19" s="137">
        <f>IF(ISBLANK('Existing Conditions'!$Y$19), 0, AE19*15)</f>
        <v>15</v>
      </c>
      <c r="AL19" s="137">
        <f>IF(ISBLANK('Existing Conditions'!$Y$19), 0, AF19*15)</f>
        <v>1.5</v>
      </c>
      <c r="AM19" s="137">
        <f>IF(ISBLANK('Existing Conditions'!$Y$19), 0, AG19*15)</f>
        <v>1.5</v>
      </c>
    </row>
    <row r="20" spans="1:39" ht="15" customHeight="1" x14ac:dyDescent="0.25">
      <c r="A20" s="265"/>
      <c r="B20" s="246"/>
      <c r="C20" s="248"/>
      <c r="D20" s="224"/>
      <c r="E20" s="199"/>
      <c r="F20" s="225" t="s">
        <v>241</v>
      </c>
      <c r="G20" s="212" t="e">
        <f>AVERAGEIF(P20:P23,"&lt;&gt;#N/A")</f>
        <v>#DIV/0!</v>
      </c>
      <c r="H20" s="195"/>
      <c r="I20" s="106" t="s">
        <v>242</v>
      </c>
      <c r="J20" s="112"/>
      <c r="K20" s="62"/>
      <c r="L20" s="62"/>
      <c r="M20" s="62"/>
      <c r="N20" s="62"/>
      <c r="O20" s="62"/>
      <c r="P20" s="131" t="e">
        <f t="array" ref="P20">VLOOKUP($J20:$J20,$R$1:$S$5,2,FALSE)</f>
        <v>#N/A</v>
      </c>
      <c r="Q20" s="62"/>
      <c r="R20" s="65"/>
      <c r="S20" s="65"/>
      <c r="T20" s="65"/>
      <c r="U20" s="62"/>
      <c r="V20" s="99"/>
      <c r="W20" s="173" t="s">
        <v>210</v>
      </c>
      <c r="X20" s="143" t="s">
        <v>229</v>
      </c>
      <c r="Y20" s="133">
        <f>H56</f>
        <v>0</v>
      </c>
      <c r="Z20" s="144"/>
      <c r="AA20" s="142" t="s">
        <v>221</v>
      </c>
      <c r="AB20" s="142" t="s">
        <v>222</v>
      </c>
      <c r="AC20" s="125"/>
      <c r="AE20" s="135">
        <f>IF('Existing Conditions'!Z20="D",'Existing Conditions'!$AO$8,IF('Existing Conditions'!Z20="I",'Existing Conditions'!$AP$8,0))</f>
        <v>0</v>
      </c>
      <c r="AF20" s="135">
        <f>IF('Existing Conditions'!AA20="D",'Existing Conditions'!$AO$8,IF('Existing Conditions'!AA20="I",'Existing Conditions'!$AP$8,0))</f>
        <v>1</v>
      </c>
      <c r="AG20" s="135">
        <f>IF('Existing Conditions'!AB20="D",'Existing Conditions'!$AO$8,IF('Existing Conditions'!AB20="I",'Existing Conditions'!$AP$8,0))</f>
        <v>0.1</v>
      </c>
      <c r="AH20" s="136" t="e">
        <f>IF(OR(ISBLANK('Existing Conditions'!Z20),ISBLANK('Existing Conditions'!Y20)),NA(),'Existing Conditions'!$Y20)*AE20</f>
        <v>#N/A</v>
      </c>
      <c r="AI20" s="136">
        <f>IF(OR(ISBLANK('Existing Conditions'!AA20),ISBLANK('Existing Conditions'!Y20)),NA(),'Existing Conditions'!$Y20)*AF20</f>
        <v>0</v>
      </c>
      <c r="AJ20" s="136">
        <f>IF(OR(ISBLANK('Existing Conditions'!AB20),ISBLANK('Existing Conditions'!Y20)),NA(),'Existing Conditions'!$Y20)*AG20</f>
        <v>0</v>
      </c>
      <c r="AK20" s="137">
        <f>IF(ISBLANK('Existing Conditions'!$Y$20), 0, AE20*15)</f>
        <v>0</v>
      </c>
      <c r="AL20" s="137">
        <f>IF(ISBLANK('Existing Conditions'!$Y$20), 0, AF20*15)</f>
        <v>15</v>
      </c>
      <c r="AM20" s="137">
        <f>IF(ISBLANK('Existing Conditions'!$Y$20), 0, AG20*15)</f>
        <v>1.5</v>
      </c>
    </row>
    <row r="21" spans="1:39" ht="15" customHeight="1" x14ac:dyDescent="0.25">
      <c r="A21" s="265"/>
      <c r="B21" s="246"/>
      <c r="C21" s="248"/>
      <c r="D21" s="224"/>
      <c r="E21" s="199"/>
      <c r="F21" s="225"/>
      <c r="G21" s="212"/>
      <c r="H21" s="196"/>
      <c r="I21" s="107" t="s">
        <v>257</v>
      </c>
      <c r="J21" s="112"/>
      <c r="K21" s="62"/>
      <c r="L21" s="62"/>
      <c r="M21" s="62"/>
      <c r="N21" s="62"/>
      <c r="O21" s="62"/>
      <c r="P21" s="131" t="e">
        <f t="array" ref="P21">VLOOKUP($J21:$J21,$R$1:$S$5,2,FALSE)</f>
        <v>#N/A</v>
      </c>
      <c r="Q21" s="62"/>
      <c r="R21" s="65"/>
      <c r="S21" s="65"/>
      <c r="T21" s="65"/>
      <c r="U21" s="62"/>
      <c r="V21" s="99"/>
      <c r="W21" s="173"/>
      <c r="X21" s="143" t="s">
        <v>230</v>
      </c>
      <c r="Y21" s="133">
        <f>H60</f>
        <v>0</v>
      </c>
      <c r="Z21" s="144"/>
      <c r="AA21" s="142" t="s">
        <v>222</v>
      </c>
      <c r="AB21" s="142" t="s">
        <v>222</v>
      </c>
      <c r="AC21" s="125"/>
      <c r="AE21" s="135">
        <f>IF('Existing Conditions'!Z21="D",'Existing Conditions'!$AO$8,IF('Existing Conditions'!Z21="I",'Existing Conditions'!$AP$8,0))</f>
        <v>0</v>
      </c>
      <c r="AF21" s="135">
        <f>IF('Existing Conditions'!AA21="D",'Existing Conditions'!$AO$8,IF('Existing Conditions'!AA21="I",'Existing Conditions'!$AP$8,0))</f>
        <v>0.1</v>
      </c>
      <c r="AG21" s="135">
        <f>IF('Existing Conditions'!AB21="D",'Existing Conditions'!$AO$8,IF('Existing Conditions'!AB21="I",'Existing Conditions'!$AP$8,0))</f>
        <v>0.1</v>
      </c>
      <c r="AH21" s="136" t="e">
        <f>IF(OR(ISBLANK('Existing Conditions'!Z21),ISBLANK('Existing Conditions'!Y21)),NA(),'Existing Conditions'!$Y21)*AE21</f>
        <v>#N/A</v>
      </c>
      <c r="AI21" s="136">
        <f>IF(OR(ISBLANK('Existing Conditions'!AA21),ISBLANK('Existing Conditions'!Y21)),NA(),'Existing Conditions'!$Y21)*AF21</f>
        <v>0</v>
      </c>
      <c r="AJ21" s="136">
        <f>IF(OR(ISBLANK('Existing Conditions'!AB21),ISBLANK('Existing Conditions'!Y21)),NA(),'Existing Conditions'!$Y21)*AG21</f>
        <v>0</v>
      </c>
      <c r="AK21" s="137">
        <f>IF(ISBLANK('Existing Conditions'!$Y$21), 0, AE21*15)</f>
        <v>0</v>
      </c>
      <c r="AL21" s="137">
        <f>IF(ISBLANK('Existing Conditions'!$Y$21), 0, AF21*15)</f>
        <v>1.5</v>
      </c>
      <c r="AM21" s="137">
        <f>IF(ISBLANK('Existing Conditions'!$Y$21), 0, AG21*15)</f>
        <v>1.5</v>
      </c>
    </row>
    <row r="22" spans="1:39" ht="15" customHeight="1" x14ac:dyDescent="0.25">
      <c r="A22" s="265"/>
      <c r="B22" s="246"/>
      <c r="C22" s="248"/>
      <c r="D22" s="224"/>
      <c r="E22" s="199"/>
      <c r="F22" s="225"/>
      <c r="G22" s="212"/>
      <c r="H22" s="196"/>
      <c r="I22" s="107" t="s">
        <v>258</v>
      </c>
      <c r="J22" s="112"/>
      <c r="K22" s="62"/>
      <c r="L22" s="62"/>
      <c r="M22" s="62"/>
      <c r="N22" s="62"/>
      <c r="O22" s="62"/>
      <c r="P22" s="131" t="e">
        <f t="array" ref="P22">VLOOKUP($J22:$J22,$R$1:$S$5,2,FALSE)</f>
        <v>#N/A</v>
      </c>
      <c r="Q22" s="62"/>
      <c r="R22" s="65"/>
      <c r="S22" s="65"/>
      <c r="T22" s="65"/>
      <c r="U22" s="62"/>
      <c r="V22" s="99"/>
      <c r="W22" s="173"/>
      <c r="X22" s="143" t="s">
        <v>231</v>
      </c>
      <c r="Y22" s="133">
        <f>H64</f>
        <v>0</v>
      </c>
      <c r="Z22" s="142" t="s">
        <v>222</v>
      </c>
      <c r="AA22" s="142" t="s">
        <v>221</v>
      </c>
      <c r="AB22" s="142" t="s">
        <v>222</v>
      </c>
      <c r="AC22" s="125"/>
      <c r="AE22" s="135">
        <f>IF('Existing Conditions'!Z22="D",'Existing Conditions'!$AO$8,IF('Existing Conditions'!Z22="I",'Existing Conditions'!$AP$8,0))</f>
        <v>0.1</v>
      </c>
      <c r="AF22" s="135">
        <f>IF('Existing Conditions'!AA22="D",'Existing Conditions'!$AO$8,IF('Existing Conditions'!AA22="I",'Existing Conditions'!$AP$8,0))</f>
        <v>1</v>
      </c>
      <c r="AG22" s="135">
        <f>IF('Existing Conditions'!AB22="D",'Existing Conditions'!$AO$8,IF('Existing Conditions'!AB22="I",'Existing Conditions'!$AP$8,0))</f>
        <v>0.1</v>
      </c>
      <c r="AH22" s="136">
        <f>IF(OR(ISBLANK('Existing Conditions'!Z22),ISBLANK('Existing Conditions'!Y22)),NA(),'Existing Conditions'!$Y22)*AE22</f>
        <v>0</v>
      </c>
      <c r="AI22" s="136">
        <f>IF(OR(ISBLANK('Existing Conditions'!AA22),ISBLANK('Existing Conditions'!Y22)),NA(),'Existing Conditions'!$Y22)*AF22</f>
        <v>0</v>
      </c>
      <c r="AJ22" s="136">
        <f>IF(OR(ISBLANK('Existing Conditions'!AB22),ISBLANK('Existing Conditions'!Y22)),NA(),'Existing Conditions'!$Y22)*AG22</f>
        <v>0</v>
      </c>
      <c r="AK22" s="137">
        <f>IF(ISBLANK('Existing Conditions'!$Y$22), 0, AE22*15)</f>
        <v>1.5</v>
      </c>
      <c r="AL22" s="137">
        <f>IF(ISBLANK('Existing Conditions'!$Y$22), 0, AF22*15)</f>
        <v>15</v>
      </c>
      <c r="AM22" s="137">
        <f>IF(ISBLANK('Existing Conditions'!$Y$22), 0, AG22*15)</f>
        <v>1.5</v>
      </c>
    </row>
    <row r="23" spans="1:39" ht="15" customHeight="1" x14ac:dyDescent="0.25">
      <c r="A23" s="265"/>
      <c r="B23" s="246"/>
      <c r="C23" s="248"/>
      <c r="D23" s="224"/>
      <c r="E23" s="199"/>
      <c r="F23" s="225"/>
      <c r="G23" s="212"/>
      <c r="H23" s="197"/>
      <c r="I23" s="101" t="s">
        <v>259</v>
      </c>
      <c r="J23" s="112"/>
      <c r="K23" s="62"/>
      <c r="L23" s="62"/>
      <c r="M23" s="62"/>
      <c r="N23" s="62"/>
      <c r="O23" s="62"/>
      <c r="P23" s="131" t="e">
        <f t="array" ref="P23">VLOOKUP($J23:$J23,$R$1:$S$5,2,FALSE)</f>
        <v>#N/A</v>
      </c>
      <c r="Q23" s="62"/>
      <c r="R23" s="65"/>
      <c r="S23" s="65"/>
      <c r="T23" s="65"/>
      <c r="U23" s="62"/>
      <c r="V23" s="99"/>
      <c r="W23" s="173"/>
      <c r="X23" s="143" t="s">
        <v>232</v>
      </c>
      <c r="Y23" s="133">
        <f>H68</f>
        <v>0</v>
      </c>
      <c r="Z23" s="142" t="s">
        <v>222</v>
      </c>
      <c r="AA23" s="142" t="s">
        <v>221</v>
      </c>
      <c r="AB23" s="142" t="s">
        <v>222</v>
      </c>
      <c r="AC23" s="125"/>
      <c r="AE23" s="135">
        <f>IF('Existing Conditions'!Z23="D",'Existing Conditions'!$AO$8,IF('Existing Conditions'!Z23="I",'Existing Conditions'!$AP$8,0))</f>
        <v>0.1</v>
      </c>
      <c r="AF23" s="135">
        <f>IF('Existing Conditions'!AA23="D",'Existing Conditions'!$AO$8,IF('Existing Conditions'!AA23="I",'Existing Conditions'!$AP$8,0))</f>
        <v>1</v>
      </c>
      <c r="AG23" s="135">
        <f>IF('Existing Conditions'!AB23="D",'Existing Conditions'!$AO$8,IF('Existing Conditions'!AB23="I",'Existing Conditions'!$AP$8,0))</f>
        <v>0.1</v>
      </c>
      <c r="AH23" s="136">
        <f>IF(OR(ISBLANK('Existing Conditions'!Z23),ISBLANK('Existing Conditions'!Y23)),NA(),'Existing Conditions'!$Y23)*AE23</f>
        <v>0</v>
      </c>
      <c r="AI23" s="136">
        <f>IF(OR(ISBLANK('Existing Conditions'!AA23),ISBLANK('Existing Conditions'!Y23)),NA(),'Existing Conditions'!$Y23)*AF23</f>
        <v>0</v>
      </c>
      <c r="AJ23" s="136">
        <f>IF(OR(ISBLANK('Existing Conditions'!AB23),ISBLANK('Existing Conditions'!Y23)),NA(),'Existing Conditions'!$Y23)*AG23</f>
        <v>0</v>
      </c>
      <c r="AK23" s="137">
        <f>IF(ISBLANK('Existing Conditions'!$Y$23), 0, AE23*15)</f>
        <v>1.5</v>
      </c>
      <c r="AL23" s="137">
        <f>IF(ISBLANK('Existing Conditions'!$Y$23), 0, AF23*15)</f>
        <v>15</v>
      </c>
      <c r="AM23" s="137">
        <f>IF(ISBLANK('Existing Conditions'!$Y$23), 0, AG23*15)</f>
        <v>1.5</v>
      </c>
    </row>
    <row r="24" spans="1:39" ht="15.75" customHeight="1" x14ac:dyDescent="0.25">
      <c r="A24" s="265"/>
      <c r="B24" s="246"/>
      <c r="C24" s="248"/>
      <c r="D24" s="223" t="s">
        <v>164</v>
      </c>
      <c r="E24" s="198" t="e">
        <f>IF(AVERAGE(H24:H39)/15&lt;0.4, "Non-Functioning", IF(AVERAGE(H24:H39)/15&lt;0.7, "Functioning At-Risk", "Functioning"))</f>
        <v>#DIV/0!</v>
      </c>
      <c r="F24" s="217" t="s">
        <v>260</v>
      </c>
      <c r="G24" s="213" t="e">
        <f>AVERAGEIF(P24:P27,"&lt;&gt;#N/A")</f>
        <v>#DIV/0!</v>
      </c>
      <c r="H24" s="195"/>
      <c r="I24" s="107" t="s">
        <v>243</v>
      </c>
      <c r="J24" s="113"/>
      <c r="K24" s="62"/>
      <c r="L24" s="62"/>
      <c r="M24" s="62"/>
      <c r="N24" s="62"/>
      <c r="O24" s="62"/>
      <c r="P24" s="131" t="e">
        <f t="array" ref="P24">VLOOKUP($J24:$J24,$R$1:$S$5,2,FALSE)</f>
        <v>#N/A</v>
      </c>
      <c r="Q24" s="62"/>
      <c r="R24" s="65"/>
      <c r="S24" s="65"/>
      <c r="T24" s="65"/>
      <c r="U24" s="62"/>
      <c r="V24" s="99"/>
      <c r="W24" s="176" t="s">
        <v>208</v>
      </c>
      <c r="X24" s="146" t="s">
        <v>233</v>
      </c>
      <c r="Y24" s="133">
        <f>H72</f>
        <v>0</v>
      </c>
      <c r="Z24" s="147"/>
      <c r="AA24" s="147"/>
      <c r="AB24" s="145" t="s">
        <v>221</v>
      </c>
      <c r="AC24" s="125"/>
      <c r="AE24" s="135">
        <f>IF('Existing Conditions'!Z24="D",'Existing Conditions'!$AO$8,IF('Existing Conditions'!Z24="I",'Existing Conditions'!$AP$8,0))</f>
        <v>0</v>
      </c>
      <c r="AF24" s="135">
        <f>IF('Existing Conditions'!AA24="D",'Existing Conditions'!$AO$8,IF('Existing Conditions'!AA24="I",'Existing Conditions'!$AP$8,0))</f>
        <v>0</v>
      </c>
      <c r="AG24" s="135">
        <f>IF('Existing Conditions'!AB24="D",'Existing Conditions'!$AO$8,IF('Existing Conditions'!AB24="I",'Existing Conditions'!$AP$8,0))</f>
        <v>1</v>
      </c>
      <c r="AH24" s="136" t="e">
        <f>IF(OR(ISBLANK('Existing Conditions'!Z24),ISBLANK('Existing Conditions'!Y24)),NA(),'Existing Conditions'!$Y24)*AE24</f>
        <v>#N/A</v>
      </c>
      <c r="AI24" s="136" t="e">
        <f>IF(OR(ISBLANK('Existing Conditions'!AA24),ISBLANK('Existing Conditions'!Y24)),NA(),'Existing Conditions'!$Y24)*AF24</f>
        <v>#N/A</v>
      </c>
      <c r="AJ24" s="136">
        <f>IF(OR(ISBLANK('Existing Conditions'!AB24),ISBLANK('Existing Conditions'!Y24)),NA(),'Existing Conditions'!$Y24)*AG24</f>
        <v>0</v>
      </c>
      <c r="AK24" s="137">
        <f>IF(ISBLANK('Existing Conditions'!$Y$24), 0, AE24*15)</f>
        <v>0</v>
      </c>
      <c r="AL24" s="137">
        <f>IF(ISBLANK('Existing Conditions'!$Y$24), 0, AF24*15)</f>
        <v>0</v>
      </c>
      <c r="AM24" s="137">
        <f>IF(ISBLANK('Existing Conditions'!$Y$24), 0, AG24*15)</f>
        <v>15</v>
      </c>
    </row>
    <row r="25" spans="1:39" ht="15.75" customHeight="1" x14ac:dyDescent="0.25">
      <c r="A25" s="265"/>
      <c r="B25" s="246"/>
      <c r="C25" s="248"/>
      <c r="D25" s="224"/>
      <c r="E25" s="199"/>
      <c r="F25" s="216"/>
      <c r="G25" s="214"/>
      <c r="H25" s="196"/>
      <c r="I25" s="107" t="s">
        <v>244</v>
      </c>
      <c r="J25" s="112"/>
      <c r="K25" s="62"/>
      <c r="L25" s="62"/>
      <c r="M25" s="62"/>
      <c r="N25" s="62"/>
      <c r="O25" s="62"/>
      <c r="P25" s="131" t="e">
        <f t="array" ref="P25">VLOOKUP($J25:$J25,$R$1:$S$5,2,FALSE)</f>
        <v>#N/A</v>
      </c>
      <c r="Q25" s="62"/>
      <c r="R25" s="65"/>
      <c r="S25" s="65"/>
      <c r="T25" s="65"/>
      <c r="U25" s="62"/>
      <c r="V25" s="99"/>
      <c r="W25" s="176"/>
      <c r="X25" s="146" t="s">
        <v>234</v>
      </c>
      <c r="Y25" s="133">
        <f>H76</f>
        <v>0</v>
      </c>
      <c r="Z25" s="145" t="s">
        <v>222</v>
      </c>
      <c r="AA25" s="145" t="s">
        <v>222</v>
      </c>
      <c r="AB25" s="145" t="s">
        <v>221</v>
      </c>
      <c r="AC25" s="125"/>
      <c r="AE25" s="135">
        <f>IF('Existing Conditions'!Z25="D",'Existing Conditions'!$AO$8,IF('Existing Conditions'!Z25="I",'Existing Conditions'!$AP$8,0))</f>
        <v>0.1</v>
      </c>
      <c r="AF25" s="135">
        <f>IF('Existing Conditions'!AA25="D",'Existing Conditions'!$AO$8,IF('Existing Conditions'!AA25="I",'Existing Conditions'!$AP$8,0))</f>
        <v>0.1</v>
      </c>
      <c r="AG25" s="135">
        <f>IF('Existing Conditions'!AB25="D",'Existing Conditions'!$AO$8,IF('Existing Conditions'!AB25="I",'Existing Conditions'!$AP$8,0))</f>
        <v>1</v>
      </c>
      <c r="AH25" s="136">
        <f>IF(OR(ISBLANK('Existing Conditions'!Z25),ISBLANK('Existing Conditions'!Y25)),NA(),'Existing Conditions'!$Y25)*AE25</f>
        <v>0</v>
      </c>
      <c r="AI25" s="136">
        <f>IF(OR(ISBLANK('Existing Conditions'!AA25),ISBLANK('Existing Conditions'!Y25)),NA(),'Existing Conditions'!$Y25)*AF25</f>
        <v>0</v>
      </c>
      <c r="AJ25" s="136">
        <f>IF(OR(ISBLANK('Existing Conditions'!AB25),ISBLANK('Existing Conditions'!Y25)),NA(),'Existing Conditions'!$Y25)*AG25</f>
        <v>0</v>
      </c>
      <c r="AK25" s="137">
        <f>IF(ISBLANK('Existing Conditions'!$Y$25), 0, AE25*15)</f>
        <v>1.5</v>
      </c>
      <c r="AL25" s="137">
        <f>IF(ISBLANK('Existing Conditions'!$Y$25), 0, AF25*15)</f>
        <v>1.5</v>
      </c>
      <c r="AM25" s="137">
        <f>IF(ISBLANK('Existing Conditions'!$Y$25), 0, AG25*15)</f>
        <v>15</v>
      </c>
    </row>
    <row r="26" spans="1:39" ht="15.75" customHeight="1" x14ac:dyDescent="0.25">
      <c r="A26" s="265"/>
      <c r="B26" s="246"/>
      <c r="C26" s="248"/>
      <c r="D26" s="224"/>
      <c r="E26" s="199"/>
      <c r="F26" s="216"/>
      <c r="G26" s="214"/>
      <c r="H26" s="196"/>
      <c r="I26" s="107" t="s">
        <v>245</v>
      </c>
      <c r="J26" s="112"/>
      <c r="K26" s="62"/>
      <c r="L26" s="62"/>
      <c r="M26" s="62"/>
      <c r="N26" s="62"/>
      <c r="O26" s="62"/>
      <c r="P26" s="131" t="e">
        <f t="array" ref="P26">VLOOKUP($J26:$J26,$R$1:$S$5,2,FALSE)</f>
        <v>#N/A</v>
      </c>
      <c r="Q26" s="62"/>
      <c r="R26" s="65"/>
      <c r="S26" s="65"/>
      <c r="T26" s="65"/>
      <c r="U26" s="62"/>
      <c r="V26" s="99"/>
      <c r="W26" s="176"/>
      <c r="X26" s="146" t="s">
        <v>235</v>
      </c>
      <c r="Y26" s="133">
        <f>H80</f>
        <v>0</v>
      </c>
      <c r="Z26" s="145" t="s">
        <v>222</v>
      </c>
      <c r="AA26" s="145" t="s">
        <v>222</v>
      </c>
      <c r="AB26" s="145" t="s">
        <v>221</v>
      </c>
      <c r="AC26" s="125"/>
      <c r="AE26" s="135">
        <f>IF('Existing Conditions'!Z26="D",'Existing Conditions'!$AO$8,IF('Existing Conditions'!Z26="I",'Existing Conditions'!$AP$8,0))</f>
        <v>0.1</v>
      </c>
      <c r="AF26" s="135">
        <f>IF('Existing Conditions'!AA26="D",'Existing Conditions'!$AO$8,IF('Existing Conditions'!AA26="I",'Existing Conditions'!$AP$8,0))</f>
        <v>0.1</v>
      </c>
      <c r="AG26" s="135">
        <f>IF('Existing Conditions'!AB26="D",'Existing Conditions'!$AO$8,IF('Existing Conditions'!AB26="I",'Existing Conditions'!$AP$8,0))</f>
        <v>1</v>
      </c>
      <c r="AH26" s="136">
        <f>IF(OR(ISBLANK('Existing Conditions'!Z26),ISBLANK('Existing Conditions'!Y26)),NA(),'Existing Conditions'!$Y26)*AE26</f>
        <v>0</v>
      </c>
      <c r="AI26" s="136">
        <f>IF(OR(ISBLANK('Existing Conditions'!AA26),ISBLANK('Existing Conditions'!Y26)),NA(),'Existing Conditions'!$Y26)*AF26</f>
        <v>0</v>
      </c>
      <c r="AJ26" s="136">
        <f>IF(OR(ISBLANK('Existing Conditions'!AB26),ISBLANK('Existing Conditions'!Y26)),NA(),'Existing Conditions'!$Y26)*AG26</f>
        <v>0</v>
      </c>
      <c r="AK26" s="137">
        <f>IF(ISBLANK('Existing Conditions'!$Y$26), 0, AE26*15)</f>
        <v>1.5</v>
      </c>
      <c r="AL26" s="137">
        <f>IF(ISBLANK('Existing Conditions'!$Y$26), 0, AF26*15)</f>
        <v>1.5</v>
      </c>
      <c r="AM26" s="137">
        <f>IF(ISBLANK('Existing Conditions'!$Y$26), 0, AG26*15)</f>
        <v>15</v>
      </c>
    </row>
    <row r="27" spans="1:39" ht="15.75" customHeight="1" x14ac:dyDescent="0.25">
      <c r="A27" s="265"/>
      <c r="B27" s="246"/>
      <c r="C27" s="248"/>
      <c r="D27" s="224"/>
      <c r="E27" s="199"/>
      <c r="F27" s="216"/>
      <c r="G27" s="214"/>
      <c r="H27" s="197"/>
      <c r="I27" s="101" t="s">
        <v>246</v>
      </c>
      <c r="J27" s="112"/>
      <c r="K27" s="62"/>
      <c r="L27" s="62"/>
      <c r="M27" s="62"/>
      <c r="N27" s="62"/>
      <c r="O27" s="62"/>
      <c r="P27" s="131" t="e">
        <f t="array" ref="P27">VLOOKUP($J27:$J27,$R$1:$S$5,2,FALSE)</f>
        <v>#N/A</v>
      </c>
      <c r="Q27" s="62"/>
      <c r="R27" s="65"/>
      <c r="S27" s="65"/>
      <c r="T27" s="65"/>
      <c r="U27" s="62"/>
      <c r="V27" s="99"/>
      <c r="W27" s="176"/>
      <c r="X27" s="146" t="s">
        <v>236</v>
      </c>
      <c r="Y27" s="133">
        <f>H84</f>
        <v>0</v>
      </c>
      <c r="Z27" s="145" t="s">
        <v>222</v>
      </c>
      <c r="AA27" s="145"/>
      <c r="AB27" s="145" t="s">
        <v>221</v>
      </c>
      <c r="AC27" s="125"/>
      <c r="AE27" s="135">
        <f>IF('Existing Conditions'!Z27="D",'Existing Conditions'!$AO$8,IF('Existing Conditions'!Z27="I",'Existing Conditions'!$AP$8,0))</f>
        <v>0.1</v>
      </c>
      <c r="AF27" s="135">
        <f>IF('Existing Conditions'!AA27="D",'Existing Conditions'!$AO$8,IF('Existing Conditions'!AA27="I",'Existing Conditions'!$AP$8,0))</f>
        <v>0</v>
      </c>
      <c r="AG27" s="135">
        <f>IF('Existing Conditions'!AB27="D",'Existing Conditions'!$AO$8,IF('Existing Conditions'!AB27="I",'Existing Conditions'!$AP$8,0))</f>
        <v>1</v>
      </c>
      <c r="AH27" s="136">
        <f>IF(OR(ISBLANK('Existing Conditions'!Z27),ISBLANK('Existing Conditions'!Y27)),NA(),'Existing Conditions'!$Y27)*AE27</f>
        <v>0</v>
      </c>
      <c r="AI27" s="136" t="e">
        <f>IF(OR(ISBLANK('Existing Conditions'!AA27),ISBLANK('Existing Conditions'!Y27)),NA(),'Existing Conditions'!$Y27)*AF27</f>
        <v>#N/A</v>
      </c>
      <c r="AJ27" s="136">
        <f>IF(OR(ISBLANK('Existing Conditions'!AB27),ISBLANK('Existing Conditions'!Y27)),NA(),'Existing Conditions'!$Y27)*AG27</f>
        <v>0</v>
      </c>
      <c r="AK27" s="137">
        <f>IF(ISBLANK('Existing Conditions'!$Y$27), 0, AE27*15)</f>
        <v>1.5</v>
      </c>
      <c r="AL27" s="137">
        <f>IF(ISBLANK('Existing Conditions'!$Y$27), 0, AF27*15)</f>
        <v>0</v>
      </c>
      <c r="AM27" s="137">
        <f>IF(ISBLANK('Existing Conditions'!$Y$27), 0, AG27*15)</f>
        <v>15</v>
      </c>
    </row>
    <row r="28" spans="1:39" ht="15.75" customHeight="1" x14ac:dyDescent="0.25">
      <c r="A28" s="265"/>
      <c r="B28" s="246"/>
      <c r="C28" s="248"/>
      <c r="D28" s="224"/>
      <c r="E28" s="199"/>
      <c r="F28" s="217" t="s">
        <v>175</v>
      </c>
      <c r="G28" s="213" t="e">
        <f>AVERAGEIF(P28:P31,"&lt;&gt;#N/A")</f>
        <v>#DIV/0!</v>
      </c>
      <c r="H28" s="195"/>
      <c r="I28" s="107" t="s">
        <v>166</v>
      </c>
      <c r="J28" s="113"/>
      <c r="K28" s="62"/>
      <c r="L28" s="62"/>
      <c r="M28" s="62"/>
      <c r="N28" s="62"/>
      <c r="O28" s="62"/>
      <c r="P28" s="131" t="e">
        <f t="array" ref="P28">VLOOKUP($J28:$J28,$R$1:$S$5,2,FALSE)</f>
        <v>#N/A</v>
      </c>
      <c r="Q28" s="62"/>
      <c r="R28" s="65"/>
      <c r="S28" s="65"/>
      <c r="T28" s="65"/>
      <c r="U28" s="62"/>
      <c r="V28" s="99"/>
      <c r="W28" s="174" t="s">
        <v>237</v>
      </c>
      <c r="X28" s="174"/>
      <c r="Y28" s="175"/>
      <c r="Z28" s="148">
        <f>'Existing Conditions'!AH28</f>
        <v>0</v>
      </c>
      <c r="AA28" s="148">
        <f>'Existing Conditions'!AI28</f>
        <v>0</v>
      </c>
      <c r="AB28" s="148">
        <f>'Existing Conditions'!AJ28</f>
        <v>0</v>
      </c>
      <c r="AC28" s="125"/>
      <c r="AE28" s="149">
        <f>SUM(AE8:AE27)</f>
        <v>10.699999999999998</v>
      </c>
      <c r="AF28" s="150">
        <f>SUM(AF8:AF27)</f>
        <v>4.5</v>
      </c>
      <c r="AG28" s="150">
        <f>SUM(AG8:AG27)</f>
        <v>5.5</v>
      </c>
      <c r="AH28" s="151">
        <f>SUMIF(AH8:AH27,"&lt;&gt;#N/A")/AK28</f>
        <v>0</v>
      </c>
      <c r="AI28" s="151">
        <f>SUMIF(AI8:AI27,"&lt;&gt;#N/A")/AL28</f>
        <v>0</v>
      </c>
      <c r="AJ28" s="151">
        <f>SUMIF(AJ8:AJ27,"&lt;&gt;#N/A")/AM28</f>
        <v>0</v>
      </c>
      <c r="AK28" s="152">
        <f>SUM(AK8:AK27)</f>
        <v>160.5</v>
      </c>
      <c r="AL28" s="152">
        <f>SUM(AL8:AL27)</f>
        <v>67.5</v>
      </c>
      <c r="AM28" s="152">
        <f>SUM(AM8:AM27)</f>
        <v>82.5</v>
      </c>
    </row>
    <row r="29" spans="1:39" ht="15.75" customHeight="1" x14ac:dyDescent="0.25">
      <c r="A29" s="265"/>
      <c r="B29" s="246"/>
      <c r="C29" s="248"/>
      <c r="D29" s="224"/>
      <c r="E29" s="199"/>
      <c r="F29" s="216"/>
      <c r="G29" s="214"/>
      <c r="H29" s="196"/>
      <c r="I29" s="107" t="s">
        <v>239</v>
      </c>
      <c r="J29" s="112"/>
      <c r="K29" s="62"/>
      <c r="L29" s="62"/>
      <c r="M29" s="62"/>
      <c r="N29" s="62"/>
      <c r="O29" s="62"/>
      <c r="P29" s="153" t="e">
        <f t="array" ref="P29">VLOOKUP($J29:$J29,$R$1:$S$5,2,FALSE)</f>
        <v>#N/A</v>
      </c>
      <c r="Q29" s="62"/>
      <c r="R29" s="65"/>
      <c r="S29" s="65"/>
      <c r="T29" s="65"/>
      <c r="U29" s="62"/>
      <c r="V29" s="99"/>
      <c r="W29" s="166" t="s">
        <v>238</v>
      </c>
      <c r="X29" s="166"/>
      <c r="Y29" s="167"/>
      <c r="Z29" s="168">
        <f>AVERAGE(Z28:AB28)</f>
        <v>0</v>
      </c>
      <c r="AA29" s="168"/>
      <c r="AB29" s="168"/>
      <c r="AC29" s="125"/>
    </row>
    <row r="30" spans="1:39" ht="15.75" customHeight="1" thickBot="1" x14ac:dyDescent="0.3">
      <c r="A30" s="265"/>
      <c r="B30" s="246"/>
      <c r="C30" s="248"/>
      <c r="D30" s="224"/>
      <c r="E30" s="199"/>
      <c r="F30" s="216"/>
      <c r="G30" s="214"/>
      <c r="H30" s="196"/>
      <c r="I30" s="107" t="s">
        <v>267</v>
      </c>
      <c r="J30" s="112"/>
      <c r="K30" s="62"/>
      <c r="L30" s="62"/>
      <c r="M30" s="62"/>
      <c r="N30" s="62"/>
      <c r="O30" s="62"/>
      <c r="P30" s="153" t="e">
        <f t="array" ref="P30">VLOOKUP($J30:$J30,$R$1:$S$5,2,FALSE)</f>
        <v>#N/A</v>
      </c>
      <c r="Q30" s="62"/>
      <c r="R30" s="65"/>
      <c r="S30" s="65"/>
      <c r="T30" s="65"/>
      <c r="U30" s="62"/>
      <c r="V30" s="154"/>
      <c r="W30" s="155"/>
      <c r="X30" s="155"/>
      <c r="Y30" s="155"/>
      <c r="Z30" s="155"/>
      <c r="AA30" s="155"/>
      <c r="AB30" s="155"/>
      <c r="AC30" s="156"/>
    </row>
    <row r="31" spans="1:39" ht="15.75" customHeight="1" x14ac:dyDescent="0.25">
      <c r="A31" s="265"/>
      <c r="B31" s="246"/>
      <c r="C31" s="248"/>
      <c r="D31" s="224"/>
      <c r="E31" s="199"/>
      <c r="F31" s="218"/>
      <c r="G31" s="215"/>
      <c r="H31" s="197"/>
      <c r="I31" s="92" t="s">
        <v>167</v>
      </c>
      <c r="J31" s="112"/>
      <c r="K31" s="62"/>
      <c r="L31" s="62"/>
      <c r="M31" s="62"/>
      <c r="N31" s="62"/>
      <c r="O31" s="62"/>
      <c r="P31" s="153" t="e">
        <f t="array" ref="P31">VLOOKUP($J31:$J31,$R$1:$S$5,2,FALSE)</f>
        <v>#N/A</v>
      </c>
      <c r="Q31" s="62"/>
      <c r="R31" s="65"/>
      <c r="S31" s="65"/>
      <c r="T31" s="65"/>
      <c r="U31" s="62"/>
    </row>
    <row r="32" spans="1:39" ht="15.75" customHeight="1" x14ac:dyDescent="0.25">
      <c r="A32" s="265"/>
      <c r="B32" s="246"/>
      <c r="C32" s="248"/>
      <c r="D32" s="224"/>
      <c r="E32" s="199"/>
      <c r="F32" s="217" t="s">
        <v>49</v>
      </c>
      <c r="G32" s="212" t="e">
        <f>AVERAGEIF(P32:P35,"&lt;&gt;#N/A")</f>
        <v>#DIV/0!</v>
      </c>
      <c r="H32" s="195"/>
      <c r="I32" s="107" t="s">
        <v>168</v>
      </c>
      <c r="J32" s="112"/>
      <c r="K32" s="62"/>
      <c r="L32" s="62"/>
      <c r="M32" s="62"/>
      <c r="N32" s="62"/>
      <c r="O32" s="62"/>
      <c r="P32" s="153" t="e">
        <f t="array" ref="P32">VLOOKUP($J32:$J32,$R$1:$S$5,2,FALSE)</f>
        <v>#N/A</v>
      </c>
      <c r="Q32" s="62"/>
      <c r="R32" s="65"/>
      <c r="S32" s="65"/>
      <c r="T32" s="65"/>
      <c r="U32" s="62"/>
    </row>
    <row r="33" spans="1:21" ht="15.75" customHeight="1" x14ac:dyDescent="0.25">
      <c r="A33" s="265"/>
      <c r="B33" s="246"/>
      <c r="C33" s="248"/>
      <c r="D33" s="224"/>
      <c r="E33" s="199"/>
      <c r="F33" s="216"/>
      <c r="G33" s="212"/>
      <c r="H33" s="196"/>
      <c r="I33" s="107" t="s">
        <v>285</v>
      </c>
      <c r="J33" s="112"/>
      <c r="K33" s="62"/>
      <c r="L33" s="62"/>
      <c r="M33" s="62"/>
      <c r="N33" s="62"/>
      <c r="O33" s="62"/>
      <c r="P33" s="153" t="e">
        <f t="array" ref="P33">VLOOKUP($J33:$J33,$R$1:$S$5,2,FALSE)</f>
        <v>#N/A</v>
      </c>
      <c r="Q33" s="62"/>
      <c r="R33" s="65"/>
      <c r="S33" s="65"/>
      <c r="T33" s="65"/>
      <c r="U33" s="62"/>
    </row>
    <row r="34" spans="1:21" ht="15.75" customHeight="1" x14ac:dyDescent="0.25">
      <c r="A34" s="265"/>
      <c r="B34" s="246"/>
      <c r="C34" s="248"/>
      <c r="D34" s="224"/>
      <c r="E34" s="199"/>
      <c r="F34" s="216"/>
      <c r="G34" s="212"/>
      <c r="H34" s="196"/>
      <c r="I34" s="107" t="s">
        <v>169</v>
      </c>
      <c r="J34" s="112"/>
      <c r="K34" s="62"/>
      <c r="L34" s="62"/>
      <c r="M34" s="62"/>
      <c r="N34" s="62"/>
      <c r="O34" s="62"/>
      <c r="P34" s="153" t="e">
        <f t="array" ref="P34">VLOOKUP($J34:$J34,$R$1:$S$5,2,FALSE)</f>
        <v>#N/A</v>
      </c>
      <c r="Q34" s="62"/>
      <c r="R34" s="65"/>
      <c r="S34" s="65"/>
      <c r="T34" s="65"/>
      <c r="U34" s="62"/>
    </row>
    <row r="35" spans="1:21" ht="15.75" customHeight="1" x14ac:dyDescent="0.25">
      <c r="A35" s="265"/>
      <c r="B35" s="246"/>
      <c r="C35" s="248"/>
      <c r="D35" s="224"/>
      <c r="E35" s="199"/>
      <c r="F35" s="218"/>
      <c r="G35" s="212"/>
      <c r="H35" s="197"/>
      <c r="I35" s="92" t="s">
        <v>170</v>
      </c>
      <c r="J35" s="112"/>
      <c r="K35" s="62"/>
      <c r="L35" s="62"/>
      <c r="M35" s="62"/>
      <c r="N35" s="62"/>
      <c r="O35" s="62"/>
      <c r="P35" s="153" t="e">
        <f t="array" ref="P35">VLOOKUP($J35:$J35,$R$1:$S$5,2,FALSE)</f>
        <v>#N/A</v>
      </c>
      <c r="Q35" s="62"/>
      <c r="R35" s="65"/>
      <c r="S35" s="65"/>
      <c r="T35" s="65"/>
      <c r="U35" s="62"/>
    </row>
    <row r="36" spans="1:21" ht="15.75" customHeight="1" x14ac:dyDescent="0.25">
      <c r="A36" s="265"/>
      <c r="B36" s="246"/>
      <c r="C36" s="248"/>
      <c r="D36" s="224"/>
      <c r="E36" s="199"/>
      <c r="F36" s="217" t="s">
        <v>176</v>
      </c>
      <c r="G36" s="212" t="e">
        <f>AVERAGEIF(P36:P39,"&lt;&gt;#N/A")</f>
        <v>#DIV/0!</v>
      </c>
      <c r="H36" s="195"/>
      <c r="I36" s="107" t="s">
        <v>171</v>
      </c>
      <c r="J36" s="112"/>
      <c r="K36" s="62"/>
      <c r="L36" s="62"/>
      <c r="M36" s="62"/>
      <c r="N36" s="62"/>
      <c r="O36" s="62"/>
      <c r="P36" s="153" t="e">
        <f t="array" ref="P36">VLOOKUP($J36:$J36,$R$1:$S$5,2,FALSE)</f>
        <v>#N/A</v>
      </c>
      <c r="Q36" s="62"/>
      <c r="R36" s="65"/>
      <c r="S36" s="65"/>
      <c r="T36" s="65"/>
      <c r="U36" s="62"/>
    </row>
    <row r="37" spans="1:21" ht="15.75" customHeight="1" x14ac:dyDescent="0.25">
      <c r="A37" s="265"/>
      <c r="B37" s="246"/>
      <c r="C37" s="248"/>
      <c r="D37" s="224"/>
      <c r="E37" s="199"/>
      <c r="F37" s="216"/>
      <c r="G37" s="212"/>
      <c r="H37" s="196"/>
      <c r="I37" s="107" t="s">
        <v>172</v>
      </c>
      <c r="J37" s="112"/>
      <c r="K37" s="62"/>
      <c r="L37" s="62"/>
      <c r="M37" s="62"/>
      <c r="N37" s="62"/>
      <c r="O37" s="62"/>
      <c r="P37" s="153" t="e">
        <f t="array" ref="P37">VLOOKUP($J37:$J37,$R$1:$S$5,2,FALSE)</f>
        <v>#N/A</v>
      </c>
      <c r="Q37" s="62"/>
      <c r="R37" s="65"/>
      <c r="S37" s="65"/>
      <c r="T37" s="65"/>
      <c r="U37" s="62"/>
    </row>
    <row r="38" spans="1:21" ht="15.75" customHeight="1" x14ac:dyDescent="0.25">
      <c r="A38" s="265"/>
      <c r="B38" s="246"/>
      <c r="C38" s="248"/>
      <c r="D38" s="224"/>
      <c r="E38" s="199"/>
      <c r="F38" s="216"/>
      <c r="G38" s="212"/>
      <c r="H38" s="196"/>
      <c r="I38" s="107" t="s">
        <v>173</v>
      </c>
      <c r="J38" s="112"/>
      <c r="K38" s="62"/>
      <c r="L38" s="62"/>
      <c r="M38" s="62"/>
      <c r="N38" s="62"/>
      <c r="O38" s="62"/>
      <c r="P38" s="153" t="e">
        <f t="array" ref="P38">VLOOKUP($J38:$J38,$R$1:$S$5,2,FALSE)</f>
        <v>#N/A</v>
      </c>
      <c r="Q38" s="62"/>
      <c r="R38" s="65"/>
      <c r="S38" s="65"/>
      <c r="T38" s="65"/>
      <c r="U38" s="62"/>
    </row>
    <row r="39" spans="1:21" ht="15.75" customHeight="1" x14ac:dyDescent="0.25">
      <c r="A39" s="265"/>
      <c r="B39" s="246"/>
      <c r="C39" s="248"/>
      <c r="D39" s="224"/>
      <c r="E39" s="199"/>
      <c r="F39" s="218"/>
      <c r="G39" s="212"/>
      <c r="H39" s="197"/>
      <c r="I39" s="107" t="s">
        <v>174</v>
      </c>
      <c r="J39" s="112"/>
      <c r="K39" s="62"/>
      <c r="L39" s="62"/>
      <c r="M39" s="62"/>
      <c r="N39" s="62"/>
      <c r="O39" s="62"/>
      <c r="P39" s="153" t="e">
        <f t="array" ref="P39">VLOOKUP($J39:$J39,$R$1:$S$5,2,FALSE)</f>
        <v>#N/A</v>
      </c>
      <c r="Q39" s="62"/>
      <c r="R39" s="65"/>
      <c r="S39" s="65"/>
      <c r="T39" s="65"/>
      <c r="U39" s="62"/>
    </row>
    <row r="40" spans="1:21" ht="15.6" customHeight="1" x14ac:dyDescent="0.25">
      <c r="A40" s="265"/>
      <c r="B40" s="246"/>
      <c r="C40" s="248"/>
      <c r="D40" s="246" t="s">
        <v>165</v>
      </c>
      <c r="E40" s="198" t="e">
        <f>IF(AVERAGE(H40:H55)/15&lt;0.4, "Non-Functioning", IF(AVERAGE(H40:H55)/15&lt;0.7, "Functioning At-Risk", "Functioning"))</f>
        <v>#DIV/0!</v>
      </c>
      <c r="F40" s="217" t="s">
        <v>54</v>
      </c>
      <c r="G40" s="212" t="e">
        <f>AVERAGEIF(P40:P43,"&lt;&gt;#N/A")</f>
        <v>#DIV/0!</v>
      </c>
      <c r="H40" s="195"/>
      <c r="I40" s="106" t="s">
        <v>54</v>
      </c>
      <c r="J40" s="112"/>
      <c r="K40" s="62"/>
      <c r="L40" s="62"/>
      <c r="M40" s="62"/>
      <c r="N40" s="62"/>
      <c r="O40" s="62"/>
      <c r="P40" s="153" t="e">
        <f t="array" ref="P40">VLOOKUP($J40:$J40,$R$1:$S$5,2,FALSE)</f>
        <v>#N/A</v>
      </c>
      <c r="Q40" s="62"/>
      <c r="R40" s="65"/>
      <c r="S40" s="65"/>
      <c r="T40" s="65"/>
      <c r="U40" s="62"/>
    </row>
    <row r="41" spans="1:21" ht="14.45" customHeight="1" x14ac:dyDescent="0.25">
      <c r="A41" s="265"/>
      <c r="B41" s="246"/>
      <c r="C41" s="248"/>
      <c r="D41" s="246"/>
      <c r="E41" s="199"/>
      <c r="F41" s="216"/>
      <c r="G41" s="212"/>
      <c r="H41" s="196"/>
      <c r="I41" s="107" t="s">
        <v>177</v>
      </c>
      <c r="J41" s="112"/>
      <c r="K41" s="62"/>
      <c r="L41" s="62"/>
      <c r="M41" s="62"/>
      <c r="N41" s="62"/>
      <c r="O41" s="62"/>
      <c r="P41" s="153" t="e">
        <f t="array" ref="P41">VLOOKUP($J41:$J41,$R$1:$S$5,2,FALSE)</f>
        <v>#N/A</v>
      </c>
      <c r="Q41" s="62"/>
      <c r="R41" s="65"/>
      <c r="S41" s="65"/>
      <c r="T41" s="65"/>
      <c r="U41" s="62"/>
    </row>
    <row r="42" spans="1:21" ht="14.45" customHeight="1" x14ac:dyDescent="0.25">
      <c r="A42" s="265"/>
      <c r="B42" s="246"/>
      <c r="C42" s="248"/>
      <c r="D42" s="246"/>
      <c r="E42" s="199"/>
      <c r="F42" s="216"/>
      <c r="G42" s="212"/>
      <c r="H42" s="196"/>
      <c r="I42" s="107" t="s">
        <v>178</v>
      </c>
      <c r="J42" s="112"/>
      <c r="K42" s="62"/>
      <c r="L42" s="62"/>
      <c r="M42" s="62"/>
      <c r="N42" s="62"/>
      <c r="O42" s="62"/>
      <c r="P42" s="153" t="e">
        <f t="array" ref="P42">VLOOKUP($J42:$J42,$R$1:$S$5,2,FALSE)</f>
        <v>#N/A</v>
      </c>
      <c r="Q42" s="62"/>
      <c r="R42" s="65"/>
      <c r="S42" s="65"/>
      <c r="T42" s="65"/>
      <c r="U42" s="62"/>
    </row>
    <row r="43" spans="1:21" ht="14.45" customHeight="1" x14ac:dyDescent="0.25">
      <c r="A43" s="265"/>
      <c r="B43" s="246"/>
      <c r="C43" s="248"/>
      <c r="D43" s="246"/>
      <c r="E43" s="199"/>
      <c r="F43" s="218"/>
      <c r="G43" s="212"/>
      <c r="H43" s="197"/>
      <c r="I43" s="92" t="s">
        <v>286</v>
      </c>
      <c r="J43" s="112"/>
      <c r="K43" s="62"/>
      <c r="L43" s="62"/>
      <c r="M43" s="62"/>
      <c r="N43" s="62"/>
      <c r="O43" s="62"/>
      <c r="P43" s="153" t="e">
        <f t="array" ref="P43">VLOOKUP($J43:$J43,$R$1:$S$5,2,FALSE)</f>
        <v>#N/A</v>
      </c>
      <c r="Q43" s="62"/>
      <c r="R43" s="65"/>
      <c r="S43" s="65"/>
      <c r="T43" s="65"/>
      <c r="U43" s="62"/>
    </row>
    <row r="44" spans="1:21" ht="14.45" customHeight="1" x14ac:dyDescent="0.25">
      <c r="A44" s="265"/>
      <c r="B44" s="246"/>
      <c r="C44" s="248"/>
      <c r="D44" s="246"/>
      <c r="E44" s="199"/>
      <c r="F44" s="216" t="s">
        <v>247</v>
      </c>
      <c r="G44" s="213" t="e">
        <f>AVERAGEIF(P44:P47,"&lt;&gt;#N/A")</f>
        <v>#DIV/0!</v>
      </c>
      <c r="H44" s="195"/>
      <c r="I44" s="107" t="s">
        <v>248</v>
      </c>
      <c r="J44" s="112"/>
      <c r="K44" s="62"/>
      <c r="L44" s="62"/>
      <c r="M44" s="62"/>
      <c r="N44" s="62"/>
      <c r="O44" s="62"/>
      <c r="P44" s="153" t="e">
        <f t="array" ref="P44">VLOOKUP($J44:$J44,$R$1:$S$5,2,FALSE)</f>
        <v>#N/A</v>
      </c>
      <c r="Q44" s="62"/>
      <c r="R44" s="65"/>
      <c r="S44" s="65"/>
      <c r="T44" s="65"/>
      <c r="U44" s="62"/>
    </row>
    <row r="45" spans="1:21" ht="14.45" customHeight="1" x14ac:dyDescent="0.25">
      <c r="A45" s="265"/>
      <c r="B45" s="246"/>
      <c r="C45" s="248"/>
      <c r="D45" s="246"/>
      <c r="E45" s="199"/>
      <c r="F45" s="216"/>
      <c r="G45" s="214"/>
      <c r="H45" s="196"/>
      <c r="I45" s="107" t="s">
        <v>249</v>
      </c>
      <c r="J45" s="112"/>
      <c r="K45" s="62"/>
      <c r="L45" s="62"/>
      <c r="M45" s="62"/>
      <c r="N45" s="62"/>
      <c r="O45" s="62"/>
      <c r="P45" s="153" t="e">
        <f t="array" ref="P45">VLOOKUP($J45:$J45,$R$1:$S$5,2,FALSE)</f>
        <v>#N/A</v>
      </c>
      <c r="Q45" s="62"/>
      <c r="R45" s="65"/>
      <c r="S45" s="65"/>
      <c r="T45" s="65"/>
      <c r="U45" s="62"/>
    </row>
    <row r="46" spans="1:21" ht="14.45" customHeight="1" x14ac:dyDescent="0.25">
      <c r="A46" s="265"/>
      <c r="B46" s="246"/>
      <c r="C46" s="248"/>
      <c r="D46" s="246"/>
      <c r="E46" s="199"/>
      <c r="F46" s="216"/>
      <c r="G46" s="214"/>
      <c r="H46" s="196"/>
      <c r="I46" s="107" t="s">
        <v>179</v>
      </c>
      <c r="J46" s="112"/>
      <c r="K46" s="62"/>
      <c r="L46" s="62"/>
      <c r="M46" s="62"/>
      <c r="N46" s="62"/>
      <c r="O46" s="62"/>
      <c r="P46" s="153" t="e">
        <f t="array" ref="P46">VLOOKUP($J46:$J46,$R$1:$S$5,2,FALSE)</f>
        <v>#N/A</v>
      </c>
      <c r="Q46" s="62"/>
      <c r="R46" s="65"/>
      <c r="S46" s="65"/>
      <c r="T46" s="65"/>
      <c r="U46" s="62"/>
    </row>
    <row r="47" spans="1:21" ht="14.45" customHeight="1" x14ac:dyDescent="0.25">
      <c r="A47" s="265"/>
      <c r="B47" s="246"/>
      <c r="C47" s="248"/>
      <c r="D47" s="246"/>
      <c r="E47" s="199"/>
      <c r="F47" s="216"/>
      <c r="G47" s="214"/>
      <c r="H47" s="196"/>
      <c r="I47" s="101" t="s">
        <v>250</v>
      </c>
      <c r="J47" s="112"/>
      <c r="K47" s="62"/>
      <c r="L47" s="62"/>
      <c r="M47" s="62"/>
      <c r="N47" s="62"/>
      <c r="O47" s="62"/>
      <c r="P47" s="153" t="e">
        <f t="array" ref="P47">VLOOKUP($J47:$J47,$R$1:$S$5,2,FALSE)</f>
        <v>#N/A</v>
      </c>
      <c r="Q47" s="62"/>
      <c r="R47" s="65"/>
      <c r="S47" s="65"/>
      <c r="T47" s="65"/>
      <c r="U47" s="62"/>
    </row>
    <row r="48" spans="1:21" ht="14.45" customHeight="1" x14ac:dyDescent="0.25">
      <c r="A48" s="265"/>
      <c r="B48" s="246"/>
      <c r="C48" s="248"/>
      <c r="D48" s="246"/>
      <c r="E48" s="199"/>
      <c r="F48" s="217" t="s">
        <v>185</v>
      </c>
      <c r="G48" s="212" t="e">
        <f>AVERAGEIF(P48:P51,"&lt;&gt;#N/A")</f>
        <v>#DIV/0!</v>
      </c>
      <c r="H48" s="195"/>
      <c r="I48" s="107" t="s">
        <v>180</v>
      </c>
      <c r="J48" s="113"/>
      <c r="K48" s="62"/>
      <c r="L48" s="62"/>
      <c r="M48" s="62"/>
      <c r="N48" s="62"/>
      <c r="O48" s="62"/>
      <c r="P48" s="153" t="e">
        <f t="array" ref="P48">VLOOKUP($J48:$J48,$R$1:$S$5,2,FALSE)</f>
        <v>#N/A</v>
      </c>
      <c r="Q48" s="62"/>
      <c r="R48" s="65"/>
      <c r="S48" s="65"/>
      <c r="T48" s="65"/>
      <c r="U48" s="62"/>
    </row>
    <row r="49" spans="1:21" ht="14.45" customHeight="1" x14ac:dyDescent="0.25">
      <c r="A49" s="265"/>
      <c r="B49" s="246"/>
      <c r="C49" s="248"/>
      <c r="D49" s="246"/>
      <c r="E49" s="199"/>
      <c r="F49" s="216"/>
      <c r="G49" s="212"/>
      <c r="H49" s="196"/>
      <c r="I49" s="107" t="s">
        <v>181</v>
      </c>
      <c r="J49" s="112"/>
      <c r="K49" s="62"/>
      <c r="L49" s="62"/>
      <c r="M49" s="62"/>
      <c r="N49" s="62"/>
      <c r="O49" s="62"/>
      <c r="P49" s="153" t="e">
        <f t="array" ref="P49">VLOOKUP($J49:$J49,$R$1:$S$5,2,FALSE)</f>
        <v>#N/A</v>
      </c>
      <c r="Q49" s="62"/>
      <c r="R49" s="65"/>
      <c r="S49" s="65"/>
      <c r="T49" s="65"/>
      <c r="U49" s="62"/>
    </row>
    <row r="50" spans="1:21" ht="14.45" customHeight="1" x14ac:dyDescent="0.25">
      <c r="A50" s="265"/>
      <c r="B50" s="246"/>
      <c r="C50" s="248"/>
      <c r="D50" s="246"/>
      <c r="E50" s="199"/>
      <c r="F50" s="216"/>
      <c r="G50" s="212"/>
      <c r="H50" s="196"/>
      <c r="I50" s="107" t="s">
        <v>182</v>
      </c>
      <c r="J50" s="112"/>
      <c r="K50" s="62"/>
      <c r="L50" s="62"/>
      <c r="M50" s="62"/>
      <c r="N50" s="62"/>
      <c r="O50" s="62"/>
      <c r="P50" s="153" t="e">
        <f t="array" ref="P50">VLOOKUP($J50:$J50,$R$1:$S$5,2,FALSE)</f>
        <v>#N/A</v>
      </c>
      <c r="Q50" s="62"/>
      <c r="R50" s="65"/>
      <c r="S50" s="65"/>
      <c r="T50" s="65"/>
      <c r="U50" s="62"/>
    </row>
    <row r="51" spans="1:21" ht="14.45" customHeight="1" x14ac:dyDescent="0.25">
      <c r="A51" s="265"/>
      <c r="B51" s="246"/>
      <c r="C51" s="248"/>
      <c r="D51" s="246"/>
      <c r="E51" s="199"/>
      <c r="F51" s="218"/>
      <c r="G51" s="212"/>
      <c r="H51" s="197"/>
      <c r="I51" s="92" t="s">
        <v>183</v>
      </c>
      <c r="J51" s="112"/>
      <c r="K51" s="62"/>
      <c r="L51" s="62"/>
      <c r="M51" s="62"/>
      <c r="N51" s="62"/>
      <c r="O51" s="62"/>
      <c r="P51" s="153" t="e">
        <f t="array" ref="P51">VLOOKUP($J51:$J51,$R$1:$S$5,2,FALSE)</f>
        <v>#N/A</v>
      </c>
      <c r="Q51" s="62"/>
      <c r="R51" s="65"/>
      <c r="S51" s="65"/>
      <c r="T51" s="65"/>
      <c r="U51" s="62"/>
    </row>
    <row r="52" spans="1:21" ht="14.45" customHeight="1" x14ac:dyDescent="0.25">
      <c r="A52" s="265"/>
      <c r="B52" s="246"/>
      <c r="C52" s="248"/>
      <c r="D52" s="246"/>
      <c r="E52" s="199"/>
      <c r="F52" s="217" t="s">
        <v>281</v>
      </c>
      <c r="G52" s="213" t="e">
        <f>AVERAGEIF(P52:P55,"&lt;&gt;#N/A")</f>
        <v>#DIV/0!</v>
      </c>
      <c r="H52" s="195"/>
      <c r="I52" s="107" t="s">
        <v>251</v>
      </c>
      <c r="J52" s="112"/>
      <c r="K52" s="62"/>
      <c r="L52" s="62"/>
      <c r="M52" s="62"/>
      <c r="N52" s="62"/>
      <c r="O52" s="62"/>
      <c r="P52" s="153" t="e">
        <f t="array" ref="P52">VLOOKUP($J52:$J52,$R$1:$S$5,2,FALSE)</f>
        <v>#N/A</v>
      </c>
      <c r="Q52" s="62"/>
      <c r="R52" s="65"/>
      <c r="S52" s="65"/>
      <c r="T52" s="65"/>
      <c r="U52" s="62"/>
    </row>
    <row r="53" spans="1:21" ht="14.45" customHeight="1" x14ac:dyDescent="0.25">
      <c r="A53" s="265"/>
      <c r="B53" s="246"/>
      <c r="C53" s="248"/>
      <c r="D53" s="246"/>
      <c r="E53" s="199"/>
      <c r="F53" s="216"/>
      <c r="G53" s="214"/>
      <c r="H53" s="196"/>
      <c r="I53" s="107" t="s">
        <v>184</v>
      </c>
      <c r="J53" s="112"/>
      <c r="K53" s="62"/>
      <c r="L53" s="62"/>
      <c r="M53" s="62"/>
      <c r="N53" s="62"/>
      <c r="O53" s="62"/>
      <c r="P53" s="153" t="e">
        <f t="array" ref="P53">VLOOKUP($J53:$J53,$R$1:$S$5,2,FALSE)</f>
        <v>#N/A</v>
      </c>
      <c r="Q53" s="62"/>
      <c r="R53" s="65"/>
      <c r="S53" s="65"/>
      <c r="T53" s="65"/>
      <c r="U53" s="62"/>
    </row>
    <row r="54" spans="1:21" ht="14.45" customHeight="1" x14ac:dyDescent="0.25">
      <c r="A54" s="265"/>
      <c r="B54" s="246"/>
      <c r="C54" s="248"/>
      <c r="D54" s="246"/>
      <c r="E54" s="199"/>
      <c r="F54" s="216"/>
      <c r="G54" s="214"/>
      <c r="H54" s="196"/>
      <c r="I54" s="107" t="s">
        <v>252</v>
      </c>
      <c r="J54" s="112"/>
      <c r="K54" s="62"/>
      <c r="L54" s="62"/>
      <c r="M54" s="62"/>
      <c r="N54" s="62"/>
      <c r="O54" s="62"/>
      <c r="P54" s="153" t="e">
        <f t="array" ref="P54">VLOOKUP($J54:$J54,$R$1:$S$5,2,FALSE)</f>
        <v>#N/A</v>
      </c>
      <c r="Q54" s="62"/>
      <c r="R54" s="65"/>
      <c r="S54" s="65"/>
      <c r="T54" s="65"/>
      <c r="U54" s="62"/>
    </row>
    <row r="55" spans="1:21" ht="14.45" customHeight="1" x14ac:dyDescent="0.25">
      <c r="A55" s="265"/>
      <c r="B55" s="246"/>
      <c r="C55" s="248"/>
      <c r="D55" s="246"/>
      <c r="E55" s="199"/>
      <c r="F55" s="218"/>
      <c r="G55" s="215"/>
      <c r="H55" s="197"/>
      <c r="I55" s="92" t="s">
        <v>253</v>
      </c>
      <c r="J55" s="112"/>
      <c r="K55" s="62"/>
      <c r="L55" s="62"/>
      <c r="M55" s="62"/>
      <c r="N55" s="62"/>
      <c r="O55" s="62"/>
      <c r="P55" s="153" t="e">
        <f t="array" ref="P55">VLOOKUP($J55:$J55,$R$1:$S$5,2,FALSE)</f>
        <v>#N/A</v>
      </c>
      <c r="Q55" s="62"/>
      <c r="R55" s="65"/>
      <c r="S55" s="65"/>
      <c r="T55" s="65"/>
      <c r="U55" s="62"/>
    </row>
    <row r="56" spans="1:21" ht="15.75" customHeight="1" x14ac:dyDescent="0.25">
      <c r="A56" s="265"/>
      <c r="B56" s="253" t="s">
        <v>162</v>
      </c>
      <c r="C56" s="247">
        <f>AA28</f>
        <v>0</v>
      </c>
      <c r="D56" s="201" t="s">
        <v>210</v>
      </c>
      <c r="E56" s="198" t="e">
        <f>IF(AVERAGE(H56:H71)/15&lt;0.4, "Non-Functioning", IF(AVERAGE(H56:H71)/15&lt;0.7, "Functioning At-Risk", "Functioning"))</f>
        <v>#DIV/0!</v>
      </c>
      <c r="F56" s="209" t="s">
        <v>204</v>
      </c>
      <c r="G56" s="205" t="e">
        <f>AVERAGEIF(P56:P59,"&lt;&gt;#N/A")</f>
        <v>#DIV/0!</v>
      </c>
      <c r="H56" s="195"/>
      <c r="I56" s="94" t="s">
        <v>187</v>
      </c>
      <c r="J56" s="112"/>
      <c r="K56" s="62"/>
      <c r="L56" s="62"/>
      <c r="M56" s="62"/>
      <c r="N56" s="62"/>
      <c r="O56" s="62"/>
      <c r="P56" s="153" t="e">
        <f t="array" ref="P56">VLOOKUP($J56:$J56,$R$1:$S$5,2,FALSE)</f>
        <v>#N/A</v>
      </c>
      <c r="Q56" s="62"/>
      <c r="R56" s="65"/>
      <c r="S56" s="65"/>
      <c r="T56" s="65"/>
      <c r="U56" s="62"/>
    </row>
    <row r="57" spans="1:21" ht="15.75" customHeight="1" x14ac:dyDescent="0.25">
      <c r="A57" s="265"/>
      <c r="B57" s="253"/>
      <c r="C57" s="248"/>
      <c r="D57" s="202"/>
      <c r="E57" s="199"/>
      <c r="F57" s="210"/>
      <c r="G57" s="206"/>
      <c r="H57" s="196"/>
      <c r="I57" s="95" t="s">
        <v>188</v>
      </c>
      <c r="J57" s="112"/>
      <c r="K57" s="62"/>
      <c r="L57" s="62"/>
      <c r="M57" s="62"/>
      <c r="N57" s="62"/>
      <c r="O57" s="62"/>
      <c r="P57" s="153" t="e">
        <f t="array" ref="P57">VLOOKUP($J57:$J57,$R$1:$S$5,2,FALSE)</f>
        <v>#N/A</v>
      </c>
      <c r="Q57" s="62"/>
      <c r="R57" s="65"/>
      <c r="S57" s="65"/>
      <c r="T57" s="65"/>
      <c r="U57" s="62"/>
    </row>
    <row r="58" spans="1:21" ht="15.75" customHeight="1" x14ac:dyDescent="0.25">
      <c r="A58" s="265"/>
      <c r="B58" s="253"/>
      <c r="C58" s="248"/>
      <c r="D58" s="202"/>
      <c r="E58" s="199"/>
      <c r="F58" s="210"/>
      <c r="G58" s="206"/>
      <c r="H58" s="196"/>
      <c r="I58" s="95" t="s">
        <v>189</v>
      </c>
      <c r="J58" s="112"/>
      <c r="K58" s="62"/>
      <c r="L58" s="62"/>
      <c r="M58" s="62"/>
      <c r="N58" s="62"/>
      <c r="O58" s="62"/>
      <c r="P58" s="153" t="e">
        <f t="array" ref="P58">VLOOKUP($J58:$J58,$R$1:$S$5,2,FALSE)</f>
        <v>#N/A</v>
      </c>
      <c r="Q58" s="62"/>
      <c r="R58" s="65"/>
      <c r="S58" s="65"/>
      <c r="T58" s="65"/>
      <c r="U58" s="62"/>
    </row>
    <row r="59" spans="1:21" ht="15.75" customHeight="1" x14ac:dyDescent="0.25">
      <c r="A59" s="265"/>
      <c r="B59" s="253"/>
      <c r="C59" s="248"/>
      <c r="D59" s="202"/>
      <c r="E59" s="199"/>
      <c r="F59" s="211"/>
      <c r="G59" s="207"/>
      <c r="H59" s="197"/>
      <c r="I59" s="96" t="s">
        <v>190</v>
      </c>
      <c r="J59" s="112"/>
      <c r="K59" s="62"/>
      <c r="L59" s="62"/>
      <c r="M59" s="62"/>
      <c r="N59" s="62"/>
      <c r="O59" s="62"/>
      <c r="P59" s="153" t="e">
        <f t="array" ref="P59">VLOOKUP($J59:$J59,$R$1:$S$5,2,FALSE)</f>
        <v>#N/A</v>
      </c>
      <c r="Q59" s="62"/>
      <c r="R59" s="65"/>
      <c r="S59" s="65"/>
      <c r="T59" s="65"/>
      <c r="U59" s="62"/>
    </row>
    <row r="60" spans="1:21" ht="15.75" customHeight="1" x14ac:dyDescent="0.25">
      <c r="A60" s="265"/>
      <c r="B60" s="253"/>
      <c r="C60" s="248"/>
      <c r="D60" s="202"/>
      <c r="E60" s="199"/>
      <c r="F60" s="203" t="s">
        <v>205</v>
      </c>
      <c r="G60" s="205" t="e">
        <f>AVERAGEIF(P60:P63,"&lt;&gt;#N/A")</f>
        <v>#DIV/0!</v>
      </c>
      <c r="H60" s="195"/>
      <c r="I60" s="95" t="s">
        <v>191</v>
      </c>
      <c r="J60" s="112"/>
      <c r="K60" s="62"/>
      <c r="L60" s="62"/>
      <c r="M60" s="62"/>
      <c r="N60" s="62"/>
      <c r="O60" s="62"/>
      <c r="P60" s="153" t="e">
        <f t="array" ref="P60">VLOOKUP($J60:$J60,$R$1:$S$5,2,FALSE)</f>
        <v>#N/A</v>
      </c>
      <c r="Q60" s="62"/>
      <c r="R60" s="65"/>
      <c r="S60" s="65"/>
      <c r="T60" s="65"/>
      <c r="U60" s="62"/>
    </row>
    <row r="61" spans="1:21" ht="15.75" customHeight="1" x14ac:dyDescent="0.25">
      <c r="A61" s="265"/>
      <c r="B61" s="253"/>
      <c r="C61" s="248"/>
      <c r="D61" s="202"/>
      <c r="E61" s="199"/>
      <c r="F61" s="204"/>
      <c r="G61" s="206"/>
      <c r="H61" s="196"/>
      <c r="I61" s="95" t="s">
        <v>268</v>
      </c>
      <c r="J61" s="112"/>
      <c r="K61" s="62"/>
      <c r="L61" s="62"/>
      <c r="M61" s="62"/>
      <c r="N61" s="62"/>
      <c r="O61" s="62"/>
      <c r="P61" s="153" t="e">
        <f t="array" ref="P61">VLOOKUP($J61:$J61,$R$1:$S$5,2,FALSE)</f>
        <v>#N/A</v>
      </c>
      <c r="Q61" s="62"/>
      <c r="R61" s="65"/>
      <c r="S61" s="65"/>
      <c r="T61" s="65"/>
      <c r="U61" s="62"/>
    </row>
    <row r="62" spans="1:21" ht="15.75" customHeight="1" x14ac:dyDescent="0.25">
      <c r="A62" s="265"/>
      <c r="B62" s="253"/>
      <c r="C62" s="248"/>
      <c r="D62" s="202"/>
      <c r="E62" s="199"/>
      <c r="F62" s="204"/>
      <c r="G62" s="206"/>
      <c r="H62" s="196"/>
      <c r="I62" s="95" t="s">
        <v>192</v>
      </c>
      <c r="J62" s="112"/>
      <c r="K62" s="62"/>
      <c r="L62" s="62"/>
      <c r="M62" s="62"/>
      <c r="N62" s="62"/>
      <c r="O62" s="62"/>
      <c r="P62" s="153" t="e">
        <f t="array" ref="P62">VLOOKUP($J62:$J62,$R$1:$S$5,2,FALSE)</f>
        <v>#N/A</v>
      </c>
      <c r="Q62" s="62"/>
      <c r="R62" s="65"/>
      <c r="S62" s="65"/>
      <c r="T62" s="65"/>
      <c r="U62" s="62"/>
    </row>
    <row r="63" spans="1:21" ht="15.75" customHeight="1" x14ac:dyDescent="0.25">
      <c r="A63" s="265"/>
      <c r="B63" s="253"/>
      <c r="C63" s="248"/>
      <c r="D63" s="202"/>
      <c r="E63" s="199"/>
      <c r="F63" s="204"/>
      <c r="G63" s="207"/>
      <c r="H63" s="196"/>
      <c r="I63" s="96" t="s">
        <v>193</v>
      </c>
      <c r="J63" s="112"/>
      <c r="K63" s="62"/>
      <c r="L63" s="62"/>
      <c r="M63" s="62"/>
      <c r="N63" s="62"/>
      <c r="O63" s="62"/>
      <c r="P63" s="153" t="e">
        <f t="array" ref="P63">VLOOKUP($J63:$J63,$R$1:$S$5,2,FALSE)</f>
        <v>#N/A</v>
      </c>
      <c r="Q63" s="62"/>
      <c r="R63" s="65"/>
      <c r="S63" s="65"/>
      <c r="T63" s="65"/>
      <c r="U63" s="62"/>
    </row>
    <row r="64" spans="1:21" ht="15.75" customHeight="1" x14ac:dyDescent="0.25">
      <c r="A64" s="265"/>
      <c r="B64" s="253"/>
      <c r="C64" s="248"/>
      <c r="D64" s="202"/>
      <c r="E64" s="199"/>
      <c r="F64" s="203" t="s">
        <v>206</v>
      </c>
      <c r="G64" s="205" t="e">
        <f>AVERAGEIF(P64:P67,"&lt;&gt;#N/A")</f>
        <v>#DIV/0!</v>
      </c>
      <c r="H64" s="195"/>
      <c r="I64" s="95" t="s">
        <v>194</v>
      </c>
      <c r="J64" s="113"/>
      <c r="K64" s="62"/>
      <c r="L64" s="62"/>
      <c r="M64" s="62"/>
      <c r="N64" s="62"/>
      <c r="O64" s="62"/>
      <c r="P64" s="153" t="e">
        <f t="array" ref="P64">VLOOKUP($J64:$J64,$R$1:$S$5,2,FALSE)</f>
        <v>#N/A</v>
      </c>
      <c r="Q64" s="62"/>
      <c r="R64" s="65"/>
      <c r="S64" s="65"/>
      <c r="T64" s="65"/>
      <c r="U64" s="62"/>
    </row>
    <row r="65" spans="1:21" ht="15.75" customHeight="1" x14ac:dyDescent="0.25">
      <c r="A65" s="265"/>
      <c r="B65" s="253"/>
      <c r="C65" s="248"/>
      <c r="D65" s="202"/>
      <c r="E65" s="199"/>
      <c r="F65" s="204"/>
      <c r="G65" s="206"/>
      <c r="H65" s="196"/>
      <c r="I65" s="95" t="s">
        <v>195</v>
      </c>
      <c r="J65" s="112"/>
      <c r="K65" s="62"/>
      <c r="L65" s="62"/>
      <c r="M65" s="62"/>
      <c r="N65" s="62"/>
      <c r="O65" s="62"/>
      <c r="P65" s="153" t="e">
        <f t="array" ref="P65">VLOOKUP($J65:$J65,$R$1:$S$5,2,FALSE)</f>
        <v>#N/A</v>
      </c>
      <c r="Q65" s="62"/>
      <c r="R65" s="65"/>
      <c r="S65" s="65"/>
      <c r="T65" s="65"/>
      <c r="U65" s="62"/>
    </row>
    <row r="66" spans="1:21" ht="15.75" customHeight="1" x14ac:dyDescent="0.25">
      <c r="A66" s="265"/>
      <c r="B66" s="253"/>
      <c r="C66" s="248"/>
      <c r="D66" s="202"/>
      <c r="E66" s="199"/>
      <c r="F66" s="204"/>
      <c r="G66" s="206"/>
      <c r="H66" s="196"/>
      <c r="I66" s="95" t="s">
        <v>196</v>
      </c>
      <c r="J66" s="112"/>
      <c r="K66" s="62"/>
      <c r="L66" s="62"/>
      <c r="M66" s="62"/>
      <c r="N66" s="62"/>
      <c r="O66" s="62"/>
      <c r="P66" s="153" t="e">
        <f t="array" ref="P66">VLOOKUP($J66:$J66,$R$1:$S$5,2,FALSE)</f>
        <v>#N/A</v>
      </c>
      <c r="Q66" s="62"/>
      <c r="R66" s="65"/>
      <c r="S66" s="65"/>
      <c r="T66" s="65"/>
      <c r="U66" s="62"/>
    </row>
    <row r="67" spans="1:21" ht="15.75" customHeight="1" x14ac:dyDescent="0.25">
      <c r="A67" s="265"/>
      <c r="B67" s="253"/>
      <c r="C67" s="248"/>
      <c r="D67" s="202"/>
      <c r="E67" s="199"/>
      <c r="F67" s="208"/>
      <c r="G67" s="207"/>
      <c r="H67" s="197"/>
      <c r="I67" s="96" t="s">
        <v>284</v>
      </c>
      <c r="J67" s="112"/>
      <c r="K67" s="62"/>
      <c r="L67" s="62"/>
      <c r="M67" s="62"/>
      <c r="N67" s="62"/>
      <c r="O67" s="62"/>
      <c r="P67" s="153" t="e">
        <f t="array" ref="P67">VLOOKUP($J67:$J67,$R$1:$S$5,2,FALSE)</f>
        <v>#N/A</v>
      </c>
      <c r="Q67" s="62"/>
      <c r="R67" s="65"/>
      <c r="S67" s="65"/>
      <c r="T67" s="65"/>
      <c r="U67" s="62"/>
    </row>
    <row r="68" spans="1:21" ht="15.75" customHeight="1" x14ac:dyDescent="0.25">
      <c r="A68" s="265"/>
      <c r="B68" s="253"/>
      <c r="C68" s="248"/>
      <c r="D68" s="202"/>
      <c r="E68" s="199"/>
      <c r="F68" s="209" t="s">
        <v>207</v>
      </c>
      <c r="G68" s="205" t="e">
        <f>AVERAGEIF(P68:P71,"&lt;&gt;#N/A")</f>
        <v>#DIV/0!</v>
      </c>
      <c r="H68" s="195"/>
      <c r="I68" s="95" t="s">
        <v>197</v>
      </c>
      <c r="J68" s="112"/>
      <c r="K68" s="62"/>
      <c r="L68" s="62"/>
      <c r="M68" s="62"/>
      <c r="N68" s="62"/>
      <c r="O68" s="62"/>
      <c r="P68" s="153" t="e">
        <f t="array" ref="P68">VLOOKUP($J68:$J68,$R$1:$S$5,2,FALSE)</f>
        <v>#N/A</v>
      </c>
      <c r="Q68" s="62"/>
      <c r="R68" s="65"/>
      <c r="S68" s="65"/>
      <c r="T68" s="65"/>
      <c r="U68" s="62"/>
    </row>
    <row r="69" spans="1:21" ht="15.75" customHeight="1" x14ac:dyDescent="0.25">
      <c r="A69" s="265"/>
      <c r="B69" s="253"/>
      <c r="C69" s="248"/>
      <c r="D69" s="202"/>
      <c r="E69" s="199"/>
      <c r="F69" s="210"/>
      <c r="G69" s="206"/>
      <c r="H69" s="196"/>
      <c r="I69" s="95" t="s">
        <v>198</v>
      </c>
      <c r="J69" s="112"/>
      <c r="K69" s="62"/>
      <c r="L69" s="62"/>
      <c r="M69" s="62"/>
      <c r="N69" s="62"/>
      <c r="O69" s="62"/>
      <c r="P69" s="153" t="e">
        <f t="array" ref="P69">VLOOKUP($J69:$J69,$R$1:$S$5,2,FALSE)</f>
        <v>#N/A</v>
      </c>
      <c r="Q69" s="62"/>
      <c r="R69" s="65"/>
      <c r="S69" s="65"/>
      <c r="T69" s="65"/>
      <c r="U69" s="62"/>
    </row>
    <row r="70" spans="1:21" ht="15.75" customHeight="1" x14ac:dyDescent="0.25">
      <c r="A70" s="265"/>
      <c r="B70" s="253"/>
      <c r="C70" s="248"/>
      <c r="D70" s="202"/>
      <c r="E70" s="199"/>
      <c r="F70" s="210"/>
      <c r="G70" s="206"/>
      <c r="H70" s="196"/>
      <c r="I70" s="95" t="s">
        <v>287</v>
      </c>
      <c r="J70" s="112"/>
      <c r="K70" s="62"/>
      <c r="L70" s="62"/>
      <c r="M70" s="62"/>
      <c r="N70" s="62"/>
      <c r="O70" s="62"/>
      <c r="P70" s="153" t="e">
        <f t="array" ref="P70">VLOOKUP($J70:$J70,$R$1:$S$5,2,FALSE)</f>
        <v>#N/A</v>
      </c>
      <c r="Q70" s="62"/>
      <c r="R70" s="65"/>
      <c r="S70" s="65"/>
      <c r="T70" s="65"/>
      <c r="U70" s="62"/>
    </row>
    <row r="71" spans="1:21" ht="15.75" customHeight="1" x14ac:dyDescent="0.25">
      <c r="A71" s="265"/>
      <c r="B71" s="253"/>
      <c r="C71" s="248"/>
      <c r="D71" s="202"/>
      <c r="E71" s="199"/>
      <c r="F71" s="210"/>
      <c r="G71" s="206"/>
      <c r="H71" s="196"/>
      <c r="I71" s="95" t="s">
        <v>288</v>
      </c>
      <c r="J71" s="112"/>
      <c r="K71" s="62"/>
      <c r="L71" s="62"/>
      <c r="M71" s="62"/>
      <c r="N71" s="62"/>
      <c r="O71" s="62"/>
      <c r="P71" s="153" t="e">
        <f t="array" ref="P71">VLOOKUP($J71:$J71,$R$1:$S$5,2,FALSE)</f>
        <v>#N/A</v>
      </c>
      <c r="Q71" s="62"/>
      <c r="R71" s="65"/>
      <c r="S71" s="65"/>
      <c r="T71" s="65"/>
      <c r="U71" s="62"/>
    </row>
    <row r="72" spans="1:21" ht="15.75" customHeight="1" x14ac:dyDescent="0.25">
      <c r="A72" s="265"/>
      <c r="B72" s="266" t="s">
        <v>163</v>
      </c>
      <c r="C72" s="267">
        <f>AB28</f>
        <v>0</v>
      </c>
      <c r="D72" s="186" t="s">
        <v>208</v>
      </c>
      <c r="E72" s="198" t="e">
        <f>IF(AVERAGE(H72:H87)/15&lt;0.4, "Non-Functioning", IF(AVERAGE(H72:H87)/15&lt;0.7, "Functioning At-Risk", "Functioning"))</f>
        <v>#DIV/0!</v>
      </c>
      <c r="F72" s="189" t="s">
        <v>209</v>
      </c>
      <c r="G72" s="192" t="e">
        <f>AVERAGEIF(P72:P75,"&lt;&gt;#N/A")</f>
        <v>#DIV/0!</v>
      </c>
      <c r="H72" s="195"/>
      <c r="I72" s="108" t="s">
        <v>199</v>
      </c>
      <c r="J72" s="112"/>
      <c r="K72" s="62"/>
      <c r="L72" s="62"/>
      <c r="M72" s="62"/>
      <c r="N72" s="62"/>
      <c r="O72" s="62"/>
      <c r="P72" s="153" t="e">
        <f t="array" ref="P72">VLOOKUP($J72:$J72,$R$1:$S$5,2,FALSE)</f>
        <v>#N/A</v>
      </c>
      <c r="Q72" s="62"/>
      <c r="R72" s="65"/>
      <c r="S72" s="65"/>
      <c r="T72" s="65"/>
      <c r="U72" s="62"/>
    </row>
    <row r="73" spans="1:21" ht="15.75" customHeight="1" x14ac:dyDescent="0.25">
      <c r="A73" s="265"/>
      <c r="B73" s="266"/>
      <c r="C73" s="267"/>
      <c r="D73" s="187"/>
      <c r="E73" s="199"/>
      <c r="F73" s="190"/>
      <c r="G73" s="193"/>
      <c r="H73" s="196"/>
      <c r="I73" s="93" t="s">
        <v>289</v>
      </c>
      <c r="J73" s="112"/>
      <c r="K73" s="62"/>
      <c r="L73" s="62"/>
      <c r="M73" s="62"/>
      <c r="N73" s="62"/>
      <c r="O73" s="62"/>
      <c r="P73" s="153" t="e">
        <f t="array" ref="P73">VLOOKUP($J73:$J73,$R$1:$S$5,2,FALSE)</f>
        <v>#N/A</v>
      </c>
      <c r="Q73" s="62"/>
      <c r="R73" s="65"/>
      <c r="S73" s="65"/>
      <c r="T73" s="65"/>
      <c r="U73" s="62"/>
    </row>
    <row r="74" spans="1:21" ht="15.75" customHeight="1" x14ac:dyDescent="0.25">
      <c r="A74" s="265"/>
      <c r="B74" s="266"/>
      <c r="C74" s="267"/>
      <c r="D74" s="187"/>
      <c r="E74" s="199"/>
      <c r="F74" s="190"/>
      <c r="G74" s="193"/>
      <c r="H74" s="196"/>
      <c r="I74" s="93" t="s">
        <v>200</v>
      </c>
      <c r="J74" s="112"/>
      <c r="K74" s="62"/>
      <c r="L74" s="62"/>
      <c r="M74" s="62"/>
      <c r="N74" s="62"/>
      <c r="O74" s="62"/>
      <c r="P74" s="153" t="e">
        <f t="array" ref="P74">VLOOKUP($J74:$J74,$R$1:$S$5,2,FALSE)</f>
        <v>#N/A</v>
      </c>
      <c r="Q74" s="62"/>
      <c r="R74" s="65"/>
      <c r="S74" s="65"/>
      <c r="T74" s="65"/>
      <c r="U74" s="62"/>
    </row>
    <row r="75" spans="1:21" ht="15.75" customHeight="1" x14ac:dyDescent="0.25">
      <c r="A75" s="265"/>
      <c r="B75" s="266"/>
      <c r="C75" s="267"/>
      <c r="D75" s="187"/>
      <c r="E75" s="199"/>
      <c r="F75" s="191"/>
      <c r="G75" s="194"/>
      <c r="H75" s="197"/>
      <c r="I75" s="98" t="s">
        <v>201</v>
      </c>
      <c r="J75" s="112"/>
      <c r="K75" s="62"/>
      <c r="L75" s="62"/>
      <c r="M75" s="62"/>
      <c r="N75" s="62"/>
      <c r="O75" s="62"/>
      <c r="P75" s="153" t="e">
        <f t="array" ref="P75">VLOOKUP($J75:$J75,$R$1:$S$5,2,FALSE)</f>
        <v>#N/A</v>
      </c>
      <c r="Q75" s="62"/>
      <c r="R75" s="65"/>
      <c r="S75" s="65"/>
      <c r="T75" s="65"/>
      <c r="U75" s="62"/>
    </row>
    <row r="76" spans="1:21" ht="15.75" customHeight="1" x14ac:dyDescent="0.25">
      <c r="A76" s="265"/>
      <c r="B76" s="266"/>
      <c r="C76" s="267"/>
      <c r="D76" s="187"/>
      <c r="E76" s="199"/>
      <c r="F76" s="189" t="s">
        <v>211</v>
      </c>
      <c r="G76" s="192" t="e">
        <f>AVERAGEIF(P76:P79,"&lt;&gt;#N/A")</f>
        <v>#DIV/0!</v>
      </c>
      <c r="H76" s="195"/>
      <c r="I76" s="93" t="s">
        <v>261</v>
      </c>
      <c r="J76" s="112"/>
      <c r="K76" s="62"/>
      <c r="L76" s="62"/>
      <c r="M76" s="62"/>
      <c r="N76" s="62"/>
      <c r="O76" s="62"/>
      <c r="P76" s="153" t="e">
        <f t="array" ref="P76">VLOOKUP($J76:$J76,$R$1:$S$5,2,FALSE)</f>
        <v>#N/A</v>
      </c>
      <c r="Q76" s="62"/>
      <c r="R76" s="65"/>
      <c r="S76" s="65"/>
      <c r="T76" s="65"/>
      <c r="U76" s="62"/>
    </row>
    <row r="77" spans="1:21" ht="15.75" customHeight="1" x14ac:dyDescent="0.25">
      <c r="A77" s="265"/>
      <c r="B77" s="266"/>
      <c r="C77" s="267"/>
      <c r="D77" s="187"/>
      <c r="E77" s="199"/>
      <c r="F77" s="190"/>
      <c r="G77" s="193"/>
      <c r="H77" s="196"/>
      <c r="I77" s="93" t="s">
        <v>202</v>
      </c>
      <c r="J77" s="112"/>
      <c r="K77" s="62"/>
      <c r="L77" s="62"/>
      <c r="M77" s="62"/>
      <c r="N77" s="62"/>
      <c r="O77" s="62"/>
      <c r="P77" s="153" t="e">
        <f t="array" ref="P77">VLOOKUP($J77:$J77,$R$1:$S$5,2,FALSE)</f>
        <v>#N/A</v>
      </c>
      <c r="Q77" s="62"/>
      <c r="R77" s="65"/>
      <c r="S77" s="65"/>
      <c r="T77" s="65"/>
      <c r="U77" s="62"/>
    </row>
    <row r="78" spans="1:21" ht="15.75" customHeight="1" x14ac:dyDescent="0.25">
      <c r="A78" s="265"/>
      <c r="B78" s="266"/>
      <c r="C78" s="267"/>
      <c r="D78" s="187"/>
      <c r="E78" s="199"/>
      <c r="F78" s="190"/>
      <c r="G78" s="193"/>
      <c r="H78" s="196"/>
      <c r="I78" s="93" t="s">
        <v>262</v>
      </c>
      <c r="J78" s="112"/>
      <c r="K78" s="62"/>
      <c r="L78" s="62"/>
      <c r="M78" s="62"/>
      <c r="N78" s="62"/>
      <c r="O78" s="62"/>
      <c r="P78" s="153" t="e">
        <f t="array" ref="P78">VLOOKUP($J78:$J78,$R$1:$S$5,2,FALSE)</f>
        <v>#N/A</v>
      </c>
      <c r="Q78" s="62"/>
      <c r="R78" s="65"/>
      <c r="S78" s="65"/>
      <c r="T78" s="65"/>
      <c r="U78" s="62"/>
    </row>
    <row r="79" spans="1:21" ht="15.75" customHeight="1" x14ac:dyDescent="0.25">
      <c r="A79" s="265"/>
      <c r="B79" s="266"/>
      <c r="C79" s="267"/>
      <c r="D79" s="187"/>
      <c r="E79" s="199"/>
      <c r="F79" s="191"/>
      <c r="G79" s="194"/>
      <c r="H79" s="197"/>
      <c r="I79" s="109" t="s">
        <v>203</v>
      </c>
      <c r="J79" s="112"/>
      <c r="K79" s="62"/>
      <c r="L79" s="62"/>
      <c r="M79" s="62"/>
      <c r="N79" s="62"/>
      <c r="O79" s="62"/>
      <c r="P79" s="153" t="e">
        <f t="array" ref="P79">VLOOKUP($J79:$J79,$R$1:$S$5,2,FALSE)</f>
        <v>#N/A</v>
      </c>
      <c r="Q79" s="62"/>
      <c r="R79" s="65"/>
      <c r="S79" s="65"/>
      <c r="T79" s="65"/>
      <c r="U79" s="62"/>
    </row>
    <row r="80" spans="1:21" ht="15.75" customHeight="1" x14ac:dyDescent="0.25">
      <c r="A80" s="265"/>
      <c r="B80" s="266"/>
      <c r="C80" s="267"/>
      <c r="D80" s="187"/>
      <c r="E80" s="199"/>
      <c r="F80" s="189" t="s">
        <v>212</v>
      </c>
      <c r="G80" s="192" t="e">
        <f>AVERAGEIF(P80:P83,"&lt;&gt;#N/A")</f>
        <v>#DIV/0!</v>
      </c>
      <c r="H80" s="195"/>
      <c r="I80" s="108" t="s">
        <v>263</v>
      </c>
      <c r="J80" s="112"/>
      <c r="K80" s="62"/>
      <c r="L80" s="62"/>
      <c r="M80" s="62"/>
      <c r="N80" s="62"/>
      <c r="O80" s="62"/>
      <c r="P80" s="153" t="e">
        <f t="array" ref="P80">VLOOKUP($J80:$J80,$R$1:$S$5,2,FALSE)</f>
        <v>#N/A</v>
      </c>
      <c r="Q80" s="62"/>
      <c r="R80" s="65"/>
      <c r="S80" s="65"/>
      <c r="T80" s="65"/>
      <c r="U80" s="62"/>
    </row>
    <row r="81" spans="1:21" ht="15.75" customHeight="1" x14ac:dyDescent="0.25">
      <c r="A81" s="265"/>
      <c r="B81" s="266"/>
      <c r="C81" s="267"/>
      <c r="D81" s="187"/>
      <c r="E81" s="199"/>
      <c r="F81" s="190"/>
      <c r="G81" s="193"/>
      <c r="H81" s="196"/>
      <c r="I81" s="110" t="s">
        <v>269</v>
      </c>
      <c r="J81" s="112"/>
      <c r="K81" s="62"/>
      <c r="L81" s="62"/>
      <c r="M81" s="62"/>
      <c r="N81" s="62"/>
      <c r="O81" s="62"/>
      <c r="P81" s="153" t="e">
        <f t="array" ref="P81">VLOOKUP($J81:$J81,$R$1:$S$5,2,FALSE)</f>
        <v>#N/A</v>
      </c>
      <c r="Q81" s="62"/>
      <c r="R81" s="65"/>
      <c r="S81" s="65"/>
      <c r="T81" s="65"/>
      <c r="U81" s="62"/>
    </row>
    <row r="82" spans="1:21" ht="15.75" customHeight="1" x14ac:dyDescent="0.25">
      <c r="A82" s="265"/>
      <c r="B82" s="266"/>
      <c r="C82" s="267"/>
      <c r="D82" s="187"/>
      <c r="E82" s="199"/>
      <c r="F82" s="190"/>
      <c r="G82" s="193"/>
      <c r="H82" s="196"/>
      <c r="I82" s="110" t="s">
        <v>264</v>
      </c>
      <c r="J82" s="112"/>
      <c r="K82" s="62"/>
      <c r="L82" s="62"/>
      <c r="M82" s="62"/>
      <c r="N82" s="62"/>
      <c r="O82" s="62"/>
      <c r="P82" s="153" t="e">
        <f t="array" ref="P82">VLOOKUP($J82:$J82,$R$1:$S$5,2,FALSE)</f>
        <v>#N/A</v>
      </c>
      <c r="Q82" s="62"/>
      <c r="R82" s="65"/>
      <c r="S82" s="65"/>
      <c r="T82" s="65"/>
      <c r="U82" s="62"/>
    </row>
    <row r="83" spans="1:21" ht="15.75" customHeight="1" x14ac:dyDescent="0.25">
      <c r="A83" s="265"/>
      <c r="B83" s="266"/>
      <c r="C83" s="267"/>
      <c r="D83" s="187"/>
      <c r="E83" s="199"/>
      <c r="F83" s="190"/>
      <c r="G83" s="193"/>
      <c r="H83" s="196"/>
      <c r="I83" s="93" t="s">
        <v>265</v>
      </c>
      <c r="J83" s="112"/>
      <c r="K83" s="62"/>
      <c r="P83" s="153" t="e">
        <f t="array" ref="P83">VLOOKUP($J83:$J83,$R$1:$S$5,2,FALSE)</f>
        <v>#N/A</v>
      </c>
      <c r="R83" s="65"/>
      <c r="S83" s="65"/>
      <c r="T83" s="22"/>
    </row>
    <row r="84" spans="1:21" ht="15.75" customHeight="1" x14ac:dyDescent="0.25">
      <c r="A84" s="265"/>
      <c r="B84" s="266"/>
      <c r="C84" s="267"/>
      <c r="D84" s="187"/>
      <c r="E84" s="199"/>
      <c r="F84" s="189" t="s">
        <v>213</v>
      </c>
      <c r="G84" s="263" t="e">
        <f>AVERAGEIF(P84:P87,"&lt;&gt;#N/A")</f>
        <v>#DIV/0!</v>
      </c>
      <c r="H84" s="195"/>
      <c r="I84" s="111" t="s">
        <v>290</v>
      </c>
      <c r="J84" s="112"/>
      <c r="K84" s="62"/>
      <c r="P84" s="153" t="e">
        <f t="array" ref="P84">VLOOKUP($J84:$J84,$R$1:$S$5,2,FALSE)</f>
        <v>#N/A</v>
      </c>
      <c r="R84" s="65"/>
      <c r="S84" s="65"/>
      <c r="T84" s="22"/>
    </row>
    <row r="85" spans="1:21" ht="15.75" customHeight="1" x14ac:dyDescent="0.25">
      <c r="A85" s="265"/>
      <c r="B85" s="266"/>
      <c r="C85" s="267"/>
      <c r="D85" s="187"/>
      <c r="E85" s="199"/>
      <c r="F85" s="190"/>
      <c r="G85" s="263"/>
      <c r="H85" s="196"/>
      <c r="I85" s="100" t="s">
        <v>291</v>
      </c>
      <c r="J85" s="112"/>
      <c r="K85" s="62"/>
      <c r="P85" s="153" t="e">
        <f t="array" ref="P85">VLOOKUP($J85:$J85,$R$1:$S$5,2,FALSE)</f>
        <v>#N/A</v>
      </c>
      <c r="R85" s="65"/>
      <c r="S85" s="65"/>
      <c r="T85" s="22"/>
    </row>
    <row r="86" spans="1:21" ht="15.75" customHeight="1" x14ac:dyDescent="0.25">
      <c r="A86" s="265"/>
      <c r="B86" s="266"/>
      <c r="C86" s="267"/>
      <c r="D86" s="187"/>
      <c r="E86" s="199"/>
      <c r="F86" s="190"/>
      <c r="G86" s="263"/>
      <c r="H86" s="196"/>
      <c r="I86" s="100" t="s">
        <v>266</v>
      </c>
      <c r="J86" s="112"/>
      <c r="K86" s="62"/>
      <c r="P86" s="153" t="e">
        <f t="array" ref="P86">VLOOKUP($J86:$J86,$R$1:$S$5,2,FALSE)</f>
        <v>#N/A</v>
      </c>
      <c r="R86" s="65"/>
      <c r="S86" s="65"/>
      <c r="T86" s="22"/>
    </row>
    <row r="87" spans="1:21" ht="15.75" customHeight="1" x14ac:dyDescent="0.25">
      <c r="A87" s="265"/>
      <c r="B87" s="266"/>
      <c r="C87" s="267"/>
      <c r="D87" s="188"/>
      <c r="E87" s="200"/>
      <c r="F87" s="191"/>
      <c r="G87" s="263"/>
      <c r="H87" s="197"/>
      <c r="I87" s="98" t="s">
        <v>292</v>
      </c>
      <c r="J87" s="112"/>
      <c r="K87" s="62"/>
      <c r="P87" s="157" t="e">
        <f t="array" ref="P87">VLOOKUP($J87:$J87,$R$1:$S$5,2,FALSE)</f>
        <v>#N/A</v>
      </c>
      <c r="R87" s="65"/>
      <c r="S87" s="65"/>
      <c r="T87" s="22"/>
    </row>
    <row r="88" spans="1:21" ht="15" customHeight="1" thickBot="1" x14ac:dyDescent="0.3">
      <c r="A88" s="99"/>
      <c r="B88" s="62"/>
      <c r="C88" s="62"/>
      <c r="D88" s="62"/>
      <c r="E88" s="64"/>
      <c r="F88" s="62"/>
      <c r="G88" s="62"/>
      <c r="H88" s="62"/>
      <c r="I88" s="63"/>
      <c r="J88" s="63"/>
      <c r="K88" s="63"/>
      <c r="L88" s="1"/>
      <c r="M88" s="1"/>
      <c r="N88" s="1"/>
    </row>
    <row r="89" spans="1:21" ht="15" customHeight="1" x14ac:dyDescent="0.25">
      <c r="A89" s="254" t="s">
        <v>282</v>
      </c>
      <c r="B89" s="255"/>
      <c r="C89" s="255"/>
      <c r="D89" s="255"/>
      <c r="E89" s="255"/>
      <c r="F89" s="255"/>
      <c r="G89" s="255"/>
      <c r="H89" s="255"/>
      <c r="I89" s="255"/>
      <c r="J89" s="256"/>
      <c r="K89" s="62"/>
    </row>
    <row r="90" spans="1:21" ht="15" customHeight="1" x14ac:dyDescent="0.25">
      <c r="A90" s="257"/>
      <c r="B90" s="258"/>
      <c r="C90" s="258"/>
      <c r="D90" s="258"/>
      <c r="E90" s="258"/>
      <c r="F90" s="258"/>
      <c r="G90" s="258"/>
      <c r="H90" s="258"/>
      <c r="I90" s="258"/>
      <c r="J90" s="259"/>
      <c r="K90" s="62"/>
    </row>
    <row r="91" spans="1:21" x14ac:dyDescent="0.25">
      <c r="A91" s="257"/>
      <c r="B91" s="258"/>
      <c r="C91" s="258"/>
      <c r="D91" s="258"/>
      <c r="E91" s="258"/>
      <c r="F91" s="258"/>
      <c r="G91" s="258"/>
      <c r="H91" s="258"/>
      <c r="I91" s="258"/>
      <c r="J91" s="259"/>
      <c r="K91" s="62"/>
    </row>
    <row r="92" spans="1:21" x14ac:dyDescent="0.25">
      <c r="A92" s="257"/>
      <c r="B92" s="258"/>
      <c r="C92" s="258"/>
      <c r="D92" s="258"/>
      <c r="E92" s="258"/>
      <c r="F92" s="258"/>
      <c r="G92" s="258"/>
      <c r="H92" s="258"/>
      <c r="I92" s="258"/>
      <c r="J92" s="259"/>
      <c r="K92" s="62"/>
    </row>
    <row r="93" spans="1:21" x14ac:dyDescent="0.25">
      <c r="A93" s="257"/>
      <c r="B93" s="258"/>
      <c r="C93" s="258"/>
      <c r="D93" s="258"/>
      <c r="E93" s="258"/>
      <c r="F93" s="258"/>
      <c r="G93" s="258"/>
      <c r="H93" s="258"/>
      <c r="I93" s="258"/>
      <c r="J93" s="259"/>
      <c r="K93" s="62"/>
    </row>
    <row r="94" spans="1:21" x14ac:dyDescent="0.25">
      <c r="A94" s="257"/>
      <c r="B94" s="258"/>
      <c r="C94" s="258"/>
      <c r="D94" s="258"/>
      <c r="E94" s="258"/>
      <c r="F94" s="258"/>
      <c r="G94" s="258"/>
      <c r="H94" s="258"/>
      <c r="I94" s="258"/>
      <c r="J94" s="259"/>
      <c r="K94" s="62"/>
    </row>
    <row r="95" spans="1:21" x14ac:dyDescent="0.25">
      <c r="A95" s="257"/>
      <c r="B95" s="258"/>
      <c r="C95" s="258"/>
      <c r="D95" s="258"/>
      <c r="E95" s="258"/>
      <c r="F95" s="258"/>
      <c r="G95" s="258"/>
      <c r="H95" s="258"/>
      <c r="I95" s="258"/>
      <c r="J95" s="259"/>
      <c r="K95" s="62"/>
    </row>
    <row r="96" spans="1:21" x14ac:dyDescent="0.25">
      <c r="A96" s="257"/>
      <c r="B96" s="258"/>
      <c r="C96" s="258"/>
      <c r="D96" s="258"/>
      <c r="E96" s="258"/>
      <c r="F96" s="258"/>
      <c r="G96" s="258"/>
      <c r="H96" s="258"/>
      <c r="I96" s="258"/>
      <c r="J96" s="259"/>
      <c r="K96" s="62"/>
    </row>
    <row r="97" spans="1:11" x14ac:dyDescent="0.25">
      <c r="A97" s="257"/>
      <c r="B97" s="258"/>
      <c r="C97" s="258"/>
      <c r="D97" s="258"/>
      <c r="E97" s="258"/>
      <c r="F97" s="258"/>
      <c r="G97" s="258"/>
      <c r="H97" s="258"/>
      <c r="I97" s="258"/>
      <c r="J97" s="259"/>
      <c r="K97" s="62"/>
    </row>
    <row r="98" spans="1:11" x14ac:dyDescent="0.25">
      <c r="A98" s="257"/>
      <c r="B98" s="258"/>
      <c r="C98" s="258"/>
      <c r="D98" s="258"/>
      <c r="E98" s="258"/>
      <c r="F98" s="258"/>
      <c r="G98" s="258"/>
      <c r="H98" s="258"/>
      <c r="I98" s="258"/>
      <c r="J98" s="259"/>
      <c r="K98" s="62"/>
    </row>
    <row r="99" spans="1:11" x14ac:dyDescent="0.25">
      <c r="A99" s="257"/>
      <c r="B99" s="258"/>
      <c r="C99" s="258"/>
      <c r="D99" s="258"/>
      <c r="E99" s="258"/>
      <c r="F99" s="258"/>
      <c r="G99" s="258"/>
      <c r="H99" s="258"/>
      <c r="I99" s="258"/>
      <c r="J99" s="259"/>
      <c r="K99" s="62"/>
    </row>
    <row r="100" spans="1:11" ht="15.75" thickBot="1" x14ac:dyDescent="0.3">
      <c r="A100" s="260"/>
      <c r="B100" s="261"/>
      <c r="C100" s="261"/>
      <c r="D100" s="261"/>
      <c r="E100" s="261"/>
      <c r="F100" s="261"/>
      <c r="G100" s="261"/>
      <c r="H100" s="261"/>
      <c r="I100" s="261"/>
      <c r="J100" s="262"/>
      <c r="K100" s="62"/>
    </row>
    <row r="101" spans="1:11" x14ac:dyDescent="0.25">
      <c r="A101" s="62"/>
      <c r="B101" s="62"/>
      <c r="C101" s="62"/>
      <c r="D101" s="62"/>
      <c r="E101" s="62"/>
      <c r="F101" s="62"/>
      <c r="G101" s="62"/>
      <c r="H101" s="62"/>
      <c r="I101" s="62"/>
      <c r="J101" s="62"/>
      <c r="K101" s="62"/>
    </row>
  </sheetData>
  <sheetProtection algorithmName="SHA-512" hashValue="+c1XAqodPoq2Ll1Z73ZJrhCs37jpMBNfdJkTWSMjRaS0DcEnuLwwTdMQj7TPT3J4CoKYQwPj87jr8y/sD+Fe2w==" saltValue="tAdpRF7uGvVaCDyoGEvlBg==" spinCount="100000" sheet="1" objects="1" scenarios="1"/>
  <mergeCells count="126">
    <mergeCell ref="AK6:AK7"/>
    <mergeCell ref="AL6:AL7"/>
    <mergeCell ref="AM6:AM7"/>
    <mergeCell ref="B56:B71"/>
    <mergeCell ref="C56:C71"/>
    <mergeCell ref="G40:G43"/>
    <mergeCell ref="G12:G15"/>
    <mergeCell ref="A89:J100"/>
    <mergeCell ref="F84:F87"/>
    <mergeCell ref="H84:H87"/>
    <mergeCell ref="G84:G87"/>
    <mergeCell ref="A8:A87"/>
    <mergeCell ref="B72:B87"/>
    <mergeCell ref="C72:C87"/>
    <mergeCell ref="H40:H43"/>
    <mergeCell ref="H12:H15"/>
    <mergeCell ref="H44:H47"/>
    <mergeCell ref="H48:H51"/>
    <mergeCell ref="H52:H55"/>
    <mergeCell ref="C6:C7"/>
    <mergeCell ref="D6:D7"/>
    <mergeCell ref="E6:E7"/>
    <mergeCell ref="G6:G7"/>
    <mergeCell ref="A6:A7"/>
    <mergeCell ref="A1:J1"/>
    <mergeCell ref="O1:P1"/>
    <mergeCell ref="B2:E2"/>
    <mergeCell ref="B3:E3"/>
    <mergeCell ref="G2:J2"/>
    <mergeCell ref="G3:J3"/>
    <mergeCell ref="P6:P7"/>
    <mergeCell ref="F8:F11"/>
    <mergeCell ref="H8:H11"/>
    <mergeCell ref="G8:G11"/>
    <mergeCell ref="F6:F7"/>
    <mergeCell ref="H6:H7"/>
    <mergeCell ref="I6:I7"/>
    <mergeCell ref="J6:J7"/>
    <mergeCell ref="B8:B55"/>
    <mergeCell ref="C8:C55"/>
    <mergeCell ref="D40:D55"/>
    <mergeCell ref="E40:E55"/>
    <mergeCell ref="F40:F43"/>
    <mergeCell ref="F12:F15"/>
    <mergeCell ref="G4:J4"/>
    <mergeCell ref="F5:H5"/>
    <mergeCell ref="I5:J5"/>
    <mergeCell ref="B6:B7"/>
    <mergeCell ref="B4:E4"/>
    <mergeCell ref="B5:C5"/>
    <mergeCell ref="D5:E5"/>
    <mergeCell ref="G36:G39"/>
    <mergeCell ref="H24:H27"/>
    <mergeCell ref="H28:H31"/>
    <mergeCell ref="H32:H35"/>
    <mergeCell ref="H36:H39"/>
    <mergeCell ref="D8:D23"/>
    <mergeCell ref="D24:D39"/>
    <mergeCell ref="E8:E23"/>
    <mergeCell ref="F24:F27"/>
    <mergeCell ref="F28:F31"/>
    <mergeCell ref="F32:F35"/>
    <mergeCell ref="F36:F39"/>
    <mergeCell ref="E24:E39"/>
    <mergeCell ref="F16:F19"/>
    <mergeCell ref="G16:G19"/>
    <mergeCell ref="F20:F23"/>
    <mergeCell ref="G20:G23"/>
    <mergeCell ref="H16:H19"/>
    <mergeCell ref="H20:H23"/>
    <mergeCell ref="G24:G27"/>
    <mergeCell ref="G28:G31"/>
    <mergeCell ref="G32:G35"/>
    <mergeCell ref="G44:G47"/>
    <mergeCell ref="G48:G51"/>
    <mergeCell ref="G52:G55"/>
    <mergeCell ref="F44:F47"/>
    <mergeCell ref="F48:F51"/>
    <mergeCell ref="F52:F55"/>
    <mergeCell ref="F68:F71"/>
    <mergeCell ref="G68:G71"/>
    <mergeCell ref="H68:H71"/>
    <mergeCell ref="D56:D71"/>
    <mergeCell ref="H60:H63"/>
    <mergeCell ref="H64:H67"/>
    <mergeCell ref="E56:E71"/>
    <mergeCell ref="F60:F63"/>
    <mergeCell ref="G60:G63"/>
    <mergeCell ref="F64:F67"/>
    <mergeCell ref="G64:G67"/>
    <mergeCell ref="F56:F59"/>
    <mergeCell ref="G56:G59"/>
    <mergeCell ref="H56:H59"/>
    <mergeCell ref="D72:D87"/>
    <mergeCell ref="F72:F75"/>
    <mergeCell ref="G72:G75"/>
    <mergeCell ref="H72:H75"/>
    <mergeCell ref="F76:F79"/>
    <mergeCell ref="G76:G79"/>
    <mergeCell ref="H76:H79"/>
    <mergeCell ref="F80:F83"/>
    <mergeCell ref="G80:G83"/>
    <mergeCell ref="H80:H83"/>
    <mergeCell ref="E72:E87"/>
    <mergeCell ref="AH5:AJ5"/>
    <mergeCell ref="W29:Y29"/>
    <mergeCell ref="Z29:AB29"/>
    <mergeCell ref="W8:W11"/>
    <mergeCell ref="W12:W15"/>
    <mergeCell ref="W16:W19"/>
    <mergeCell ref="W20:W23"/>
    <mergeCell ref="W28:Y28"/>
    <mergeCell ref="W24:W27"/>
    <mergeCell ref="Z5:AB5"/>
    <mergeCell ref="W6:W7"/>
    <mergeCell ref="X6:X7"/>
    <mergeCell ref="Y6:Y7"/>
    <mergeCell ref="Z6:Z7"/>
    <mergeCell ref="AA6:AA7"/>
    <mergeCell ref="AB6:AB7"/>
    <mergeCell ref="AE6:AE7"/>
    <mergeCell ref="AF6:AF7"/>
    <mergeCell ref="AG6:AG7"/>
    <mergeCell ref="AH6:AH7"/>
    <mergeCell ref="AI6:AI7"/>
    <mergeCell ref="AJ6:AJ7"/>
  </mergeCells>
  <dataValidations xWindow="552" yWindow="521" count="2">
    <dataValidation type="decimal" allowBlank="1" showInputMessage="1" showErrorMessage="1" errorTitle="Invalid variable score" error="Variable score must be 1-15" promptTitle="Enter a variable score" prompt="15-11 = Functioning_x000a_10-6 = Functioning At-Risk_x000a_5-1 = Non-Functioning" sqref="H76 H68 H84:H87 H72 H48:H52 H64 H56:H60 H8:H44" xr:uid="{C4C62813-886E-454C-ABE7-C5F3F3B186BF}">
      <formula1>0</formula1>
      <formula2>15</formula2>
    </dataValidation>
    <dataValidation type="list" allowBlank="1" showInputMessage="1" showErrorMessage="1" sqref="J8:J87" xr:uid="{1FBCEC2E-16E0-45D3-94B8-91764C2E86A4}">
      <formula1>$R$1:$R$6</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7607-DD85-428E-BF38-A829E852ECA7}">
  <dimension ref="C18:I36"/>
  <sheetViews>
    <sheetView topLeftCell="A7" workbookViewId="0">
      <selection activeCell="C19" sqref="C19"/>
    </sheetView>
  </sheetViews>
  <sheetFormatPr defaultRowHeight="15" x14ac:dyDescent="0.25"/>
  <cols>
    <col min="3" max="3" width="10.5703125" customWidth="1"/>
    <col min="5" max="5" width="5" customWidth="1"/>
    <col min="7" max="7" width="9.7109375" style="22" customWidth="1"/>
    <col min="8" max="8" width="11.42578125" style="22" customWidth="1"/>
  </cols>
  <sheetData>
    <row r="18" spans="3:9" x14ac:dyDescent="0.25">
      <c r="C18" s="62"/>
      <c r="D18" s="62"/>
      <c r="E18" s="62"/>
      <c r="F18" s="62"/>
      <c r="G18" s="65"/>
      <c r="H18" s="65"/>
      <c r="I18" s="62"/>
    </row>
    <row r="19" spans="3:9" ht="30.75" thickBot="1" x14ac:dyDescent="0.3">
      <c r="D19" s="62"/>
      <c r="E19" s="62"/>
      <c r="F19" s="62"/>
      <c r="G19" s="91" t="s">
        <v>91</v>
      </c>
      <c r="H19" s="91" t="s">
        <v>92</v>
      </c>
    </row>
    <row r="20" spans="3:9" x14ac:dyDescent="0.25">
      <c r="C20" s="62"/>
      <c r="D20" s="278" t="s">
        <v>93</v>
      </c>
      <c r="E20" s="279"/>
      <c r="F20" s="273"/>
      <c r="G20" s="87">
        <v>1</v>
      </c>
      <c r="H20" s="83">
        <v>15</v>
      </c>
      <c r="I20" s="62"/>
    </row>
    <row r="21" spans="3:9" x14ac:dyDescent="0.25">
      <c r="C21" s="62"/>
      <c r="D21" s="243"/>
      <c r="E21" s="241"/>
      <c r="F21" s="274"/>
      <c r="G21" s="88"/>
      <c r="H21" s="84">
        <v>14</v>
      </c>
      <c r="I21" s="62"/>
    </row>
    <row r="22" spans="3:9" x14ac:dyDescent="0.25">
      <c r="C22" s="62"/>
      <c r="D22" s="243"/>
      <c r="E22" s="241"/>
      <c r="F22" s="274"/>
      <c r="G22" s="88"/>
      <c r="H22" s="84">
        <v>13</v>
      </c>
      <c r="I22" s="62"/>
    </row>
    <row r="23" spans="3:9" x14ac:dyDescent="0.25">
      <c r="C23" s="62"/>
      <c r="D23" s="243"/>
      <c r="E23" s="241"/>
      <c r="F23" s="274"/>
      <c r="G23" s="88"/>
      <c r="H23" s="84">
        <v>12</v>
      </c>
      <c r="I23" s="62"/>
    </row>
    <row r="24" spans="3:9" x14ac:dyDescent="0.25">
      <c r="C24" s="62"/>
      <c r="D24" s="280"/>
      <c r="E24" s="281"/>
      <c r="F24" s="274"/>
      <c r="G24" s="89">
        <v>0.7</v>
      </c>
      <c r="H24" s="85">
        <v>11</v>
      </c>
      <c r="I24" s="62"/>
    </row>
    <row r="25" spans="3:9" x14ac:dyDescent="0.25">
      <c r="C25" s="62"/>
      <c r="D25" s="282" t="s">
        <v>94</v>
      </c>
      <c r="E25" s="283"/>
      <c r="F25" s="275"/>
      <c r="G25" s="88"/>
      <c r="H25" s="84">
        <v>10</v>
      </c>
      <c r="I25" s="62"/>
    </row>
    <row r="26" spans="3:9" x14ac:dyDescent="0.25">
      <c r="C26" s="62"/>
      <c r="D26" s="243"/>
      <c r="E26" s="241"/>
      <c r="F26" s="275"/>
      <c r="G26" s="88"/>
      <c r="H26" s="84">
        <v>9</v>
      </c>
      <c r="I26" s="62"/>
    </row>
    <row r="27" spans="3:9" x14ac:dyDescent="0.25">
      <c r="C27" s="62"/>
      <c r="D27" s="243"/>
      <c r="E27" s="241"/>
      <c r="F27" s="275"/>
      <c r="G27" s="88"/>
      <c r="H27" s="84">
        <v>8</v>
      </c>
      <c r="I27" s="62"/>
    </row>
    <row r="28" spans="3:9" x14ac:dyDescent="0.25">
      <c r="C28" s="62"/>
      <c r="D28" s="243"/>
      <c r="E28" s="241"/>
      <c r="F28" s="275"/>
      <c r="G28" s="88"/>
      <c r="H28" s="84">
        <v>7</v>
      </c>
      <c r="I28" s="62"/>
    </row>
    <row r="29" spans="3:9" x14ac:dyDescent="0.25">
      <c r="C29" s="62"/>
      <c r="D29" s="280"/>
      <c r="E29" s="281"/>
      <c r="F29" s="275"/>
      <c r="G29" s="89">
        <v>0.4</v>
      </c>
      <c r="H29" s="85">
        <v>6</v>
      </c>
      <c r="I29" s="62"/>
    </row>
    <row r="30" spans="3:9" x14ac:dyDescent="0.25">
      <c r="C30" s="62"/>
      <c r="D30" s="282" t="s">
        <v>95</v>
      </c>
      <c r="E30" s="283"/>
      <c r="F30" s="276"/>
      <c r="G30" s="88"/>
      <c r="H30" s="84">
        <v>5</v>
      </c>
      <c r="I30" s="62"/>
    </row>
    <row r="31" spans="3:9" x14ac:dyDescent="0.25">
      <c r="C31" s="62"/>
      <c r="D31" s="243"/>
      <c r="E31" s="241"/>
      <c r="F31" s="276"/>
      <c r="G31" s="88"/>
      <c r="H31" s="84">
        <v>4</v>
      </c>
      <c r="I31" s="62"/>
    </row>
    <row r="32" spans="3:9" x14ac:dyDescent="0.25">
      <c r="C32" s="62"/>
      <c r="D32" s="243"/>
      <c r="E32" s="241"/>
      <c r="F32" s="276"/>
      <c r="G32" s="88"/>
      <c r="H32" s="84">
        <v>3</v>
      </c>
      <c r="I32" s="62"/>
    </row>
    <row r="33" spans="3:9" x14ac:dyDescent="0.25">
      <c r="C33" s="62"/>
      <c r="D33" s="243"/>
      <c r="E33" s="241"/>
      <c r="F33" s="276"/>
      <c r="G33" s="88"/>
      <c r="H33" s="84">
        <v>2</v>
      </c>
      <c r="I33" s="62"/>
    </row>
    <row r="34" spans="3:9" x14ac:dyDescent="0.25">
      <c r="C34" s="62"/>
      <c r="D34" s="243"/>
      <c r="E34" s="241"/>
      <c r="F34" s="276"/>
      <c r="G34" s="88"/>
      <c r="H34" s="84">
        <v>1</v>
      </c>
      <c r="I34" s="62"/>
    </row>
    <row r="35" spans="3:9" ht="15.75" thickBot="1" x14ac:dyDescent="0.3">
      <c r="C35" s="62"/>
      <c r="D35" s="284"/>
      <c r="E35" s="285"/>
      <c r="F35" s="277"/>
      <c r="G35" s="90">
        <v>0</v>
      </c>
      <c r="H35" s="86">
        <v>0</v>
      </c>
      <c r="I35" s="62"/>
    </row>
    <row r="36" spans="3:9" x14ac:dyDescent="0.25">
      <c r="C36" s="62"/>
      <c r="D36" s="62"/>
      <c r="E36" s="62"/>
      <c r="F36" s="62"/>
      <c r="G36" s="65"/>
      <c r="H36" s="65"/>
    </row>
  </sheetData>
  <mergeCells count="6">
    <mergeCell ref="F20:F24"/>
    <mergeCell ref="F25:F29"/>
    <mergeCell ref="F30:F35"/>
    <mergeCell ref="D20:E24"/>
    <mergeCell ref="D25:E29"/>
    <mergeCell ref="D30:E3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3:U63"/>
  <sheetViews>
    <sheetView zoomScale="85" zoomScaleNormal="85" workbookViewId="0">
      <selection activeCell="D41" sqref="D41:D43"/>
    </sheetView>
  </sheetViews>
  <sheetFormatPr defaultRowHeight="15" x14ac:dyDescent="0.25"/>
  <cols>
    <col min="1" max="1" width="15.5703125" customWidth="1"/>
    <col min="2" max="2" width="15.42578125" customWidth="1"/>
    <col min="3" max="3" width="16.5703125" customWidth="1"/>
    <col min="4" max="4" width="21" customWidth="1"/>
    <col min="5" max="5" width="13.85546875" customWidth="1"/>
    <col min="6" max="6" width="25.140625" customWidth="1"/>
    <col min="7" max="7" width="13.7109375" customWidth="1"/>
    <col min="8" max="8" width="38.85546875" bestFit="1" customWidth="1"/>
    <col min="9" max="12" width="19.7109375" customWidth="1"/>
    <col min="13" max="13" width="9.7109375" customWidth="1"/>
    <col min="14" max="14" width="17.140625" customWidth="1"/>
    <col min="15" max="15" width="12.85546875" customWidth="1"/>
    <col min="16" max="16" width="10.85546875" customWidth="1"/>
    <col min="17" max="17" width="10.85546875" hidden="1" customWidth="1"/>
    <col min="18" max="21" width="9.140625" hidden="1" customWidth="1"/>
  </cols>
  <sheetData>
    <row r="13" spans="1:20" ht="15.75" thickBot="1" x14ac:dyDescent="0.3"/>
    <row r="14" spans="1:20" ht="21.75" thickBot="1" x14ac:dyDescent="0.3">
      <c r="A14" s="339" t="s">
        <v>96</v>
      </c>
      <c r="B14" s="227"/>
      <c r="C14" s="227"/>
      <c r="D14" s="227"/>
      <c r="E14" s="227"/>
      <c r="F14" s="227"/>
      <c r="G14" s="227"/>
      <c r="H14" s="227"/>
      <c r="I14" s="227"/>
      <c r="J14" s="227"/>
      <c r="K14" s="227"/>
      <c r="L14" s="340"/>
      <c r="M14" s="1"/>
      <c r="N14" s="331" t="s">
        <v>97</v>
      </c>
      <c r="O14" s="331"/>
      <c r="Q14" s="54" t="s">
        <v>23</v>
      </c>
      <c r="S14" s="54" t="s">
        <v>98</v>
      </c>
      <c r="T14" s="54">
        <v>2</v>
      </c>
    </row>
    <row r="15" spans="1:20" ht="21" x14ac:dyDescent="0.25">
      <c r="A15" s="21" t="s">
        <v>99</v>
      </c>
      <c r="B15" s="345"/>
      <c r="C15" s="346"/>
      <c r="D15" s="346"/>
      <c r="E15" s="346"/>
      <c r="F15" s="23"/>
      <c r="G15" s="24"/>
      <c r="H15" s="24"/>
      <c r="I15" s="354" t="s">
        <v>100</v>
      </c>
      <c r="J15" s="354"/>
      <c r="K15" s="354"/>
      <c r="L15" s="355"/>
      <c r="M15" s="1"/>
      <c r="N15" s="53" t="s">
        <v>23</v>
      </c>
      <c r="O15" s="53">
        <v>14</v>
      </c>
      <c r="Q15" s="54" t="s">
        <v>101</v>
      </c>
      <c r="S15" s="54" t="s">
        <v>102</v>
      </c>
      <c r="T15" s="54">
        <v>1</v>
      </c>
    </row>
    <row r="16" spans="1:20" ht="21" x14ac:dyDescent="0.25">
      <c r="A16" s="21" t="s">
        <v>25</v>
      </c>
      <c r="B16" s="347"/>
      <c r="C16" s="348"/>
      <c r="D16" s="348"/>
      <c r="E16" s="348"/>
      <c r="F16" s="23"/>
      <c r="G16" s="24"/>
      <c r="H16" s="25" t="s">
        <v>103</v>
      </c>
      <c r="I16" s="55"/>
      <c r="J16" s="55"/>
      <c r="K16" s="55"/>
      <c r="L16" s="56"/>
      <c r="M16" s="1"/>
      <c r="N16" s="53" t="s">
        <v>101</v>
      </c>
      <c r="O16" s="53">
        <v>11</v>
      </c>
      <c r="Q16" s="54" t="s">
        <v>27</v>
      </c>
      <c r="S16" s="54" t="s">
        <v>104</v>
      </c>
      <c r="T16" s="54">
        <v>1</v>
      </c>
    </row>
    <row r="17" spans="1:21" ht="21" x14ac:dyDescent="0.25">
      <c r="A17" s="21" t="s">
        <v>28</v>
      </c>
      <c r="B17" s="347"/>
      <c r="C17" s="348"/>
      <c r="D17" s="348"/>
      <c r="E17" s="348"/>
      <c r="F17" s="23"/>
      <c r="G17" s="24"/>
      <c r="H17" s="25" t="s">
        <v>105</v>
      </c>
      <c r="I17" s="55"/>
      <c r="J17" s="55"/>
      <c r="K17" s="55"/>
      <c r="L17" s="56"/>
      <c r="M17" s="1"/>
      <c r="N17" s="53" t="s">
        <v>27</v>
      </c>
      <c r="O17" s="53">
        <v>8</v>
      </c>
      <c r="Q17" s="54" t="s">
        <v>106</v>
      </c>
    </row>
    <row r="18" spans="1:21" ht="21.75" thickBot="1" x14ac:dyDescent="0.3">
      <c r="A18" s="21" t="s">
        <v>107</v>
      </c>
      <c r="B18" s="349"/>
      <c r="C18" s="350"/>
      <c r="D18" s="350"/>
      <c r="E18" s="350"/>
      <c r="F18" s="23"/>
      <c r="G18" s="24"/>
      <c r="H18" s="29" t="s">
        <v>108</v>
      </c>
      <c r="I18" s="57"/>
      <c r="J18" s="57"/>
      <c r="K18" s="57"/>
      <c r="L18" s="58"/>
      <c r="M18" s="1"/>
      <c r="N18" s="53" t="s">
        <v>106</v>
      </c>
      <c r="O18" s="53">
        <v>5</v>
      </c>
      <c r="Q18" s="54" t="s">
        <v>31</v>
      </c>
      <c r="S18" s="54" t="s">
        <v>109</v>
      </c>
      <c r="T18" s="59">
        <f>IFERROR(SUMIF(_xlfn.ANCHORARRAY(R20),"&lt;&gt;#N/A"),NA())</f>
        <v>0</v>
      </c>
    </row>
    <row r="19" spans="1:21" ht="15.75" x14ac:dyDescent="0.25">
      <c r="A19" s="20" t="s">
        <v>32</v>
      </c>
      <c r="B19" s="221" t="s">
        <v>33</v>
      </c>
      <c r="C19" s="222"/>
      <c r="D19" s="221" t="s">
        <v>34</v>
      </c>
      <c r="E19" s="222"/>
      <c r="F19" s="221" t="s">
        <v>35</v>
      </c>
      <c r="G19" s="222"/>
      <c r="H19" s="341" t="s">
        <v>36</v>
      </c>
      <c r="I19" s="342"/>
      <c r="J19" s="343"/>
      <c r="K19" s="343"/>
      <c r="L19" s="344"/>
      <c r="N19" s="53" t="s">
        <v>31</v>
      </c>
      <c r="O19" s="53">
        <v>2</v>
      </c>
      <c r="Q19" s="54" t="s">
        <v>37</v>
      </c>
    </row>
    <row r="20" spans="1:21" ht="15" customHeight="1" x14ac:dyDescent="0.25">
      <c r="A20" s="271" t="s">
        <v>38</v>
      </c>
      <c r="B20" s="243" t="s">
        <v>39</v>
      </c>
      <c r="C20" s="271" t="s">
        <v>38</v>
      </c>
      <c r="D20" s="268" t="s">
        <v>39</v>
      </c>
      <c r="E20" s="271" t="s">
        <v>38</v>
      </c>
      <c r="F20" s="239" t="s">
        <v>39</v>
      </c>
      <c r="G20" s="241" t="s">
        <v>110</v>
      </c>
      <c r="H20" s="243" t="s">
        <v>39</v>
      </c>
      <c r="I20" s="332" t="s">
        <v>41</v>
      </c>
      <c r="J20" s="332" t="s">
        <v>41</v>
      </c>
      <c r="K20" s="332" t="s">
        <v>41</v>
      </c>
      <c r="L20" s="338" t="s">
        <v>41</v>
      </c>
      <c r="N20" s="332" t="s">
        <v>111</v>
      </c>
      <c r="O20" s="332" t="s">
        <v>42</v>
      </c>
      <c r="R20" s="22" t="e">
        <f t="array" ref="R20:U20">IF(NOT($I$18:$L$18=0),$I$18:$L$18*(VLOOKUP($I$17:$L$17,$S$14:$T$16,2,FALSE)),NA())</f>
        <v>#N/A</v>
      </c>
      <c r="S20" s="22" t="e">
        <v>#N/A</v>
      </c>
      <c r="T20" s="22" t="e">
        <v>#N/A</v>
      </c>
      <c r="U20" s="22" t="e">
        <v>#N/A</v>
      </c>
    </row>
    <row r="21" spans="1:21" ht="15" customHeight="1" x14ac:dyDescent="0.25">
      <c r="A21" s="272"/>
      <c r="B21" s="239"/>
      <c r="C21" s="272"/>
      <c r="D21" s="269"/>
      <c r="E21" s="272"/>
      <c r="F21" s="240"/>
      <c r="G21" s="242"/>
      <c r="H21" s="239"/>
      <c r="I21" s="332"/>
      <c r="J21" s="332"/>
      <c r="K21" s="332"/>
      <c r="L21" s="338"/>
      <c r="N21" s="332"/>
      <c r="O21" s="332"/>
      <c r="Q21" s="60" t="s">
        <v>112</v>
      </c>
    </row>
    <row r="22" spans="1:21" ht="15.75" customHeight="1" x14ac:dyDescent="0.25">
      <c r="A22" s="286" t="e">
        <f>AVERAGE(C22:C56)</f>
        <v>#DIV/0!</v>
      </c>
      <c r="B22" s="297" t="s">
        <v>113</v>
      </c>
      <c r="C22" s="289" t="e">
        <f>AVERAGE(E22:E40)</f>
        <v>#DIV/0!</v>
      </c>
      <c r="D22" s="309" t="s">
        <v>43</v>
      </c>
      <c r="E22" s="289" t="e">
        <f>AVERAGE(G22:G33)</f>
        <v>#DIV/0!</v>
      </c>
      <c r="F22" s="309" t="s">
        <v>44</v>
      </c>
      <c r="G22" s="313"/>
      <c r="H22" s="7" t="s">
        <v>114</v>
      </c>
      <c r="I22" s="19"/>
      <c r="J22" s="19"/>
      <c r="K22" s="19"/>
      <c r="L22" s="50"/>
      <c r="M22" s="34"/>
      <c r="N22" s="333" t="e">
        <f>AVERAGEIF(O22:O25,"&lt;&gt;#N/A")</f>
        <v>#DIV/0!</v>
      </c>
      <c r="O22" s="35" t="e">
        <f>IF($Q22&gt;=1,$Q22,NA())</f>
        <v>#N/A</v>
      </c>
      <c r="Q22" s="61">
        <f>IFERROR(SUMIF(_xlfn.ANCHORARRAY(R22),"&lt;&gt;#N/A"),NA())</f>
        <v>0</v>
      </c>
      <c r="R22" s="61" t="e">
        <f t="array" ref="R22:U22">VLOOKUP($I22:$L22,$N$15:$O$19,2,FALSE)*(_xlfn.ANCHORARRAY($R$20)/$T$18)</f>
        <v>#N/A</v>
      </c>
      <c r="S22" s="61" t="e">
        <v>#N/A</v>
      </c>
      <c r="T22" s="61" t="e">
        <v>#N/A</v>
      </c>
      <c r="U22" s="61" t="e">
        <v>#N/A</v>
      </c>
    </row>
    <row r="23" spans="1:21" ht="17.25" customHeight="1" x14ac:dyDescent="0.25">
      <c r="A23" s="287"/>
      <c r="B23" s="297"/>
      <c r="C23" s="290"/>
      <c r="D23" s="310"/>
      <c r="E23" s="290"/>
      <c r="F23" s="310"/>
      <c r="G23" s="314"/>
      <c r="H23" s="8" t="s">
        <v>45</v>
      </c>
      <c r="I23" s="19"/>
      <c r="J23" s="19"/>
      <c r="K23" s="19"/>
      <c r="L23" s="50"/>
      <c r="M23" s="34"/>
      <c r="N23" s="334"/>
      <c r="O23" s="36" t="e">
        <f t="shared" ref="O23:O56" si="0">IF($Q23&gt;=1,$Q23,NA())</f>
        <v>#N/A</v>
      </c>
      <c r="Q23" s="61">
        <f t="shared" ref="Q23:Q56" si="1">IFERROR(SUMIF(_xlfn.ANCHORARRAY(R23),"&lt;&gt;#N/A"),NA())</f>
        <v>0</v>
      </c>
      <c r="R23" s="61" t="e">
        <f t="array" ref="R23:U23">VLOOKUP($I23:$L23,$N$15:$O$19,2,FALSE)*(_xlfn.ANCHORARRAY($R$20)/$T$18)</f>
        <v>#N/A</v>
      </c>
      <c r="S23" s="61" t="e">
        <v>#N/A</v>
      </c>
      <c r="T23" s="61" t="e">
        <v>#N/A</v>
      </c>
      <c r="U23" s="61" t="e">
        <v>#N/A</v>
      </c>
    </row>
    <row r="24" spans="1:21" ht="17.25" customHeight="1" x14ac:dyDescent="0.25">
      <c r="A24" s="287"/>
      <c r="B24" s="297"/>
      <c r="C24" s="290"/>
      <c r="D24" s="310"/>
      <c r="E24" s="290"/>
      <c r="F24" s="310"/>
      <c r="G24" s="314"/>
      <c r="H24" s="8" t="s">
        <v>46</v>
      </c>
      <c r="I24" s="19"/>
      <c r="J24" s="19"/>
      <c r="K24" s="19"/>
      <c r="L24" s="50"/>
      <c r="M24" s="34"/>
      <c r="N24" s="334"/>
      <c r="O24" s="36"/>
      <c r="Q24" s="61"/>
      <c r="R24" s="61"/>
      <c r="S24" s="61"/>
      <c r="T24" s="61"/>
      <c r="U24" s="61"/>
    </row>
    <row r="25" spans="1:21" ht="15.75" customHeight="1" x14ac:dyDescent="0.25">
      <c r="A25" s="287"/>
      <c r="B25" s="297"/>
      <c r="C25" s="290"/>
      <c r="D25" s="310"/>
      <c r="E25" s="290"/>
      <c r="F25" s="311"/>
      <c r="G25" s="315"/>
      <c r="H25" s="8" t="s">
        <v>47</v>
      </c>
      <c r="I25" s="19"/>
      <c r="J25" s="19"/>
      <c r="K25" s="19"/>
      <c r="L25" s="50"/>
      <c r="M25" s="34"/>
      <c r="N25" s="335"/>
      <c r="O25" s="36" t="e">
        <f t="shared" si="0"/>
        <v>#N/A</v>
      </c>
      <c r="Q25" s="61">
        <f t="shared" si="1"/>
        <v>0</v>
      </c>
      <c r="R25" s="61" t="e">
        <f t="array" ref="R25:U25">VLOOKUP($I25:$L25,$N$15:$O$19,2,FALSE)*(_xlfn.ANCHORARRAY($R$20)/$T$18)</f>
        <v>#N/A</v>
      </c>
      <c r="S25" s="61" t="e">
        <v>#N/A</v>
      </c>
      <c r="T25" s="61" t="e">
        <v>#N/A</v>
      </c>
      <c r="U25" s="61" t="e">
        <v>#N/A</v>
      </c>
    </row>
    <row r="26" spans="1:21" ht="15.75" customHeight="1" x14ac:dyDescent="0.25">
      <c r="A26" s="287"/>
      <c r="B26" s="297"/>
      <c r="C26" s="290"/>
      <c r="D26" s="310"/>
      <c r="E26" s="290"/>
      <c r="F26" s="303" t="s">
        <v>48</v>
      </c>
      <c r="G26" s="313"/>
      <c r="H26" s="9" t="s">
        <v>49</v>
      </c>
      <c r="I26" s="19"/>
      <c r="J26" s="19"/>
      <c r="K26" s="19"/>
      <c r="L26" s="50"/>
      <c r="M26" s="34"/>
      <c r="N26" s="336" t="e">
        <f>AVERAGEIF(O26:O29,"&lt;&gt;#N/A")</f>
        <v>#DIV/0!</v>
      </c>
      <c r="O26" s="37" t="e">
        <f t="shared" si="0"/>
        <v>#N/A</v>
      </c>
      <c r="Q26" s="61">
        <f t="shared" si="1"/>
        <v>0</v>
      </c>
      <c r="R26" s="61" t="e">
        <f t="array" ref="R26:U26">VLOOKUP($I26:$L26,$N$15:$O$19,2,FALSE)*(_xlfn.ANCHORARRAY($R$20)/$T$18)</f>
        <v>#N/A</v>
      </c>
      <c r="S26" s="61" t="e">
        <v>#N/A</v>
      </c>
      <c r="T26" s="61" t="e">
        <v>#N/A</v>
      </c>
      <c r="U26" s="61" t="e">
        <v>#N/A</v>
      </c>
    </row>
    <row r="27" spans="1:21" ht="15.75" customHeight="1" x14ac:dyDescent="0.25">
      <c r="A27" s="287"/>
      <c r="B27" s="297"/>
      <c r="C27" s="290"/>
      <c r="D27" s="310"/>
      <c r="E27" s="290"/>
      <c r="F27" s="304"/>
      <c r="G27" s="314"/>
      <c r="H27" s="10" t="s">
        <v>50</v>
      </c>
      <c r="I27" s="19"/>
      <c r="J27" s="19"/>
      <c r="K27" s="19"/>
      <c r="L27" s="50"/>
      <c r="M27" s="34"/>
      <c r="N27" s="337"/>
      <c r="O27" s="38" t="e">
        <f t="shared" si="0"/>
        <v>#N/A</v>
      </c>
      <c r="Q27" s="61">
        <f t="shared" si="1"/>
        <v>0</v>
      </c>
      <c r="R27" s="61" t="e">
        <f t="array" ref="R27:U27">VLOOKUP($I27:$L27,$N$15:$O$19,2,FALSE)*(_xlfn.ANCHORARRAY($R$20)/$T$18)</f>
        <v>#N/A</v>
      </c>
      <c r="S27" s="61" t="e">
        <v>#N/A</v>
      </c>
      <c r="T27" s="61" t="e">
        <v>#N/A</v>
      </c>
      <c r="U27" s="61" t="e">
        <v>#N/A</v>
      </c>
    </row>
    <row r="28" spans="1:21" ht="15.75" customHeight="1" x14ac:dyDescent="0.25">
      <c r="A28" s="287"/>
      <c r="B28" s="297"/>
      <c r="C28" s="290"/>
      <c r="D28" s="310"/>
      <c r="E28" s="290"/>
      <c r="F28" s="304"/>
      <c r="G28" s="314"/>
      <c r="H28" s="10" t="s">
        <v>51</v>
      </c>
      <c r="I28" s="19"/>
      <c r="J28" s="19"/>
      <c r="K28" s="19"/>
      <c r="L28" s="50"/>
      <c r="M28" s="34"/>
      <c r="N28" s="337"/>
      <c r="O28" s="38"/>
      <c r="Q28" s="61"/>
      <c r="R28" s="61"/>
      <c r="S28" s="61"/>
      <c r="T28" s="61"/>
      <c r="U28" s="61"/>
    </row>
    <row r="29" spans="1:21" ht="15.75" customHeight="1" x14ac:dyDescent="0.25">
      <c r="A29" s="287"/>
      <c r="B29" s="297"/>
      <c r="C29" s="290"/>
      <c r="D29" s="310"/>
      <c r="E29" s="290"/>
      <c r="F29" s="304"/>
      <c r="G29" s="315"/>
      <c r="H29" s="10" t="s">
        <v>115</v>
      </c>
      <c r="I29" s="19"/>
      <c r="J29" s="19"/>
      <c r="K29" s="19"/>
      <c r="L29" s="50"/>
      <c r="M29" s="34"/>
      <c r="N29" s="337"/>
      <c r="O29" s="38" t="e">
        <f t="shared" si="0"/>
        <v>#N/A</v>
      </c>
      <c r="Q29" s="61">
        <f t="shared" si="1"/>
        <v>0</v>
      </c>
      <c r="R29" s="61" t="e">
        <f t="array" ref="R29:U29">VLOOKUP($I29:$L29,$N$15:$O$19,2,FALSE)*(_xlfn.ANCHORARRAY($R$20)/$T$18)</f>
        <v>#N/A</v>
      </c>
      <c r="S29" s="61" t="e">
        <v>#N/A</v>
      </c>
      <c r="T29" s="61" t="e">
        <v>#N/A</v>
      </c>
      <c r="U29" s="61" t="e">
        <v>#N/A</v>
      </c>
    </row>
    <row r="30" spans="1:21" ht="15.75" customHeight="1" x14ac:dyDescent="0.25">
      <c r="A30" s="287"/>
      <c r="B30" s="297"/>
      <c r="C30" s="290"/>
      <c r="D30" s="310"/>
      <c r="E30" s="290"/>
      <c r="F30" s="300" t="s">
        <v>116</v>
      </c>
      <c r="G30" s="313"/>
      <c r="H30" s="7" t="s">
        <v>52</v>
      </c>
      <c r="I30" s="19"/>
      <c r="J30" s="19"/>
      <c r="K30" s="19"/>
      <c r="L30" s="50"/>
      <c r="M30" s="34"/>
      <c r="N30" s="362" t="e">
        <f>AVERAGEIF(O30:O33,"&lt;&gt;#N/A")</f>
        <v>#DIV/0!</v>
      </c>
      <c r="O30" s="35" t="e">
        <f t="shared" si="0"/>
        <v>#N/A</v>
      </c>
      <c r="Q30" s="61">
        <f t="shared" si="1"/>
        <v>0</v>
      </c>
      <c r="R30" s="61" t="e">
        <f t="array" ref="R30:U30">VLOOKUP($I30:$L30,$N$15:$O$19,2,FALSE)*(_xlfn.ANCHORARRAY($R$20)/$T$18)</f>
        <v>#N/A</v>
      </c>
      <c r="S30" s="61" t="e">
        <v>#N/A</v>
      </c>
      <c r="T30" s="61" t="e">
        <v>#N/A</v>
      </c>
      <c r="U30" s="61" t="e">
        <v>#N/A</v>
      </c>
    </row>
    <row r="31" spans="1:21" ht="15.75" customHeight="1" x14ac:dyDescent="0.25">
      <c r="A31" s="287"/>
      <c r="B31" s="297"/>
      <c r="C31" s="290"/>
      <c r="D31" s="310"/>
      <c r="E31" s="290"/>
      <c r="F31" s="301"/>
      <c r="G31" s="314"/>
      <c r="H31" s="8" t="s">
        <v>53</v>
      </c>
      <c r="I31" s="19"/>
      <c r="J31" s="19"/>
      <c r="K31" s="19"/>
      <c r="L31" s="50"/>
      <c r="M31" s="34"/>
      <c r="N31" s="363"/>
      <c r="O31" s="36" t="e">
        <f t="shared" si="0"/>
        <v>#N/A</v>
      </c>
      <c r="Q31" s="61">
        <f t="shared" si="1"/>
        <v>0</v>
      </c>
      <c r="R31" s="61" t="e">
        <f t="array" ref="R31:U31">VLOOKUP($I31:$L31,$N$15:$O$19,2,FALSE)*(_xlfn.ANCHORARRAY($R$20)/$T$18)</f>
        <v>#N/A</v>
      </c>
      <c r="S31" s="61" t="e">
        <v>#N/A</v>
      </c>
      <c r="T31" s="61" t="e">
        <v>#N/A</v>
      </c>
      <c r="U31" s="61" t="e">
        <v>#N/A</v>
      </c>
    </row>
    <row r="32" spans="1:21" ht="15.75" customHeight="1" x14ac:dyDescent="0.25">
      <c r="A32" s="287"/>
      <c r="B32" s="297"/>
      <c r="C32" s="290"/>
      <c r="D32" s="310"/>
      <c r="E32" s="290"/>
      <c r="F32" s="301"/>
      <c r="G32" s="314"/>
      <c r="H32" s="8" t="s">
        <v>54</v>
      </c>
      <c r="I32" s="19"/>
      <c r="J32" s="19"/>
      <c r="K32" s="19"/>
      <c r="L32" s="50"/>
      <c r="M32" s="34"/>
      <c r="N32" s="363"/>
      <c r="O32" s="36"/>
      <c r="Q32" s="61"/>
      <c r="R32" s="61"/>
      <c r="S32" s="61"/>
      <c r="T32" s="61"/>
      <c r="U32" s="61"/>
    </row>
    <row r="33" spans="1:21" ht="15.75" customHeight="1" x14ac:dyDescent="0.25">
      <c r="A33" s="287"/>
      <c r="B33" s="297"/>
      <c r="C33" s="290"/>
      <c r="D33" s="311"/>
      <c r="E33" s="305"/>
      <c r="F33" s="302"/>
      <c r="G33" s="315"/>
      <c r="H33" s="8" t="s">
        <v>55</v>
      </c>
      <c r="I33" s="19"/>
      <c r="J33" s="19"/>
      <c r="K33" s="19"/>
      <c r="L33" s="50"/>
      <c r="M33" s="34"/>
      <c r="N33" s="364"/>
      <c r="O33" s="36" t="e">
        <f t="shared" si="0"/>
        <v>#N/A</v>
      </c>
      <c r="Q33" s="61">
        <f t="shared" si="1"/>
        <v>0</v>
      </c>
      <c r="R33" s="61" t="e">
        <f t="array" ref="R33:U33">VLOOKUP($I33:$L33,$N$15:$O$19,2,FALSE)*(_xlfn.ANCHORARRAY($R$20)/$T$18)</f>
        <v>#N/A</v>
      </c>
      <c r="S33" s="61" t="e">
        <v>#N/A</v>
      </c>
      <c r="T33" s="61" t="e">
        <v>#N/A</v>
      </c>
      <c r="U33" s="61" t="e">
        <v>#N/A</v>
      </c>
    </row>
    <row r="34" spans="1:21" ht="15.6" customHeight="1" x14ac:dyDescent="0.25">
      <c r="A34" s="287"/>
      <c r="B34" s="297"/>
      <c r="C34" s="290"/>
      <c r="D34" s="295" t="s">
        <v>56</v>
      </c>
      <c r="E34" s="289" t="e">
        <f>AVERAGE(G34:G40)</f>
        <v>#DIV/0!</v>
      </c>
      <c r="F34" s="309" t="s">
        <v>117</v>
      </c>
      <c r="G34" s="313"/>
      <c r="H34" s="7" t="s">
        <v>57</v>
      </c>
      <c r="I34" s="19"/>
      <c r="J34" s="19"/>
      <c r="K34" s="19"/>
      <c r="L34" s="50"/>
      <c r="M34" s="34"/>
      <c r="N34" s="362" t="e">
        <f>AVERAGEIF(O34:O37,"&lt;&gt;#N/A")</f>
        <v>#DIV/0!</v>
      </c>
      <c r="O34" s="36" t="e">
        <f t="shared" si="0"/>
        <v>#N/A</v>
      </c>
      <c r="Q34" s="61">
        <f t="shared" si="1"/>
        <v>0</v>
      </c>
      <c r="R34" s="61" t="e">
        <f t="array" ref="R34:U34">VLOOKUP($I34:$L34,$N$15:$O$19,2,FALSE)*(_xlfn.ANCHORARRAY($R$20)/$T$18)</f>
        <v>#N/A</v>
      </c>
      <c r="S34" s="61" t="e">
        <v>#N/A</v>
      </c>
      <c r="T34" s="61" t="e">
        <v>#N/A</v>
      </c>
      <c r="U34" s="61" t="e">
        <v>#N/A</v>
      </c>
    </row>
    <row r="35" spans="1:21" ht="15.6" customHeight="1" x14ac:dyDescent="0.25">
      <c r="A35" s="287"/>
      <c r="B35" s="297"/>
      <c r="C35" s="290"/>
      <c r="D35" s="295"/>
      <c r="E35" s="290"/>
      <c r="F35" s="310"/>
      <c r="G35" s="314"/>
      <c r="H35" s="8" t="s">
        <v>58</v>
      </c>
      <c r="I35" s="19"/>
      <c r="J35" s="19"/>
      <c r="K35" s="19"/>
      <c r="L35" s="50"/>
      <c r="M35" s="34"/>
      <c r="N35" s="363"/>
      <c r="O35" s="36" t="e">
        <f t="shared" si="0"/>
        <v>#N/A</v>
      </c>
      <c r="Q35" s="61">
        <f t="shared" si="1"/>
        <v>0</v>
      </c>
      <c r="R35" s="61" t="e">
        <f t="array" ref="R35:U35">VLOOKUP($I35:$L35,$N$15:$O$19,2,FALSE)*(_xlfn.ANCHORARRAY($R$20)/$T$18)</f>
        <v>#N/A</v>
      </c>
      <c r="S35" s="61" t="e">
        <v>#N/A</v>
      </c>
      <c r="T35" s="61" t="e">
        <v>#N/A</v>
      </c>
      <c r="U35" s="61" t="e">
        <v>#N/A</v>
      </c>
    </row>
    <row r="36" spans="1:21" ht="15.6" customHeight="1" x14ac:dyDescent="0.25">
      <c r="A36" s="287"/>
      <c r="B36" s="297"/>
      <c r="C36" s="290"/>
      <c r="D36" s="295"/>
      <c r="E36" s="290"/>
      <c r="F36" s="310"/>
      <c r="G36" s="314"/>
      <c r="H36" s="8" t="s">
        <v>59</v>
      </c>
      <c r="I36" s="19"/>
      <c r="J36" s="19"/>
      <c r="K36" s="19"/>
      <c r="L36" s="50"/>
      <c r="M36" s="34"/>
      <c r="N36" s="363"/>
      <c r="O36" s="36"/>
      <c r="Q36" s="61"/>
      <c r="R36" s="61"/>
      <c r="S36" s="61"/>
      <c r="T36" s="61"/>
      <c r="U36" s="61"/>
    </row>
    <row r="37" spans="1:21" ht="15.6" customHeight="1" x14ac:dyDescent="0.25">
      <c r="A37" s="287"/>
      <c r="B37" s="297"/>
      <c r="C37" s="290"/>
      <c r="D37" s="295"/>
      <c r="E37" s="290"/>
      <c r="F37" s="310"/>
      <c r="G37" s="315"/>
      <c r="H37" s="8" t="s">
        <v>60</v>
      </c>
      <c r="I37" s="19"/>
      <c r="J37" s="19"/>
      <c r="K37" s="19"/>
      <c r="L37" s="50"/>
      <c r="M37" s="34"/>
      <c r="N37" s="363"/>
      <c r="O37" s="52" t="e">
        <f t="shared" si="0"/>
        <v>#N/A</v>
      </c>
      <c r="Q37" s="61">
        <f t="shared" si="1"/>
        <v>0</v>
      </c>
      <c r="R37" s="61" t="e">
        <f t="array" ref="R37:U37">VLOOKUP($I37:$L37,$N$15:$O$19,2,FALSE)*(_xlfn.ANCHORARRAY($R$20)/$T$18)</f>
        <v>#N/A</v>
      </c>
      <c r="S37" s="61" t="e">
        <v>#N/A</v>
      </c>
      <c r="T37" s="61" t="e">
        <v>#N/A</v>
      </c>
      <c r="U37" s="61" t="e">
        <v>#N/A</v>
      </c>
    </row>
    <row r="38" spans="1:21" ht="18" customHeight="1" x14ac:dyDescent="0.25">
      <c r="A38" s="287"/>
      <c r="B38" s="297"/>
      <c r="C38" s="290"/>
      <c r="D38" s="295"/>
      <c r="E38" s="290"/>
      <c r="F38" s="303" t="s">
        <v>61</v>
      </c>
      <c r="G38" s="313"/>
      <c r="H38" s="9" t="s">
        <v>62</v>
      </c>
      <c r="I38" s="19"/>
      <c r="J38" s="19"/>
      <c r="K38" s="19"/>
      <c r="L38" s="50"/>
      <c r="M38" s="34"/>
      <c r="N38" s="336" t="e">
        <f>AVERAGEIF(O38:O40,"&lt;&gt;#N/A")</f>
        <v>#DIV/0!</v>
      </c>
      <c r="O38" s="38" t="e">
        <f t="shared" si="0"/>
        <v>#N/A</v>
      </c>
      <c r="Q38" s="61">
        <f t="shared" si="1"/>
        <v>0</v>
      </c>
      <c r="R38" s="61" t="e">
        <f t="array" ref="R38:U38">VLOOKUP($I38:$L38,$N$15:$O$19,2,FALSE)*(_xlfn.ANCHORARRAY($R$20)/$T$18)</f>
        <v>#N/A</v>
      </c>
      <c r="S38" s="61" t="e">
        <v>#N/A</v>
      </c>
      <c r="T38" s="61" t="e">
        <v>#N/A</v>
      </c>
      <c r="U38" s="61" t="e">
        <v>#N/A</v>
      </c>
    </row>
    <row r="39" spans="1:21" ht="18" customHeight="1" x14ac:dyDescent="0.25">
      <c r="A39" s="287"/>
      <c r="B39" s="297"/>
      <c r="C39" s="290"/>
      <c r="D39" s="295"/>
      <c r="E39" s="290"/>
      <c r="F39" s="304"/>
      <c r="G39" s="314"/>
      <c r="H39" s="10" t="s">
        <v>63</v>
      </c>
      <c r="I39" s="19"/>
      <c r="J39" s="19"/>
      <c r="K39" s="19"/>
      <c r="L39" s="50"/>
      <c r="M39" s="34"/>
      <c r="N39" s="337"/>
      <c r="O39" s="38" t="e">
        <f t="shared" si="0"/>
        <v>#N/A</v>
      </c>
      <c r="Q39" s="61">
        <f t="shared" si="1"/>
        <v>0</v>
      </c>
      <c r="R39" s="61" t="e">
        <f t="array" ref="R39:U39">VLOOKUP($I39:$L39,$N$15:$O$19,2,FALSE)*(_xlfn.ANCHORARRAY($R$20)/$T$18)</f>
        <v>#N/A</v>
      </c>
      <c r="S39" s="61" t="e">
        <v>#N/A</v>
      </c>
      <c r="T39" s="61" t="e">
        <v>#N/A</v>
      </c>
      <c r="U39" s="61" t="e">
        <v>#N/A</v>
      </c>
    </row>
    <row r="40" spans="1:21" ht="15.75" customHeight="1" x14ac:dyDescent="0.25">
      <c r="A40" s="287"/>
      <c r="B40" s="297"/>
      <c r="C40" s="290"/>
      <c r="D40" s="295"/>
      <c r="E40" s="290"/>
      <c r="F40" s="312"/>
      <c r="G40" s="315"/>
      <c r="H40" s="10" t="s">
        <v>64</v>
      </c>
      <c r="I40" s="19"/>
      <c r="J40" s="19"/>
      <c r="K40" s="19"/>
      <c r="L40" s="50"/>
      <c r="M40" s="34"/>
      <c r="N40" s="365"/>
      <c r="O40" s="38" t="e">
        <f t="shared" si="0"/>
        <v>#N/A</v>
      </c>
      <c r="Q40" s="61">
        <f t="shared" si="1"/>
        <v>0</v>
      </c>
      <c r="R40" s="61" t="e">
        <f t="array" ref="R40:U40">VLOOKUP($I40:$L40,$N$15:$O$19,2,FALSE)*(_xlfn.ANCHORARRAY($R$20)/$T$18)</f>
        <v>#N/A</v>
      </c>
      <c r="S40" s="61" t="e">
        <v>#N/A</v>
      </c>
      <c r="T40" s="61" t="e">
        <v>#N/A</v>
      </c>
      <c r="U40" s="61" t="e">
        <v>#N/A</v>
      </c>
    </row>
    <row r="41" spans="1:21" ht="15.75" customHeight="1" x14ac:dyDescent="0.25">
      <c r="A41" s="287"/>
      <c r="B41" s="296" t="s">
        <v>65</v>
      </c>
      <c r="C41" s="289" t="e">
        <f>AVERAGE(E41:E45)</f>
        <v>#DIV/0!</v>
      </c>
      <c r="D41" s="319" t="s">
        <v>66</v>
      </c>
      <c r="E41" s="291" t="e">
        <f>AVERAGE(G41:G43)</f>
        <v>#DIV/0!</v>
      </c>
      <c r="F41" s="316" t="s">
        <v>118</v>
      </c>
      <c r="G41" s="313"/>
      <c r="H41" s="26" t="s">
        <v>67</v>
      </c>
      <c r="I41" s="19"/>
      <c r="J41" s="19"/>
      <c r="K41" s="19"/>
      <c r="L41" s="50"/>
      <c r="M41" s="34"/>
      <c r="N41" s="366" t="e">
        <f>AVERAGEIF(O41:O43,"&lt;&gt;#N/A")</f>
        <v>#DIV/0!</v>
      </c>
      <c r="O41" s="39" t="e">
        <f t="shared" si="0"/>
        <v>#N/A</v>
      </c>
      <c r="Q41" s="61">
        <f t="shared" si="1"/>
        <v>0</v>
      </c>
      <c r="R41" s="61" t="e">
        <f t="array" ref="R41:U41">VLOOKUP($I41:$L41,$N$15:$O$19,2,FALSE)*(_xlfn.ANCHORARRAY($R$20)/$T$18)</f>
        <v>#N/A</v>
      </c>
      <c r="S41" s="61" t="e">
        <v>#N/A</v>
      </c>
      <c r="T41" s="61" t="e">
        <v>#N/A</v>
      </c>
      <c r="U41" s="61" t="e">
        <v>#N/A</v>
      </c>
    </row>
    <row r="42" spans="1:21" ht="15.75" customHeight="1" x14ac:dyDescent="0.25">
      <c r="A42" s="287"/>
      <c r="B42" s="296"/>
      <c r="C42" s="290"/>
      <c r="D42" s="319"/>
      <c r="E42" s="291"/>
      <c r="F42" s="317"/>
      <c r="G42" s="314"/>
      <c r="H42" s="27" t="s">
        <v>68</v>
      </c>
      <c r="I42" s="19"/>
      <c r="J42" s="19"/>
      <c r="K42" s="19"/>
      <c r="L42" s="50"/>
      <c r="M42" s="34"/>
      <c r="N42" s="367"/>
      <c r="O42" s="41" t="e">
        <f t="shared" si="0"/>
        <v>#N/A</v>
      </c>
      <c r="Q42" s="61">
        <f t="shared" si="1"/>
        <v>0</v>
      </c>
      <c r="R42" s="61" t="e">
        <f t="array" ref="R42:U42">VLOOKUP($I42:$L42,$N$15:$O$19,2,FALSE)*(_xlfn.ANCHORARRAY($R$20)/$T$18)</f>
        <v>#N/A</v>
      </c>
      <c r="S42" s="61" t="e">
        <v>#N/A</v>
      </c>
      <c r="T42" s="61" t="e">
        <v>#N/A</v>
      </c>
      <c r="U42" s="61" t="e">
        <v>#N/A</v>
      </c>
    </row>
    <row r="43" spans="1:21" ht="15.75" customHeight="1" x14ac:dyDescent="0.25">
      <c r="A43" s="287"/>
      <c r="B43" s="296"/>
      <c r="C43" s="290"/>
      <c r="D43" s="319"/>
      <c r="E43" s="291"/>
      <c r="F43" s="318"/>
      <c r="G43" s="315"/>
      <c r="H43" s="28" t="s">
        <v>69</v>
      </c>
      <c r="I43" s="19"/>
      <c r="J43" s="19"/>
      <c r="K43" s="19"/>
      <c r="L43" s="50"/>
      <c r="M43" s="34"/>
      <c r="N43" s="368"/>
      <c r="O43" s="40" t="e">
        <f t="shared" si="0"/>
        <v>#N/A</v>
      </c>
      <c r="Q43" s="61">
        <f t="shared" si="1"/>
        <v>0</v>
      </c>
      <c r="R43" s="61" t="e">
        <f t="array" ref="R43:U43">VLOOKUP($I43:$L43,$N$15:$O$19,2,FALSE)*(_xlfn.ANCHORARRAY($R$20)/$T$18)</f>
        <v>#N/A</v>
      </c>
      <c r="S43" s="61" t="e">
        <v>#N/A</v>
      </c>
      <c r="T43" s="61" t="e">
        <v>#N/A</v>
      </c>
      <c r="U43" s="61" t="e">
        <v>#N/A</v>
      </c>
    </row>
    <row r="44" spans="1:21" ht="15.75" customHeight="1" x14ac:dyDescent="0.25">
      <c r="A44" s="287"/>
      <c r="B44" s="296"/>
      <c r="C44" s="290"/>
      <c r="D44" s="320" t="s">
        <v>70</v>
      </c>
      <c r="E44" s="291" t="e">
        <f>AVERAGE(G44:G45)</f>
        <v>#DIV/0!</v>
      </c>
      <c r="F44" s="327" t="s">
        <v>71</v>
      </c>
      <c r="G44" s="313"/>
      <c r="H44" s="11" t="s">
        <v>72</v>
      </c>
      <c r="I44" s="19"/>
      <c r="J44" s="19"/>
      <c r="K44" s="19"/>
      <c r="L44" s="50"/>
      <c r="M44" s="34"/>
      <c r="N44" s="356" t="e">
        <f>AVERAGEIF(O44:O45,"&lt;&gt;#N/A")</f>
        <v>#DIV/0!</v>
      </c>
      <c r="O44" s="41" t="e">
        <f t="shared" si="0"/>
        <v>#N/A</v>
      </c>
      <c r="Q44" s="61">
        <f t="shared" si="1"/>
        <v>0</v>
      </c>
      <c r="R44" s="61" t="e">
        <f t="array" ref="R44:U44">VLOOKUP($I44:$L44,$N$15:$O$19,2,FALSE)*(_xlfn.ANCHORARRAY($R$20)/$T$18)</f>
        <v>#N/A</v>
      </c>
      <c r="S44" s="61" t="e">
        <v>#N/A</v>
      </c>
      <c r="T44" s="61" t="e">
        <v>#N/A</v>
      </c>
      <c r="U44" s="61" t="e">
        <v>#N/A</v>
      </c>
    </row>
    <row r="45" spans="1:21" ht="15.75" customHeight="1" x14ac:dyDescent="0.25">
      <c r="A45" s="287"/>
      <c r="B45" s="296"/>
      <c r="C45" s="290"/>
      <c r="D45" s="320"/>
      <c r="E45" s="291"/>
      <c r="F45" s="327"/>
      <c r="G45" s="315"/>
      <c r="H45" s="12" t="s">
        <v>73</v>
      </c>
      <c r="I45" s="19"/>
      <c r="J45" s="19"/>
      <c r="K45" s="19"/>
      <c r="L45" s="50"/>
      <c r="M45" s="34"/>
      <c r="N45" s="356"/>
      <c r="O45" s="40" t="e">
        <f t="shared" si="0"/>
        <v>#N/A</v>
      </c>
      <c r="Q45" s="61">
        <f t="shared" si="1"/>
        <v>0</v>
      </c>
      <c r="R45" s="61" t="e">
        <f t="array" ref="R45:U45">VLOOKUP($I45:$L45,$N$15:$O$19,2,FALSE)*(_xlfn.ANCHORARRAY($R$20)/$T$18)</f>
        <v>#N/A</v>
      </c>
      <c r="S45" s="61" t="e">
        <v>#N/A</v>
      </c>
      <c r="T45" s="61" t="e">
        <v>#N/A</v>
      </c>
      <c r="U45" s="61" t="e">
        <v>#N/A</v>
      </c>
    </row>
    <row r="46" spans="1:21" ht="15.75" customHeight="1" x14ac:dyDescent="0.25">
      <c r="A46" s="287"/>
      <c r="B46" s="293" t="s">
        <v>74</v>
      </c>
      <c r="C46" s="291">
        <f>(E46*0.75)+(E54*0.25)</f>
        <v>3.5</v>
      </c>
      <c r="D46" s="306" t="s">
        <v>75</v>
      </c>
      <c r="E46" s="289">
        <f>AVERAGEIF(G46:G53,"&lt;&gt;#N/A")/15</f>
        <v>0.33333333333333331</v>
      </c>
      <c r="F46" s="330" t="s">
        <v>76</v>
      </c>
      <c r="G46" s="313">
        <v>5</v>
      </c>
      <c r="H46" s="13" t="s">
        <v>77</v>
      </c>
      <c r="I46" s="19"/>
      <c r="J46" s="19"/>
      <c r="K46" s="19"/>
      <c r="L46" s="50"/>
      <c r="M46" s="34"/>
      <c r="N46" s="357" t="e">
        <f>AVERAGEIF(O46:O47,"&lt;&gt;#N/A")</f>
        <v>#DIV/0!</v>
      </c>
      <c r="O46" s="42" t="e">
        <f t="shared" si="0"/>
        <v>#N/A</v>
      </c>
      <c r="Q46" s="61">
        <f t="shared" si="1"/>
        <v>0</v>
      </c>
      <c r="R46" s="61" t="e">
        <f t="array" ref="R46:U46">VLOOKUP($I46:$L46,$N$15:$O$19,2,FALSE)*(_xlfn.ANCHORARRAY($R$20)/$T$18)</f>
        <v>#N/A</v>
      </c>
      <c r="S46" s="61" t="e">
        <v>#N/A</v>
      </c>
      <c r="T46" s="61" t="e">
        <v>#N/A</v>
      </c>
      <c r="U46" s="61" t="e">
        <v>#N/A</v>
      </c>
    </row>
    <row r="47" spans="1:21" ht="15.75" customHeight="1" x14ac:dyDescent="0.25">
      <c r="A47" s="287"/>
      <c r="B47" s="293"/>
      <c r="C47" s="291"/>
      <c r="D47" s="307"/>
      <c r="E47" s="290"/>
      <c r="F47" s="330"/>
      <c r="G47" s="315"/>
      <c r="H47" s="14" t="s">
        <v>78</v>
      </c>
      <c r="I47" s="19"/>
      <c r="J47" s="19"/>
      <c r="K47" s="19"/>
      <c r="L47" s="50"/>
      <c r="M47" s="34"/>
      <c r="N47" s="357"/>
      <c r="O47" s="43" t="e">
        <f t="shared" si="0"/>
        <v>#N/A</v>
      </c>
      <c r="Q47" s="61">
        <f t="shared" si="1"/>
        <v>0</v>
      </c>
      <c r="R47" s="61" t="e">
        <f t="array" ref="R47:U47">VLOOKUP($I47:$L47,$N$15:$O$19,2,FALSE)*(_xlfn.ANCHORARRAY($R$20)/$T$18)</f>
        <v>#N/A</v>
      </c>
      <c r="S47" s="61" t="e">
        <v>#N/A</v>
      </c>
      <c r="T47" s="61" t="e">
        <v>#N/A</v>
      </c>
      <c r="U47" s="61" t="e">
        <v>#N/A</v>
      </c>
    </row>
    <row r="48" spans="1:21" ht="15.75" customHeight="1" x14ac:dyDescent="0.25">
      <c r="A48" s="287"/>
      <c r="B48" s="293"/>
      <c r="C48" s="291"/>
      <c r="D48" s="307"/>
      <c r="E48" s="290"/>
      <c r="F48" s="328" t="s">
        <v>79</v>
      </c>
      <c r="G48" s="313" t="e">
        <f>NA()</f>
        <v>#N/A</v>
      </c>
      <c r="H48" s="15" t="s">
        <v>80</v>
      </c>
      <c r="I48" s="19"/>
      <c r="J48" s="19"/>
      <c r="K48" s="19"/>
      <c r="L48" s="50"/>
      <c r="M48" s="34"/>
      <c r="N48" s="358" t="e">
        <f>AVERAGEIF(O48:O49,"&lt;&gt;#N/A")</f>
        <v>#DIV/0!</v>
      </c>
      <c r="O48" s="44" t="e">
        <f t="shared" si="0"/>
        <v>#N/A</v>
      </c>
      <c r="Q48" s="61">
        <f t="shared" si="1"/>
        <v>0</v>
      </c>
      <c r="R48" s="61" t="e">
        <f t="array" ref="R48:U48">VLOOKUP($I48:$L48,$N$15:$O$19,2,FALSE)*(_xlfn.ANCHORARRAY($R$20)/$T$18)</f>
        <v>#N/A</v>
      </c>
      <c r="S48" s="61" t="e">
        <v>#N/A</v>
      </c>
      <c r="T48" s="61" t="e">
        <v>#N/A</v>
      </c>
      <c r="U48" s="61" t="e">
        <v>#N/A</v>
      </c>
    </row>
    <row r="49" spans="1:21" ht="15.75" customHeight="1" x14ac:dyDescent="0.25">
      <c r="A49" s="287"/>
      <c r="B49" s="293"/>
      <c r="C49" s="291"/>
      <c r="D49" s="307"/>
      <c r="E49" s="290"/>
      <c r="F49" s="328"/>
      <c r="G49" s="315"/>
      <c r="H49" s="16" t="s">
        <v>81</v>
      </c>
      <c r="I49" s="19"/>
      <c r="J49" s="19"/>
      <c r="K49" s="19"/>
      <c r="L49" s="50"/>
      <c r="M49" s="34"/>
      <c r="N49" s="358"/>
      <c r="O49" s="45" t="e">
        <f t="shared" si="0"/>
        <v>#N/A</v>
      </c>
      <c r="Q49" s="61">
        <f t="shared" si="1"/>
        <v>0</v>
      </c>
      <c r="R49" s="61" t="e">
        <f t="array" ref="R49:U49">VLOOKUP($I49:$L49,$N$15:$O$19,2,FALSE)*(_xlfn.ANCHORARRAY($R$20)/$T$18)</f>
        <v>#N/A</v>
      </c>
      <c r="S49" s="61" t="e">
        <v>#N/A</v>
      </c>
      <c r="T49" s="61" t="e">
        <v>#N/A</v>
      </c>
      <c r="U49" s="61" t="e">
        <v>#N/A</v>
      </c>
    </row>
    <row r="50" spans="1:21" ht="15.75" customHeight="1" x14ac:dyDescent="0.25">
      <c r="A50" s="287"/>
      <c r="B50" s="293"/>
      <c r="C50" s="291"/>
      <c r="D50" s="307"/>
      <c r="E50" s="290"/>
      <c r="F50" s="329" t="s">
        <v>82</v>
      </c>
      <c r="G50" s="313" t="e">
        <f>NA()</f>
        <v>#N/A</v>
      </c>
      <c r="H50" s="17" t="s">
        <v>119</v>
      </c>
      <c r="I50" s="19"/>
      <c r="J50" s="19"/>
      <c r="K50" s="19"/>
      <c r="L50" s="50"/>
      <c r="M50" s="34"/>
      <c r="N50" s="359" t="e">
        <f>AVERAGEIF(O50:O51,"&lt;&gt;#N/A")</f>
        <v>#DIV/0!</v>
      </c>
      <c r="O50" s="46" t="e">
        <f t="shared" si="0"/>
        <v>#N/A</v>
      </c>
      <c r="Q50" s="61">
        <f t="shared" si="1"/>
        <v>0</v>
      </c>
      <c r="R50" s="61" t="e">
        <f t="array" ref="R50:U50">VLOOKUP($I50:$L50,$N$15:$O$19,2,FALSE)*(_xlfn.ANCHORARRAY($R$20)/$T$18)</f>
        <v>#N/A</v>
      </c>
      <c r="S50" s="61" t="e">
        <v>#N/A</v>
      </c>
      <c r="T50" s="61" t="e">
        <v>#N/A</v>
      </c>
      <c r="U50" s="61" t="e">
        <v>#N/A</v>
      </c>
    </row>
    <row r="51" spans="1:21" ht="15.75" customHeight="1" x14ac:dyDescent="0.25">
      <c r="A51" s="287"/>
      <c r="B51" s="293"/>
      <c r="C51" s="291"/>
      <c r="D51" s="307"/>
      <c r="E51" s="290"/>
      <c r="F51" s="329"/>
      <c r="G51" s="315"/>
      <c r="H51" s="18" t="s">
        <v>83</v>
      </c>
      <c r="I51" s="19"/>
      <c r="J51" s="19"/>
      <c r="K51" s="19"/>
      <c r="L51" s="50"/>
      <c r="M51" s="34"/>
      <c r="N51" s="359"/>
      <c r="O51" s="47" t="e">
        <f t="shared" si="0"/>
        <v>#N/A</v>
      </c>
      <c r="Q51" s="61">
        <f t="shared" si="1"/>
        <v>0</v>
      </c>
      <c r="R51" s="61" t="e">
        <f t="array" ref="R51:U51">VLOOKUP($I51:$L51,$N$15:$O$19,2,FALSE)*(_xlfn.ANCHORARRAY($R$20)/$T$18)</f>
        <v>#N/A</v>
      </c>
      <c r="S51" s="61" t="e">
        <v>#N/A</v>
      </c>
      <c r="T51" s="61" t="e">
        <v>#N/A</v>
      </c>
      <c r="U51" s="61" t="e">
        <v>#N/A</v>
      </c>
    </row>
    <row r="52" spans="1:21" ht="15.75" customHeight="1" x14ac:dyDescent="0.25">
      <c r="A52" s="287"/>
      <c r="B52" s="293"/>
      <c r="C52" s="291"/>
      <c r="D52" s="307"/>
      <c r="E52" s="290"/>
      <c r="F52" s="325" t="s">
        <v>84</v>
      </c>
      <c r="G52" s="313">
        <v>5</v>
      </c>
      <c r="H52" s="31" t="s">
        <v>85</v>
      </c>
      <c r="I52" s="19"/>
      <c r="J52" s="19"/>
      <c r="K52" s="19"/>
      <c r="L52" s="50"/>
      <c r="M52" s="34"/>
      <c r="N52" s="360" t="e">
        <f>AVERAGEIF(O52:O53,"&lt;&gt;#N/A")</f>
        <v>#DIV/0!</v>
      </c>
      <c r="O52" s="48" t="e">
        <f t="shared" si="0"/>
        <v>#N/A</v>
      </c>
      <c r="Q52" s="61">
        <f t="shared" si="1"/>
        <v>0</v>
      </c>
      <c r="R52" s="61" t="e">
        <f t="array" ref="R52:U52">VLOOKUP($I52:$L52,$N$15:$O$19,2,FALSE)*(_xlfn.ANCHORARRAY($R$20)/$T$18)</f>
        <v>#N/A</v>
      </c>
      <c r="S52" s="61" t="e">
        <v>#N/A</v>
      </c>
      <c r="T52" s="61" t="e">
        <v>#N/A</v>
      </c>
      <c r="U52" s="61" t="e">
        <v>#N/A</v>
      </c>
    </row>
    <row r="53" spans="1:21" ht="15.75" customHeight="1" x14ac:dyDescent="0.25">
      <c r="A53" s="287"/>
      <c r="B53" s="293"/>
      <c r="C53" s="291"/>
      <c r="D53" s="308"/>
      <c r="E53" s="305"/>
      <c r="F53" s="326"/>
      <c r="G53" s="315"/>
      <c r="H53" s="32" t="s">
        <v>120</v>
      </c>
      <c r="I53" s="19"/>
      <c r="J53" s="19"/>
      <c r="K53" s="19"/>
      <c r="L53" s="50"/>
      <c r="M53" s="34"/>
      <c r="N53" s="361"/>
      <c r="O53" s="49" t="e">
        <f t="shared" si="0"/>
        <v>#N/A</v>
      </c>
      <c r="Q53" s="61">
        <f t="shared" si="1"/>
        <v>0</v>
      </c>
      <c r="R53" s="61" t="e">
        <f t="array" ref="R53:U53">VLOOKUP($I53:$L53,$N$15:$O$19,2,FALSE)*(_xlfn.ANCHORARRAY($R$20)/$T$18)</f>
        <v>#N/A</v>
      </c>
      <c r="S53" s="61" t="e">
        <v>#N/A</v>
      </c>
      <c r="T53" s="61" t="e">
        <v>#N/A</v>
      </c>
      <c r="U53" s="61" t="e">
        <v>#N/A</v>
      </c>
    </row>
    <row r="54" spans="1:21" ht="15.75" customHeight="1" x14ac:dyDescent="0.25">
      <c r="A54" s="287"/>
      <c r="B54" s="293"/>
      <c r="C54" s="291"/>
      <c r="D54" s="298" t="s">
        <v>86</v>
      </c>
      <c r="E54" s="291">
        <f>AVERAGE(G54:G56)</f>
        <v>13</v>
      </c>
      <c r="F54" s="322" t="s">
        <v>87</v>
      </c>
      <c r="G54" s="313">
        <v>13</v>
      </c>
      <c r="H54" s="13" t="s">
        <v>88</v>
      </c>
      <c r="I54" s="19"/>
      <c r="J54" s="19"/>
      <c r="K54" s="19"/>
      <c r="L54" s="50"/>
      <c r="M54" s="34"/>
      <c r="N54" s="351" t="e">
        <f>AVERAGEIF(O54:O56,"&lt;&gt;#N/A")</f>
        <v>#DIV/0!</v>
      </c>
      <c r="O54" s="42" t="e">
        <f t="shared" si="0"/>
        <v>#N/A</v>
      </c>
      <c r="Q54" s="61">
        <f t="shared" si="1"/>
        <v>0</v>
      </c>
      <c r="R54" s="61" t="e">
        <f t="array" ref="R54:U54">VLOOKUP($I54:$L54,$N$15:$O$19,2,FALSE)*(_xlfn.ANCHORARRAY($R$20)/$T$18)</f>
        <v>#N/A</v>
      </c>
      <c r="S54" s="61" t="e">
        <v>#N/A</v>
      </c>
      <c r="T54" s="61" t="e">
        <v>#N/A</v>
      </c>
      <c r="U54" s="61" t="e">
        <v>#N/A</v>
      </c>
    </row>
    <row r="55" spans="1:21" ht="15.75" customHeight="1" x14ac:dyDescent="0.25">
      <c r="A55" s="287"/>
      <c r="B55" s="293"/>
      <c r="C55" s="291"/>
      <c r="D55" s="298"/>
      <c r="E55" s="291"/>
      <c r="F55" s="323"/>
      <c r="G55" s="314"/>
      <c r="H55" s="13" t="s">
        <v>89</v>
      </c>
      <c r="I55" s="19"/>
      <c r="J55" s="19"/>
      <c r="K55" s="19"/>
      <c r="L55" s="50"/>
      <c r="M55" s="34"/>
      <c r="N55" s="352"/>
      <c r="O55" s="42" t="e">
        <f t="shared" si="0"/>
        <v>#N/A</v>
      </c>
      <c r="Q55" s="61">
        <f t="shared" si="1"/>
        <v>0</v>
      </c>
      <c r="R55" s="61" t="e">
        <f t="array" ref="R55:U55">VLOOKUP($I55:$L55,$N$15:$O$19,2,FALSE)*(_xlfn.ANCHORARRAY($R$20)/$T$18)</f>
        <v>#N/A</v>
      </c>
      <c r="S55" s="61" t="e">
        <v>#N/A</v>
      </c>
      <c r="T55" s="61" t="e">
        <v>#N/A</v>
      </c>
      <c r="U55" s="61" t="e">
        <v>#N/A</v>
      </c>
    </row>
    <row r="56" spans="1:21" ht="15.75" customHeight="1" thickBot="1" x14ac:dyDescent="0.3">
      <c r="A56" s="288"/>
      <c r="B56" s="294"/>
      <c r="C56" s="292"/>
      <c r="D56" s="299"/>
      <c r="E56" s="292"/>
      <c r="F56" s="324"/>
      <c r="G56" s="321"/>
      <c r="H56" s="30" t="s">
        <v>90</v>
      </c>
      <c r="I56" s="33"/>
      <c r="J56" s="33"/>
      <c r="K56" s="33"/>
      <c r="L56" s="51"/>
      <c r="M56" s="34"/>
      <c r="N56" s="353"/>
      <c r="O56" s="43" t="e">
        <f t="shared" si="0"/>
        <v>#N/A</v>
      </c>
      <c r="Q56" s="61">
        <f t="shared" si="1"/>
        <v>0</v>
      </c>
      <c r="R56" s="61" t="e">
        <f t="array" ref="R56:U56">VLOOKUP($I56:$L56,$N$15:$O$19,2,FALSE)*(_xlfn.ANCHORARRAY($R$20)/$T$18)</f>
        <v>#N/A</v>
      </c>
      <c r="S56" s="61" t="e">
        <v>#N/A</v>
      </c>
      <c r="T56" s="61" t="e">
        <v>#N/A</v>
      </c>
      <c r="U56" s="61" t="e">
        <v>#N/A</v>
      </c>
    </row>
    <row r="57" spans="1:21" ht="15" customHeight="1" x14ac:dyDescent="0.25">
      <c r="E57" s="4"/>
      <c r="H57" s="1"/>
      <c r="I57" s="1"/>
      <c r="J57" s="1"/>
      <c r="K57" s="1"/>
      <c r="L57" s="1"/>
      <c r="M57" s="1"/>
    </row>
    <row r="58" spans="1:21" ht="15" customHeight="1" x14ac:dyDescent="0.25">
      <c r="E58" s="4"/>
    </row>
    <row r="59" spans="1:21" ht="15" customHeight="1" x14ac:dyDescent="0.25">
      <c r="E59" s="4"/>
    </row>
    <row r="63" spans="1:21" ht="21" x14ac:dyDescent="0.25">
      <c r="A63" s="6"/>
      <c r="B63" s="6"/>
    </row>
  </sheetData>
  <dataConsolidate/>
  <mergeCells count="80">
    <mergeCell ref="B18:E18"/>
    <mergeCell ref="N54:N56"/>
    <mergeCell ref="I15:L15"/>
    <mergeCell ref="N44:N45"/>
    <mergeCell ref="N46:N47"/>
    <mergeCell ref="N48:N49"/>
    <mergeCell ref="N50:N51"/>
    <mergeCell ref="N52:N53"/>
    <mergeCell ref="N30:N33"/>
    <mergeCell ref="N34:N37"/>
    <mergeCell ref="N38:N40"/>
    <mergeCell ref="N41:N43"/>
    <mergeCell ref="I20:I21"/>
    <mergeCell ref="E41:E43"/>
    <mergeCell ref="D19:E19"/>
    <mergeCell ref="F19:G19"/>
    <mergeCell ref="N14:O14"/>
    <mergeCell ref="N20:N21"/>
    <mergeCell ref="N22:N25"/>
    <mergeCell ref="N26:N29"/>
    <mergeCell ref="J20:J21"/>
    <mergeCell ref="K20:K21"/>
    <mergeCell ref="L20:L21"/>
    <mergeCell ref="A14:L14"/>
    <mergeCell ref="H19:L19"/>
    <mergeCell ref="O20:O21"/>
    <mergeCell ref="G22:G25"/>
    <mergeCell ref="G26:G29"/>
    <mergeCell ref="B15:E15"/>
    <mergeCell ref="B16:E16"/>
    <mergeCell ref="B17:E17"/>
    <mergeCell ref="B19:C19"/>
    <mergeCell ref="E54:E56"/>
    <mergeCell ref="D41:D43"/>
    <mergeCell ref="D44:D45"/>
    <mergeCell ref="G54:G56"/>
    <mergeCell ref="F54:F56"/>
    <mergeCell ref="F52:F53"/>
    <mergeCell ref="G52:G53"/>
    <mergeCell ref="E44:E45"/>
    <mergeCell ref="G50:G51"/>
    <mergeCell ref="F44:F45"/>
    <mergeCell ref="G44:G45"/>
    <mergeCell ref="G48:G49"/>
    <mergeCell ref="F48:F49"/>
    <mergeCell ref="F50:F51"/>
    <mergeCell ref="F46:F47"/>
    <mergeCell ref="E46:E53"/>
    <mergeCell ref="H20:H21"/>
    <mergeCell ref="F30:F33"/>
    <mergeCell ref="F26:F29"/>
    <mergeCell ref="E22:E33"/>
    <mergeCell ref="D46:D53"/>
    <mergeCell ref="D22:D33"/>
    <mergeCell ref="E34:E40"/>
    <mergeCell ref="F38:F40"/>
    <mergeCell ref="F22:F25"/>
    <mergeCell ref="G30:G33"/>
    <mergeCell ref="G46:G47"/>
    <mergeCell ref="G34:G37"/>
    <mergeCell ref="F34:F37"/>
    <mergeCell ref="G38:G40"/>
    <mergeCell ref="G41:G43"/>
    <mergeCell ref="F41:F43"/>
    <mergeCell ref="A20:A21"/>
    <mergeCell ref="D20:D21"/>
    <mergeCell ref="F20:F21"/>
    <mergeCell ref="G20:G21"/>
    <mergeCell ref="E20:E21"/>
    <mergeCell ref="B20:B21"/>
    <mergeCell ref="C20:C21"/>
    <mergeCell ref="A22:A56"/>
    <mergeCell ref="C41:C45"/>
    <mergeCell ref="C46:C56"/>
    <mergeCell ref="B46:B56"/>
    <mergeCell ref="D34:D40"/>
    <mergeCell ref="C22:C40"/>
    <mergeCell ref="B41:B45"/>
    <mergeCell ref="B22:B40"/>
    <mergeCell ref="D54:D56"/>
  </mergeCells>
  <conditionalFormatting sqref="N22:O56 G22:G56 E22 C22:C56 A22 E34:E56">
    <cfRule type="iconSet" priority="11">
      <iconSet>
        <cfvo type="percent" val="0"/>
        <cfvo type="num" val="6"/>
        <cfvo type="num" val="11"/>
      </iconSet>
    </cfRule>
  </conditionalFormatting>
  <dataValidations disablePrompts="1" count="3">
    <dataValidation type="decimal" allowBlank="1" showInputMessage="1" showErrorMessage="1" errorTitle="Invalid Variable Score" error="Variable score must be 1-15" promptTitle="Enter a variable score" prompt="15-11 = Functioning_x000a_10-6 = Functioning At-Risk_x000a_5-1 = Non-Functioning" sqref="G52:G56 G22:G47" xr:uid="{00000000-0002-0000-0100-000000000000}">
      <formula1>1</formula1>
      <formula2>15</formula2>
    </dataValidation>
    <dataValidation type="list" allowBlank="1" showInputMessage="1" showErrorMessage="1" sqref="I17:L17" xr:uid="{00000000-0002-0000-0100-000001000000}">
      <formula1>"Both,Left,Right"</formula1>
    </dataValidation>
    <dataValidation type="list" allowBlank="1" showInputMessage="1" showErrorMessage="1" sqref="I22:L56" xr:uid="{00000000-0002-0000-0100-000002000000}">
      <formula1>$Q$14:$Q$19</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I8"/>
  <sheetViews>
    <sheetView workbookViewId="0">
      <selection activeCell="G24" sqref="G24"/>
    </sheetView>
  </sheetViews>
  <sheetFormatPr defaultRowHeight="15" x14ac:dyDescent="0.25"/>
  <sheetData>
    <row r="2" spans="2:9" x14ac:dyDescent="0.25">
      <c r="B2" t="s">
        <v>121</v>
      </c>
      <c r="E2" t="s">
        <v>122</v>
      </c>
      <c r="G2" t="s">
        <v>34</v>
      </c>
      <c r="I2" t="s">
        <v>123</v>
      </c>
    </row>
    <row r="3" spans="2:9" x14ac:dyDescent="0.25">
      <c r="B3" s="2">
        <v>0</v>
      </c>
      <c r="C3" s="2" t="s">
        <v>124</v>
      </c>
      <c r="E3" s="3" t="s">
        <v>125</v>
      </c>
      <c r="G3" s="5" t="s">
        <v>126</v>
      </c>
      <c r="I3" t="s">
        <v>127</v>
      </c>
    </row>
    <row r="4" spans="2:9" x14ac:dyDescent="0.25">
      <c r="B4" s="2">
        <v>0.28999999999999998</v>
      </c>
      <c r="C4" s="2" t="s">
        <v>128</v>
      </c>
      <c r="E4" s="3" t="s">
        <v>129</v>
      </c>
      <c r="G4" s="5" t="s">
        <v>130</v>
      </c>
      <c r="I4" t="s">
        <v>131</v>
      </c>
    </row>
    <row r="5" spans="2:9" x14ac:dyDescent="0.25">
      <c r="B5" s="2">
        <v>0.3</v>
      </c>
      <c r="C5" s="2" t="s">
        <v>132</v>
      </c>
      <c r="G5" s="5" t="s">
        <v>133</v>
      </c>
      <c r="I5" t="s">
        <v>134</v>
      </c>
    </row>
    <row r="6" spans="2:9" x14ac:dyDescent="0.25">
      <c r="B6" s="2">
        <v>0.69</v>
      </c>
      <c r="C6" s="2" t="s">
        <v>135</v>
      </c>
    </row>
    <row r="7" spans="2:9" x14ac:dyDescent="0.25">
      <c r="B7" s="2">
        <v>0.7</v>
      </c>
      <c r="C7" s="2" t="s">
        <v>136</v>
      </c>
    </row>
    <row r="8" spans="2:9" x14ac:dyDescent="0.25">
      <c r="B8" s="2">
        <v>1</v>
      </c>
      <c r="C8" s="2" t="s">
        <v>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pageSetUpPr fitToPage="1"/>
  </sheetPr>
  <dimension ref="A1:D44"/>
  <sheetViews>
    <sheetView workbookViewId="0" showGridLines="0"/>
  </sheetViews>
  <sheetFormatPr defaultRowHeight="15"/>
  <cols>
    <col min="1" max="1" width="34" customWidth="1"/>
    <col min="2" max="2" width="13" customWidth="1"/>
    <col min="3" max="3" width="13" customWidth="1"/>
    <col min="4" max="4" width="10" customWidth="1"/>
  </cols>
  <sheetData>
    <row r="1" ht="28" customHeight="1">
      <c r="A1" s="369" t="inlineStr">
        <is>
          <t xml:space="preserve">SFARI assessment summary</t>
        </is>
      </c>
    </row>
    <row r="2" ht="18" customHeight="1"/>
    <row r="3" ht="10" customHeight="1"/>
    <row r="4" ht="18" customHeight="1">
      <c r="A4" s="376" t="inlineStr">
        <is>
          <t xml:space="preserve">Reach name</t>
        </is>
      </c>
      <c r="B4" s="377"/>
      <c r="C4" s="377"/>
      <c r="D4" s="377"/>
    </row>
    <row r="5" ht="18" customHeight="1">
      <c r="A5" s="376" t="inlineStr">
        <is>
          <t xml:space="preserve">Assessment tier</t>
        </is>
      </c>
      <c r="B5" s="377" t="inlineStr">
        <is>
          <t xml:space="preserve">Rapid</t>
        </is>
      </c>
      <c r="C5" s="377"/>
      <c r="D5" s="377"/>
    </row>
    <row r="6" ht="18" customHeight="1">
      <c r="A6" s="376" t="inlineStr">
        <is>
          <t xml:space="preserve">Reach length</t>
        </is>
      </c>
      <c r="B6" s="377"/>
      <c r="C6" s="377"/>
      <c r="D6" s="377"/>
    </row>
    <row r="7" ht="18" customHeight="1">
      <c r="A7" s="376" t="inlineStr">
        <is>
          <t xml:space="preserve">Drainage area</t>
        </is>
      </c>
      <c r="B7" s="377"/>
      <c r="C7" s="377"/>
      <c r="D7" s="377"/>
    </row>
    <row r="8" ht="18" customHeight="1">
      <c r="A8" s="376" t="inlineStr">
        <is>
          <t xml:space="preserve">Stream order (Strahler)</t>
        </is>
      </c>
      <c r="B8" s="377"/>
      <c r="C8" s="377"/>
      <c r="D8" s="377"/>
    </row>
    <row r="9" ht="18" customHeight="1">
      <c r="A9" s="376" t="inlineStr">
        <is>
          <t xml:space="preserve">NARS-9 region</t>
        </is>
      </c>
      <c r="B9" s="377"/>
      <c r="C9" s="377"/>
      <c r="D9" s="377"/>
    </row>
    <row r="10" ht="18" customHeight="1">
      <c r="A10" s="376" t="inlineStr">
        <is>
          <t xml:space="preserve">EPA Level I ecoregion</t>
        </is>
      </c>
      <c r="B10" s="377"/>
      <c r="C10" s="377"/>
      <c r="D10" s="377"/>
    </row>
    <row r="11" ht="18" customHeight="1">
      <c r="A11" s="376" t="inlineStr">
        <is>
          <t xml:space="preserve">EPA Level II ecoregion</t>
        </is>
      </c>
      <c r="B11" s="377"/>
      <c r="C11" s="377"/>
      <c r="D11" s="377"/>
    </row>
    <row r="12" ht="18" customHeight="1">
      <c r="A12" s="376" t="inlineStr">
        <is>
          <t xml:space="preserve">EPA Level III ecoregion</t>
        </is>
      </c>
      <c r="B12" s="377"/>
      <c r="C12" s="377"/>
      <c r="D12" s="377"/>
    </row>
    <row r="13" ht="28" customHeight="1">
      <c r="A13" s="371" t="inlineStr">
        <is>
          <t xml:space="preserve">Scores</t>
        </is>
      </c>
    </row>
    <row r="14" ht="36" customHeight="1">
      <c r="A14" s="373"/>
      <c r="B14" s="372" t="inlineStr">
        <is>
          <t xml:space="preserve">Existing Conditions</t>
        </is>
      </c>
    </row>
    <row r="15" ht="22" customHeight="1">
      <c r="A15" s="380" t="inlineStr">
        <is>
          <t xml:space="preserve">Index</t>
        </is>
      </c>
      <c r="B15" s="381"/>
    </row>
    <row r="16" ht="18" customHeight="1">
      <c r="A16" s="382" t="inlineStr">
        <is>
          <t xml:space="preserve">ECI</t>
        </is>
      </c>
      <c r="B16" s="383" t="str">
        <f>IF(ISNUMBER('Existing Conditions'!$A$8),'Existing Conditions'!$A$8,"")</f>
        <v/>
      </c>
    </row>
    <row r="17" ht="18" customHeight="1">
      <c r="A17" s="375" t="inlineStr">
        <is>
          <t xml:space="preserve">Physical</t>
        </is>
      </c>
      <c r="B17" s="384" t="str">
        <f>IF(ISNUMBER('Existing Conditions'!$C$8),'Existing Conditions'!$C$8,"")</f>
        <v/>
      </c>
    </row>
    <row r="18" ht="18" customHeight="1">
      <c r="A18" s="375" t="inlineStr">
        <is>
          <t xml:space="preserve">Chemical</t>
        </is>
      </c>
      <c r="B18" s="384" t="str">
        <f>IF(ISNUMBER('Existing Conditions'!$C$56),'Existing Conditions'!$C$56,"")</f>
        <v/>
      </c>
    </row>
    <row r="19" ht="18" customHeight="1">
      <c r="A19" s="375" t="inlineStr">
        <is>
          <t xml:space="preserve">Biological</t>
        </is>
      </c>
      <c r="B19" s="384" t="str">
        <f>IF(ISNUMBER('Existing Conditions'!$C$72),'Existing Conditions'!$C$72,"")</f>
        <v/>
      </c>
    </row>
    <row r="20" ht="22" customHeight="1">
      <c r="A20" s="380" t="inlineStr">
        <is>
          <t xml:space="preserve">Hydrology</t>
        </is>
      </c>
      <c r="B20" s="381"/>
    </row>
    <row r="21" ht="18" customHeight="1">
      <c r="A21" s="375" t="inlineStr">
        <is>
          <t xml:space="preserve">Catchment hydrology</t>
        </is>
      </c>
      <c r="B21" s="385" t="str">
        <f>IF(ISNUMBER('Existing Conditions'!$H$8),'Existing Conditions'!$H$8,"")</f>
        <v/>
      </c>
    </row>
    <row r="22" ht="18" customHeight="1">
      <c r="A22" s="375" t="inlineStr">
        <is>
          <t xml:space="preserve">Surface water storage</t>
        </is>
      </c>
      <c r="B22" s="385" t="str">
        <f>IF(ISNUMBER('Existing Conditions'!$H$12),'Existing Conditions'!$H$12,"")</f>
        <v/>
      </c>
    </row>
    <row r="23" ht="18" customHeight="1">
      <c r="A23" s="375" t="inlineStr">
        <is>
          <t xml:space="preserve">Reach inflow</t>
        </is>
      </c>
      <c r="B23" s="385" t="str">
        <f>IF(ISNUMBER('Existing Conditions'!$H$16),'Existing Conditions'!$H$16,"")</f>
        <v/>
      </c>
    </row>
    <row r="24" ht="18" customHeight="1">
      <c r="A24" s="375" t="inlineStr">
        <is>
          <t xml:space="preserve">Streamflow regime</t>
        </is>
      </c>
      <c r="B24" s="385" t="str">
        <f>IF(ISNUMBER('Existing Conditions'!$H$20),'Existing Conditions'!$H$20,"")</f>
        <v/>
      </c>
    </row>
    <row r="25" ht="22" customHeight="1">
      <c r="A25" s="380" t="inlineStr">
        <is>
          <t xml:space="preserve">Hydraulics</t>
        </is>
      </c>
      <c r="B25" s="381"/>
    </row>
    <row r="26" ht="18" customHeight="1">
      <c r="A26" s="375" t="inlineStr">
        <is>
          <t xml:space="preserve">Low flow and baseflow dynamics</t>
        </is>
      </c>
      <c r="B26" s="385" t="str">
        <f>IF(ISNUMBER('Existing Conditions'!$H$24),'Existing Conditions'!$H$24,"")</f>
        <v/>
      </c>
    </row>
    <row r="27" ht="18" customHeight="1">
      <c r="A27" s="375" t="inlineStr">
        <is>
          <t xml:space="preserve">High flow dynamics</t>
        </is>
      </c>
      <c r="B27" s="385" t="str">
        <f>IF(ISNUMBER('Existing Conditions'!$H$28),'Existing Conditions'!$H$28,"")</f>
        <v/>
      </c>
    </row>
    <row r="28" ht="18" customHeight="1">
      <c r="A28" s="375" t="inlineStr">
        <is>
          <t xml:space="preserve">Floodplain connectivity</t>
        </is>
      </c>
      <c r="B28" s="385" t="str">
        <f>IF(ISNUMBER('Existing Conditions'!$H$32),'Existing Conditions'!$H$32,"")</f>
        <v/>
      </c>
    </row>
    <row r="29" ht="18" customHeight="1">
      <c r="A29" s="375" t="inlineStr">
        <is>
          <t xml:space="preserve">Hyporheic connectivity</t>
        </is>
      </c>
      <c r="B29" s="385" t="str">
        <f>IF(ISNUMBER('Existing Conditions'!$H$36),'Existing Conditions'!$H$36,"")</f>
        <v/>
      </c>
    </row>
    <row r="30" ht="22" customHeight="1">
      <c r="A30" s="380" t="inlineStr">
        <is>
          <t xml:space="preserve">Geomorphology</t>
        </is>
      </c>
      <c r="B30" s="381"/>
    </row>
    <row r="31" ht="18" customHeight="1">
      <c r="A31" s="375" t="inlineStr">
        <is>
          <t xml:space="preserve">Channel evolution</t>
        </is>
      </c>
      <c r="B31" s="385" t="str">
        <f>IF(ISNUMBER('Existing Conditions'!$H$40),'Existing Conditions'!$H$40,"")</f>
        <v/>
      </c>
    </row>
    <row r="32" ht="18" customHeight="1">
      <c r="A32" s="375" t="inlineStr">
        <is>
          <t xml:space="preserve">Channel and floodplain dynamics</t>
        </is>
      </c>
      <c r="B32" s="385" t="str">
        <f>IF(ISNUMBER('Existing Conditions'!$H$44),'Existing Conditions'!$H$44,"")</f>
        <v/>
      </c>
    </row>
    <row r="33" ht="18" customHeight="1">
      <c r="A33" s="375" t="inlineStr">
        <is>
          <t xml:space="preserve">Sediment continuity</t>
        </is>
      </c>
      <c r="B33" s="385" t="str">
        <f>IF(ISNUMBER('Existing Conditions'!$H$48),'Existing Conditions'!$H$48,"")</f>
        <v/>
      </c>
    </row>
    <row r="34" ht="18" customHeight="1">
      <c r="A34" s="375" t="inlineStr">
        <is>
          <t xml:space="preserve">Bed composition and bedform dynamics</t>
        </is>
      </c>
      <c r="B34" s="385" t="str">
        <f>IF(ISNUMBER('Existing Conditions'!$H$52),'Existing Conditions'!$H$52,"")</f>
        <v/>
      </c>
    </row>
    <row r="35" ht="22" customHeight="1">
      <c r="A35" s="380" t="inlineStr">
        <is>
          <t xml:space="preserve">Physicochemistry</t>
        </is>
      </c>
      <c r="B35" s="381"/>
    </row>
    <row r="36" ht="18" customHeight="1">
      <c r="A36" s="375" t="inlineStr">
        <is>
          <t xml:space="preserve">Light and thermal regime</t>
        </is>
      </c>
      <c r="B36" s="385" t="str">
        <f>IF(ISNUMBER('Existing Conditions'!$H$56),'Existing Conditions'!$H$56,"")</f>
        <v/>
      </c>
    </row>
    <row r="37" ht="18" customHeight="1">
      <c r="A37" s="375" t="inlineStr">
        <is>
          <t xml:space="preserve">Carbon processing</t>
        </is>
      </c>
      <c r="B37" s="385" t="str">
        <f>IF(ISNUMBER('Existing Conditions'!$H$60),'Existing Conditions'!$H$60,"")</f>
        <v/>
      </c>
    </row>
    <row r="38" ht="18" customHeight="1">
      <c r="A38" s="375" t="inlineStr">
        <is>
          <t xml:space="preserve">Nutrient cycling</t>
        </is>
      </c>
      <c r="B38" s="385" t="str">
        <f>IF(ISNUMBER('Existing Conditions'!$H$64),'Existing Conditions'!$H$64,"")</f>
        <v/>
      </c>
    </row>
    <row r="39" ht="18" customHeight="1">
      <c r="A39" s="375" t="inlineStr">
        <is>
          <t xml:space="preserve">Water and soil quality</t>
        </is>
      </c>
      <c r="B39" s="385" t="str">
        <f>IF(ISNUMBER('Existing Conditions'!$H$68),'Existing Conditions'!$H$68,"")</f>
        <v/>
      </c>
    </row>
    <row r="40" ht="22" customHeight="1">
      <c r="A40" s="380" t="inlineStr">
        <is>
          <t xml:space="preserve">Biology</t>
        </is>
      </c>
      <c r="B40" s="381"/>
    </row>
    <row r="41" ht="18" customHeight="1">
      <c r="A41" s="375" t="inlineStr">
        <is>
          <t xml:space="preserve">Habitat provision</t>
        </is>
      </c>
      <c r="B41" s="385" t="str">
        <f>IF(ISNUMBER('Existing Conditions'!$H$72),'Existing Conditions'!$H$72,"")</f>
        <v/>
      </c>
    </row>
    <row r="42" ht="18" customHeight="1">
      <c r="A42" s="375" t="inlineStr">
        <is>
          <t xml:space="preserve">Population support</t>
        </is>
      </c>
      <c r="B42" s="385" t="str">
        <f>IF(ISNUMBER('Existing Conditions'!$H$76),'Existing Conditions'!$H$76,"")</f>
        <v/>
      </c>
    </row>
    <row r="43" ht="18" customHeight="1">
      <c r="A43" s="375" t="inlineStr">
        <is>
          <t xml:space="preserve">Community dynamics</t>
        </is>
      </c>
      <c r="B43" s="385" t="str">
        <f>IF(ISNUMBER('Existing Conditions'!$H$80),'Existing Conditions'!$H$80,"")</f>
        <v/>
      </c>
    </row>
    <row r="44" ht="18" customHeight="1">
      <c r="A44" s="375" t="inlineStr">
        <is>
          <t xml:space="preserve">Watershed connectivity</t>
        </is>
      </c>
      <c r="B44" s="385" t="str">
        <f>IF(ISNUMBER('Existing Conditions'!$H$84),'Existing Conditions'!$H$84,"")</f>
        <v/>
      </c>
    </row>
  </sheetData>
  <mergeCells count="9">
    <mergeCell ref="B4:D4"/>
    <mergeCell ref="B5:D5"/>
    <mergeCell ref="B6:D6"/>
    <mergeCell ref="B7:D7"/>
    <mergeCell ref="B8:D8"/>
    <mergeCell ref="B9:D9"/>
    <mergeCell ref="B10:D10"/>
    <mergeCell ref="B11:D11"/>
    <mergeCell ref="B12:D12"/>
  </mergeCells>
  <printOptions horizontalCentered="1"/>
  <pageMargins left="0.5" right="0.5" top="0.6" bottom="0.6" header="0.3" footer="0.3"/>
  <pageSetup orientation="portrait" fitToWidth="1" fitToHeight="1"/>
</worksheet>
</file>

<file path=xl/worksheets/sheet7.xml><?xml version="1.0" encoding="utf-8"?>
<worksheet xmlns="http://schemas.openxmlformats.org/spreadsheetml/2006/main" xmlns:r="http://schemas.openxmlformats.org/officeDocument/2006/relationships">
  <sheetPr>
    <pageSetUpPr fitToPage="1"/>
  </sheetPr>
  <dimension ref="A1:G108"/>
  <sheetViews>
    <sheetView workbookViewId="0" showGridLines="0"/>
  </sheetViews>
  <sheetFormatPr defaultRowHeight="15"/>
  <cols>
    <col min="1" max="1" width="22" customWidth="1"/>
    <col min="2" max="2" width="26" customWidth="1"/>
    <col min="3" max="3" width="24" customWidth="1"/>
    <col min="4" max="4" width="24" customWidth="1"/>
    <col min="5" max="5" width="24" customWidth="1"/>
    <col min="6" max="6" width="24" customWidth="1"/>
    <col min="7" max="7" width="24" customWidth="1"/>
    <col min="8" max="8" width="10" customWidth="1"/>
  </cols>
  <sheetData>
    <row r="1" ht="24" customHeight="1">
      <c r="A1" s="369" t="inlineStr">
        <is>
          <t xml:space="preserve">Reference curves</t>
        </is>
      </c>
    </row>
    <row r="2">
      <c r="A2" s="370" t="inlineStr">
        <is>
          <t xml:space="preserve">SFARI rates metrics on a Likert scale; these are its criteria.</t>
        </is>
      </c>
    </row>
    <row r="4">
      <c r="A4" s="371" t="inlineStr">
        <is>
          <t xml:space="preserve">Likert scores</t>
        </is>
      </c>
    </row>
    <row r="5">
      <c r="A5" s="373" t="inlineStr">
        <is>
          <t xml:space="preserve">Likert</t>
        </is>
      </c>
      <c r="B5" s="372" t="inlineStr">
        <is>
          <t xml:space="preserve">Score</t>
        </is>
      </c>
    </row>
    <row r="6">
      <c r="A6" s="375" t="inlineStr">
        <is>
          <t xml:space="preserve">Strongly Agree</t>
        </is>
      </c>
      <c r="B6" s="374">
        <v>14</v>
      </c>
    </row>
    <row r="7">
      <c r="A7" s="375" t="inlineStr">
        <is>
          <t xml:space="preserve">Agree</t>
        </is>
      </c>
      <c r="B7" s="374">
        <v>11</v>
      </c>
    </row>
    <row r="8">
      <c r="A8" s="375" t="inlineStr">
        <is>
          <t xml:space="preserve">Neutral</t>
        </is>
      </c>
      <c r="B8" s="374">
        <v>8</v>
      </c>
    </row>
    <row r="9">
      <c r="A9" s="375" t="inlineStr">
        <is>
          <t xml:space="preserve">Disagree</t>
        </is>
      </c>
      <c r="B9" s="374">
        <v>5</v>
      </c>
    </row>
    <row r="10">
      <c r="A10" s="375" t="inlineStr">
        <is>
          <t xml:space="preserve">Strongly Disagree</t>
        </is>
      </c>
      <c r="B10" s="374">
        <v>2</v>
      </c>
    </row>
    <row r="11">
      <c r="A11" s="375" t="inlineStr">
        <is>
          <t xml:space="preserve">Not Applicable</t>
        </is>
      </c>
      <c r="B11" s="375" t="inlineStr">
        <is>
          <t xml:space="preserve">Not counted</t>
        </is>
      </c>
    </row>
    <row r="14">
      <c r="A14" s="371" t="inlineStr">
        <is>
          <t xml:space="preserve">Scoring criteria</t>
        </is>
      </c>
    </row>
    <row r="15">
      <c r="A15" s="373" t="inlineStr">
        <is>
          <t xml:space="preserve">Function</t>
        </is>
      </c>
      <c r="B15" s="372" t="inlineStr">
        <is>
          <t xml:space="preserve">Metric</t>
        </is>
      </c>
      <c r="C15" s="372" t="inlineStr">
        <is>
          <t xml:space="preserve">Strongly Agree</t>
        </is>
      </c>
      <c r="D15" s="372" t="inlineStr">
        <is>
          <t xml:space="preserve">Agree</t>
        </is>
      </c>
      <c r="E15" s="372" t="inlineStr">
        <is>
          <t xml:space="preserve">Neutral</t>
        </is>
      </c>
      <c r="F15" s="372" t="inlineStr">
        <is>
          <t xml:space="preserve">Disagree</t>
        </is>
      </c>
      <c r="G15" s="372" t="inlineStr">
        <is>
          <t xml:space="preserve">Strongly Disagree</t>
        </is>
      </c>
    </row>
    <row r="16">
      <c r="A16" s="375" t="inlineStr">
        <is>
          <t xml:space="preserve">Catchment hydrology</t>
        </is>
      </c>
      <c r="B16" s="375" t="inlineStr">
        <is>
          <t xml:space="preserve">Impervious surface area</t>
        </is>
      </c>
      <c r="C16" s="375" t="inlineStr">
        <is>
          <t xml:space="preserve">&lt; 5% impervious</t>
        </is>
      </c>
      <c r="D16" s="375" t="inlineStr">
        <is>
          <t xml:space="preserve">~5–10% impervious</t>
        </is>
      </c>
      <c r="E16" s="375"/>
      <c r="F16" s="375" t="inlineStr">
        <is>
          <t xml:space="preserve">10–20% impervious</t>
        </is>
      </c>
      <c r="G16" s="375" t="inlineStr">
        <is>
          <t xml:space="preserve">&gt;20% impervious</t>
        </is>
      </c>
    </row>
    <row r="17">
      <c r="A17" s="375" t="inlineStr">
        <is>
          <t xml:space="preserve">Catchment hydrology</t>
        </is>
      </c>
      <c r="B17" s="375" t="inlineStr">
        <is>
          <t xml:space="preserve">Road density</t>
        </is>
      </c>
      <c r="C17" s="375" t="inlineStr">
        <is>
          <t xml:space="preserve">&lt;0.5 km roads/km²</t>
        </is>
      </c>
      <c r="D17" s="375" t="inlineStr">
        <is>
          <t xml:space="preserve">~0.5–1.0 km/km²</t>
        </is>
      </c>
      <c r="E17" s="375"/>
      <c r="F17" s="375" t="inlineStr">
        <is>
          <t xml:space="preserve">1–2 km/km²</t>
        </is>
      </c>
      <c r="G17" s="375" t="inlineStr">
        <is>
          <t xml:space="preserve">&gt;2 km/km²</t>
        </is>
      </c>
    </row>
    <row r="18">
      <c r="A18" s="375" t="inlineStr">
        <is>
          <t xml:space="preserve">Catchment hydrology</t>
        </is>
      </c>
      <c r="B18" s="375" t="inlineStr">
        <is>
          <t xml:space="preserve">Land use change</t>
        </is>
      </c>
      <c r="C18" s="375" t="inlineStr">
        <is>
          <t xml:space="preserve">&lt;5% area converted (e.g., 2001–2019)</t>
        </is>
      </c>
      <c r="D18" s="375" t="inlineStr">
        <is>
          <t xml:space="preserve">5–15% converted</t>
        </is>
      </c>
      <c r="E18" s="375"/>
      <c r="F18" s="375" t="inlineStr">
        <is>
          <t xml:space="preserve">~15–30% converted</t>
        </is>
      </c>
      <c r="G18" s="375" t="inlineStr">
        <is>
          <t xml:space="preserve">≥30% converted</t>
        </is>
      </c>
    </row>
    <row r="19">
      <c r="A19" s="375" t="inlineStr">
        <is>
          <t xml:space="preserve">Catchment hydrology</t>
        </is>
      </c>
      <c r="B19" s="375" t="inlineStr">
        <is>
          <t xml:space="preserve">Impoundments</t>
        </is>
      </c>
      <c r="C19" s="375" t="inlineStr">
        <is>
          <t xml:space="preserve">None or negligible influence</t>
        </is>
      </c>
      <c r="D19" s="375" t="inlineStr">
        <is>
          <t xml:space="preserve">1–2 small dams, partial influence</t>
        </is>
      </c>
      <c r="E19" s="375"/>
      <c r="F19" s="375" t="inlineStr">
        <is>
          <t xml:space="preserve">Multiple moderate dams affecting peaks/baseflow</t>
        </is>
      </c>
      <c r="G19" s="375" t="inlineStr">
        <is>
          <t xml:space="preserve">Heavily regulated system</t>
        </is>
      </c>
    </row>
    <row r="20">
      <c r="A20" s="375" t="inlineStr">
        <is>
          <t xml:space="preserve">Surface water storage</t>
        </is>
      </c>
      <c r="B20" s="375" t="inlineStr">
        <is>
          <t xml:space="preserve">Wetland Coverage</t>
        </is>
      </c>
      <c r="C20" s="375" t="inlineStr">
        <is>
          <t xml:space="preserve">High (&gt;5% of floodplain area)</t>
        </is>
      </c>
      <c r="D20" s="375" t="inlineStr">
        <is>
          <t xml:space="preserve">Moderate (~2–5%)</t>
        </is>
      </c>
      <c r="E20" s="375"/>
      <c r="F20" s="375" t="inlineStr">
        <is>
          <t xml:space="preserve">Low (~1–2%)</t>
        </is>
      </c>
      <c r="G20" s="375" t="inlineStr">
        <is>
          <t xml:space="preserve">Very low (&lt;1%)</t>
        </is>
      </c>
    </row>
    <row r="21">
      <c r="A21" s="375" t="inlineStr">
        <is>
          <t xml:space="preserve">Surface water storage</t>
        </is>
      </c>
      <c r="B21" s="375" t="inlineStr">
        <is>
          <t xml:space="preserve">Floodplain Water Retention</t>
        </is>
      </c>
      <c r="C21" s="375" t="inlineStr">
        <is>
          <t xml:space="preserve">Floodplain engages at ~1–2 yr or 2–5 yr events</t>
        </is>
      </c>
      <c r="D21" s="375" t="inlineStr">
        <is>
          <t xml:space="preserve">Overbanking requires slightly larger than bankfull but not rare</t>
        </is>
      </c>
      <c r="E21" s="375"/>
      <c r="F21" s="375" t="inlineStr">
        <is>
          <t xml:space="preserve">Overbanking mainly at ~5–10 yr events. Partial disconnection</t>
        </is>
      </c>
      <c r="G21" s="375" t="inlineStr">
        <is>
          <t xml:space="preserve">Rarely or never overbanking below ~10-yr events. Incision or levees present</t>
        </is>
      </c>
    </row>
    <row r="22">
      <c r="A22" s="375" t="inlineStr">
        <is>
          <t xml:space="preserve">Surface water storage</t>
        </is>
      </c>
      <c r="B22" s="375" t="inlineStr">
        <is>
          <t xml:space="preserve">In-channel Ponding / Beaver</t>
        </is>
      </c>
      <c r="C22" s="375" t="inlineStr">
        <is>
          <t xml:space="preserve">Present where expected. Enhance baseflow and habitat. Minimal fragmentation</t>
        </is>
      </c>
      <c r="D22" s="375" t="inlineStr">
        <is>
          <t xml:space="preserve">One to two small obstructions. Minor impacts</t>
        </is>
      </c>
      <c r="E22" s="375"/>
      <c r="F22" s="375" t="inlineStr">
        <is>
          <t xml:space="preserve">Multiple ponds that moderately disrupt longitudinal connectivity</t>
        </is>
      </c>
      <c r="G22" s="375" t="inlineStr">
        <is>
          <t xml:space="preserve">Widespread channel fragmentation or overabundant ponding</t>
        </is>
      </c>
    </row>
    <row r="23">
      <c r="A23" s="375" t="inlineStr">
        <is>
          <t xml:space="preserve">Surface water storage</t>
        </is>
      </c>
      <c r="B23" s="375" t="inlineStr">
        <is>
          <t xml:space="preserve">Off-channel Storage</t>
        </is>
      </c>
      <c r="C23" s="375" t="inlineStr">
        <is>
          <t xml:space="preserve">Multiple features connect during moderate (~bankfull) floods</t>
        </is>
      </c>
      <c r="D23" s="375" t="inlineStr">
        <is>
          <t xml:space="preserve">Partial connection or few off-channel areas</t>
        </is>
      </c>
      <c r="E23" s="375"/>
      <c r="F23" s="375" t="inlineStr">
        <is>
          <t xml:space="preserve">Only large floods (&gt;5–10 yr) access these areas</t>
        </is>
      </c>
      <c r="G23" s="375" t="inlineStr">
        <is>
          <t xml:space="preserve">Off-channel features mostly gone or permanently cut off</t>
        </is>
      </c>
    </row>
    <row r="24">
      <c r="A24" s="375" t="inlineStr">
        <is>
          <t xml:space="preserve">Reach inflow</t>
        </is>
      </c>
      <c r="B24" s="375" t="inlineStr">
        <is>
          <t xml:space="preserve">Concentrated flow inputs</t>
        </is>
      </c>
      <c r="C24" s="375" t="inlineStr">
        <is>
          <t xml:space="preserve">0–1</t>
        </is>
      </c>
      <c r="D24" s="375" t="inlineStr">
        <is>
          <t xml:space="preserve">2–3</t>
        </is>
      </c>
      <c r="E24" s="375"/>
      <c r="F24" s="375" t="inlineStr">
        <is>
          <t xml:space="preserve">4–5</t>
        </is>
      </c>
      <c r="G24" s="375" t="inlineStr">
        <is>
          <t xml:space="preserve">&gt;5</t>
        </is>
      </c>
    </row>
    <row r="25">
      <c r="A25" s="375" t="inlineStr">
        <is>
          <t xml:space="preserve">Reach inflow</t>
        </is>
      </c>
      <c r="B25" s="375" t="inlineStr">
        <is>
          <t xml:space="preserve">Tributary condition and impact</t>
        </is>
      </c>
      <c r="C25" s="375" t="inlineStr">
        <is>
          <t xml:space="preserve">Mostly natural tributaries with stable flows and typical sediment loads</t>
        </is>
      </c>
      <c r="D25" s="375" t="inlineStr">
        <is>
          <t xml:space="preserve">One or two moderately altered tributaries with occasional elevated turbidity</t>
        </is>
      </c>
      <c r="E25" s="375"/>
      <c r="F25" s="375" t="inlineStr">
        <is>
          <t xml:space="preserve">Multiple majorly altered tributaries with frequent sediment plumes</t>
        </is>
      </c>
      <c r="G25" s="375" t="inlineStr">
        <is>
          <t xml:space="preserve">Widespread severely altered tributaries or severe pollution at many confluences</t>
        </is>
      </c>
    </row>
    <row r="26">
      <c r="A26" s="375" t="inlineStr">
        <is>
          <t xml:space="preserve">Reach inflow</t>
        </is>
      </c>
      <c r="B26" s="375" t="inlineStr">
        <is>
          <t xml:space="preserve">Local runoff diversions</t>
        </is>
      </c>
      <c r="C26" s="375" t="inlineStr">
        <is>
          <t xml:space="preserve">No notable withdrawals or returns</t>
        </is>
      </c>
      <c r="D26" s="375" t="inlineStr">
        <is>
          <t xml:space="preserve">Minor ditches or returns with limited effect</t>
        </is>
      </c>
      <c r="E26" s="375"/>
      <c r="F26" s="375" t="inlineStr">
        <is>
          <t xml:space="preserve">Moderate diversions or large returns that cause seasonal stress</t>
        </is>
      </c>
      <c r="G26" s="375" t="inlineStr">
        <is>
          <t xml:space="preserve">Large or chronic diversions or major returns that alter the flow regime</t>
        </is>
      </c>
    </row>
    <row r="27">
      <c r="A27" s="375" t="inlineStr">
        <is>
          <t xml:space="preserve">Reach inflow</t>
        </is>
      </c>
      <c r="B27" s="375" t="inlineStr">
        <is>
          <t xml:space="preserve">Road/highway drainage</t>
        </is>
      </c>
      <c r="C27" s="375" t="inlineStr">
        <is>
          <t xml:space="preserve">0–1</t>
        </is>
      </c>
      <c r="D27" s="375" t="inlineStr">
        <is>
          <t xml:space="preserve">2–3</t>
        </is>
      </c>
      <c r="E27" s="375"/>
      <c r="F27" s="375" t="inlineStr">
        <is>
          <t xml:space="preserve">4–5</t>
        </is>
      </c>
      <c r="G27" s="375" t="inlineStr">
        <is>
          <t xml:space="preserve">≥5 or a major highway outfall</t>
        </is>
      </c>
    </row>
    <row r="28">
      <c r="A28" s="375" t="inlineStr">
        <is>
          <t xml:space="preserve">Streamflow regime</t>
        </is>
      </c>
      <c r="B28" s="375" t="inlineStr">
        <is>
          <t xml:space="preserve">Flow permanence</t>
        </is>
      </c>
      <c r="C28" s="375" t="inlineStr">
        <is>
          <t xml:space="preserve">Vegetation, SDAM indicators, and mean flow all align with expected perennial, intermittent, or ephemeral patterns.</t>
        </is>
      </c>
      <c r="D28" s="375" t="inlineStr">
        <is>
          <t xml:space="preserve">Small mismatch in bed vegetation, SDAM indicators, or mean flow, but the overall class still makes sense.</t>
        </is>
      </c>
      <c r="E28" s="375"/>
      <c r="F28" s="375" t="inlineStr">
        <is>
          <t xml:space="preserve">Bed vegetation, SDAM indicators, or mean flow suggest a different flow class than expected.</t>
        </is>
      </c>
      <c r="G28" s="375" t="inlineStr">
        <is>
          <t xml:space="preserve">Multiple indicators point to a flow class that conflicts with reference or historical conditions.</t>
        </is>
      </c>
    </row>
    <row r="29">
      <c r="A29" s="375" t="inlineStr">
        <is>
          <t xml:space="preserve">Streamflow regime</t>
        </is>
      </c>
      <c r="B29" s="375" t="inlineStr">
        <is>
          <t xml:space="preserve">Flow statistics</t>
        </is>
      </c>
      <c r="C29" s="375" t="inlineStr">
        <is>
          <t xml:space="preserve">Zero flow days and dry periods match the historical pattern for the reach type.</t>
        </is>
      </c>
      <c r="D29" s="375" t="inlineStr">
        <is>
          <t xml:space="preserve">Slight increase in zero flow days or short new dry periods.</t>
        </is>
      </c>
      <c r="E29" s="375"/>
      <c r="F29" s="375" t="inlineStr">
        <is>
          <t xml:space="preserve">Longer or more frequent dry periods that affect habitat availability.</t>
        </is>
      </c>
      <c r="G29" s="375" t="inlineStr">
        <is>
          <t xml:space="preserve">Long cessation periods in a formerly perennial reach, indicating a new flow category.</t>
        </is>
      </c>
    </row>
    <row r="30">
      <c r="A30" s="375" t="inlineStr">
        <is>
          <t xml:space="preserve">Streamflow regime</t>
        </is>
      </c>
      <c r="B30" s="375" t="inlineStr">
        <is>
          <t xml:space="preserve">Channel natural flow regime</t>
        </is>
      </c>
      <c r="C30" s="375" t="inlineStr">
        <is>
          <t xml:space="preserve">Day-to-day flows change gradually and seasonal high and low flows match reference patterns.</t>
        </is>
      </c>
      <c r="D30" s="375" t="inlineStr">
        <is>
          <t xml:space="preserve">Some increase in rapid rises and falls or small timing shifts in seasonal peaks.</t>
        </is>
      </c>
      <c r="E30" s="375"/>
      <c r="F30" s="375" t="inlineStr">
        <is>
          <t xml:space="preserve">Frequent sharp surges or longer dry intervals. High flows occur less often.</t>
        </is>
      </c>
      <c r="G30" s="375" t="inlineStr">
        <is>
          <t xml:space="preserve">Strongly regulated pattern with rapid daily fluctuations or very long dry periods.</t>
        </is>
      </c>
    </row>
    <row r="31">
      <c r="A31" s="375" t="inlineStr">
        <is>
          <t xml:space="preserve">Streamflow regime</t>
        </is>
      </c>
      <c r="B31" s="375" t="inlineStr">
        <is>
          <t xml:space="preserve">Artificial structures and inputs</t>
        </is>
      </c>
      <c r="C31" s="375" t="inlineStr">
        <is>
          <t xml:space="preserve">No structures present or only small features with little influence on flows.</t>
        </is>
      </c>
      <c r="D31" s="375" t="inlineStr">
        <is>
          <t xml:space="preserve">One small structure creates a limited backwater or localized effect only.</t>
        </is>
      </c>
      <c r="E31" s="375"/>
      <c r="F31" s="375" t="inlineStr">
        <is>
          <t xml:space="preserve">Levees or other structures reduce floodplain access or flatten flood peaks.</t>
        </is>
      </c>
      <c r="G31" s="375" t="inlineStr">
        <is>
          <t xml:space="preserve">Large dam or major structure controls flows or causes sharp daily water level changes.</t>
        </is>
      </c>
    </row>
    <row r="32">
      <c r="A32" s="375" t="inlineStr">
        <is>
          <t xml:space="preserve">Low flow and baseflow dynamics</t>
        </is>
      </c>
      <c r="B32" s="375" t="inlineStr">
        <is>
          <t xml:space="preserve">Low flow velocity</t>
        </is>
      </c>
      <c r="C32" s="375" t="inlineStr">
        <is>
          <t xml:space="preserve">Water moves steadily through most of the reach. Small debris drifts without stopping.</t>
        </is>
      </c>
      <c r="D32" s="375" t="inlineStr">
        <is>
          <t xml:space="preserve">Water moves in most places but slows at riffle tails and inner bends.</t>
        </is>
      </c>
      <c r="E32" s="375"/>
      <c r="F32" s="375" t="inlineStr">
        <is>
          <t xml:space="preserve">Only slight movement in the thalweg. Debris often stops in pools or flat runs.</t>
        </is>
      </c>
      <c r="G32" s="375" t="inlineStr">
        <is>
          <t xml:space="preserve">No visible water movement. Surface film common.</t>
        </is>
      </c>
    </row>
    <row r="33">
      <c r="A33" s="375" t="inlineStr">
        <is>
          <t xml:space="preserve">Low flow and baseflow dynamics</t>
        </is>
      </c>
      <c r="B33" s="375" t="inlineStr">
        <is>
          <t xml:space="preserve">Low flow depth</t>
        </is>
      </c>
      <c r="C33" s="375" t="inlineStr">
        <is>
          <t xml:space="preserve">Pools are clearly deep enough to hold water. Most of the channel remains wetted and the bed is mostly submerged.</t>
        </is>
      </c>
      <c r="D33" s="375" t="inlineStr">
        <is>
          <t xml:space="preserve">Pools hold moderate depth and a shallow thread links many of them. Wetted areas cover about half or more of the reach.</t>
        </is>
      </c>
      <c r="E33" s="375"/>
      <c r="F33" s="375" t="inlineStr">
        <is>
          <t xml:space="preserve">Pools are shallow and only a few areas remain wetted. Much of the bed is exposed and riffles are mostly dry.</t>
        </is>
      </c>
      <c r="G33" s="375" t="inlineStr">
        <is>
          <t xml:space="preserve">Pools are very shallow or nearly dry. The bed is mostly exposed and there is no continuous wetted path.</t>
        </is>
      </c>
    </row>
    <row r="34">
      <c r="A34" s="375" t="inlineStr">
        <is>
          <t xml:space="preserve">Low flow and baseflow dynamics</t>
        </is>
      </c>
      <c r="B34" s="375" t="inlineStr">
        <is>
          <t xml:space="preserve">Longitudinal connectivity</t>
        </is>
      </c>
      <c r="C34" s="375" t="inlineStr">
        <is>
          <t xml:space="preserve">Water moves between pools without breaks. Riffles remain wetted and pass water.</t>
        </is>
      </c>
      <c r="D34" s="375" t="inlineStr">
        <is>
          <t xml:space="preserve">Short dry riffles appear but several pools are still linked by shallow threads of water.</t>
        </is>
      </c>
      <c r="E34" s="375"/>
      <c r="F34" s="375" t="inlineStr">
        <is>
          <t xml:space="preserve">Only a few narrow trickles remain. Riffles are mostly dry and block movement.</t>
        </is>
      </c>
      <c r="G34" s="375" t="inlineStr">
        <is>
          <t xml:space="preserve">No surface flow between pools. All riffles dry.</t>
        </is>
      </c>
    </row>
    <row r="35">
      <c r="A35" s="375" t="inlineStr">
        <is>
          <t xml:space="preserve">Low flow and baseflow dynamics</t>
        </is>
      </c>
      <c r="B35" s="375" t="inlineStr">
        <is>
          <t xml:space="preserve">Lateral connectivity</t>
        </is>
      </c>
      <c r="C35" s="375" t="inlineStr">
        <is>
          <t xml:space="preserve">Side features contain water and are linked to the main channel by a shallow flow path.</t>
        </is>
      </c>
      <c r="D35" s="375" t="inlineStr">
        <is>
          <t xml:space="preserve">Side channels hold water in several places and connect where the bank is lowest.</t>
        </is>
      </c>
      <c r="E35" s="375"/>
      <c r="F35" s="375" t="inlineStr">
        <is>
          <t xml:space="preserve">Backwaters or side pockets hold small amounts of water but do not connect to the channel except after storms.</t>
        </is>
      </c>
      <c r="G35" s="375" t="inlineStr">
        <is>
          <t xml:space="preserve">Channel is confined to the thalweg. All off-channel features dry.</t>
        </is>
      </c>
    </row>
    <row r="36">
      <c r="A36" s="375" t="inlineStr">
        <is>
          <t xml:space="preserve">High flow dynamics</t>
        </is>
      </c>
      <c r="B36" s="375" t="inlineStr">
        <is>
          <t xml:space="preserve">Overbank Flow Frequency</t>
        </is>
      </c>
      <c r="C36" s="375" t="inlineStr">
        <is>
          <t xml:space="preserve">Floodplain activation ~1–2 yr</t>
        </is>
      </c>
      <c r="D36" s="375" t="inlineStr">
        <is>
          <t xml:space="preserve">Activation ~3–5 yr</t>
        </is>
      </c>
      <c r="E36" s="375"/>
      <c r="F36" s="375" t="inlineStr">
        <is>
          <t xml:space="preserve">Activation ~5–10 yr</t>
        </is>
      </c>
      <c r="G36" s="375" t="inlineStr">
        <is>
          <t xml:space="preserve">Activation rare except large floods</t>
        </is>
      </c>
    </row>
    <row r="37">
      <c r="A37" s="375" t="inlineStr">
        <is>
          <t xml:space="preserve">High flow dynamics</t>
        </is>
      </c>
      <c r="B37" s="375" t="inlineStr">
        <is>
          <t xml:space="preserve">Peak Flow Capacity (Morphological Check)</t>
        </is>
      </c>
      <c r="C37" s="375" t="inlineStr">
        <is>
          <t xml:space="preserve">Near regional curve; stable</t>
        </is>
      </c>
      <c r="D37" s="375" t="inlineStr">
        <is>
          <t xml:space="preserve">Mild departure; occasional instability</t>
        </is>
      </c>
      <c r="E37" s="375"/>
      <c r="F37" s="375" t="inlineStr">
        <is>
          <t xml:space="preserve">Major departure; frequent instability</t>
        </is>
      </c>
      <c r="G37" s="375" t="inlineStr">
        <is>
          <t xml:space="preserve">Severe departure; chronic instability</t>
        </is>
      </c>
    </row>
    <row r="38">
      <c r="A38" s="375" t="inlineStr">
        <is>
          <t xml:space="preserve">High flow dynamics</t>
        </is>
      </c>
      <c r="B38" s="375" t="inlineStr">
        <is>
          <t xml:space="preserve">Peak Flow Capacity (Velocity/ Shear Stress)</t>
        </is>
      </c>
      <c r="C38" s="375" t="inlineStr">
        <is>
          <t xml:space="preserve">Near threshold; stable (τ \approx \ τC) at bankfull</t>
        </is>
      </c>
      <c r="D38" s="375" t="inlineStr">
        <is>
          <t xml:space="preserve">Slight mismatch; occasional instability</t>
        </is>
      </c>
      <c r="E38" s="375"/>
      <c r="F38" s="375" t="inlineStr">
        <is>
          <t xml:space="preserve">Marked mismatch</t>
        </is>
      </c>
      <c r="G38" s="375" t="inlineStr">
        <is>
          <t xml:space="preserve">Extreme mismatch</t>
        </is>
      </c>
    </row>
    <row r="39">
      <c r="A39" s="375" t="inlineStr">
        <is>
          <t xml:space="preserve">High flow dynamics</t>
        </is>
      </c>
      <c r="B39" s="375" t="inlineStr">
        <is>
          <t xml:space="preserve">Bed Mobilization Frequency</t>
        </is>
      </c>
      <c r="C39" s="375" t="inlineStr">
        <is>
          <t xml:space="preserve">Motion near bankfull (~1–2 yr)</t>
        </is>
      </c>
      <c r="D39" s="375" t="inlineStr">
        <is>
          <t xml:space="preserve">Slightly off</t>
        </is>
      </c>
      <c r="E39" s="375"/>
      <c r="F39" s="375" t="inlineStr">
        <is>
          <t xml:space="preserve">Often locked or often scoured</t>
        </is>
      </c>
      <c r="G39" s="375" t="inlineStr">
        <is>
          <t xml:space="preserve">Extreme mismatch</t>
        </is>
      </c>
    </row>
    <row r="40">
      <c r="A40" s="375" t="inlineStr">
        <is>
          <t xml:space="preserve">Floodplain connectivity</t>
        </is>
      </c>
      <c r="B40" s="375" t="inlineStr">
        <is>
          <t xml:space="preserve">Floodplain Complexity</t>
        </is>
      </c>
      <c r="C40" s="375" t="inlineStr">
        <is>
          <t xml:space="preserve">Several off-channel features connected at ~1–2 year stage; pattern resembles historical complexity.</t>
        </is>
      </c>
      <c r="D40" s="375" t="inlineStr">
        <is>
          <t xml:space="preserve">Partial complexity. Some features are disconnected at moderate floods.</t>
        </is>
      </c>
      <c r="E40" s="375"/>
      <c r="F40" s="375" t="inlineStr">
        <is>
          <t xml:space="preserve">Most side channels lost or isolated. Minimal diversity of floodplain features.</t>
        </is>
      </c>
      <c r="G40" s="375" t="inlineStr">
        <is>
          <t xml:space="preserve">Drastically simplified or leveed. No functional off-channel areas.</t>
        </is>
      </c>
    </row>
    <row r="41">
      <c r="A41" s="375" t="inlineStr">
        <is>
          <t xml:space="preserve">Floodplain connectivity</t>
        </is>
      </c>
      <c r="B41" s="375" t="inlineStr">
        <is>
          <t xml:space="preserve">Entrenchment (ER)</t>
        </is>
      </c>
      <c r="C41" s="375" t="inlineStr">
        <is>
          <t xml:space="preserve">ER &gt; 2.2.</t>
        </is>
      </c>
      <c r="D41" s="375" t="inlineStr">
        <is>
          <t xml:space="preserve">ER ~1.4–2.2.</t>
        </is>
      </c>
      <c r="E41" s="375"/>
      <c r="F41" s="375" t="inlineStr">
        <is>
          <t xml:space="preserve">ER &lt; 1.4.</t>
        </is>
      </c>
      <c r="G41" s="375" t="inlineStr">
        <is>
          <t xml:space="preserve">ER near 1.0 and confinement by levees or walls.</t>
        </is>
      </c>
    </row>
    <row r="42">
      <c r="A42" s="375" t="inlineStr">
        <is>
          <t xml:space="preserve">Floodplain connectivity</t>
        </is>
      </c>
      <c r="B42" s="375" t="inlineStr">
        <is>
          <t xml:space="preserve">Channel Condition</t>
        </is>
      </c>
      <c r="C42" s="375" t="inlineStr">
        <is>
          <t xml:space="preserve">Stable channel. Not incised or dredged. Frequent floodplain access.</t>
        </is>
      </c>
      <c r="D42" s="375" t="inlineStr">
        <is>
          <t xml:space="preserve">Slight channelization or partial dredging.</t>
        </is>
      </c>
      <c r="E42" s="375"/>
      <c r="F42" s="375" t="inlineStr">
        <is>
          <t xml:space="preserve">Heavily modified or incised with limited floodplain access.</t>
        </is>
      </c>
      <c r="G42" s="375" t="inlineStr">
        <is>
          <t xml:space="preserve">Deeply dredged or – – fully channelized. No functional floodplain.</t>
        </is>
      </c>
    </row>
    <row r="43">
      <c r="A43" s="375" t="inlineStr">
        <is>
          <t xml:space="preserve">Floodplain connectivity</t>
        </is>
      </c>
      <c r="B43" s="375" t="inlineStr">
        <is>
          <t xml:space="preserve">Lateral Floodplain Inundation</t>
        </is>
      </c>
      <c r="C43" s="375" t="inlineStr">
        <is>
          <t xml:space="preserve">1–2 year floods inundate side and backwaters.</t>
        </is>
      </c>
      <c r="D43" s="375" t="inlineStr">
        <is>
          <t xml:space="preserve">3–5 year floods required for broad access.</t>
        </is>
      </c>
      <c r="E43" s="375"/>
      <c r="F43" s="375" t="inlineStr">
        <is>
          <t xml:space="preserve">~10 year event needed for access.</t>
        </is>
      </c>
      <c r="G43" s="375" t="inlineStr">
        <is>
          <t xml:space="preserve">Only extreme events produce inundation.</t>
        </is>
      </c>
    </row>
    <row r="44">
      <c r="A44" s="375" t="inlineStr">
        <is>
          <t xml:space="preserve">Hyporheic connectivity</t>
        </is>
      </c>
      <c r="B44" s="375" t="inlineStr">
        <is>
          <t xml:space="preserve">Channel Complexity for Exchange</t>
        </is>
      </c>
      <c r="C44" s="375" t="inlineStr">
        <is>
          <t xml:space="preserve">Well-developed bedforms with obvious upwelling and downwelling zones.</t>
        </is>
      </c>
      <c r="D44" s="375" t="inlineStr">
        <is>
          <t xml:space="preserve">Bedform variety present but partially uniform.</t>
        </is>
      </c>
      <c r="E44" s="375"/>
      <c r="F44" s="375" t="inlineStr">
        <is>
          <t xml:space="preserve">Mostly uniform habitat with limited exchange features.</t>
        </is>
      </c>
      <c r="G44" s="375" t="inlineStr">
        <is>
          <t xml:space="preserve">Bed lacks form. Exchange likely negligible.</t>
        </is>
      </c>
    </row>
    <row r="45">
      <c r="A45" s="375" t="inlineStr">
        <is>
          <t xml:space="preserve">Hyporheic connectivity</t>
        </is>
      </c>
      <c r="B45" s="375" t="inlineStr">
        <is>
          <t xml:space="preserve">Floodplain Permeability</t>
        </is>
      </c>
      <c r="C45" s="375" t="inlineStr">
        <is>
          <t xml:space="preserve">Predominantly permeable floodplain soils supporting subsurface flow.</t>
        </is>
      </c>
      <c r="D45" s="375" t="inlineStr">
        <is>
          <t xml:space="preserve">Partially permeable. Some clogging layers.</t>
        </is>
      </c>
      <c r="E45" s="375"/>
      <c r="F45" s="375" t="inlineStr">
        <is>
          <t xml:space="preserve">Mostly fine or shallow bedrock that limits infiltration.</t>
        </is>
      </c>
      <c r="G45" s="375" t="inlineStr">
        <is>
          <t xml:space="preserve">Heavily compacted or lined. Minimal subsurface exchange.</t>
        </is>
      </c>
    </row>
    <row r="46">
      <c r="A46" s="375" t="inlineStr">
        <is>
          <t xml:space="preserve">Hyporheic connectivity</t>
        </is>
      </c>
      <c r="B46" s="375" t="inlineStr">
        <is>
          <t xml:space="preserve">Bed Surface Grain Size</t>
        </is>
      </c>
      <c r="C46" s="375" t="inlineStr">
        <is>
          <t xml:space="preserve">Fines &lt; 25%. Low embeddedness.</t>
        </is>
      </c>
      <c r="D46" s="375" t="inlineStr">
        <is>
          <t xml:space="preserve">Fines 25–50%. Moderate embeddedness.</t>
        </is>
      </c>
      <c r="E46" s="375"/>
      <c r="F46" s="375" t="inlineStr">
        <is>
          <t xml:space="preserve">Fines 50–75%. High embeddedness.</t>
        </is>
      </c>
      <c r="G46" s="375" t="inlineStr">
        <is>
          <t xml:space="preserve">Fines &gt;75%. Very high embeddedness.</t>
        </is>
      </c>
    </row>
    <row r="47">
      <c r="A47" s="375" t="inlineStr">
        <is>
          <t xml:space="preserve">Hyporheic connectivity</t>
        </is>
      </c>
      <c r="B47" s="375" t="inlineStr">
        <is>
          <t xml:space="preserve">Visible Hyporheic Indicators</t>
        </is>
      </c>
      <c r="C47" s="375" t="inlineStr">
        <is>
          <t xml:space="preserve">Clear, frequent indicators of sub-surface flow.</t>
        </is>
      </c>
      <c r="D47" s="375" t="inlineStr">
        <is>
          <t xml:space="preserve">Occasional indicators.</t>
        </is>
      </c>
      <c r="E47" s="375"/>
      <c r="F47" s="375" t="inlineStr">
        <is>
          <t xml:space="preserve">Rare or uncertain indicators.</t>
        </is>
      </c>
      <c r="G47" s="375" t="inlineStr">
        <is>
          <t xml:space="preserve">No evidence. Bed appears sealed or compacted.</t>
        </is>
      </c>
    </row>
    <row r="48">
      <c r="A48" s="375" t="inlineStr">
        <is>
          <t xml:space="preserve">Channel evolution</t>
        </is>
      </c>
      <c r="B48" s="375" t="inlineStr">
        <is>
          <t xml:space="preserve">Channel evolution stage</t>
        </is>
      </c>
      <c r="C48" s="375" t="inlineStr">
        <is>
          <t xml:space="preserve">Schumm Stage I or VI. Cluer &amp; Thorne stages 0–1 or 6–8.</t>
        </is>
      </c>
      <c r="D48" s="375" t="inlineStr">
        <is>
          <t xml:space="preserve">Schumm Stage V or mid-range in Cluer &amp; Thorne.</t>
        </is>
      </c>
      <c r="E48" s="375"/>
      <c r="F48" s="375" t="inlineStr">
        <is>
          <t xml:space="preserve">Schumm Stage III–IV.</t>
        </is>
      </c>
      <c r="G48" s="375" t="inlineStr">
        <is>
          <t xml:space="preserve">Schumm Stage II or destructive phases.</t>
        </is>
      </c>
    </row>
    <row r="49">
      <c r="A49" s="375" t="inlineStr">
        <is>
          <t xml:space="preserve">Channel evolution</t>
        </is>
      </c>
      <c r="B49" s="375" t="inlineStr">
        <is>
          <t xml:space="preserve">Incision trend (headcuts)</t>
        </is>
      </c>
      <c r="C49" s="375" t="inlineStr">
        <is>
          <t xml:space="preserve">No active headcuts.</t>
        </is>
      </c>
      <c r="D49" s="375" t="inlineStr">
        <is>
          <t xml:space="preserve">Localized feature with limited progression.</t>
        </is>
      </c>
      <c r="E49" s="375"/>
      <c r="F49" s="375" t="inlineStr">
        <is>
          <t xml:space="preserve">One to two moderate, actively migrating headcuts.</t>
        </is>
      </c>
      <c r="G49" s="375" t="inlineStr">
        <is>
          <t xml:space="preserve">Multiple or large active headcuts with rapid advance.</t>
        </is>
      </c>
    </row>
    <row r="50">
      <c r="A50" s="375" t="inlineStr">
        <is>
          <t xml:space="preserve">Channel evolution</t>
        </is>
      </c>
      <c r="B50" s="375" t="inlineStr">
        <is>
          <t xml:space="preserve">Widening trend</t>
        </is>
      </c>
      <c r="C50" s="375" t="inlineStr">
        <is>
          <t xml:space="preserve">Near-reference lateral change.</t>
        </is>
      </c>
      <c r="D50" s="375" t="inlineStr">
        <is>
          <t xml:space="preserve">Slightly above reference change.</t>
        </is>
      </c>
      <c r="E50" s="375"/>
      <c r="F50" s="375" t="inlineStr">
        <is>
          <t xml:space="preserve">Notably above or below reference with instability or constraints.</t>
        </is>
      </c>
      <c r="G50" s="375" t="inlineStr">
        <is>
          <t xml:space="preserve">Highly accelerated or heavily suppressed outside stable norms.</t>
        </is>
      </c>
    </row>
    <row r="51">
      <c r="A51" s="375" t="inlineStr">
        <is>
          <t xml:space="preserve">Channel evolution</t>
        </is>
      </c>
      <c r="B51" s="375" t="inlineStr">
        <is>
          <t xml:space="preserve">Recovery indicators</t>
        </is>
      </c>
      <c r="C51" s="375" t="inlineStr">
        <is>
          <t xml:space="preserve">Broad, established vegetated benches or inset floodplains.</t>
        </is>
      </c>
      <c r="D51" s="375" t="inlineStr">
        <is>
          <t xml:space="preserve">Noticeable but incomplete bench and bar formation.</t>
        </is>
      </c>
      <c r="E51" s="375"/>
      <c r="F51" s="375" t="inlineStr">
        <is>
          <t xml:space="preserve">Sparse new floodplain surfaces and limited vegetation.</t>
        </is>
      </c>
      <c r="G51" s="375" t="inlineStr">
        <is>
          <t xml:space="preserve">No meaningful signs of recovery.</t>
        </is>
      </c>
    </row>
    <row r="52">
      <c r="A52" s="375" t="inlineStr">
        <is>
          <t xml:space="preserve">Channel and floodplain dynamics</t>
        </is>
      </c>
      <c r="B52" s="375" t="inlineStr">
        <is>
          <t xml:space="preserve">Bank Erosion Potential</t>
        </is>
      </c>
      <c r="C52" s="375" t="inlineStr">
        <is>
          <t xml:space="preserve">Most banks are vegetated with few raw spots. Erosion is minor and recovers quickly.</t>
        </is>
      </c>
      <c r="D52" s="375" t="inlineStr">
        <is>
          <t xml:space="preserve">Patchy vegetation and scattered raw banks. Some localized erosion but not widespread.</t>
        </is>
      </c>
      <c r="E52" s="375"/>
      <c r="F52" s="375" t="inlineStr">
        <is>
          <t xml:space="preserve">Long bare sections and frequent slumps. Erosion affects large portions of the reach.</t>
        </is>
      </c>
      <c r="G52" s="375" t="inlineStr">
        <is>
          <t xml:space="preserve">Widespread raw banks and failing armor. Erosion is persistent across most of the reach.</t>
        </is>
      </c>
    </row>
    <row r="53">
      <c r="A53" s="375" t="inlineStr">
        <is>
          <t xml:space="preserve">Channel and floodplain dynamics</t>
        </is>
      </c>
      <c r="B53" s="375" t="inlineStr">
        <is>
          <t xml:space="preserve">Bank Migration and Meander</t>
        </is>
      </c>
      <c r="C53" s="375" t="inlineStr">
        <is>
          <t xml:space="preserve">Migration rate near reference. Cutoffs are rare or slow.</t>
        </is>
      </c>
      <c r="D53" s="375" t="inlineStr">
        <is>
          <t xml:space="preserve">Migration is slightly accelerated or locally constrained. Cutoffs are occasional.</t>
        </is>
      </c>
      <c r="E53" s="375"/>
      <c r="F53" s="375" t="inlineStr">
        <is>
          <t xml:space="preserve">Migration is about two to three times the reference in sensitive bends. Multiple cutoffs in recent decades.</t>
        </is>
      </c>
      <c r="G53" s="375" t="inlineStr">
        <is>
          <t xml:space="preserve">Migration is very rapid or the channel path is fixed by long armor far beyond reference behavior. Cutoffs are frequent or large in the last decade.</t>
        </is>
      </c>
    </row>
    <row r="54">
      <c r="A54" s="375" t="inlineStr">
        <is>
          <t xml:space="preserve">Channel and floodplain dynamics</t>
        </is>
      </c>
      <c r="B54" s="375" t="inlineStr">
        <is>
          <t xml:space="preserve">Sinuosity</t>
        </is>
      </c>
      <c r="C54" s="375" t="inlineStr">
        <is>
          <t xml:space="preserve">~1.2–1.5, or matches local reference</t>
        </is>
      </c>
      <c r="D54" s="375" t="inlineStr">
        <is>
          <t xml:space="preserve">~1.1–1.2</t>
        </is>
      </c>
      <c r="E54" s="375"/>
      <c r="F54" s="375" t="inlineStr">
        <is>
          <t xml:space="preserve">~1.05–1.1</t>
        </is>
      </c>
      <c r="G54" s="375" t="inlineStr">
        <is>
          <t xml:space="preserve">&lt;1.05 where meanders are expected</t>
        </is>
      </c>
    </row>
    <row r="55">
      <c r="A55" s="375" t="inlineStr">
        <is>
          <t xml:space="preserve">Channel and floodplain dynamics</t>
        </is>
      </c>
      <c r="B55" s="375" t="inlineStr">
        <is>
          <t xml:space="preserve">Channel pattern</t>
        </is>
      </c>
      <c r="C55" s="375" t="inlineStr">
        <is>
          <t xml:space="preserve">Pattern matches local reference for this setting. No artificial straightening.</t>
        </is>
      </c>
      <c r="D55" s="375" t="inlineStr">
        <is>
          <t xml:space="preserve">Minor realignment or short armored sections. Pattern is close to reference.</t>
        </is>
      </c>
      <c r="E55" s="375"/>
      <c r="F55" s="375" t="inlineStr">
        <is>
          <t xml:space="preserve">Most banks are vegetated with few raw spots. Erosion is minor and recovers quickly.</t>
        </is>
      </c>
      <c r="G55" s="375" t="inlineStr">
        <is>
          <t xml:space="preserve">Patchy vegetation and scattered raw banks. Some localized erosion but not widespread.</t>
        </is>
      </c>
    </row>
    <row r="56">
      <c r="A56" s="375" t="inlineStr">
        <is>
          <t xml:space="preserve">Sediment continuity</t>
        </is>
      </c>
      <c r="B56" s="375" t="inlineStr">
        <is>
          <t xml:space="preserve">Sediment Deposition Patterns</t>
        </is>
      </c>
      <c r="C56" s="375" t="inlineStr">
        <is>
          <t xml:space="preserve">Bar types and locations match expected reference for a single-thread meandering channel (Leopold et al., 1964).</t>
        </is>
      </c>
      <c r="D56" s="375" t="inlineStr">
        <is>
          <t xml:space="preserve">Minor departures from reference pattern.</t>
        </is>
      </c>
      <c r="E56" s="375"/>
      <c r="F56" s="375" t="inlineStr">
        <is>
          <t xml:space="preserve">Pattern suggests imbalance in supply vs transport for expected channel type (Bridge 2003).</t>
        </is>
      </c>
      <c r="G56" s="375" t="inlineStr">
        <is>
          <t xml:space="preserve">Widespread bar growth inconsistent with reference condition.</t>
        </is>
      </c>
    </row>
    <row r="57">
      <c r="A57" s="375" t="inlineStr">
        <is>
          <t xml:space="preserve">Sediment continuity</t>
        </is>
      </c>
      <c r="B57" s="375" t="inlineStr">
        <is>
          <t xml:space="preserve">Channel Degradation (Incision)</t>
        </is>
      </c>
      <c r="C57" s="375" t="inlineStr">
        <is>
          <t xml:space="preserve">ER &gt; 2.2. No active headcuts (Rosgen 1996, 2006).</t>
        </is>
      </c>
      <c r="D57" s="375" t="inlineStr">
        <is>
          <t xml:space="preserve">ER ~1.4–2.2. Limited headcut activity (Rosgen 1996, 2006).</t>
        </is>
      </c>
      <c r="E57" s="375"/>
      <c r="F57" s="375" t="inlineStr">
        <is>
          <t xml:space="preserve">ER &lt; 1.4. Observable upstream migration of headcuts (Simon &amp; Rinaldi 2006).</t>
        </is>
      </c>
      <c r="G57" s="375" t="inlineStr">
        <is>
          <t xml:space="preserve">ER &lt; 1.4 reach-wide. Widespread incision (Schumm et al., 1984; Rosgen 2006).</t>
        </is>
      </c>
    </row>
    <row r="58">
      <c r="A58" s="375" t="inlineStr">
        <is>
          <t xml:space="preserve">Sediment continuity</t>
        </is>
      </c>
      <c r="B58" s="375" t="inlineStr">
        <is>
          <t xml:space="preserve">Fine Sediment Balance</t>
        </is>
      </c>
      <c r="C58" s="375" t="inlineStr">
        <is>
          <t xml:space="preserve">Embeddedness &lt; 25% (Class 1) (Sylte &amp; Fischenich 2002).</t>
        </is>
      </c>
      <c r="D58" s="375" t="inlineStr">
        <is>
          <t xml:space="preserve">Embeddedness 25–50% (Class 2) (Sylte &amp; Fischenich 2002).</t>
        </is>
      </c>
      <c r="E58" s="375"/>
      <c r="F58" s="375" t="inlineStr">
        <is>
          <t xml:space="preserve">Embeddedness 50–75% (Class 3) (Sylte &amp; Fischenich 2002).</t>
        </is>
      </c>
      <c r="G58" s="375" t="inlineStr">
        <is>
          <t xml:space="preserve">Embeddedness &gt; 75% (Class 4) (Sylte &amp; Fischenich 2002).</t>
        </is>
      </c>
    </row>
    <row r="59">
      <c r="A59" s="375" t="inlineStr">
        <is>
          <t xml:space="preserve">Sediment continuity</t>
        </is>
      </c>
      <c r="B59" s="375" t="inlineStr">
        <is>
          <t xml:space="preserve">Transport Capacity</t>
        </is>
      </c>
      <c r="C59" s="375" t="inlineStr">
        <is>
          <t xml:space="preserve">Bankfull Shields stress ≈ 0.03–0.06 and consistent with D50. Morphology shows balanced scour/fill (Buffington &amp; Montgomery 1997).</t>
        </is>
      </c>
      <c r="D59" s="375" t="inlineStr">
        <is>
          <t xml:space="preserve">Shields slightly below critical range. Minor deposition.</t>
        </is>
      </c>
      <c r="E59" s="375"/>
      <c r="F59" s="375" t="inlineStr">
        <is>
          <t xml:space="preserve">Shields well below critical range. Under-capacity relative to supply.</t>
        </is>
      </c>
      <c r="G59" s="375" t="inlineStr">
        <is>
          <t xml:space="preserve">Shields well above critical range. Persistent over-capacity (Knighton 1998).</t>
        </is>
      </c>
    </row>
    <row r="60">
      <c r="A60" s="375" t="inlineStr">
        <is>
          <t xml:space="preserve">Bed composition and bedform dynamics</t>
        </is>
      </c>
      <c r="B60" s="375" t="inlineStr">
        <is>
          <t xml:space="preserve">Large Wood Frequency and Diversity</t>
        </is>
      </c>
      <c r="C60" s="375" t="inlineStr">
        <is>
          <t xml:space="preserve">Meets or exceeds reference for both density and variety. Wood is stable, interacts with flow, and forms pools or bars.</t>
        </is>
      </c>
      <c r="D60" s="375" t="inlineStr">
        <is>
          <t xml:space="preserve">Slightly below reference. Some pieces are small or unstable. Wood still adds habitat but less consistently.</t>
        </is>
      </c>
      <c r="E60" s="375"/>
      <c r="F60" s="375" t="inlineStr">
        <is>
          <t xml:space="preserve">Below reference for forested streams. Limited interaction with flow. Few or no key pieces.</t>
        </is>
      </c>
      <c r="G60" s="375" t="inlineStr">
        <is>
          <t xml:space="preserve">Far below reference for forested streams. If the natural setting has little wood, compare to that reference.</t>
        </is>
      </c>
    </row>
    <row r="61">
      <c r="A61" s="375" t="inlineStr">
        <is>
          <t xml:space="preserve">Bed composition and bedform dynamics</t>
        </is>
      </c>
      <c r="B61" s="375" t="inlineStr">
        <is>
          <t xml:space="preserve">Riparian Wood Recruitment</t>
        </is>
      </c>
      <c r="C61" s="375" t="inlineStr">
        <is>
          <t xml:space="preserve">Wide and continuous mature forest within ~30 m of banks on both sides. Strong recruitment potential. (Andrews Forest)</t>
        </is>
      </c>
      <c r="D61" s="375" t="inlineStr">
        <is>
          <t xml:space="preserve">Partial forest coverage. Recruitment present but reduced.</t>
        </is>
      </c>
      <c r="E61" s="375"/>
      <c r="F61" s="375" t="inlineStr">
        <is>
          <t xml:space="preserve">Narrow or patchy buffer. Few large stems near channel.</t>
        </is>
      </c>
      <c r="G61" s="375" t="inlineStr">
        <is>
          <t xml:space="preserve">No meaningful near-channel forest where forest is natural.</t>
        </is>
      </c>
    </row>
    <row r="62">
      <c r="A62" s="375" t="inlineStr">
        <is>
          <t xml:space="preserve">Bed composition and bedform dynamics</t>
        </is>
      </c>
      <c r="B62" s="375" t="inlineStr">
        <is>
          <t xml:space="preserve">Substrate Composition</t>
        </is>
      </c>
      <c r="C62" s="375" t="inlineStr">
        <is>
          <t xml:space="preserve">Size classes match reference. Embeddedness is low unless fines are naturally high, such as in wetland streams. No excessive hard surface layer.</t>
        </is>
      </c>
      <c r="D62" s="375" t="inlineStr">
        <is>
          <t xml:space="preserve">Minor departure from reference. Embeddedness is moderate. Surface may be slightly compacted.</t>
        </is>
      </c>
      <c r="E62" s="375"/>
      <c r="F62" s="375" t="inlineStr">
        <is>
          <t xml:space="preserve">Outside typical range for size classes. Embeddedness is high or surface is locked. Habitat quality is reduced.</t>
        </is>
      </c>
      <c r="G62" s="375" t="inlineStr">
        <is>
          <t xml:space="preserve">Far from reference. Severe burial of coarse substrate or extreme hardening. Habitat complexity from substrate is minimal.</t>
        </is>
      </c>
    </row>
    <row r="63">
      <c r="A63" s="375" t="inlineStr">
        <is>
          <t xml:space="preserve">Bed composition and bedform dynamics</t>
        </is>
      </c>
      <c r="B63" s="375" t="inlineStr">
        <is>
          <t xml:space="preserve">Bedform Diversity</t>
        </is>
      </c>
      <c r="C63" s="375" t="inlineStr">
        <is>
          <t xml:space="preserve">Robust bedform variety for stream type.</t>
        </is>
      </c>
      <c r="D63" s="375" t="inlineStr">
        <is>
          <t xml:space="preserve">Partially uniform bed with intermittent units.</t>
        </is>
      </c>
      <c r="E63" s="375"/>
      <c r="F63" s="375" t="inlineStr">
        <is>
          <t xml:space="preserve">Minimal expression of expected units.</t>
        </is>
      </c>
      <c r="G63" s="375" t="inlineStr">
        <is>
          <t xml:space="preserve">No meaningful bedform sequence.</t>
        </is>
      </c>
    </row>
    <row r="64">
      <c r="A64" s="375" t="inlineStr">
        <is>
          <t xml:space="preserve">Light and thermal regime</t>
        </is>
      </c>
      <c r="B64" s="375" t="inlineStr">
        <is>
          <t xml:space="preserve">Riparian Canopy Cover</t>
        </is>
      </c>
      <c r="C64" s="375" t="inlineStr">
        <is>
          <t xml:space="preserve">75–100% shade where forested reference conditions are expected.</t>
        </is>
      </c>
      <c r="D64" s="375" t="inlineStr">
        <is>
          <t xml:space="preserve">50–75% shade.</t>
        </is>
      </c>
      <c r="E64" s="375"/>
      <c r="F64" s="375" t="inlineStr">
        <is>
          <t xml:space="preserve">25–50% shade.</t>
        </is>
      </c>
      <c r="G64" s="375" t="inlineStr">
        <is>
          <t xml:space="preserve">&lt;25% shade. Note that excessive shade would be flagged only in historically open systems.</t>
        </is>
      </c>
    </row>
    <row r="65">
      <c r="A65" s="375" t="inlineStr">
        <is>
          <t xml:space="preserve">Light and thermal regime</t>
        </is>
      </c>
      <c r="B65" s="375" t="inlineStr">
        <is>
          <t xml:space="preserve">Stream Temperature (rapid)</t>
        </is>
      </c>
      <c r="C65" s="375" t="inlineStr">
        <is>
          <t xml:space="preserve">Rarely surpasses local standard. For screening, &lt;20 °C in coldwater or &lt;28 °C in warmwater.</t>
        </is>
      </c>
      <c r="D65" s="375" t="inlineStr">
        <is>
          <t xml:space="preserve">Slightly exceeds threshold occasionally.</t>
        </is>
      </c>
      <c r="E65" s="375"/>
      <c r="F65" s="375" t="inlineStr">
        <is>
          <t xml:space="preserve">Frequent near or over threshold.</t>
        </is>
      </c>
      <c r="G65" s="375" t="inlineStr">
        <is>
          <t xml:space="preserve">Consistently high or lethal temperatures.</t>
        </is>
      </c>
    </row>
    <row r="66">
      <c r="A66" s="375" t="inlineStr">
        <is>
          <t xml:space="preserve">Light and thermal regime</t>
        </is>
      </c>
      <c r="B66" s="375" t="inlineStr">
        <is>
          <t xml:space="preserve">Algal Growth (light-limited)</t>
        </is>
      </c>
      <c r="C66" s="375" t="inlineStr">
        <is>
          <t xml:space="preserve">Minimal algae. No nuisance mats.</t>
        </is>
      </c>
      <c r="D66" s="375" t="inlineStr">
        <is>
          <t xml:space="preserve">Slightly elevated algae coverage.</t>
        </is>
      </c>
      <c r="E66" s="375"/>
      <c r="F66" s="375" t="inlineStr">
        <is>
          <t xml:space="preserve">Large mats partially impair habitat.</t>
        </is>
      </c>
      <c r="G66" s="375" t="inlineStr">
        <is>
          <t xml:space="preserve">Dense bloom or scum overshadowing substrate.</t>
        </is>
      </c>
    </row>
    <row r="67">
      <c r="A67" s="375" t="inlineStr">
        <is>
          <t xml:space="preserve">Light and thermal regime</t>
        </is>
      </c>
      <c r="B67" s="375" t="inlineStr">
        <is>
          <t xml:space="preserve">Thermal Refugia</t>
        </is>
      </c>
      <c r="C67" s="375" t="inlineStr">
        <is>
          <t xml:space="preserve">Multiple cooler pockets or deeper pools moderating temperature extremes.</t>
        </is>
      </c>
      <c r="D67" s="375" t="inlineStr">
        <is>
          <t xml:space="preserve">One to two minor or limited refuges.</t>
        </is>
      </c>
      <c r="E67" s="375"/>
      <c r="F67" s="375" t="inlineStr">
        <is>
          <t xml:space="preserve">Rare or minimal cooler zones. Partial stress.</t>
        </is>
      </c>
      <c r="G67" s="375" t="inlineStr">
        <is>
          <t xml:space="preserve">No refuges where historically expected. High thermal risk.</t>
        </is>
      </c>
    </row>
    <row r="68">
      <c r="A68" s="375" t="inlineStr">
        <is>
          <t xml:space="preserve">Carbon processing</t>
        </is>
      </c>
      <c r="B68" s="375" t="inlineStr">
        <is>
          <t xml:space="preserve">CPOM Retention</t>
        </is>
      </c>
      <c r="C68" s="375" t="inlineStr">
        <is>
          <t xml:space="preserve">Abundant CPOM retention and multiple debris accumulations typical for forested systems</t>
        </is>
      </c>
      <c r="D68" s="375" t="inlineStr">
        <is>
          <t xml:space="preserve">Some retention with partial flushing</t>
        </is>
      </c>
      <c r="E68" s="375"/>
      <c r="F68" s="375" t="inlineStr">
        <is>
          <t xml:space="preserve">Sparse organic matter and limited retention</t>
        </is>
      </c>
      <c r="G68" s="375" t="inlineStr">
        <is>
          <t xml:space="preserve">No effective retention or severe overload causing anoxia</t>
        </is>
      </c>
    </row>
    <row r="69">
      <c r="A69" s="375" t="inlineStr">
        <is>
          <t xml:space="preserve">Carbon processing</t>
        </is>
      </c>
      <c r="B69" s="375" t="inlineStr">
        <is>
          <t xml:space="preserve">Detritus Decomposition Rate, Shredder/ Detritivore Presence</t>
        </is>
      </c>
      <c r="C69" s="375" t="inlineStr">
        <is>
          <t xml:space="preserve">Fast breakdown with strong biological processing and multiple shredder groups present</t>
        </is>
      </c>
      <c r="D69" s="375" t="inlineStr">
        <is>
          <t xml:space="preserve">Intermediate breakdown with partial shredder presence</t>
        </is>
      </c>
      <c r="E69" s="375"/>
      <c r="F69" s="375" t="inlineStr">
        <is>
          <t xml:space="preserve">Slow breakdown with few or no active shredders</t>
        </is>
      </c>
      <c r="G69" s="375" t="inlineStr">
        <is>
          <t xml:space="preserve">Very slow breakdown and absence of shredder taxa in suitable habitat</t>
        </is>
      </c>
    </row>
    <row r="70">
      <c r="A70" s="375" t="inlineStr">
        <is>
          <t xml:space="preserve">Carbon processing</t>
        </is>
      </c>
      <c r="B70" s="375" t="inlineStr">
        <is>
          <t xml:space="preserve">Riparian Corridor Width and Quality</t>
        </is>
      </c>
      <c r="C70" s="375" t="inlineStr">
        <is>
          <t xml:space="preserve">Approximately ≥ 30 m native buffer. Diverse structure</t>
        </is>
      </c>
      <c r="D70" s="375" t="inlineStr">
        <is>
          <t xml:space="preserve">15–30 m with partial native cover</t>
        </is>
      </c>
      <c r="E70" s="375"/>
      <c r="F70" s="375" t="inlineStr">
        <is>
          <t xml:space="preserve">5–15 m and limited native diversity</t>
        </is>
      </c>
      <c r="G70" s="375" t="inlineStr">
        <is>
          <t xml:space="preserve">&lt; 5 m or essentially no corridor</t>
        </is>
      </c>
    </row>
    <row r="71">
      <c r="A71" s="375" t="inlineStr">
        <is>
          <t xml:space="preserve">Carbon processing</t>
        </is>
      </c>
      <c r="B71" s="375" t="inlineStr">
        <is>
          <t xml:space="preserve">Algal and Primary Production</t>
        </is>
      </c>
      <c r="C71" s="375" t="inlineStr">
        <is>
          <t xml:space="preserve">Balanced growth and no nuisance bloom</t>
        </is>
      </c>
      <c r="D71" s="375" t="inlineStr">
        <is>
          <t xml:space="preserve">Slightly elevated algae</t>
        </is>
      </c>
      <c r="E71" s="375"/>
      <c r="F71" s="375" t="inlineStr">
        <is>
          <t xml:space="preserve">Moderate nuisance mats that partially impair habitat</t>
        </is>
      </c>
      <c r="G71" s="375" t="inlineStr">
        <is>
          <t xml:space="preserve">Dense blooms overshadowing habitat</t>
        </is>
      </c>
    </row>
    <row r="72">
      <c r="A72" s="375" t="inlineStr">
        <is>
          <t xml:space="preserve">Nutrient cycling</t>
        </is>
      </c>
      <c r="B72" s="375" t="inlineStr">
        <is>
          <t xml:space="preserve">Visible Algal Indications (N/P)</t>
        </is>
      </c>
      <c r="C72" s="375" t="inlineStr">
        <is>
          <t xml:space="preserve">&lt; 10% benthic algal cover</t>
        </is>
      </c>
      <c r="D72" s="375" t="inlineStr">
        <is>
          <t xml:space="preserve">~10–30% cover</t>
        </is>
      </c>
      <c r="E72" s="375"/>
      <c r="F72" s="375" t="inlineStr">
        <is>
          <t xml:space="preserve">~30–50% cover</t>
        </is>
      </c>
      <c r="G72" s="375" t="inlineStr">
        <is>
          <t xml:space="preserve">&gt; 50% cover or nuisance mats</t>
        </is>
      </c>
    </row>
    <row r="73">
      <c r="A73" s="375" t="inlineStr">
        <is>
          <t xml:space="preserve">Nutrient cycling</t>
        </is>
      </c>
      <c r="B73" s="375" t="inlineStr">
        <is>
          <t xml:space="preserve">N/P Concentrations</t>
        </is>
      </c>
      <c r="C73" s="375" t="inlineStr">
        <is>
          <t xml:space="preserve">Near low to moderate trophic benchmarks</t>
        </is>
      </c>
      <c r="D73" s="375" t="inlineStr">
        <is>
          <t xml:space="preserve">Slightly elevated nutrients</t>
        </is>
      </c>
      <c r="E73" s="375"/>
      <c r="F73" s="375" t="inlineStr">
        <is>
          <t xml:space="preserve">Marked elevation</t>
        </is>
      </c>
      <c r="G73" s="375" t="inlineStr">
        <is>
          <t xml:space="preserve">Strong enrichment</t>
        </is>
      </c>
    </row>
    <row r="74">
      <c r="A74" s="375" t="inlineStr">
        <is>
          <t xml:space="preserve">Nutrient cycling</t>
        </is>
      </c>
      <c r="B74" s="375" t="inlineStr">
        <is>
          <t xml:space="preserve">Vegetated Riparian Corridor Width</t>
        </is>
      </c>
      <c r="C74" s="375" t="inlineStr">
        <is>
          <t xml:space="preserve">≥ ~30 m width per bank</t>
        </is>
      </c>
      <c r="D74" s="375" t="inlineStr">
        <is>
          <t xml:space="preserve">~15–30 m</t>
        </is>
      </c>
      <c r="E74" s="375"/>
      <c r="F74" s="375" t="inlineStr">
        <is>
          <t xml:space="preserve">~5–15 m</t>
        </is>
      </c>
      <c r="G74" s="375" t="inlineStr">
        <is>
          <t xml:space="preserve">&lt; ~5 m</t>
        </is>
      </c>
    </row>
    <row r="75">
      <c r="A75" s="375" t="inlineStr">
        <is>
          <t xml:space="preserve">Nutrient cycling</t>
        </is>
      </c>
      <c r="B75" s="375" t="inlineStr">
        <is>
          <t xml:space="preserve">Relative Denitrification Potential</t>
        </is>
      </c>
      <c r="C75" s="375" t="inlineStr">
        <is>
          <t xml:space="preserve">Strong potential with frequent seasonal saturation</t>
        </is>
      </c>
      <c r="D75" s="375" t="inlineStr">
        <is>
          <t xml:space="preserve">Moderate potential</t>
        </is>
      </c>
      <c r="E75" s="375"/>
      <c r="F75" s="375" t="inlineStr">
        <is>
          <t xml:space="preserve">Low potential</t>
        </is>
      </c>
      <c r="G75" s="375" t="inlineStr">
        <is>
          <t xml:space="preserve">Negligible potential</t>
        </is>
      </c>
    </row>
    <row r="76">
      <c r="A76" s="375" t="inlineStr">
        <is>
          <t xml:space="preserve">Water and soil quality</t>
        </is>
      </c>
      <c r="B76" s="375" t="inlineStr">
        <is>
          <t xml:space="preserve">Water Clarity / Turbidity</t>
        </is>
      </c>
      <c r="C76" s="375" t="inlineStr">
        <is>
          <t xml:space="preserve">Mostly clear or only slightly cloudy at baseflow.</t>
        </is>
      </c>
      <c r="D76" s="375" t="inlineStr">
        <is>
          <t xml:space="preserve">Slight turbidity or color that is short-lived.</t>
        </is>
      </c>
      <c r="E76" s="375"/>
      <c r="F76" s="375" t="inlineStr">
        <is>
          <t xml:space="preserve">Persistent cloudiness at baseflow.</t>
        </is>
      </c>
      <c r="G76" s="375" t="inlineStr">
        <is>
          <t xml:space="preserve">Persistently muddy or sheen present.</t>
        </is>
      </c>
    </row>
    <row r="77">
      <c r="A77" s="375" t="inlineStr">
        <is>
          <t xml:space="preserve">Water and soil quality</t>
        </is>
      </c>
      <c r="B77" s="375" t="inlineStr">
        <is>
          <t xml:space="preserve">Dissolved Oxygen (rapid)</t>
        </is>
      </c>
      <c r="C77" s="375" t="inlineStr">
        <is>
          <t xml:space="preserve">&gt; 6 mg/L consistently.</t>
        </is>
      </c>
      <c r="D77" s="375" t="inlineStr">
        <is>
          <t xml:space="preserve">5–6 mg/L borderline.</t>
        </is>
      </c>
      <c r="E77" s="375"/>
      <c r="F77" s="375" t="inlineStr">
        <is>
          <t xml:space="preserve">3–5 mg/L frequent stress.</t>
        </is>
      </c>
      <c r="G77" s="375" t="inlineStr">
        <is>
          <t xml:space="preserve">&lt; 3 mg/L dangerously low.</t>
        </is>
      </c>
    </row>
    <row r="78">
      <c r="A78" s="375" t="inlineStr">
        <is>
          <t xml:space="preserve">Water and soil quality</t>
        </is>
      </c>
      <c r="B78" s="375" t="inlineStr">
        <is>
          <t xml:space="preserve">Pollutants</t>
        </is>
      </c>
      <c r="C78" s="375" t="inlineStr">
        <is>
          <t xml:space="preserve">No visible contamination indicators or known exceedances.</t>
        </is>
      </c>
      <c r="D78" s="375" t="inlineStr">
        <is>
          <t xml:space="preserve">Minor localized inputs or mild odor only.</t>
        </is>
      </c>
      <c r="E78" s="375"/>
      <c r="F78" s="375" t="inlineStr">
        <is>
          <t xml:space="preserve">Recognized contamination risk or known moderate contamination.</t>
        </is>
      </c>
      <c r="G78" s="375" t="inlineStr">
        <is>
          <t xml:space="preserve">Severe or chronic contamination.</t>
        </is>
      </c>
    </row>
    <row r="79">
      <c r="A79" s="375" t="inlineStr">
        <is>
          <t xml:space="preserve">Water and soil quality</t>
        </is>
      </c>
      <c r="B79" s="375" t="inlineStr">
        <is>
          <t xml:space="preserve">pH &amp; Specific Conductivity (rapid)</t>
        </is>
      </c>
      <c r="C79" s="375" t="inlineStr">
        <is>
          <t xml:space="preserve">pH ~6.5–8.5 and cond. &lt; 500 µS/cm typical.</t>
        </is>
      </c>
      <c r="D79" s="375" t="inlineStr">
        <is>
          <t xml:space="preserve">Slightly off-range or mild elevation.</t>
        </is>
      </c>
      <c r="E79" s="375"/>
      <c r="F79" s="375" t="inlineStr">
        <is>
          <t xml:space="preserve">Marked deviation or 800–1500 µS/cm.</t>
        </is>
      </c>
      <c r="G79" s="375" t="inlineStr">
        <is>
          <t xml:space="preserve">Extreme pH or very high conductance.</t>
        </is>
      </c>
    </row>
    <row r="80">
      <c r="A80" s="375" t="inlineStr">
        <is>
          <t xml:space="preserve">Habitat provision</t>
        </is>
      </c>
      <c r="B80" s="375" t="inlineStr">
        <is>
          <t xml:space="preserve">In-Stream Habitat Complexity</t>
        </is>
      </c>
      <c r="C80" s="375" t="inlineStr">
        <is>
          <t xml:space="preserve">Multiple habitat types well represented.</t>
        </is>
      </c>
      <c r="D80" s="375" t="inlineStr">
        <is>
          <t xml:space="preserve">Some variety but missing key elements.</t>
        </is>
      </c>
      <c r="E80" s="375"/>
      <c r="F80" s="375" t="inlineStr">
        <is>
          <t xml:space="preserve">Mostly uniform. Only 1–2 distinct features.</t>
        </is>
      </c>
      <c r="G80" s="375" t="inlineStr">
        <is>
          <t xml:space="preserve">Very uniform channel. Limited structural diversity.</t>
        </is>
      </c>
    </row>
    <row r="81">
      <c r="A81" s="375" t="inlineStr">
        <is>
          <t xml:space="preserve">Habitat provision</t>
        </is>
      </c>
      <c r="B81" s="375" t="inlineStr">
        <is>
          <t xml:space="preserve">Overhanging Vegetation</t>
        </is>
      </c>
      <c r="C81" s="375" t="inlineStr">
        <is>
          <t xml:space="preserve">About 50% or more of banks provide overhanging cover.</t>
        </is>
      </c>
      <c r="D81" s="375" t="inlineStr">
        <is>
          <t xml:space="preserve">About 25–50% cover.</t>
        </is>
      </c>
      <c r="E81" s="375"/>
      <c r="F81" s="375" t="inlineStr">
        <is>
          <t xml:space="preserve">About 10–25% cover.</t>
        </is>
      </c>
      <c r="G81" s="375" t="inlineStr">
        <is>
          <t xml:space="preserve">&lt;10% cover.</t>
        </is>
      </c>
    </row>
    <row r="82">
      <c r="A82" s="375" t="inlineStr">
        <is>
          <t xml:space="preserve">Habitat provision</t>
        </is>
      </c>
      <c r="B82" s="375" t="inlineStr">
        <is>
          <t xml:space="preserve">Aquatic Invertebrate Habitat</t>
        </is>
      </c>
      <c r="C82" s="375" t="inlineStr">
        <is>
          <t xml:space="preserve">Multiple stable substrates and organic cover supporting diverse invertebrates.</t>
        </is>
      </c>
      <c r="D82" s="375" t="inlineStr">
        <is>
          <t xml:space="preserve">Some substrate variety but partly limited by fines.</t>
        </is>
      </c>
      <c r="E82" s="375"/>
      <c r="F82" s="375" t="inlineStr">
        <is>
          <t xml:space="preserve">Limited stable substrate and few microhabitats.</t>
        </is>
      </c>
      <c r="G82" s="375" t="inlineStr">
        <is>
          <t xml:space="preserve">Very poor substrate variety and minimal invertebrate habitat.</t>
        </is>
      </c>
    </row>
    <row r="83">
      <c r="A83" s="375" t="inlineStr">
        <is>
          <t xml:space="preserve">Habitat provision</t>
        </is>
      </c>
      <c r="B83" s="375" t="inlineStr">
        <is>
          <t xml:space="preserve">Lateral and Off-Channel Habitats</t>
        </is>
      </c>
      <c r="C83" s="375" t="inlineStr">
        <is>
          <t xml:space="preserve">Well connected off-channel areas offering refuge and spawning.</t>
        </is>
      </c>
      <c r="D83" s="375" t="inlineStr">
        <is>
          <t xml:space="preserve">Some partial connection.</t>
        </is>
      </c>
      <c r="E83" s="375"/>
      <c r="F83" s="375" t="inlineStr">
        <is>
          <t xml:space="preserve">Rare or only ephemeral off-channel usage.</t>
        </is>
      </c>
      <c r="G83" s="375" t="inlineStr">
        <is>
          <t xml:space="preserve">No side channels or backwaters remain.</t>
        </is>
      </c>
    </row>
    <row r="84">
      <c r="A84" s="375" t="inlineStr">
        <is>
          <t xml:space="preserve">Population support</t>
        </is>
      </c>
      <c r="B84" s="375" t="inlineStr">
        <is>
          <t xml:space="preserve">Fish habitat</t>
        </is>
      </c>
      <c r="C84" s="375" t="inlineStr">
        <is>
          <t xml:space="preserve">Embeddedness 0–25 percent; over 40 percent shallow, low-velocity cover.</t>
        </is>
      </c>
      <c r="D84" s="375" t="inlineStr">
        <is>
          <t xml:space="preserve">Embeddedness 25–50 percent; about 20–40 percent shallow, low-velocity cover.</t>
        </is>
      </c>
      <c r="E84" s="375"/>
      <c r="F84" s="375" t="inlineStr">
        <is>
          <t xml:space="preserve">Embeddedness 50–75 percent; about 5–20 percent shallow, low-velocity cover.</t>
        </is>
      </c>
      <c r="G84" s="375" t="inlineStr">
        <is>
          <t xml:space="preserve">Embeddedness ≥75 percent; less than 5 percent shallow, low-velocity cover.</t>
        </is>
      </c>
    </row>
    <row r="85">
      <c r="A85" s="375" t="inlineStr">
        <is>
          <t xml:space="preserve">Population support</t>
        </is>
      </c>
      <c r="B85" s="375" t="inlineStr">
        <is>
          <t xml:space="preserve">Aquatic Invertebrate Community</t>
        </is>
      </c>
      <c r="C85" s="375" t="inlineStr">
        <is>
          <t xml:space="preserve">All three EPT orders present with multiple taxa.</t>
        </is>
      </c>
      <c r="D85" s="375" t="inlineStr">
        <is>
          <t xml:space="preserve">Two EPT orders present.</t>
        </is>
      </c>
      <c r="E85" s="375"/>
      <c r="F85" s="375" t="inlineStr">
        <is>
          <t xml:space="preserve">One EPT order present.</t>
        </is>
      </c>
      <c r="G85" s="375" t="inlineStr">
        <is>
          <t xml:space="preserve">Zero EPT orders present.</t>
        </is>
      </c>
    </row>
    <row r="86">
      <c r="A86" s="375" t="inlineStr">
        <is>
          <t xml:space="preserve">Population support</t>
        </is>
      </c>
      <c r="B86" s="375" t="inlineStr">
        <is>
          <t xml:space="preserve">Fish Presence</t>
        </is>
      </c>
      <c r="C86" s="375" t="inlineStr">
        <is>
          <t xml:space="preserve">Multiple native species with broad size classes.</t>
        </is>
      </c>
      <c r="D86" s="375" t="inlineStr">
        <is>
          <t xml:space="preserve">Few natives with partial size classes.</t>
        </is>
      </c>
      <c r="E86" s="375"/>
      <c r="F86" s="375" t="inlineStr">
        <is>
          <t xml:space="preserve">One to two tolerant species dominate.</t>
        </is>
      </c>
      <c r="G86" s="375" t="inlineStr">
        <is>
          <t xml:space="preserve">Absent or only non-native species present.</t>
        </is>
      </c>
    </row>
    <row r="87">
      <c r="A87" s="375" t="inlineStr">
        <is>
          <t xml:space="preserve">Population support</t>
        </is>
      </c>
      <c r="B87" s="375" t="inlineStr">
        <is>
          <t xml:space="preserve">Amphibian and Crayfish Presence</t>
        </is>
      </c>
      <c r="C87" s="375" t="inlineStr">
        <is>
          <t xml:space="preserve">Presence aligns with reference expectations.</t>
        </is>
      </c>
      <c r="D87" s="375" t="inlineStr">
        <is>
          <t xml:space="preserve">Limited presence.</t>
        </is>
      </c>
      <c r="E87" s="375"/>
      <c r="F87" s="375" t="inlineStr">
        <is>
          <t xml:space="preserve">Rare occurrence.</t>
        </is>
      </c>
      <c r="G87" s="375" t="inlineStr">
        <is>
          <t xml:space="preserve">Absent where historically expected.</t>
        </is>
      </c>
    </row>
    <row r="88">
      <c r="A88" s="375" t="inlineStr">
        <is>
          <t xml:space="preserve">Community dynamics</t>
        </is>
      </c>
      <c r="B88" s="375" t="inlineStr">
        <is>
          <t xml:space="preserve">Native and non-native species</t>
        </is>
      </c>
      <c r="C88" s="375" t="inlineStr">
        <is>
          <t xml:space="preserve">Native community matches reference. Non natives rare and low abundance.</t>
        </is>
      </c>
      <c r="D88" s="375" t="inlineStr">
        <is>
          <t xml:space="preserve">Minor native loss. Non natives present but natives still dominant.</t>
        </is>
      </c>
      <c r="E88" s="375"/>
      <c r="F88" s="375" t="inlineStr">
        <is>
          <t xml:space="preserve">Noticeable native decline. Non natives common or co-dominant.</t>
        </is>
      </c>
      <c r="G88" s="375" t="inlineStr">
        <is>
          <t xml:space="preserve">Natives rare or absent. Community dominated by tolerant or invasive taxa.</t>
        </is>
      </c>
    </row>
    <row r="89">
      <c r="A89" s="375" t="inlineStr">
        <is>
          <t xml:space="preserve">Community dynamics</t>
        </is>
      </c>
      <c r="B89" s="375" t="inlineStr">
        <is>
          <t xml:space="preserve">Species richness, composition and abundance</t>
        </is>
      </c>
      <c r="C89" s="375" t="inlineStr">
        <is>
          <t xml:space="preserve">High richness. Balanced feeding groups. Good index score.</t>
        </is>
      </c>
      <c r="D89" s="375" t="inlineStr">
        <is>
          <t xml:space="preserve">Moderate richness. Some imbalance in feeding groups.</t>
        </is>
      </c>
      <c r="E89" s="375"/>
      <c r="F89" s="375" t="inlineStr">
        <is>
          <t xml:space="preserve">Low richness. Dominance by tolerant taxa or single group.</t>
        </is>
      </c>
      <c r="G89" s="375" t="inlineStr">
        <is>
          <t xml:space="preserve">Extremely low richness and diversity. Poor index score.</t>
        </is>
      </c>
    </row>
    <row r="90">
      <c r="A90" s="375" t="inlineStr">
        <is>
          <t xml:space="preserve">Community dynamics</t>
        </is>
      </c>
      <c r="B90" s="375" t="inlineStr">
        <is>
          <t xml:space="preserve">Riparian communities</t>
        </is>
      </c>
      <c r="C90" s="375" t="inlineStr">
        <is>
          <t xml:space="preserve">Wide, intact native corridor with minimal invasives.</t>
        </is>
      </c>
      <c r="D90" s="375" t="inlineStr">
        <is>
          <t xml:space="preserve">Moderate width and structure. Some invasive patches present.</t>
        </is>
      </c>
      <c r="E90" s="375"/>
      <c r="F90" s="375" t="inlineStr">
        <is>
          <t xml:space="preserve">Narrow corridor. Fragmented native cover with common invasives.</t>
        </is>
      </c>
      <c r="G90" s="375" t="inlineStr">
        <is>
          <t xml:space="preserve">Corridor very narrow or absent. Native plants largely missing.</t>
        </is>
      </c>
    </row>
    <row r="91">
      <c r="A91" s="375" t="inlineStr">
        <is>
          <t xml:space="preserve">Community dynamics</t>
        </is>
      </c>
      <c r="B91" s="375" t="inlineStr">
        <is>
          <t xml:space="preserve">Keystone species</t>
        </is>
      </c>
      <c r="C91" s="375" t="inlineStr">
        <is>
          <t xml:space="preserve">Expected keystone taxa widespread. No invasive dominance.</t>
        </is>
      </c>
      <c r="D91" s="375" t="inlineStr">
        <is>
          <t xml:space="preserve">At least one keystone taxon present but limited distribution.</t>
        </is>
      </c>
      <c r="E91" s="375"/>
      <c r="F91" s="375" t="inlineStr">
        <is>
          <t xml:space="preserve">Keystone taxa rare compared to reference or historical levels.</t>
        </is>
      </c>
      <c r="G91" s="375" t="inlineStr">
        <is>
          <t xml:space="preserve">No keystone taxa present. Strong invasive dominance.</t>
        </is>
      </c>
    </row>
    <row r="92">
      <c r="A92" s="375" t="inlineStr">
        <is>
          <t xml:space="preserve">Watershed connectivity</t>
        </is>
      </c>
      <c r="B92" s="375" t="inlineStr">
        <is>
          <t xml:space="preserve">Upstream and Downstream Barriers</t>
        </is>
      </c>
      <c r="C92" s="375" t="inlineStr">
        <is>
          <t xml:space="preserve">80–100% of habitat accessible. No major barriers.</t>
        </is>
      </c>
      <c r="D92" s="375" t="inlineStr">
        <is>
          <t xml:space="preserve">About 50–80% accessible.</t>
        </is>
      </c>
      <c r="E92" s="375"/>
      <c r="F92" s="375" t="inlineStr">
        <is>
          <t xml:space="preserve">About 20–50% accessible.</t>
        </is>
      </c>
      <c r="G92" s="375" t="inlineStr">
        <is>
          <t xml:space="preserve">&lt;20% accessible due to big dams or multiple blockages.</t>
        </is>
      </c>
    </row>
    <row r="93">
      <c r="A93" s="375" t="inlineStr">
        <is>
          <t xml:space="preserve">Watershed connectivity</t>
        </is>
      </c>
      <c r="B93" s="375" t="inlineStr">
        <is>
          <t xml:space="preserve">Culvert and Road-Crossing Passability</t>
        </is>
      </c>
      <c r="C93" s="375" t="inlineStr">
        <is>
          <t xml:space="preserve">80–100% stream continuity at crossings.</t>
        </is>
      </c>
      <c r="D93" s="375" t="inlineStr">
        <is>
          <t xml:space="preserve">About 50–80% passable.</t>
        </is>
      </c>
      <c r="E93" s="375"/>
      <c r="F93" s="375" t="inlineStr">
        <is>
          <t xml:space="preserve">About 20–50% passable.</t>
        </is>
      </c>
      <c r="G93" s="375" t="inlineStr">
        <is>
          <t xml:space="preserve">&lt;20% passable. Multiple perched culverts hamper movement.</t>
        </is>
      </c>
    </row>
    <row r="94">
      <c r="A94" s="375" t="inlineStr">
        <is>
          <t xml:space="preserve">Watershed connectivity</t>
        </is>
      </c>
      <c r="B94" s="375" t="inlineStr">
        <is>
          <t xml:space="preserve">Lateral Connectivity for Riparian Fauna</t>
        </is>
      </c>
      <c r="C94" s="375" t="inlineStr">
        <is>
          <t xml:space="preserve">No major levees or walls. Free lateral movement for semiaquatic fauna.</t>
        </is>
      </c>
      <c r="D94" s="375" t="inlineStr">
        <is>
          <t xml:space="preserve">Some partial barriers but still some access.</t>
        </is>
      </c>
      <c r="E94" s="375"/>
      <c r="F94" s="375" t="inlineStr">
        <is>
          <t xml:space="preserve">Large levees hamper movement in many areas.</t>
        </is>
      </c>
      <c r="G94" s="375" t="inlineStr">
        <is>
          <t xml:space="preserve">Heavily walled or leveed corridor. Minimal lateral connectivity.</t>
        </is>
      </c>
    </row>
    <row r="95">
      <c r="A95" s="375" t="inlineStr">
        <is>
          <t xml:space="preserve">Watershed connectivity</t>
        </is>
      </c>
      <c r="B95" s="375" t="inlineStr">
        <is>
          <t xml:space="preserve">Dewatered or Intermittent Segments</t>
        </is>
      </c>
      <c r="C95" s="375" t="inlineStr">
        <is>
          <t xml:space="preserve">No artificial dryness. Natural connectivity is maintained.</t>
        </is>
      </c>
      <c r="D95" s="375" t="inlineStr">
        <is>
          <t xml:space="preserve">Minor dryness in small segments.</t>
        </is>
      </c>
      <c r="E95" s="375"/>
      <c r="F95" s="375" t="inlineStr">
        <is>
          <t xml:space="preserve">Notable dryness or disconnection in key reaches.</t>
        </is>
      </c>
      <c r="G95" s="375" t="inlineStr">
        <is>
          <t xml:space="preserve">Chronic or large-scale dewatering. Major fragmentation.</t>
        </is>
      </c>
    </row>
    <row r="98">
      <c r="A98" s="371" t="inlineStr">
        <is>
          <t xml:space="preserve">Suggested ratings from desktop values</t>
        </is>
      </c>
    </row>
    <row r="99">
      <c r="A99" s="373" t="inlineStr">
        <is>
          <t xml:space="preserve">Metric</t>
        </is>
      </c>
      <c r="B99" s="372" t="inlineStr">
        <is>
          <t xml:space="preserve">Direction</t>
        </is>
      </c>
      <c r="C99" s="372" t="inlineStr">
        <is>
          <t xml:space="preserve">Strongly Agree</t>
        </is>
      </c>
      <c r="D99" s="372" t="inlineStr">
        <is>
          <t xml:space="preserve">Agree</t>
        </is>
      </c>
      <c r="E99" s="372" t="inlineStr">
        <is>
          <t xml:space="preserve">Disagree</t>
        </is>
      </c>
      <c r="F99" s="372" t="inlineStr">
        <is>
          <t xml:space="preserve">Strongly Disagree</t>
        </is>
      </c>
    </row>
    <row r="100">
      <c r="A100" s="375" t="inlineStr">
        <is>
          <t xml:space="preserve">Impervious surface area</t>
        </is>
      </c>
      <c r="B100" s="375" t="inlineStr">
        <is>
          <t xml:space="preserve">Lower is better</t>
        </is>
      </c>
      <c r="C100" s="375" t="inlineStr">
        <is>
          <t xml:space="preserve">below 5</t>
        </is>
      </c>
      <c r="D100" s="375" t="inlineStr">
        <is>
          <t xml:space="preserve">below 10</t>
        </is>
      </c>
      <c r="E100" s="375" t="inlineStr">
        <is>
          <t xml:space="preserve">below 20</t>
        </is>
      </c>
      <c r="F100" s="375" t="inlineStr">
        <is>
          <t xml:space="preserve">otherwise</t>
        </is>
      </c>
    </row>
    <row r="101">
      <c r="A101" s="375" t="inlineStr">
        <is>
          <t xml:space="preserve">catchment-hydrology-agricultural-cover</t>
        </is>
      </c>
      <c r="B101" s="375" t="inlineStr">
        <is>
          <t xml:space="preserve">Lower is better</t>
        </is>
      </c>
      <c r="C101" s="375" t="inlineStr">
        <is>
          <t xml:space="preserve">below 15</t>
        </is>
      </c>
      <c r="D101" s="375" t="inlineStr">
        <is>
          <t xml:space="preserve">below 25</t>
        </is>
      </c>
      <c r="E101" s="375" t="inlineStr">
        <is>
          <t xml:space="preserve">below 50</t>
        </is>
      </c>
      <c r="F101" s="375" t="inlineStr">
        <is>
          <t xml:space="preserve">otherwise</t>
        </is>
      </c>
    </row>
    <row r="102">
      <c r="A102" s="375" t="inlineStr">
        <is>
          <t xml:space="preserve">Road density</t>
        </is>
      </c>
      <c r="B102" s="375" t="inlineStr">
        <is>
          <t xml:space="preserve">Lower is better</t>
        </is>
      </c>
      <c r="C102" s="375" t="inlineStr">
        <is>
          <t xml:space="preserve">below 0.5</t>
        </is>
      </c>
      <c r="D102" s="375" t="inlineStr">
        <is>
          <t xml:space="preserve">below 1</t>
        </is>
      </c>
      <c r="E102" s="375" t="inlineStr">
        <is>
          <t xml:space="preserve">below 2</t>
        </is>
      </c>
      <c r="F102" s="375" t="inlineStr">
        <is>
          <t xml:space="preserve">otherwise</t>
        </is>
      </c>
    </row>
    <row r="103">
      <c r="A103" s="375" t="inlineStr">
        <is>
          <t xml:space="preserve">Wetland Coverage</t>
        </is>
      </c>
      <c r="B103" s="375" t="inlineStr">
        <is>
          <t xml:space="preserve">Higher is better</t>
        </is>
      </c>
      <c r="C103" s="375" t="inlineStr">
        <is>
          <t xml:space="preserve">at least 5</t>
        </is>
      </c>
      <c r="D103" s="375" t="inlineStr">
        <is>
          <t xml:space="preserve">at least 2</t>
        </is>
      </c>
      <c r="E103" s="375" t="inlineStr">
        <is>
          <t xml:space="preserve">at least 1</t>
        </is>
      </c>
      <c r="F103" s="375" t="inlineStr">
        <is>
          <t xml:space="preserve">otherwise</t>
        </is>
      </c>
    </row>
    <row r="104">
      <c r="A104" s="375" t="inlineStr">
        <is>
          <t xml:space="preserve">Riparian Canopy Cover</t>
        </is>
      </c>
      <c r="B104" s="375" t="inlineStr">
        <is>
          <t xml:space="preserve">Higher is better</t>
        </is>
      </c>
      <c r="C104" s="375" t="inlineStr">
        <is>
          <t xml:space="preserve">at least 75</t>
        </is>
      </c>
      <c r="D104" s="375" t="inlineStr">
        <is>
          <t xml:space="preserve">at least 50</t>
        </is>
      </c>
      <c r="E104" s="375" t="inlineStr">
        <is>
          <t xml:space="preserve">at least 25</t>
        </is>
      </c>
      <c r="F104" s="375" t="inlineStr">
        <is>
          <t xml:space="preserve">otherwise</t>
        </is>
      </c>
    </row>
    <row r="105">
      <c r="A105" s="375" t="inlineStr">
        <is>
          <t xml:space="preserve">Riparian Corridor Width and Quality</t>
        </is>
      </c>
      <c r="B105" s="375" t="inlineStr">
        <is>
          <t xml:space="preserve">Higher is better</t>
        </is>
      </c>
      <c r="C105" s="375" t="inlineStr">
        <is>
          <t xml:space="preserve">at least 60</t>
        </is>
      </c>
      <c r="D105" s="375" t="inlineStr">
        <is>
          <t xml:space="preserve">at least 40</t>
        </is>
      </c>
      <c r="E105" s="375" t="inlineStr">
        <is>
          <t xml:space="preserve">at least 20</t>
        </is>
      </c>
      <c r="F105" s="375" t="inlineStr">
        <is>
          <t xml:space="preserve">otherwise</t>
        </is>
      </c>
    </row>
    <row r="106">
      <c r="A106" s="375" t="inlineStr">
        <is>
          <t xml:space="preserve">Vegetated Riparian Corridor Width</t>
        </is>
      </c>
      <c r="B106" s="375" t="inlineStr">
        <is>
          <t xml:space="preserve">Higher is better</t>
        </is>
      </c>
      <c r="C106" s="375" t="inlineStr">
        <is>
          <t xml:space="preserve">at least 60</t>
        </is>
      </c>
      <c r="D106" s="375" t="inlineStr">
        <is>
          <t xml:space="preserve">at least 40</t>
        </is>
      </c>
      <c r="E106" s="375" t="inlineStr">
        <is>
          <t xml:space="preserve">at least 20</t>
        </is>
      </c>
      <c r="F106" s="375" t="inlineStr">
        <is>
          <t xml:space="preserve">otherwise</t>
        </is>
      </c>
    </row>
    <row r="107">
      <c r="A107" s="375" t="inlineStr">
        <is>
          <t xml:space="preserve">Riparian communities</t>
        </is>
      </c>
      <c r="B107" s="375" t="inlineStr">
        <is>
          <t xml:space="preserve">Higher is better</t>
        </is>
      </c>
      <c r="C107" s="375" t="inlineStr">
        <is>
          <t xml:space="preserve">at least 60</t>
        </is>
      </c>
      <c r="D107" s="375" t="inlineStr">
        <is>
          <t xml:space="preserve">at least 40</t>
        </is>
      </c>
      <c r="E107" s="375" t="inlineStr">
        <is>
          <t xml:space="preserve">at least 20</t>
        </is>
      </c>
      <c r="F107" s="375" t="inlineStr">
        <is>
          <t xml:space="preserve">otherwise</t>
        </is>
      </c>
    </row>
    <row r="108">
      <c r="A108" s="370" t="inlineStr">
        <is>
          <t xml:space="preserve">Suggestions only: the assessor's Likert rating is what scores.</t>
        </is>
      </c>
    </row>
  </sheetData>
  <pageMargins left="0.5" right="0.5" top="0.6" bottom="0.6" header="0.3" footer="0.3"/>
  <pageSetup orientation="landscape" fitToWidth="1" fitToHeight="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8c4abacdfc22b1b80c45198085883003">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6b83737d4121e0077ddd062ff9955ad6"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56cc50-3425-4ed0-b5d4-b4647dade09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4657F9-E970-424A-840D-BC1D8FF4CE3D}">
  <ds:schemaRefs>
    <ds:schemaRef ds:uri="41dea14c-c5cc-4545-a437-faf35885d69c"/>
    <ds:schemaRef ds:uri="http://schemas.microsoft.com/office/2006/metadata/properties"/>
    <ds:schemaRef ds:uri="http://purl.org/dc/terms/"/>
    <ds:schemaRef ds:uri="d8b83448-7600-41bc-8401-caa45d34d44c"/>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49674F1-C090-4B23-B511-0E9C9A9F2A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ea14c-c5cc-4545-a437-faf35885d69c"/>
    <ds:schemaRef ds:uri="d8b83448-7600-41bc-8401-caa45d34d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632A4D-BCA0-46D2-AA66-00FD3162E900}">
  <ds:schemaRefs>
    <ds:schemaRef ds:uri="http://schemas.microsoft.com/sharepoint/v3/contenttype/forms"/>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Menichino, Garrett T CIV ERD-MS</dc:creator>
  <cp:keywords/>
  <dc:description/>
  <cp:lastModifiedBy>Garrett Menichino</cp:lastModifiedBy>
  <cp:revision/>
  <cp:lastPrinted>2026-01-15T22:28:08Z</cp:lastPrinted>
  <dcterms:created xsi:type="dcterms:W3CDTF">2023-01-19T15:52:23Z</dcterms:created>
  <dcterms:modified xsi:type="dcterms:W3CDTF">2026-10-19T16:43:21Z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y fmtid="{D5CDD505-2E9C-101B-9397-08002B2CF9AE}" pid="4" name="Order">
    <vt:r8>123700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