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Inputs" sheetId="2" state="visible" r:id="rId2"/>
    <sheet xmlns:r="http://schemas.openxmlformats.org/officeDocument/2006/relationships" name="Metrics" sheetId="3" state="visible" r:id="rId3"/>
    <sheet xmlns:r="http://schemas.openxmlformats.org/officeDocument/2006/relationships" name="Results" sheetId="4" state="visible" r:id="rId4"/>
    <sheet xmlns:r="http://schemas.openxmlformats.org/officeDocument/2006/relationships" name="Reference" sheetId="5" state="visible" r:id="rId5"/>
    <sheet xmlns:r="http://schemas.openxmlformats.org/officeDocument/2006/relationships" name="Metadata" sheetId="6" state="visible" r:id="rId6"/>
  </sheets>
  <definedNames>
    <definedName name="anchor_good">'Reference'!$B$6</definedName>
    <definedName name="score_good">'Reference'!$C$6</definedName>
    <definedName name="anchor_fair">'Reference'!$B$7</definedName>
    <definedName name="score_fair">'Reference'!$C$7</definedName>
    <definedName name="anchor_poor">'Reference'!$B$8</definedName>
    <definedName name="score_poor">'Reference'!$C$8</definedName>
    <definedName name="curve_keys">'Reference'!$A$90:$A$123</definedName>
    <definedName name="curve_x1">'Reference'!$G$90:$G$123</definedName>
    <definedName name="curve_y1">'Reference'!$H$90:$H$123</definedName>
    <definedName name="curve_x2">'Reference'!$I$90:$I$123</definedName>
    <definedName name="curve_y2">'Reference'!$J$90:$J$123</definedName>
    <definedName name="curve_x3">'Reference'!$K$90:$K$123</definedName>
    <definedName name="curve_y3">'Reference'!$L$90:$L$123</definedName>
    <definedName name="curve_x4">'Reference'!$M$90:$M$123</definedName>
    <definedName name="curve_y4">'Reference'!$N$90:$N$123</definedName>
    <definedName name="curve_x5">'Reference'!$O$90:$O$123</definedName>
    <definedName name="curve_y5">'Reference'!$P$90:$P$123</definedName>
    <definedName name="curve_x39">'Reference'!$Q$90:$Q$123</definedName>
    <definedName name="curve_x69">'Reference'!$R$90:$R$123</definedName>
    <definedName name="nutrient_regions">'Reference'!$A$127:$A$135</definedName>
    <definedName name="nutrient_tn_gf">'Reference'!$B$127:$B$135</definedName>
    <definedName name="nutrient_tn_fp">'Reference'!$C$127:$C$135</definedName>
    <definedName name="nutrient_tp_gf">'Reference'!$D$127:$D$135</definedName>
    <definedName name="nutrient_tp_fp">'Reference'!$E$127:$E$135</definedName>
    <definedName name="attains_keys">'Reference'!$A$139:$A$145</definedName>
    <definedName name="attains_ratings">'Reference'!$B$139:$B$145</definedName>
    <definedName name="site_name">'Inputs'!$C$5</definedName>
    <definedName name="site_assessor">'Inputs'!$C$6</definedName>
    <definedName name="site_date">'Inputs'!$C$7</definedName>
    <definedName name="site_comid">'Inputs'!$C$8</definedName>
    <definedName name="site_coords">'Inputs'!$C$9</definedName>
    <definedName name="site_notes">'Inputs'!$C$10</definedName>
    <definedName name="ctx_region">'Inputs'!$C$14</definedName>
    <definedName name="ctx_fcode">'Inputs'!$C$15</definedName>
    <definedName name="ctx_slope_override">'Inputs'!$C$16</definedName>
    <definedName name="calc_slope_class">'Inputs'!$C$17</definedName>
    <definedName name="in_impervious">'Inputs'!$C$22</definedName>
    <definedName name="in_agriculture">'Inputs'!$C$23</definedName>
    <definedName name="in_woodyWetland">'Inputs'!$C$24</definedName>
    <definedName name="in_herbaceousWetland">'Inputs'!$C$25</definedName>
    <definedName name="in_roadDensity">'Inputs'!$C$26</definedName>
    <definedName name="in_kFactor">'Inputs'!$C$27</definedName>
    <definedName name="in_storage">'Inputs'!$C$29</definedName>
    <definedName name="in_runoff">'Inputs'!$C$30</definedName>
    <definedName name="in_flowCv">'Inputs'!$C$31</definedName>
    <definedName name="in_woodyRiparian">'Inputs'!$C$33</definedName>
    <definedName name="in_forest">'Inputs'!$C$34</definedName>
    <definedName name="in_shrub">'Inputs'!$C$35</definedName>
    <definedName name="in_grassland">'Inputs'!$C$36</definedName>
    <definedName name="in_wetland">'Inputs'!$C$37</definedName>
    <definedName name="in_bhr">'Inputs'!$C$39</definedName>
    <definedName name="in_er">'Inputs'!$C$40</definedName>
    <definedName name="in_slope">'Inputs'!$C$41</definedName>
    <definedName name="in_sinuosity">'Inputs'!$C$42</definedName>
    <definedName name="in_tn">'Inputs'!$C$44</definedName>
    <definedName name="in_tp">'Inputs'!$C$45</definedName>
    <definedName name="in_category">'Inputs'!$C$46</definedName>
    <definedName name="in_chemCatchment">'Inputs'!$C$48</definedName>
    <definedName name="in_chemWatershed">'Inputs'!$C$49</definedName>
    <definedName name="in_prGBmmi">'Inputs'!$C$50</definedName>
    <definedName name="in_hydCat">'Inputs'!$C$51</definedName>
    <definedName name="in_sedCat">'Inputs'!$C$52</definedName>
    <definedName name="in_connCat">'Inputs'!$C$53</definedName>
    <definedName name="in_tempCat">'Inputs'!$C$54</definedName>
    <definedName name="in_habtCat">'Inputs'!$C$55</definedName>
    <definedName name="in_hydWs">'Inputs'!$C$56</definedName>
    <definedName name="in_sedWs">'Inputs'!$C$57</definedName>
    <definedName name="in_connWs">'Inputs'!$C$58</definedName>
    <definedName name="in_tempWs">'Inputs'!$C$59</definedName>
    <definedName name="in_habtWs">'Inputs'!$C$60</definedName>
    <definedName name="in_taxaCount">'Inputs'!$C$62</definedName>
    <definedName name="in_damCount">'Inputs'!$C$63</definedName>
    <definedName name="in_m01">'Inputs'!$C$68</definedName>
    <definedName name="in_m02">'Inputs'!$C$69</definedName>
    <definedName name="in_m03">'Inputs'!$C$70</definedName>
    <definedName name="in_m04">'Inputs'!$C$71</definedName>
    <definedName name="in_m05">'Inputs'!$C$72</definedName>
    <definedName name="in_m06">'Inputs'!$C$73</definedName>
    <definedName name="in_m07">'Inputs'!$C$74</definedName>
    <definedName name="in_m08">'Inputs'!$C$75</definedName>
    <definedName name="in_m09">'Inputs'!$C$76</definedName>
    <definedName name="in_m10">'Inputs'!$C$77</definedName>
    <definedName name="in_m11">'Inputs'!$C$78</definedName>
    <definedName name="in_m12">'Inputs'!$C$79</definedName>
    <definedName name="flow_cv_helper">'Inputs'!$C$80</definedName>
    <definedName name="ov_stageClass">'Inputs'!$C$84</definedName>
    <definedName name="ov_indicators">'Inputs'!$C$85</definedName>
    <definedName name="ov_erodingBankPct">'Inputs'!$C$86</definedName>
    <definedName name="ov_armoredBankPct">'Inputs'!$C$87</definedName>
    <definedName name="m01_governing">'Metrics'!$B$8</definedName>
    <definedName name="m01_combined">'Metrics'!$B$9</definedName>
    <definedName name="m01_route">'Metrics'!$B$10</definedName>
    <definedName name="m01_rating">'Metrics'!$C$11</definedName>
    <definedName name="m01_index">'Metrics'!$D$11</definedName>
    <definedName name="m01_score">'Metrics'!$B$12</definedName>
    <definedName name="m01_status">'Metrics'!$B$13</definedName>
    <definedName name="m02_combined">'Metrics'!$B$19</definedName>
    <definedName name="m02_route">'Metrics'!$B$20</definedName>
    <definedName name="m02_rating">'Metrics'!$C$21</definedName>
    <definedName name="m02_index">'Metrics'!$D$21</definedName>
    <definedName name="m02_score">'Metrics'!$B$22</definedName>
    <definedName name="m02_status">'Metrics'!$B$23</definedName>
    <definedName name="m03_route">'Metrics'!$B$28</definedName>
    <definedName name="m03_rating">'Metrics'!$C$29</definedName>
    <definedName name="m03_index">'Metrics'!$D$29</definedName>
    <definedName name="m03_score">'Metrics'!$B$30</definedName>
    <definedName name="m03_status">'Metrics'!$B$31</definedName>
    <definedName name="m04_combined">'Metrics'!$B$37</definedName>
    <definedName name="m04_route">'Metrics'!$B$38</definedName>
    <definedName name="m04_rating">'Metrics'!$C$39</definedName>
    <definedName name="m04_index">'Metrics'!$D$39</definedName>
    <definedName name="m04_score">'Metrics'!$B$40</definedName>
    <definedName name="m04_status">'Metrics'!$B$41</definedName>
    <definedName name="m05_route">'Metrics'!$B$49</definedName>
    <definedName name="m05_rating">'Metrics'!$C$50</definedName>
    <definedName name="m05_index">'Metrics'!$D$50</definedName>
    <definedName name="m05_score">'Metrics'!$B$51</definedName>
    <definedName name="m05_status">'Metrics'!$B$52</definedName>
    <definedName name="m06_route">'Metrics'!$B$57</definedName>
    <definedName name="m06_rating">'Metrics'!$C$58</definedName>
    <definedName name="m06_index">'Metrics'!$D$58</definedName>
    <definedName name="m06_score">'Metrics'!$B$59</definedName>
    <definedName name="m06_status">'Metrics'!$B$60</definedName>
    <definedName name="m07_route">'Metrics'!$B$67</definedName>
    <definedName name="m07_rating">'Metrics'!$C$68</definedName>
    <definedName name="m07_index">'Metrics'!$D$68</definedName>
    <definedName name="m07_score">'Metrics'!$B$69</definedName>
    <definedName name="m07_status">'Metrics'!$B$70</definedName>
    <definedName name="m08_governing">'Metrics'!$B$76</definedName>
    <definedName name="m08_combined">'Metrics'!$B$77</definedName>
    <definedName name="m08_route">'Metrics'!$B$78</definedName>
    <definedName name="m08_rating">'Metrics'!$C$79</definedName>
    <definedName name="m08_index">'Metrics'!$D$79</definedName>
    <definedName name="m08_score">'Metrics'!$B$80</definedName>
    <definedName name="m08_status">'Metrics'!$B$81</definedName>
    <definedName name="m09_proxy_index">'Metrics'!$B$89</definedName>
    <definedName name="m09_route">'Metrics'!$B$90</definedName>
    <definedName name="m09_rating">'Metrics'!$C$91</definedName>
    <definedName name="m09_index">'Metrics'!$D$91</definedName>
    <definedName name="m09_score">'Metrics'!$B$92</definedName>
    <definedName name="m09_status">'Metrics'!$B$93</definedName>
    <definedName name="m10_route">'Metrics'!$B$100</definedName>
    <definedName name="m10_rating">'Metrics'!$C$101</definedName>
    <definedName name="m10_index">'Metrics'!$D$101</definedName>
    <definedName name="m10_score">'Metrics'!$B$102</definedName>
    <definedName name="m10_status">'Metrics'!$B$103</definedName>
    <definedName name="m11_governing">'Metrics'!$B$110</definedName>
    <definedName name="m11_combined">'Metrics'!$B$111</definedName>
    <definedName name="m11_route">'Metrics'!$B$112</definedName>
    <definedName name="m11_rating">'Metrics'!$C$113</definedName>
    <definedName name="m11_index">'Metrics'!$D$113</definedName>
    <definedName name="m11_score">'Metrics'!$B$114</definedName>
    <definedName name="m11_status">'Metrics'!$B$115</definedName>
    <definedName name="m12_route">'Metrics'!$B$120</definedName>
    <definedName name="m12_rating">'Metrics'!$C$121</definedName>
    <definedName name="m12_index">'Metrics'!$D$121</definedName>
    <definedName name="m12_score">'Metrics'!$B$122</definedName>
    <definedName name="m12_status">'Metrics'!$B$123</definedName>
    <definedName name="m13_governing">'Metrics'!$B$131</definedName>
    <definedName name="m13_combined">'Metrics'!$B$132</definedName>
    <definedName name="m13_route">'Metrics'!$B$133</definedName>
    <definedName name="m13_rating">'Metrics'!$C$134</definedName>
    <definedName name="m13_index">'Metrics'!$D$134</definedName>
    <definedName name="m13_score">'Metrics'!$B$135</definedName>
    <definedName name="m13_status">'Metrics'!$B$136</definedName>
    <definedName name="m14_combined">'Metrics'!$B$144</definedName>
    <definedName name="m14_route">'Metrics'!$B$147</definedName>
    <definedName name="m14_rating">'Metrics'!$C$148</definedName>
    <definedName name="m14_index">'Metrics'!$D$148</definedName>
    <definedName name="m14_score">'Metrics'!$B$149</definedName>
    <definedName name="m14_status">'Metrics'!$B$150</definedName>
    <definedName name="m15_chem">'Metrics'!$B$156</definedName>
    <definedName name="m15_route">'Metrics'!$B$157</definedName>
    <definedName name="m15_rating">'Metrics'!$C$158</definedName>
    <definedName name="m15_index">'Metrics'!$D$158</definedName>
    <definedName name="m15_score">'Metrics'!$B$159</definedName>
    <definedName name="m15_status">'Metrics'!$B$160</definedName>
    <definedName name="m16_chem">'Metrics'!$B$165</definedName>
    <definedName name="m16_route">'Metrics'!$B$166</definedName>
    <definedName name="m16_rating">'Metrics'!$C$167</definedName>
    <definedName name="m16_index">'Metrics'!$D$167</definedName>
    <definedName name="m16_score">'Metrics'!$B$168</definedName>
    <definedName name="m16_status">'Metrics'!$B$169</definedName>
    <definedName name="m17_route">'Metrics'!$B$177</definedName>
    <definedName name="m17_rating">'Metrics'!$C$178</definedName>
    <definedName name="m17_index">'Metrics'!$D$178</definedName>
    <definedName name="m17_score">'Metrics'!$B$179</definedName>
    <definedName name="m17_status">'Metrics'!$B$180</definedName>
    <definedName name="m18_ici">'Metrics'!$B$185</definedName>
    <definedName name="m18_iwi">'Metrics'!$B$186</definedName>
    <definedName name="m18_products">'Metrics'!$B$187</definedName>
    <definedName name="m18_route">'Metrics'!$B$188</definedName>
    <definedName name="m18_rating">'Metrics'!$C$189</definedName>
    <definedName name="m18_index">'Metrics'!$D$189</definedName>
    <definedName name="m18_score">'Metrics'!$B$190</definedName>
    <definedName name="m18_status">'Metrics'!$B$191</definedName>
    <definedName name="m19_route">'Metrics'!$B$196</definedName>
    <definedName name="m19_rating">'Metrics'!$C$197</definedName>
    <definedName name="m19_index">'Metrics'!$D$197</definedName>
    <definedName name="m19_score">'Metrics'!$B$198</definedName>
    <definedName name="m19_status">'Metrics'!$B$199</definedName>
    <definedName name="m20_route">'Metrics'!$B$204</definedName>
    <definedName name="m20_rating">'Metrics'!$C$205</definedName>
    <definedName name="m20_index">'Metrics'!$D$205</definedName>
    <definedName name="m20_score">'Metrics'!$B$206</definedName>
    <definedName name="m20_status">'Metrics'!$B$207</definedName>
    <definedName name="result_score_catchment_hydrology">'Results'!$E$5</definedName>
    <definedName name="result_score_surface_water_storage">'Results'!$E$6</definedName>
    <definedName name="result_score_reach_inflow">'Results'!$E$7</definedName>
    <definedName name="result_score_streamflow_regime">'Results'!$E$8</definedName>
    <definedName name="result_score_low_flow_baseflow_dynamics">'Results'!$E$9</definedName>
    <definedName name="result_score_high_flow_dynamics">'Results'!$E$10</definedName>
    <definedName name="result_score_floodplain_connectivity">'Results'!$E$11</definedName>
    <definedName name="result_score_hyporheic_connectivity">'Results'!$E$12</definedName>
    <definedName name="result_score_channel_evolution">'Results'!$E$13</definedName>
    <definedName name="result_score_channel_floodplain_dynamics">'Results'!$E$14</definedName>
    <definedName name="result_score_sediment_continuity">'Results'!$E$15</definedName>
    <definedName name="result_score_bed_composition_bedform_dynamics">'Results'!$E$16</definedName>
    <definedName name="result_score_light_thermal_regime">'Results'!$E$17</definedName>
    <definedName name="result_score_carbon_processing">'Results'!$E$18</definedName>
    <definedName name="result_score_nutrient_cycling">'Results'!$E$19</definedName>
    <definedName name="result_score_water_soil_quality">'Results'!$E$20</definedName>
    <definedName name="result_score_habitat_provision">'Results'!$E$21</definedName>
    <definedName name="result_score_population_support">'Results'!$E$22</definedName>
    <definedName name="result_score_community_dynamics">'Results'!$E$23</definedName>
    <definedName name="result_score_watershed_connectivity">'Results'!$E$24</definedName>
    <definedName name="sub_index_physical">'Results'!$D$27</definedName>
    <definedName name="sub_index_physical_display">'Results'!$E$27</definedName>
    <definedName name="coverage_physical">'Results'!$G$27</definedName>
    <definedName name="sub_index_chemical">'Results'!$D$28</definedName>
    <definedName name="sub_index_chemical_display">'Results'!$E$28</definedName>
    <definedName name="coverage_chemical">'Results'!$G$28</definedName>
    <definedName name="sub_index_biological">'Results'!$D$29</definedName>
    <definedName name="sub_index_biological_display">'Results'!$E$29</definedName>
    <definedName name="coverage_biological">'Results'!$G$29</definedName>
    <definedName name="eci">'Results'!$D$30</definedName>
    <definedName name="eci_display">'Results'!$E$30</definedName>
    <definedName name="eci_class">'Results'!$F$30</definedName>
    <definedName name="functions_rated">'Results'!$B$33</definedName>
    <definedName name="functions_selected">'Results'!$B$34</definedName>
    <definedName name="coverage_overall">'Results'!$B$35</definedName>
    <definedName name="provisional">'Results'!$B$36</definedName>
    <definedName name="coverage_status">'Results'!$B$37</definedName>
    <definedName name="meta_calculator_version">'Metadata'!$B$3</definedName>
    <definedName name="meta_calculator_date">'Metadata'!$B$4</definedName>
    <definedName name="meta_scoring_method_digest">'Metadata'!$B$5</definedName>
    <definedName name="meta_scoring_identity">'Metadata'!$B$6</definedName>
    <definedName name="meta_criteria_set">'Metadata'!$B$7</definedName>
    <definedName name="meta_reference_curves">'Metadata'!$B$8</definedName>
    <definedName name="meta_catalog_sha256">'Metadata'!$B$9</definedName>
    <definedName name="meta_curves_sha256">'Metadata'!$B$10</definedName>
    <definedName name="meta_nars_9_geography_sha256">'Metadata'!$B$11</definedName>
    <definedName name="meta_rating_anchors">'Metadata'!$B$12</definedName>
    <definedName name="meta_function_scores">'Metadata'!$B$13</definedName>
    <definedName name="meta_outcome_weights">'Metadata'!$B$14</definedName>
    <definedName name="meta_condition_classes">'Metadata'!$B$15</definedName>
    <definedName name="meta_coverage_threshold">'Metadata'!$B$16</definedName>
    <definedName name="meta_generator">'Metadata'!$B$17</definedName>
    <definedName name="meta_generator_sha256">'Metadata'!$B$18</definedName>
    <definedName name="meta_generated_from">'Metadata'!$B$19</definedName>
    <definedName name="meta_application">'Metadata'!$B$20</definedName>
    <definedName name="meta_formula_vocabulary">'Metadata'!$B$21</definedName>
  </definedNames>
  <calcPr calcId="124519" fullCalcOnLoad="1"/>
</workbook>
</file>

<file path=xl/styles.xml><?xml version="1.0" encoding="utf-8"?>
<styleSheet xmlns="http://schemas.openxmlformats.org/spreadsheetml/2006/main">
  <numFmts count="3">
    <numFmt numFmtId="164" formatCode="0.000"/>
    <numFmt numFmtId="165" formatCode="0.000000"/>
    <numFmt numFmtId="166" formatCode="0.0000"/>
  </numFmts>
  <fonts count="7">
    <font>
      <name val="Calibri"/>
      <family val="2"/>
      <color theme="1"/>
      <sz val="11"/>
      <scheme val="minor"/>
    </font>
    <font>
      <b val="1"/>
      <sz val="13"/>
    </font>
    <font>
      <i val="1"/>
      <color rgb="00555555"/>
      <sz val="9"/>
    </font>
    <font>
      <b val="1"/>
      <sz val="11"/>
    </font>
    <font>
      <b val="1"/>
      <color rgb="00FFFFFF"/>
    </font>
    <font>
      <b val="1"/>
    </font>
    <font>
      <b val="1"/>
      <sz val="16"/>
    </font>
  </fonts>
  <fills count="6">
    <fill>
      <patternFill/>
    </fill>
    <fill>
      <patternFill patternType="gray125"/>
    </fill>
    <fill>
      <patternFill patternType="solid">
        <fgColor rgb="001F3864"/>
      </patternFill>
    </fill>
    <fill>
      <patternFill patternType="solid">
        <fgColor rgb="00DDEBF7"/>
      </patternFill>
    </fill>
    <fill>
      <patternFill patternType="solid">
        <fgColor rgb="00EDEDED"/>
      </patternFill>
    </fill>
    <fill>
      <patternFill patternType="solid">
        <fgColor rgb="00FFF2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3">
    <xf numFmtId="0" fontId="0" fillId="0" borderId="0" pivotButton="0" quotePrefix="0" xfId="0"/>
    <xf numFmtId="0" fontId="6" fillId="0" borderId="0" pivotButton="0" quotePrefix="0" xfId="0"/>
    <xf numFmtId="0" fontId="5" fillId="0" borderId="0" pivotButton="0" quotePrefix="0" xfId="0"/>
    <xf numFmtId="0" fontId="0" fillId="0" borderId="0" applyAlignment="1" pivotButton="0" quotePrefix="0" xfId="0">
      <alignment vertical="top" wrapText="1"/>
    </xf>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0" fillId="3" borderId="1" applyProtection="1" pivotButton="0" quotePrefix="0" xfId="0">
      <protection locked="0" hidden="0"/>
    </xf>
    <xf numFmtId="0" fontId="4" fillId="2" borderId="0" pivotButton="0" quotePrefix="0" xfId="0"/>
    <xf numFmtId="0" fontId="2" fillId="0" borderId="0" pivotButton="0" quotePrefix="0" xfId="0"/>
    <xf numFmtId="0" fontId="0" fillId="4" borderId="1" pivotButton="0" quotePrefix="0" xfId="0"/>
    <xf numFmtId="0" fontId="0" fillId="5" borderId="1" applyProtection="1" pivotButton="0" quotePrefix="0" xfId="0">
      <protection locked="0" hidden="0"/>
    </xf>
    <xf numFmtId="165" fontId="0" fillId="4" borderId="1" pivotButton="0" quotePrefix="0" xfId="0"/>
    <xf numFmtId="0" fontId="0" fillId="4" borderId="0" pivotButton="0" quotePrefix="0" xfId="0"/>
    <xf numFmtId="164" fontId="0" fillId="4" borderId="0" pivotButton="0" quotePrefix="0" xfId="0"/>
    <xf numFmtId="0" fontId="5" fillId="4" borderId="0" pivotButton="0" quotePrefix="0" xfId="0"/>
    <xf numFmtId="0" fontId="2" fillId="4" borderId="0" pivotButton="0" quotePrefix="0" xfId="0"/>
    <xf numFmtId="166" fontId="0" fillId="4" borderId="0" pivotButton="0" quotePrefix="0" xfId="0"/>
    <xf numFmtId="165" fontId="0" fillId="4" borderId="0" pivotButton="0" quotePrefix="0" xfId="0"/>
    <xf numFmtId="2" fontId="0" fillId="4" borderId="0" pivotButton="0" quotePrefix="0" xfId="0"/>
    <xf numFmtId="165" fontId="5" fillId="4" borderId="0" pivotButton="0" quotePrefix="0" xfId="0"/>
    <xf numFmtId="2" fontId="5"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20" customWidth="1" min="1" max="1"/>
  </cols>
  <sheetData>
    <row r="1">
      <c r="A1" s="1" t="inlineStr">
        <is>
          <t>EASI calculator</t>
        </is>
      </c>
    </row>
    <row r="2">
      <c r="A2" s="2" t="inlineStr">
        <is>
          <t>Ecosystem Assessment Screening Index (EASI), Stream Tiered Assessment Framework (STAF)</t>
        </is>
      </c>
    </row>
    <row r="3" ht="30" customHeight="1">
      <c r="A3" s="3" t="inlineStr">
        <is>
          <t>Calculator version 1.0.0 (2026-09-16). Scoring method digest b2e3033116e3 (Alternative 2: NARS-9 references). See the Metadata sheet.</t>
        </is>
      </c>
    </row>
    <row r="4">
      <c r="A4" s="3" t="inlineStr"/>
    </row>
    <row r="5">
      <c r="A5" s="2" t="inlineStr">
        <is>
          <t>What it is</t>
        </is>
      </c>
    </row>
    <row r="6" ht="60" customHeight="1">
      <c r="A6" s="3" t="inlineStr">
        <is>
          <t>An offline implementation of the EASI screening methodology. The web application retrieves the desktop evidence for a stream reach and scores it; this workbook scores the same evidence when you enter it by hand. Same inputs give the same ratings, function scores, sub-indices and Ecosystem Condition Index, because every threshold, curve, lookup and weight here is generated from the application's own scoring definitions.</t>
        </is>
      </c>
    </row>
    <row r="7">
      <c r="A7" s="3" t="inlineStr"/>
    </row>
    <row r="8">
      <c r="A8" s="2" t="inlineStr">
        <is>
          <t>How to use it</t>
        </is>
      </c>
    </row>
    <row r="9" ht="30" customHeight="1">
      <c r="A9" s="3" t="inlineStr">
        <is>
          <t>1. On the Inputs sheet, fill the site block, then the context: the NARS-9 ecoregion code of the site, the NHD feature code and, if needed, a slope class override.</t>
        </is>
      </c>
    </row>
    <row r="10" ht="45" customHeight="1">
      <c r="A10" s="3" t="inlineStr">
        <is>
          <t>2. Enter each desktop quantity once (yellow cells). The Source column names the StreamCat field or the EASI report item each value comes from. Leave a cell blank when the evidence is unavailable. Never enter zero for unknown: a zero is evidence.</t>
        </is>
      </c>
    </row>
    <row r="11" ht="30" customHeight="1">
      <c r="A11" s="3" t="inlineStr">
        <is>
          <t>3. Optional: enter the twelve EROM monthly flows to compute the monthly flow variability, and the observed channel class and bank percentages if you have field observations.</t>
        </is>
      </c>
    </row>
    <row r="12" ht="30" customHeight="1">
      <c r="A12" s="3" t="inlineStr">
        <is>
          <t>4. Read the Metrics sheet for each function's route, rating and score, and the Results sheet for the sub-indices, the ECI and the coverage.</t>
        </is>
      </c>
    </row>
    <row r="13">
      <c r="A13" s="3" t="inlineStr"/>
    </row>
    <row r="14">
      <c r="A14" s="2" t="inlineStr">
        <is>
          <t>Colour key</t>
        </is>
      </c>
    </row>
    <row r="15" ht="45" customHeight="1">
      <c r="A15" s="3" t="inlineStr">
        <is>
          <t>Yellow: required entry. Blue: optional context or override. Grey: computed. All computed cells are locked; the sheets are protected without a secret password (it is 'easi') so that a mistaken edit is unlikely, not impossible.</t>
        </is>
      </c>
    </row>
    <row r="16">
      <c r="A16" s="3" t="inlineStr"/>
    </row>
    <row r="17">
      <c r="A17" s="2" t="inlineStr">
        <is>
          <t>What the calculator does not do</t>
        </is>
      </c>
    </row>
    <row r="18" ht="45" customHeight="1">
      <c r="A18" s="3" t="inlineStr">
        <is>
          <t>It does not retrieve data, delineate a watershed or draw cross-sections. It does not implement the expert review of individual metrics that the application supports, other than the observed channel and bank overrides. Entries outside the documented ranges are flagged and left unrated.</t>
        </is>
      </c>
    </row>
    <row r="19">
      <c r="A19" s="3" t="inlineStr"/>
    </row>
    <row r="20">
      <c r="A20" s="2" t="inlineStr">
        <is>
          <t>Rounding notes</t>
        </is>
      </c>
    </row>
    <row r="21" ht="75" customHeight="1">
      <c r="A21" s="3" t="inlineStr">
        <is>
          <t>Derived values from ratios, sums and products are rounded to twelve decimals before banding, as in the application. Displayed indices are rounded to two decimals; when a sub-index lands exactly on a half-hundredth, Excel rounds away from zero and the application rounds to the even digit, so the displayed value can differ by 0.01 while the class is the same. Composite inputs copied from an EASI report should be entered as the report shows them.</t>
        </is>
      </c>
    </row>
    <row r="22">
      <c r="A22" s="3" t="inlineStr"/>
    </row>
    <row r="23">
      <c r="A23" s="2" t="inlineStr">
        <is>
          <t>Limitations</t>
        </is>
      </c>
    </row>
    <row r="24" ht="45" customHeight="1">
      <c r="A24" s="3" t="inlineStr">
        <is>
          <t>EASI is a screening-level desktop estimate, not a field-validated assessment. The reference curves express regional expectations derived from least-disturbed reaches and several proxies remain unvalidated; the technical report states each metric's limitations.</t>
        </is>
      </c>
    </row>
  </sheetData>
  <sheetProtection selectLockedCells="0" selectUnlockedCells="0" sheet="1" objects="0" insertRows="1" insertHyperlinks="1" autoFilter="1" scenarios="0" formatColumns="1" deleteColumns="1" insertColumns="1" pivotTables="1" deleteRows="1" formatCells="1" formatRows="1" sort="1" password="CA09"/>
  <mergeCells count="23">
    <mergeCell ref="A9:H9"/>
    <mergeCell ref="A15:H15"/>
    <mergeCell ref="A24:H24"/>
    <mergeCell ref="A11:H11"/>
    <mergeCell ref="A6:H6"/>
    <mergeCell ref="A7:H7"/>
    <mergeCell ref="A16:H16"/>
    <mergeCell ref="A12:H12"/>
    <mergeCell ref="A18:H18"/>
    <mergeCell ref="A3:H3"/>
    <mergeCell ref="A21:H21"/>
    <mergeCell ref="A2:H2"/>
    <mergeCell ref="A14:H14"/>
    <mergeCell ref="A5:H5"/>
    <mergeCell ref="A23:H23"/>
    <mergeCell ref="A8:H8"/>
    <mergeCell ref="A22:H22"/>
    <mergeCell ref="A17:H17"/>
    <mergeCell ref="A4:H4"/>
    <mergeCell ref="A20:H20"/>
    <mergeCell ref="A10:H10"/>
    <mergeCell ref="A13:H13"/>
    <mergeCell ref="A19:H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7"/>
  <sheetViews>
    <sheetView workbookViewId="0">
      <pane ySplit="1" topLeftCell="A2" activePane="bottomLeft" state="frozen"/>
      <selection pane="bottomLeft" activeCell="A1" sqref="A1"/>
    </sheetView>
  </sheetViews>
  <sheetFormatPr baseColWidth="8" defaultRowHeight="15"/>
  <cols>
    <col width="58" customWidth="1" min="1" max="1"/>
    <col width="18" customWidth="1" min="2" max="2"/>
    <col width="16" customWidth="1" min="3" max="3"/>
    <col width="10" customWidth="1" min="4" max="4"/>
    <col width="44" customWidth="1" min="5" max="5"/>
    <col width="60" customWidth="1" min="6" max="6"/>
  </cols>
  <sheetData>
    <row r="1">
      <c r="A1" s="4" t="inlineStr">
        <is>
          <t>EASI calculator: inputs</t>
        </is>
      </c>
    </row>
    <row r="2" ht="42" customHeight="1">
      <c r="A2" s="5" t="inlineStr">
        <is>
          <t>Yellow cells are required entries, blue cells are optional context or overrides, grey cells are computed. Enter each quantity once; the Metrics sheet reuses it wherever the method needs it. Leave a cell blank when the evidence is unavailable. Never enter zero for unknown.</t>
        </is>
      </c>
    </row>
    <row r="4">
      <c r="A4" s="6" t="inlineStr">
        <is>
          <t>Site</t>
        </is>
      </c>
    </row>
    <row r="5">
      <c r="A5" t="inlineStr">
        <is>
          <t>Site name</t>
        </is>
      </c>
      <c r="C5" s="7" t="n"/>
    </row>
    <row r="6">
      <c r="A6" t="inlineStr">
        <is>
          <t>Assessor</t>
        </is>
      </c>
      <c r="C6" s="7" t="n"/>
    </row>
    <row r="7">
      <c r="A7" t="inlineStr">
        <is>
          <t>Date</t>
        </is>
      </c>
      <c r="C7" s="7" t="n"/>
    </row>
    <row r="8">
      <c r="A8" t="inlineStr">
        <is>
          <t>NHDPlus V2 COMID</t>
        </is>
      </c>
      <c r="C8" s="7" t="n"/>
    </row>
    <row r="9">
      <c r="A9" t="inlineStr">
        <is>
          <t>Latitude, longitude</t>
        </is>
      </c>
      <c r="C9" s="7" t="n"/>
    </row>
    <row r="10">
      <c r="A10" t="inlineStr">
        <is>
          <t>Notes</t>
        </is>
      </c>
      <c r="C10" s="7" t="n"/>
    </row>
    <row r="12">
      <c r="A12" s="6" t="inlineStr">
        <is>
          <t>Context</t>
        </is>
      </c>
    </row>
    <row r="13">
      <c r="A13" s="8" t="inlineStr">
        <is>
          <t>Setting</t>
        </is>
      </c>
      <c r="B13" s="8" t="inlineStr">
        <is>
          <t>Key</t>
        </is>
      </c>
      <c r="C13" s="8" t="inlineStr">
        <is>
          <t>Value</t>
        </is>
      </c>
      <c r="D13" s="8" t="inlineStr"/>
      <c r="E13" s="8" t="inlineStr"/>
      <c r="F13" s="8" t="inlineStr">
        <is>
          <t>Note</t>
        </is>
      </c>
    </row>
    <row r="14">
      <c r="A14" s="3" t="inlineStr">
        <is>
          <t>NARS-9 aggregate ecoregion of the site</t>
        </is>
      </c>
      <c r="B14" s="9" t="inlineStr">
        <is>
          <t>ctx_region</t>
        </is>
      </c>
      <c r="C14" s="7" t="n"/>
      <c r="F14" s="5" t="inlineStr">
        <is>
          <t>Code of the EPA NARS nine-region ecoregion containing the site (CPL, NAP, NPL, SAP, SPL, TPL, UMW, WMT, XER). It selects the regional reference curves and the nutrient thresholds. Leave blank if unknown: the national curves apply and nutrients fall back to the CHEM index.</t>
        </is>
      </c>
    </row>
    <row r="15">
      <c r="A15" s="3" t="inlineStr">
        <is>
          <t>NHD feature code (FCODE) of the reach</t>
        </is>
      </c>
      <c r="B15" s="9" t="inlineStr">
        <is>
          <t>ctx_fcode</t>
        </is>
      </c>
      <c r="C15" s="7" t="n"/>
      <c r="F15" s="5" t="inlineStr">
        <is>
          <t>From NHDPlus V2. Codes 33600, 33601 and 33603 are canals and ditches, which rate Channel evolution Poor.</t>
        </is>
      </c>
    </row>
    <row r="16">
      <c r="A16" s="3" t="inlineStr">
        <is>
          <t>Slope class override</t>
        </is>
      </c>
      <c r="B16" s="9" t="inlineStr">
        <is>
          <t>ctx_slope_override</t>
        </is>
      </c>
      <c r="C16" s="7" t="n"/>
      <c r="F16" s="5" t="inlineStr">
        <is>
          <t>Normally derived from the channel slope below. Set only to force a class (lt_0.5, 0.5_to_2, ge_2 or national).</t>
        </is>
      </c>
    </row>
    <row r="17">
      <c r="A17" t="inlineStr">
        <is>
          <t>Slope class used for the entrenchment curves (derived)</t>
        </is>
      </c>
      <c r="B17" s="9" t="inlineStr">
        <is>
          <t>calc_slope_class</t>
        </is>
      </c>
      <c r="C17" s="10">
        <f>IF('Inputs'!$C$16&lt;&gt;"",'Inputs'!$C$16,IF(NOT(ISNUMBER('Inputs'!$C$41)),"national",IF('Inputs'!$C$41&lt;0,"national",IF('Inputs'!$C$41&lt;0.005,"lt_0.5",IF('Inputs'!$C$41&lt;0.02,"0.5_to_2","ge_2")))))</f>
        <v/>
      </c>
      <c r="F17" s="5" t="inlineStr">
        <is>
          <t>lt_0.5 below 0.005 m/m, 0.5_to_2 to below 0.02, ge_2 at or above 0.02, national when the slope is blank or negative. The override above wins when set.</t>
        </is>
      </c>
    </row>
    <row r="19">
      <c r="A19" s="6" t="inlineStr">
        <is>
          <t>Desktop quantities</t>
        </is>
      </c>
    </row>
    <row r="20">
      <c r="A20" s="8" t="inlineStr">
        <is>
          <t>Quantity</t>
        </is>
      </c>
      <c r="B20" s="8" t="inlineStr">
        <is>
          <t>Key</t>
        </is>
      </c>
      <c r="C20" s="8" t="inlineStr">
        <is>
          <t>Value</t>
        </is>
      </c>
      <c r="D20" s="8" t="inlineStr">
        <is>
          <t>Units</t>
        </is>
      </c>
      <c r="E20" s="8" t="inlineStr">
        <is>
          <t>Source</t>
        </is>
      </c>
      <c r="F20" s="8" t="inlineStr">
        <is>
          <t>Note</t>
        </is>
      </c>
    </row>
    <row r="21">
      <c r="A21" s="2" t="inlineStr">
        <is>
          <t>Watershed land cover (StreamCat, watershed area of interest)</t>
        </is>
      </c>
    </row>
    <row r="22">
      <c r="A22" s="3" t="inlineStr">
        <is>
          <t>Impervious cover of the watershed</t>
        </is>
      </c>
      <c r="B22" s="9" t="inlineStr">
        <is>
          <t>impervious</t>
        </is>
      </c>
      <c r="C22" s="11" t="n"/>
      <c r="D22" t="inlineStr">
        <is>
          <t>%</t>
        </is>
      </c>
      <c r="E22" s="3" t="inlineStr">
        <is>
          <t>StreamCat pctimp2019ws</t>
        </is>
      </c>
      <c r="F22" s="5" t="inlineStr">
        <is>
          <t>Used by Catchment hydrology and Light and thermal regime.</t>
        </is>
      </c>
    </row>
    <row r="23">
      <c r="A23" s="3" t="inlineStr">
        <is>
          <t>Agricultural cover of the watershed (crop plus hay and pasture)</t>
        </is>
      </c>
      <c r="B23" s="9" t="inlineStr">
        <is>
          <t>agriculture</t>
        </is>
      </c>
      <c r="C23" s="11" t="n"/>
      <c r="D23" t="inlineStr">
        <is>
          <t>%</t>
        </is>
      </c>
      <c r="E23" s="3" t="inlineStr">
        <is>
          <t>StreamCat pctcrop2019ws + pcthay2019ws (the application rounds the sum to two decimals)</t>
        </is>
      </c>
      <c r="F23" s="5" t="inlineStr">
        <is>
          <t>Used by Catchment hydrology, Sediment continuity and Bed composition.</t>
        </is>
      </c>
    </row>
    <row r="24">
      <c r="A24" s="3" t="inlineStr">
        <is>
          <t>Woody wetland cover of the watershed</t>
        </is>
      </c>
      <c r="B24" s="9" t="inlineStr">
        <is>
          <t>woodyWetland</t>
        </is>
      </c>
      <c r="C24" s="11" t="n"/>
      <c r="D24" t="inlineStr">
        <is>
          <t>%</t>
        </is>
      </c>
      <c r="E24" s="3" t="inlineStr">
        <is>
          <t>StreamCat pctwdwet2019ws</t>
        </is>
      </c>
      <c r="F24" s="5" t="inlineStr"/>
    </row>
    <row r="25">
      <c r="A25" s="3" t="inlineStr">
        <is>
          <t>Herbaceous wetland cover of the watershed</t>
        </is>
      </c>
      <c r="B25" s="9" t="inlineStr">
        <is>
          <t>herbaceousWetland</t>
        </is>
      </c>
      <c r="C25" s="11" t="n"/>
      <c r="D25" t="inlineStr">
        <is>
          <t>%</t>
        </is>
      </c>
      <c r="E25" s="3" t="inlineStr">
        <is>
          <t>StreamCat pcthbwet2019ws</t>
        </is>
      </c>
      <c r="F25" s="5" t="inlineStr"/>
    </row>
    <row r="26">
      <c r="A26" s="3" t="inlineStr">
        <is>
          <t>Road density of the watershed</t>
        </is>
      </c>
      <c r="B26" s="9" t="inlineStr">
        <is>
          <t>roadDensity</t>
        </is>
      </c>
      <c r="C26" s="11" t="n"/>
      <c r="D26" t="inlineStr">
        <is>
          <t>km/km2</t>
        </is>
      </c>
      <c r="E26" s="3" t="inlineStr">
        <is>
          <t>StreamCat rddensws</t>
        </is>
      </c>
      <c r="F26" s="5" t="inlineStr">
        <is>
          <t>Used by Reach inflow and Sediment continuity.</t>
        </is>
      </c>
    </row>
    <row r="27">
      <c r="A27" s="3" t="inlineStr">
        <is>
          <t>Soil erodibility K factor of the watershed</t>
        </is>
      </c>
      <c r="B27" s="9" t="inlineStr">
        <is>
          <t>kFactor</t>
        </is>
      </c>
      <c r="C27" s="11" t="n"/>
      <c r="D27" t="inlineStr"/>
      <c r="E27" s="3" t="inlineStr">
        <is>
          <t>StreamCat kffactws</t>
        </is>
      </c>
      <c r="F27" s="5" t="inlineStr"/>
    </row>
    <row r="28">
      <c r="A28" s="2" t="inlineStr">
        <is>
          <t>Flow regulation and flow variability</t>
        </is>
      </c>
    </row>
    <row r="29">
      <c r="A29" s="3" t="inlineStr">
        <is>
          <t>Normalized dam storage upstream</t>
        </is>
      </c>
      <c r="B29" s="9" t="inlineStr">
        <is>
          <t>storage</t>
        </is>
      </c>
      <c r="C29" s="11" t="n"/>
      <c r="D29" t="inlineStr">
        <is>
          <t>m3/km2</t>
        </is>
      </c>
      <c r="E29" s="3" t="inlineStr">
        <is>
          <t>StreamCat damnrmstorws</t>
        </is>
      </c>
      <c r="F29" s="5" t="inlineStr">
        <is>
          <t>A true zero is valid evidence. Leave blank when unknown.</t>
        </is>
      </c>
    </row>
    <row r="30">
      <c r="A30" s="3" t="inlineStr">
        <is>
          <t>Mean annual runoff of the watershed</t>
        </is>
      </c>
      <c r="B30" s="9" t="inlineStr">
        <is>
          <t>runoff</t>
        </is>
      </c>
      <c r="C30" s="11" t="n"/>
      <c r="D30" t="inlineStr">
        <is>
          <t>mm</t>
        </is>
      </c>
      <c r="E30" s="3" t="inlineStr">
        <is>
          <t>StreamCat runoffws</t>
        </is>
      </c>
      <c r="F30" s="5" t="inlineStr">
        <is>
          <t>Must be positive for the degree of regulation.</t>
        </is>
      </c>
    </row>
    <row r="31">
      <c r="A31" s="3" t="inlineStr">
        <is>
          <t>Monthly flow variability (coefficient of variation of the twelve EROM mean monthly flows)</t>
        </is>
      </c>
      <c r="B31" s="9" t="inlineStr">
        <is>
          <t>flowCv</t>
        </is>
      </c>
      <c r="C31" s="11" t="n"/>
      <c r="D31" t="inlineStr">
        <is>
          <t>ratio</t>
        </is>
      </c>
      <c r="E31" s="3" t="inlineStr">
        <is>
          <t>NHDPlus V2 EROM QE_01 to QE_12: population standard deviation over the mean, rounded to six decimals</t>
        </is>
      </c>
      <c r="F31" s="5" t="inlineStr">
        <is>
          <t>Enter the value from the EASI report, or compute it below from the twelve monthly flows.</t>
        </is>
      </c>
    </row>
    <row r="32">
      <c r="A32" s="2" t="inlineStr">
        <is>
          <t>Riparian corridor (StreamCat, 100 m watershed corridor)</t>
        </is>
      </c>
    </row>
    <row r="33">
      <c r="A33" s="3" t="inlineStr">
        <is>
          <t>Woody riparian cover in the 100 m corridor (forest, shrub and woody wetland)</t>
        </is>
      </c>
      <c r="B33" s="9" t="inlineStr">
        <is>
          <t>woodyRiparian</t>
        </is>
      </c>
      <c r="C33" s="11" t="n"/>
      <c r="D33" t="inlineStr">
        <is>
          <t>%</t>
        </is>
      </c>
      <c r="E33" s="3" t="inlineStr">
        <is>
          <t>StreamCat conifer + deciduous + mixed forest + shrub + woody wetland at wsrp100 (rounded to one decimal)</t>
        </is>
      </c>
      <c r="F33" s="5" t="inlineStr">
        <is>
          <t>Used by Light and thermal regime and Habitat provision.</t>
        </is>
      </c>
    </row>
    <row r="34">
      <c r="A34" s="3" t="inlineStr">
        <is>
          <t>Forest cover in the corridor</t>
        </is>
      </c>
      <c r="B34" s="9" t="inlineStr">
        <is>
          <t>forest</t>
        </is>
      </c>
      <c r="C34" s="11" t="n"/>
      <c r="D34" t="inlineStr">
        <is>
          <t>%</t>
        </is>
      </c>
      <c r="E34" s="3" t="inlineStr">
        <is>
          <t>StreamCat pctconif + pctdecid + pctmxfst at wsrp100</t>
        </is>
      </c>
      <c r="F34" s="5" t="inlineStr"/>
    </row>
    <row r="35">
      <c r="A35" s="3" t="inlineStr">
        <is>
          <t>Shrub cover in the corridor</t>
        </is>
      </c>
      <c r="B35" s="9" t="inlineStr">
        <is>
          <t>shrub</t>
        </is>
      </c>
      <c r="C35" s="11" t="n"/>
      <c r="D35" t="inlineStr">
        <is>
          <t>%</t>
        </is>
      </c>
      <c r="E35" s="3" t="inlineStr">
        <is>
          <t>StreamCat pctshrb2019wsrp100</t>
        </is>
      </c>
      <c r="F35" s="5" t="inlineStr"/>
    </row>
    <row r="36">
      <c r="A36" s="3" t="inlineStr">
        <is>
          <t>Grassland cover in the corridor</t>
        </is>
      </c>
      <c r="B36" s="9" t="inlineStr">
        <is>
          <t>grassland</t>
        </is>
      </c>
      <c r="C36" s="11" t="n"/>
      <c r="D36" t="inlineStr">
        <is>
          <t>%</t>
        </is>
      </c>
      <c r="E36" s="3" t="inlineStr">
        <is>
          <t>StreamCat pctgrs2019wsrp100</t>
        </is>
      </c>
      <c r="F36" s="5" t="inlineStr"/>
    </row>
    <row r="37">
      <c r="A37" s="3" t="inlineStr">
        <is>
          <t>Wetland cover in the corridor (woody and herbaceous)</t>
        </is>
      </c>
      <c r="B37" s="9" t="inlineStr">
        <is>
          <t>wetland</t>
        </is>
      </c>
      <c r="C37" s="11" t="n"/>
      <c r="D37" t="inlineStr">
        <is>
          <t>%</t>
        </is>
      </c>
      <c r="E37" s="3" t="inlineStr">
        <is>
          <t>StreamCat pctwdwet + pcthbwet at wsrp100</t>
        </is>
      </c>
      <c r="F37" s="5" t="inlineStr"/>
    </row>
    <row r="38">
      <c r="A38" s="2" t="inlineStr">
        <is>
          <t>Channel geometry (3DEP cross-sections and NHDPlus attributes)</t>
        </is>
      </c>
    </row>
    <row r="39">
      <c r="A39" s="3" t="inlineStr">
        <is>
          <t>Bank-height ratio (low-bank height over maximum bankfull depth), reach median</t>
        </is>
      </c>
      <c r="B39" s="9" t="inlineStr">
        <is>
          <t>bhr</t>
        </is>
      </c>
      <c r="C39" s="11" t="n"/>
      <c r="D39" t="inlineStr">
        <is>
          <t>ratio</t>
        </is>
      </c>
      <c r="E39" s="3" t="inlineStr">
        <is>
          <t>EASI report cross-section block or a field survey</t>
        </is>
      </c>
      <c r="F39" s="5" t="inlineStr">
        <is>
          <t>Used by High flow dynamics, Channel evolution and Channel and floodplain dynamics.</t>
        </is>
      </c>
    </row>
    <row r="40">
      <c r="A40" s="3" t="inlineStr">
        <is>
          <t>Entrenchment ratio (flood-prone width over bankfull width), reach median</t>
        </is>
      </c>
      <c r="B40" s="9" t="inlineStr">
        <is>
          <t>er</t>
        </is>
      </c>
      <c r="C40" s="11" t="n"/>
      <c r="D40" t="inlineStr">
        <is>
          <t>ratio</t>
        </is>
      </c>
      <c r="E40" s="3" t="inlineStr">
        <is>
          <t>EASI report cross-section block or a field survey</t>
        </is>
      </c>
      <c r="F40" s="5" t="inlineStr">
        <is>
          <t>Used by Floodplain connectivity and Channel evolution.</t>
        </is>
      </c>
    </row>
    <row r="41">
      <c r="A41" s="3" t="inlineStr">
        <is>
          <t>Channel slope</t>
        </is>
      </c>
      <c r="B41" s="9" t="inlineStr">
        <is>
          <t>slope</t>
        </is>
      </c>
      <c r="C41" s="11" t="n"/>
      <c r="D41" t="inlineStr">
        <is>
          <t>m/m</t>
        </is>
      </c>
      <c r="E41" s="3" t="inlineStr">
        <is>
          <t>NHDPlus V2 VAA slope</t>
        </is>
      </c>
      <c r="F41" s="5" t="inlineStr">
        <is>
          <t>Used by Hyporheic connectivity and to pick the entrenchment slope class.</t>
        </is>
      </c>
    </row>
    <row r="42">
      <c r="A42" s="3" t="inlineStr">
        <is>
          <t>Reach sinuosity</t>
        </is>
      </c>
      <c r="B42" s="9" t="inlineStr">
        <is>
          <t>sinuosity</t>
        </is>
      </c>
      <c r="C42" s="11" t="n"/>
      <c r="D42" t="inlineStr">
        <is>
          <t>ratio</t>
        </is>
      </c>
      <c r="E42" s="3" t="inlineStr">
        <is>
          <t>reach geometry (channel length over straight-line length)</t>
        </is>
      </c>
      <c r="F42" s="5" t="inlineStr"/>
    </row>
    <row r="43">
      <c r="A43" s="2" t="inlineStr">
        <is>
          <t>Water quality (Water Quality Portal and ATTAINS)</t>
        </is>
      </c>
    </row>
    <row r="44">
      <c r="A44" s="3" t="inlineStr">
        <is>
          <t>Total nitrogen, median of station medians within 5 miles and 10 years</t>
        </is>
      </c>
      <c r="B44" s="9" t="inlineStr">
        <is>
          <t>tn</t>
        </is>
      </c>
      <c r="C44" s="11" t="n"/>
      <c r="D44" t="inlineStr">
        <is>
          <t>mg/L</t>
        </is>
      </c>
      <c r="E44" s="3" t="inlineStr">
        <is>
          <t>WQP total-fraction observations</t>
        </is>
      </c>
      <c r="F44" s="5" t="inlineStr">
        <is>
          <t>Leave blank when there are no qualifying observations.</t>
        </is>
      </c>
    </row>
    <row r="45">
      <c r="A45" s="3" t="inlineStr">
        <is>
          <t>Total phosphorus, median of station medians within 5 miles and 10 years</t>
        </is>
      </c>
      <c r="B45" s="9" t="inlineStr">
        <is>
          <t>tp</t>
        </is>
      </c>
      <c r="C45" s="11" t="n"/>
      <c r="D45" t="inlineStr">
        <is>
          <t>mg/L</t>
        </is>
      </c>
      <c r="E45" s="3" t="inlineStr">
        <is>
          <t>WQP total-fraction observations</t>
        </is>
      </c>
      <c r="F45" s="5" t="inlineStr"/>
    </row>
    <row r="46">
      <c r="A46" s="3" t="inlineStr">
        <is>
          <t>ATTAINS integrated-report category of the assessment unit at the reach or within 2 km</t>
        </is>
      </c>
      <c r="B46" s="9" t="inlineStr">
        <is>
          <t>category</t>
        </is>
      </c>
      <c r="C46" s="11" t="n"/>
      <c r="D46" t="inlineStr"/>
      <c r="E46" s="3" t="inlineStr">
        <is>
          <t>EPA ATTAINS</t>
        </is>
      </c>
      <c r="F46" s="5" t="inlineStr">
        <is>
          <t>1, 2, 3, 4A, 4B, 4C or 5. Category 3 and a blank fall back to the CHEM index.</t>
        </is>
      </c>
    </row>
    <row r="47">
      <c r="A47" s="2" t="inlineStr">
        <is>
          <t>Landscape integrity indices (StreamCat)</t>
        </is>
      </c>
    </row>
    <row r="48">
      <c r="A48" s="3" t="inlineStr">
        <is>
          <t>CHEM integrity index, catchment</t>
        </is>
      </c>
      <c r="B48" s="9" t="inlineStr">
        <is>
          <t>chemCatchment</t>
        </is>
      </c>
      <c r="C48" s="11" t="n"/>
      <c r="D48" t="inlineStr">
        <is>
          <t>index</t>
        </is>
      </c>
      <c r="E48" s="3" t="inlineStr">
        <is>
          <t>StreamCat chemcat</t>
        </is>
      </c>
      <c r="F48" s="5" t="inlineStr">
        <is>
          <t>Fallback for Nutrient cycling and Water and soil quality; a component of the ICI product.</t>
        </is>
      </c>
    </row>
    <row r="49">
      <c r="A49" s="3" t="inlineStr">
        <is>
          <t>CHEM integrity index, watershed</t>
        </is>
      </c>
      <c r="B49" s="9" t="inlineStr">
        <is>
          <t>chemWatershed</t>
        </is>
      </c>
      <c r="C49" s="11" t="n"/>
      <c r="D49" t="inlineStr">
        <is>
          <t>index</t>
        </is>
      </c>
      <c r="E49" s="3" t="inlineStr">
        <is>
          <t>StreamCat chemws</t>
        </is>
      </c>
      <c r="F49" s="5" t="inlineStr">
        <is>
          <t>Fallback for Nutrient cycling and Water and soil quality; a component of the IWI product.</t>
        </is>
      </c>
    </row>
    <row r="50">
      <c r="A50" s="3" t="inlineStr">
        <is>
          <t>Predicted probability of Good benthic condition (prg_bmmi0809)</t>
        </is>
      </c>
      <c r="B50" s="9" t="inlineStr">
        <is>
          <t>prGBmmi</t>
        </is>
      </c>
      <c r="C50" s="11" t="n"/>
      <c r="D50" t="inlineStr">
        <is>
          <t>probability</t>
        </is>
      </c>
      <c r="E50" s="3" t="inlineStr">
        <is>
          <t>StreamCat prg_bmmi0809 at the other area of interest</t>
        </is>
      </c>
      <c r="F50" s="5" t="inlineStr">
        <is>
          <t>Population support uses it directly; blank falls back to the ICI/IWI products.</t>
        </is>
      </c>
    </row>
    <row r="51">
      <c r="A51" s="3" t="inlineStr">
        <is>
          <t>HYD integrity, catchment</t>
        </is>
      </c>
      <c r="B51" s="9" t="inlineStr">
        <is>
          <t>hydCat</t>
        </is>
      </c>
      <c r="C51" s="11" t="n"/>
      <c r="D51" t="inlineStr">
        <is>
          <t>index</t>
        </is>
      </c>
      <c r="E51" s="3" t="inlineStr">
        <is>
          <t>StreamCat hydcat</t>
        </is>
      </c>
      <c r="F51" s="5" t="inlineStr"/>
    </row>
    <row r="52">
      <c r="A52" s="3" t="inlineStr">
        <is>
          <t>SED integrity, catchment</t>
        </is>
      </c>
      <c r="B52" s="9" t="inlineStr">
        <is>
          <t>sedCat</t>
        </is>
      </c>
      <c r="C52" s="11" t="n"/>
      <c r="D52" t="inlineStr">
        <is>
          <t>index</t>
        </is>
      </c>
      <c r="E52" s="3" t="inlineStr">
        <is>
          <t>StreamCat sedcat</t>
        </is>
      </c>
      <c r="F52" s="5" t="inlineStr"/>
    </row>
    <row r="53">
      <c r="A53" s="3" t="inlineStr">
        <is>
          <t>CONN integrity, catchment</t>
        </is>
      </c>
      <c r="B53" s="9" t="inlineStr">
        <is>
          <t>connCat</t>
        </is>
      </c>
      <c r="C53" s="11" t="n"/>
      <c r="D53" t="inlineStr">
        <is>
          <t>index</t>
        </is>
      </c>
      <c r="E53" s="3" t="inlineStr">
        <is>
          <t>StreamCat conncat</t>
        </is>
      </c>
      <c r="F53" s="5" t="inlineStr"/>
    </row>
    <row r="54">
      <c r="A54" s="3" t="inlineStr">
        <is>
          <t>TEMP integrity, catchment</t>
        </is>
      </c>
      <c r="B54" s="9" t="inlineStr">
        <is>
          <t>tempCat</t>
        </is>
      </c>
      <c r="C54" s="11" t="n"/>
      <c r="D54" t="inlineStr">
        <is>
          <t>index</t>
        </is>
      </c>
      <c r="E54" s="3" t="inlineStr">
        <is>
          <t>StreamCat tempcat</t>
        </is>
      </c>
      <c r="F54" s="5" t="inlineStr"/>
    </row>
    <row r="55">
      <c r="A55" s="3" t="inlineStr">
        <is>
          <t>HABT integrity, catchment</t>
        </is>
      </c>
      <c r="B55" s="9" t="inlineStr">
        <is>
          <t>habtCat</t>
        </is>
      </c>
      <c r="C55" s="11" t="n"/>
      <c r="D55" t="inlineStr">
        <is>
          <t>index</t>
        </is>
      </c>
      <c r="E55" s="3" t="inlineStr">
        <is>
          <t>StreamCat habtcat</t>
        </is>
      </c>
      <c r="F55" s="5" t="inlineStr"/>
    </row>
    <row r="56">
      <c r="A56" s="3" t="inlineStr">
        <is>
          <t>HYD integrity, watershed</t>
        </is>
      </c>
      <c r="B56" s="9" t="inlineStr">
        <is>
          <t>hydWs</t>
        </is>
      </c>
      <c r="C56" s="11" t="n"/>
      <c r="D56" t="inlineStr">
        <is>
          <t>index</t>
        </is>
      </c>
      <c r="E56" s="3" t="inlineStr">
        <is>
          <t>StreamCat hydws</t>
        </is>
      </c>
      <c r="F56" s="5" t="inlineStr"/>
    </row>
    <row r="57">
      <c r="A57" s="3" t="inlineStr">
        <is>
          <t>SED integrity, watershed</t>
        </is>
      </c>
      <c r="B57" s="9" t="inlineStr">
        <is>
          <t>sedWs</t>
        </is>
      </c>
      <c r="C57" s="11" t="n"/>
      <c r="D57" t="inlineStr">
        <is>
          <t>index</t>
        </is>
      </c>
      <c r="E57" s="3" t="inlineStr">
        <is>
          <t>StreamCat sedws</t>
        </is>
      </c>
      <c r="F57" s="5" t="inlineStr"/>
    </row>
    <row r="58">
      <c r="A58" s="3" t="inlineStr">
        <is>
          <t>CONN integrity, watershed</t>
        </is>
      </c>
      <c r="B58" s="9" t="inlineStr">
        <is>
          <t>connWs</t>
        </is>
      </c>
      <c r="C58" s="11" t="n"/>
      <c r="D58" t="inlineStr">
        <is>
          <t>index</t>
        </is>
      </c>
      <c r="E58" s="3" t="inlineStr">
        <is>
          <t>StreamCat connws</t>
        </is>
      </c>
      <c r="F58" s="5" t="inlineStr"/>
    </row>
    <row r="59">
      <c r="A59" s="3" t="inlineStr">
        <is>
          <t>TEMP integrity, watershed</t>
        </is>
      </c>
      <c r="B59" s="9" t="inlineStr">
        <is>
          <t>tempWs</t>
        </is>
      </c>
      <c r="C59" s="11" t="n"/>
      <c r="D59" t="inlineStr">
        <is>
          <t>index</t>
        </is>
      </c>
      <c r="E59" s="3" t="inlineStr">
        <is>
          <t>StreamCat tempws</t>
        </is>
      </c>
      <c r="F59" s="5" t="inlineStr"/>
    </row>
    <row r="60">
      <c r="A60" s="3" t="inlineStr">
        <is>
          <t>HABT integrity, watershed</t>
        </is>
      </c>
      <c r="B60" s="9" t="inlineStr">
        <is>
          <t>habtWs</t>
        </is>
      </c>
      <c r="C60" s="11" t="n"/>
      <c r="D60" t="inlineStr">
        <is>
          <t>index</t>
        </is>
      </c>
      <c r="E60" s="3" t="inlineStr">
        <is>
          <t>StreamCat habtws</t>
        </is>
      </c>
      <c r="F60" s="5" t="inlineStr"/>
    </row>
    <row r="61">
      <c r="A61" s="2" t="inlineStr">
        <is>
          <t>Counts (USGS NAS and USACE NID)</t>
        </is>
      </c>
    </row>
    <row r="62">
      <c r="A62" s="3" t="inlineStr">
        <is>
          <t>Established non-native taxa recorded in the HUC12</t>
        </is>
      </c>
      <c r="B62" s="9" t="inlineStr">
        <is>
          <t>taxaCount</t>
        </is>
      </c>
      <c r="C62" s="11" t="n"/>
      <c r="D62" t="inlineStr">
        <is>
          <t>count</t>
        </is>
      </c>
      <c r="E62" s="3" t="inlineStr">
        <is>
          <t>USGS NAS</t>
        </is>
      </c>
      <c r="F62" s="5" t="inlineStr">
        <is>
          <t>A successful empty query is zero. Leave blank when the query was unavailable.</t>
        </is>
      </c>
    </row>
    <row r="63">
      <c r="A63" s="3" t="inlineStr">
        <is>
          <t>Mapped dams within one mile of the site</t>
        </is>
      </c>
      <c r="B63" s="9" t="inlineStr">
        <is>
          <t>damCount</t>
        </is>
      </c>
      <c r="C63" s="11" t="n"/>
      <c r="D63" t="inlineStr">
        <is>
          <t>count</t>
        </is>
      </c>
      <c r="E63" s="3" t="inlineStr">
        <is>
          <t>USACE NID</t>
        </is>
      </c>
      <c r="F63" s="5" t="inlineStr"/>
    </row>
    <row r="65">
      <c r="A65" s="6" t="inlineStr">
        <is>
          <t>Monthly flow helper (optional): the twelve EROM mean monthly flows, QE_01 to QE_12</t>
        </is>
      </c>
    </row>
    <row r="66">
      <c r="A66" s="5" t="inlineStr">
        <is>
          <t>Enter all twelve flows (cfs) and copy the computed variability into the Monthly flow variability cell above, or enter that value directly from the EASI report.</t>
        </is>
      </c>
    </row>
    <row r="67">
      <c r="A67" s="8" t="inlineStr">
        <is>
          <t>Month</t>
        </is>
      </c>
      <c r="B67" s="8" t="inlineStr">
        <is>
          <t>Key</t>
        </is>
      </c>
      <c r="C67" s="8" t="inlineStr">
        <is>
          <t>Flow (cfs)</t>
        </is>
      </c>
      <c r="D67" s="8" t="inlineStr"/>
      <c r="E67" s="8" t="inlineStr"/>
      <c r="F67" s="8" t="inlineStr"/>
    </row>
    <row r="68">
      <c r="A68" t="inlineStr">
        <is>
          <t>Month 01</t>
        </is>
      </c>
      <c r="B68" s="9" t="inlineStr">
        <is>
          <t>m01</t>
        </is>
      </c>
      <c r="C68" s="7" t="n"/>
    </row>
    <row r="69">
      <c r="A69" t="inlineStr">
        <is>
          <t>Month 02</t>
        </is>
      </c>
      <c r="B69" s="9" t="inlineStr">
        <is>
          <t>m02</t>
        </is>
      </c>
      <c r="C69" s="7" t="n"/>
    </row>
    <row r="70">
      <c r="A70" t="inlineStr">
        <is>
          <t>Month 03</t>
        </is>
      </c>
      <c r="B70" s="9" t="inlineStr">
        <is>
          <t>m03</t>
        </is>
      </c>
      <c r="C70" s="7" t="n"/>
    </row>
    <row r="71">
      <c r="A71" t="inlineStr">
        <is>
          <t>Month 04</t>
        </is>
      </c>
      <c r="B71" s="9" t="inlineStr">
        <is>
          <t>m04</t>
        </is>
      </c>
      <c r="C71" s="7" t="n"/>
    </row>
    <row r="72">
      <c r="A72" t="inlineStr">
        <is>
          <t>Month 05</t>
        </is>
      </c>
      <c r="B72" s="9" t="inlineStr">
        <is>
          <t>m05</t>
        </is>
      </c>
      <c r="C72" s="7" t="n"/>
    </row>
    <row r="73">
      <c r="A73" t="inlineStr">
        <is>
          <t>Month 06</t>
        </is>
      </c>
      <c r="B73" s="9" t="inlineStr">
        <is>
          <t>m06</t>
        </is>
      </c>
      <c r="C73" s="7" t="n"/>
    </row>
    <row r="74">
      <c r="A74" t="inlineStr">
        <is>
          <t>Month 07</t>
        </is>
      </c>
      <c r="B74" s="9" t="inlineStr">
        <is>
          <t>m07</t>
        </is>
      </c>
      <c r="C74" s="7" t="n"/>
    </row>
    <row r="75">
      <c r="A75" t="inlineStr">
        <is>
          <t>Month 08</t>
        </is>
      </c>
      <c r="B75" s="9" t="inlineStr">
        <is>
          <t>m08</t>
        </is>
      </c>
      <c r="C75" s="7" t="n"/>
    </row>
    <row r="76">
      <c r="A76" t="inlineStr">
        <is>
          <t>Month 09</t>
        </is>
      </c>
      <c r="B76" s="9" t="inlineStr">
        <is>
          <t>m09</t>
        </is>
      </c>
      <c r="C76" s="7" t="n"/>
    </row>
    <row r="77">
      <c r="A77" t="inlineStr">
        <is>
          <t>Month 10</t>
        </is>
      </c>
      <c r="B77" s="9" t="inlineStr">
        <is>
          <t>m10</t>
        </is>
      </c>
      <c r="C77" s="7" t="n"/>
    </row>
    <row r="78">
      <c r="A78" t="inlineStr">
        <is>
          <t>Month 11</t>
        </is>
      </c>
      <c r="B78" s="9" t="inlineStr">
        <is>
          <t>m11</t>
        </is>
      </c>
      <c r="C78" s="7" t="n"/>
    </row>
    <row r="79">
      <c r="A79" t="inlineStr">
        <is>
          <t>Month 12</t>
        </is>
      </c>
      <c r="B79" s="9" t="inlineStr">
        <is>
          <t>m12</t>
        </is>
      </c>
      <c r="C79" s="7" t="n"/>
    </row>
    <row r="80">
      <c r="A80" t="inlineStr">
        <is>
          <t>Computed monthly flow variability (all twelve required, mean must be positive)</t>
        </is>
      </c>
      <c r="C80" s="12">
        <f>IF(COUNT('Inputs'!$C$68:$C$79)&lt;12,"",IF(AVERAGE('Inputs'!$C$68:$C$79)&lt;=0,"",ROUND(STDEV.P('Inputs'!$C$68:$C$79)/AVERAGE('Inputs'!$C$68:$C$79),6)))</f>
        <v/>
      </c>
    </row>
    <row r="82">
      <c r="A82" s="6" t="inlineStr">
        <is>
          <t>Observed evidence (optional overrides of the geometry proxies)</t>
        </is>
      </c>
    </row>
    <row r="83">
      <c r="A83" s="8" t="inlineStr">
        <is>
          <t>Observation</t>
        </is>
      </c>
      <c r="B83" s="8" t="inlineStr">
        <is>
          <t>Key</t>
        </is>
      </c>
      <c r="C83" s="8" t="inlineStr">
        <is>
          <t>Value</t>
        </is>
      </c>
      <c r="D83" s="8" t="inlineStr">
        <is>
          <t>Units</t>
        </is>
      </c>
      <c r="E83" s="8" t="inlineStr"/>
      <c r="F83" s="8" t="inlineStr">
        <is>
          <t>Note</t>
        </is>
      </c>
    </row>
    <row r="84">
      <c r="A84" s="3" t="inlineStr">
        <is>
          <t>Observed channel-evolution class</t>
        </is>
      </c>
      <c r="B84" s="9" t="inlineStr">
        <is>
          <t>ov_stageClass</t>
        </is>
      </c>
      <c r="C84" s="7" t="n"/>
      <c r="F84" s="5" t="inlineStr">
        <is>
          <t>Good, Fair or Poor from a documented field assessment. Applies only with the note below.</t>
        </is>
      </c>
    </row>
    <row r="85">
      <c r="A85" s="3" t="inlineStr">
        <is>
          <t>Observed channel-evolution indicators (note)</t>
        </is>
      </c>
      <c r="B85" s="9" t="inlineStr">
        <is>
          <t>ov_indicators</t>
        </is>
      </c>
      <c r="C85" s="7" t="n"/>
      <c r="F85" s="5" t="inlineStr">
        <is>
          <t>Required for the observed class to replace the automatic proxy.</t>
        </is>
      </c>
    </row>
    <row r="86">
      <c r="A86" s="3" t="inlineStr">
        <is>
          <t>Observed eroding bank</t>
        </is>
      </c>
      <c r="B86" s="9" t="inlineStr">
        <is>
          <t>ov_erodingBankPct</t>
        </is>
      </c>
      <c r="C86" s="7" t="n"/>
      <c r="D86" t="inlineStr">
        <is>
          <t>%</t>
        </is>
      </c>
      <c r="F86" s="5" t="inlineStr">
        <is>
          <t>Percent of bank length eroding, from field or verified imagery. Both bank entries are required.</t>
        </is>
      </c>
    </row>
    <row r="87">
      <c r="A87" s="3" t="inlineStr">
        <is>
          <t>Observed armored bank</t>
        </is>
      </c>
      <c r="B87" s="9" t="inlineStr">
        <is>
          <t>ov_armoredBankPct</t>
        </is>
      </c>
      <c r="C87" s="7" t="n"/>
      <c r="D87" t="inlineStr">
        <is>
          <t>%</t>
        </is>
      </c>
      <c r="F87" s="5" t="inlineStr">
        <is>
          <t>Percent of bank length armored.</t>
        </is>
      </c>
    </row>
  </sheetData>
  <sheetProtection selectLockedCells="0" selectUnlockedCells="0" sheet="1" objects="0" insertRows="1" insertHyperlinks="1" autoFilter="1" scenarios="0" formatColumns="1" deleteColumns="1" insertColumns="1" pivotTables="1" deleteRows="1" formatCells="1" formatRows="1" sort="1" password="CA09"/>
  <mergeCells count="2">
    <mergeCell ref="A2:F2"/>
    <mergeCell ref="A66:F66"/>
  </mergeCells>
  <dataValidations count="42">
    <dataValidation sqref="C14" showDropDown="0" showInputMessage="0" showErrorMessage="0" allowBlank="1" type="list">
      <formula1>"CPL,NAP,NPL,SAP,SPL,TPL,UMW,WMT,XER"</formula1>
    </dataValidation>
    <dataValidation sqref="C16" showDropDown="0" showInputMessage="0" showErrorMessage="0" allowBlank="1" type="list">
      <formula1>"lt_0.5,0.5_to_2,ge_2,national"</formula1>
    </dataValidation>
    <dataValidation sqref="C84" showDropDown="0" showInputMessage="0" showErrorMessage="0" allowBlank="1" type="list">
      <formula1>"Good,Fair,Poor"</formula1>
    </dataValidation>
    <dataValidation sqref="C46" showDropDown="0" showInputMessage="0" showErrorMessage="0" allowBlank="1" type="list">
      <formula1>"1,2,3,4A,4B,4C,5"</formula1>
    </dataValidation>
    <dataValidation sqref="C15" showDropDown="0" showInputMessage="0" showErrorMessage="0" allowBlank="1" type="whole" operator="between">
      <formula1>0</formula1>
      <formula2>99999</formula2>
    </dataValidation>
    <dataValidation sqref="C22" showDropDown="0" showInputMessage="0" showErrorMessage="0" allowBlank="1" type="decimal" operator="between">
      <formula1>0</formula1>
      <formula2>100</formula2>
    </dataValidation>
    <dataValidation sqref="C23" showDropDown="0" showInputMessage="0" showErrorMessage="0" allowBlank="1" type="decimal" operator="between">
      <formula1>0</formula1>
      <formula2>100</formula2>
    </dataValidation>
    <dataValidation sqref="C24" showDropDown="0" showInputMessage="0" showErrorMessage="0" allowBlank="1" type="decimal" operator="between">
      <formula1>0</formula1>
      <formula2>100</formula2>
    </dataValidation>
    <dataValidation sqref="C25" showDropDown="0" showInputMessage="0" showErrorMessage="0" allowBlank="1" type="decimal" operator="between">
      <formula1>0</formula1>
      <formula2>100</formula2>
    </dataValidation>
    <dataValidation sqref="C26" showDropDown="0" showInputMessage="0" showErrorMessage="0" allowBlank="1" type="decimal" operator="between">
      <formula1>0</formula1>
      <formula2>1000000.0</formula2>
    </dataValidation>
    <dataValidation sqref="C27" showDropDown="0" showInputMessage="0" showErrorMessage="0" allowBlank="1" type="decimal" operator="between">
      <formula1>0</formula1>
      <formula2>1</formula2>
    </dataValidation>
    <dataValidation sqref="C29" showDropDown="0" showInputMessage="0" showErrorMessage="0" allowBlank="1" type="decimal" operator="between">
      <formula1>0</formula1>
      <formula2>1000000000000.0</formula2>
    </dataValidation>
    <dataValidation sqref="C30" showDropDown="0" showInputMessage="0" showErrorMessage="0" allowBlank="1" type="decimal" operator="between">
      <formula1>0</formula1>
      <formula2>1000000.0</formula2>
    </dataValidation>
    <dataValidation sqref="C31" showDropDown="0" showInputMessage="0" showErrorMessage="0" allowBlank="1" type="decimal" operator="between">
      <formula1>0</formula1>
      <formula2>1000000.0</formula2>
    </dataValidation>
    <dataValidation sqref="C33" showDropDown="0" showInputMessage="0" showErrorMessage="0" allowBlank="1" type="decimal" operator="between">
      <formula1>0</formula1>
      <formula2>100</formula2>
    </dataValidation>
    <dataValidation sqref="C34" showDropDown="0" showInputMessage="0" showErrorMessage="0" allowBlank="1" type="decimal" operator="between">
      <formula1>0</formula1>
      <formula2>100</formula2>
    </dataValidation>
    <dataValidation sqref="C35" showDropDown="0" showInputMessage="0" showErrorMessage="0" allowBlank="1" type="decimal" operator="between">
      <formula1>0</formula1>
      <formula2>100</formula2>
    </dataValidation>
    <dataValidation sqref="C36" showDropDown="0" showInputMessage="0" showErrorMessage="0" allowBlank="1" type="decimal" operator="between">
      <formula1>0</formula1>
      <formula2>100</formula2>
    </dataValidation>
    <dataValidation sqref="C37" showDropDown="0" showInputMessage="0" showErrorMessage="0" allowBlank="1" type="decimal" operator="between">
      <formula1>0</formula1>
      <formula2>100</formula2>
    </dataValidation>
    <dataValidation sqref="C39" showDropDown="0" showInputMessage="0" showErrorMessage="0" allowBlank="1" type="decimal" operator="between">
      <formula1>0</formula1>
      <formula2>1000.0</formula2>
    </dataValidation>
    <dataValidation sqref="C40" showDropDown="0" showInputMessage="0" showErrorMessage="0" allowBlank="1" type="decimal" operator="between">
      <formula1>0</formula1>
      <formula2>1000.0</formula2>
    </dataValidation>
    <dataValidation sqref="C41" showDropDown="0" showInputMessage="0" showErrorMessage="0" allowBlank="1" type="decimal" operator="between">
      <formula1>0</formula1>
      <formula2>10</formula2>
    </dataValidation>
    <dataValidation sqref="C42" showDropDown="0" showInputMessage="0" showErrorMessage="0" allowBlank="1" type="decimal" operator="between">
      <formula1>1</formula1>
      <formula2>100</formula2>
    </dataValidation>
    <dataValidation sqref="C44" showDropDown="0" showInputMessage="0" showErrorMessage="0" allowBlank="1" type="decimal" operator="between">
      <formula1>0</formula1>
      <formula2>10000.0</formula2>
    </dataValidation>
    <dataValidation sqref="C45" showDropDown="0" showInputMessage="0" showErrorMessage="0" allowBlank="1" type="decimal" operator="between">
      <formula1>0</formula1>
      <formula2>10000.0</formula2>
    </dataValidation>
    <dataValidation sqref="C48" showDropDown="0" showInputMessage="0" showErrorMessage="0" allowBlank="1" type="decimal" operator="between">
      <formula1>0</formula1>
      <formula2>1</formula2>
    </dataValidation>
    <dataValidation sqref="C49" showDropDown="0" showInputMessage="0" showErrorMessage="0" allowBlank="1" type="decimal" operator="between">
      <formula1>0</formula1>
      <formula2>1</formula2>
    </dataValidation>
    <dataValidation sqref="C50" showDropDown="0" showInputMessage="0" showErrorMessage="0" allowBlank="1" type="decimal" operator="between">
      <formula1>0</formula1>
      <formula2>1</formula2>
    </dataValidation>
    <dataValidation sqref="C51" showDropDown="0" showInputMessage="0" showErrorMessage="0" allowBlank="1" type="decimal" operator="between">
      <formula1>0</formula1>
      <formula2>1</formula2>
    </dataValidation>
    <dataValidation sqref="C52" showDropDown="0" showInputMessage="0" showErrorMessage="0" allowBlank="1" type="decimal" operator="between">
      <formula1>0</formula1>
      <formula2>1</formula2>
    </dataValidation>
    <dataValidation sqref="C53" showDropDown="0" showInputMessage="0" showErrorMessage="0" allowBlank="1" type="decimal" operator="between">
      <formula1>0</formula1>
      <formula2>1</formula2>
    </dataValidation>
    <dataValidation sqref="C54" showDropDown="0" showInputMessage="0" showErrorMessage="0" allowBlank="1" type="decimal" operator="between">
      <formula1>0</formula1>
      <formula2>1</formula2>
    </dataValidation>
    <dataValidation sqref="C55" showDropDown="0" showInputMessage="0" showErrorMessage="0" allowBlank="1" type="decimal" operator="between">
      <formula1>0</formula1>
      <formula2>1</formula2>
    </dataValidation>
    <dataValidation sqref="C56" showDropDown="0" showInputMessage="0" showErrorMessage="0" allowBlank="1" type="decimal" operator="between">
      <formula1>0</formula1>
      <formula2>1</formula2>
    </dataValidation>
    <dataValidation sqref="C57" showDropDown="0" showInputMessage="0" showErrorMessage="0" allowBlank="1" type="decimal" operator="between">
      <formula1>0</formula1>
      <formula2>1</formula2>
    </dataValidation>
    <dataValidation sqref="C58" showDropDown="0" showInputMessage="0" showErrorMessage="0" allowBlank="1" type="decimal" operator="between">
      <formula1>0</formula1>
      <formula2>1</formula2>
    </dataValidation>
    <dataValidation sqref="C59" showDropDown="0" showInputMessage="0" showErrorMessage="0" allowBlank="1" type="decimal" operator="between">
      <formula1>0</formula1>
      <formula2>1</formula2>
    </dataValidation>
    <dataValidation sqref="C60" showDropDown="0" showInputMessage="0" showErrorMessage="0" allowBlank="1" type="decimal" operator="between">
      <formula1>0</formula1>
      <formula2>1</formula2>
    </dataValidation>
    <dataValidation sqref="C62" showDropDown="0" showInputMessage="0" showErrorMessage="0" allowBlank="1" type="whole" operator="between">
      <formula1>0</formula1>
      <formula2>100000</formula2>
    </dataValidation>
    <dataValidation sqref="C63" showDropDown="0" showInputMessage="0" showErrorMessage="0" allowBlank="1" type="whole" operator="between">
      <formula1>0</formula1>
      <formula2>100000</formula2>
    </dataValidation>
    <dataValidation sqref="C86" showDropDown="0" showInputMessage="0" showErrorMessage="0" allowBlank="1" type="decimal" operator="between">
      <formula1>0</formula1>
      <formula2>100</formula2>
    </dataValidation>
    <dataValidation sqref="C87" showDropDown="0" showInputMessage="0" showErrorMessage="0" allowBlank="1" type="decimal"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7"/>
  <sheetViews>
    <sheetView workbookViewId="0">
      <selection activeCell="A1" sqref="A1"/>
    </sheetView>
  </sheetViews>
  <sheetFormatPr baseColWidth="8" defaultRowHeight="15"/>
  <cols>
    <col width="52" customWidth="1" min="1" max="1"/>
    <col width="18" customWidth="1" min="2" max="2"/>
    <col width="12" customWidth="1" min="3" max="3"/>
    <col width="12" customWidth="1" min="4" max="4"/>
    <col width="70" customWidth="1" min="5" max="5"/>
  </cols>
  <sheetData>
    <row r="1">
      <c r="A1" s="4" t="inlineStr">
        <is>
          <t>EASI calculator: metric scoring</t>
        </is>
      </c>
    </row>
    <row r="2">
      <c r="A2" s="9" t="inlineStr">
        <is>
          <t>Read only. One block per function: the inputs it reads, the route that applied, the rating, the index anchor and the function score. Ratings follow the application's catalog exactly.</t>
        </is>
      </c>
    </row>
    <row r="4">
      <c r="A4" s="6" t="inlineStr">
        <is>
          <t>1. Catchment hydrology</t>
        </is>
      </c>
      <c r="B4" s="9" t="inlineStr">
        <is>
          <t>Catchment hydrology (land-cover pressure) (catchment-land-cover-pressure, worst_index)</t>
        </is>
      </c>
    </row>
    <row r="5">
      <c r="A5" s="8" t="inlineStr">
        <is>
          <t>Item</t>
        </is>
      </c>
      <c r="B5" s="8" t="inlineStr">
        <is>
          <t>Value</t>
        </is>
      </c>
      <c r="C5" s="8" t="inlineStr">
        <is>
          <t>Rating</t>
        </is>
      </c>
      <c r="D5" s="8" t="inlineStr">
        <is>
          <t>Index</t>
        </is>
      </c>
      <c r="E5" s="8" t="inlineStr">
        <is>
          <t>Note</t>
        </is>
      </c>
    </row>
    <row r="6">
      <c r="A6" t="inlineStr">
        <is>
          <t>Watershed impervious cover</t>
        </is>
      </c>
      <c r="B6" s="13">
        <f>IF('Inputs'!$C$22="","",'Inputs'!$C$22)</f>
        <v/>
      </c>
      <c r="C6" s="13">
        <f>IF(NOT(ISNUMBER('Inputs'!$C$22)),"",IF('Inputs'!$C$22&lt;10,"Good",IF(AND('Inputs'!$C$22&gt;=10,'Inputs'!$C$22&lt;=25),"Fair",IF('Inputs'!$C$22&gt;25,"Poor",""))))</f>
        <v/>
      </c>
      <c r="D6" s="14">
        <f>IF('Metrics'!$C$6="Good",'Reference'!$B$6,IF('Metrics'!$C$6="Fair",'Reference'!$B$7,IF('Metrics'!$C$6="Poor",'Reference'!$B$8,"")))</f>
        <v/>
      </c>
    </row>
    <row r="7">
      <c r="A7" t="inlineStr">
        <is>
          <t>Watershed agricultural cover</t>
        </is>
      </c>
      <c r="B7" s="13">
        <f>IF('Inputs'!$C$23="","",'Inputs'!$C$23)</f>
        <v/>
      </c>
      <c r="C7" s="13">
        <f>IF(NOT(ISNUMBER('Inputs'!$C$23)),"",IF('Inputs'!$C$23&lt;30,"Good",IF(AND('Inputs'!$C$23&gt;=30,'Inputs'!$C$23&lt;=50),"Fair",IF('Inputs'!$C$23&gt;50,"Poor",""))))</f>
        <v/>
      </c>
      <c r="D7" s="14">
        <f>IF('Metrics'!$C$7="Good",'Reference'!$B$6,IF('Metrics'!$C$7="Fair",'Reference'!$B$7,IF('Metrics'!$C$7="Poor",'Reference'!$B$8,"")))</f>
        <v/>
      </c>
    </row>
    <row r="8">
      <c r="A8" t="inlineStr">
        <is>
          <t>Governing input</t>
        </is>
      </c>
      <c r="B8" s="13">
        <f>IF('Metrics'!$B$9="","",INDEX('Metrics'!$A$6:$A$7,MATCH('Metrics'!$B$9,'Metrics'!$D$6:$D$7,0)))</f>
        <v/>
      </c>
    </row>
    <row r="9">
      <c r="A9" t="inlineStr">
        <is>
          <t>Combined rating index (the more limiting input)</t>
        </is>
      </c>
      <c r="B9" s="14">
        <f>IF(COUNT('Metrics'!$D$6:$D$7)=0,"",MIN('Metrics'!$D$6:$D$7))</f>
        <v/>
      </c>
    </row>
    <row r="10">
      <c r="A10" t="inlineStr">
        <is>
          <t>Route that applied</t>
        </is>
      </c>
      <c r="B10" s="13">
        <f>"automatic method"</f>
        <v/>
      </c>
    </row>
    <row r="11">
      <c r="A11" t="inlineStr">
        <is>
          <t>Function rating</t>
        </is>
      </c>
      <c r="C11" s="15">
        <f>IF(NOT(ISNUMBER('Metrics'!$B$9)),"",IF('Metrics'!$B$9='Reference'!$B$6,"Good",IF('Metrics'!$B$9='Reference'!$B$7,"Fair",IF('Metrics'!$B$9='Reference'!$B$8,"Poor",""))))</f>
        <v/>
      </c>
      <c r="D11" s="14">
        <f>IF('Metrics'!$C$11="Good",'Reference'!$B$6,IF('Metrics'!$C$11="Fair",'Reference'!$B$7,IF('Metrics'!$C$11="Poor",'Reference'!$B$8,"")))</f>
        <v/>
      </c>
      <c r="E11" s="5" t="inlineStr">
        <is>
          <t>Partial rating allowed when one input is missing.</t>
        </is>
      </c>
    </row>
    <row r="12">
      <c r="A12" t="inlineStr">
        <is>
          <t>Function score (0 to 15)</t>
        </is>
      </c>
      <c r="B12" s="15">
        <f>IF('Metrics'!$C$11="Good",'Reference'!$C$6,IF('Metrics'!$C$11="Fair",'Reference'!$C$7,IF('Metrics'!$C$11="Poor",'Reference'!$C$8,"")))</f>
        <v/>
      </c>
    </row>
    <row r="13">
      <c r="A13" t="inlineStr">
        <is>
          <t>Status</t>
        </is>
      </c>
      <c r="B13" s="13">
        <f>IF(COUNT('Metrics'!$D$6:$D$7)=0,"not rated",IF(COUNT('Metrics'!$D$6:$D$7)&lt;2,"partial","complete"))</f>
        <v/>
      </c>
    </row>
    <row r="15">
      <c r="A15" s="6" t="inlineStr">
        <is>
          <t>2. Surface water storage</t>
        </is>
      </c>
      <c r="B15" s="9" t="inlineStr">
        <is>
          <t>Wetland extent (watershed-wetland-extent, sum_capped)</t>
        </is>
      </c>
    </row>
    <row r="16">
      <c r="A16" s="8" t="inlineStr">
        <is>
          <t>Item</t>
        </is>
      </c>
      <c r="B16" s="8" t="inlineStr">
        <is>
          <t>Value</t>
        </is>
      </c>
      <c r="C16" s="8" t="inlineStr">
        <is>
          <t>Rating</t>
        </is>
      </c>
      <c r="D16" s="8" t="inlineStr">
        <is>
          <t>Index</t>
        </is>
      </c>
      <c r="E16" s="8" t="inlineStr">
        <is>
          <t>Note</t>
        </is>
      </c>
    </row>
    <row r="17">
      <c r="A17" t="inlineStr">
        <is>
          <t>Woody wetland cover</t>
        </is>
      </c>
      <c r="B17" s="13">
        <f>IF('Inputs'!$C$24="","",'Inputs'!$C$24)</f>
        <v/>
      </c>
    </row>
    <row r="18">
      <c r="A18" t="inlineStr">
        <is>
          <t>Herbaceous wetland cover</t>
        </is>
      </c>
      <c r="B18" s="13">
        <f>IF('Inputs'!$C$25="","",'Inputs'!$C$25)</f>
        <v/>
      </c>
    </row>
    <row r="19">
      <c r="A19" t="inlineStr">
        <is>
          <t>Combined value (sum capped at 100)</t>
        </is>
      </c>
      <c r="B19" s="13">
        <f>IF(AND(ISNUMBER('Inputs'!$C$24),ISNUMBER('Inputs'!$C$25)),ROUND(MIN('Inputs'!$C$24+'Inputs'!$C$25,100),12),"")</f>
        <v/>
      </c>
    </row>
    <row r="20">
      <c r="A20" t="inlineStr">
        <is>
          <t>Route that applied</t>
        </is>
      </c>
      <c r="B20" s="13">
        <f>"automatic method"</f>
        <v/>
      </c>
    </row>
    <row r="21">
      <c r="A21" t="inlineStr">
        <is>
          <t>Function rating</t>
        </is>
      </c>
      <c r="C21" s="15">
        <f>IF(NOT(ISNUMBER('Metrics'!$B$19)),"",IF('Metrics'!$B$19&lt;1,"Poor",IF(AND('Metrics'!$B$19&gt;=1,'Metrics'!$B$19&lt;=5),"Fair",IF('Metrics'!$B$19&gt;5,"Good",""))))</f>
        <v/>
      </c>
      <c r="D21" s="14">
        <f>IF('Metrics'!$C$21="Good",'Reference'!$B$6,IF('Metrics'!$C$21="Fair",'Reference'!$B$7,IF('Metrics'!$C$21="Poor",'Reference'!$B$8,"")))</f>
        <v/>
      </c>
      <c r="E21" s="5" t="inlineStr">
        <is>
          <t>All classes are required. A missing class is unknown, not zero.</t>
        </is>
      </c>
    </row>
    <row r="22">
      <c r="A22" t="inlineStr">
        <is>
          <t>Function score (0 to 15)</t>
        </is>
      </c>
      <c r="B22" s="15">
        <f>IF('Metrics'!$C$21="Good",'Reference'!$C$6,IF('Metrics'!$C$21="Fair",'Reference'!$C$7,IF('Metrics'!$C$21="Poor",'Reference'!$C$8,"")))</f>
        <v/>
      </c>
    </row>
    <row r="23">
      <c r="A23" t="inlineStr">
        <is>
          <t>Status</t>
        </is>
      </c>
      <c r="B23" s="13">
        <f>IF('Metrics'!$C$21="","not rated","complete")</f>
        <v/>
      </c>
    </row>
    <row r="25">
      <c r="A25" s="6" t="inlineStr">
        <is>
          <t>3. Reach inflow</t>
        </is>
      </c>
      <c r="B25" s="9" t="inlineStr">
        <is>
          <t>Road-density proxy for concentrated inflow pressure (road-density-inflow-pressure, threshold)</t>
        </is>
      </c>
    </row>
    <row r="26">
      <c r="A26" s="8" t="inlineStr">
        <is>
          <t>Item</t>
        </is>
      </c>
      <c r="B26" s="8" t="inlineStr">
        <is>
          <t>Value</t>
        </is>
      </c>
      <c r="C26" s="8" t="inlineStr">
        <is>
          <t>Rating</t>
        </is>
      </c>
      <c r="D26" s="8" t="inlineStr">
        <is>
          <t>Index</t>
        </is>
      </c>
      <c r="E26" s="8" t="inlineStr">
        <is>
          <t>Note</t>
        </is>
      </c>
    </row>
    <row r="27">
      <c r="A27" t="inlineStr">
        <is>
          <t>Watershed road density</t>
        </is>
      </c>
      <c r="B27" s="13">
        <f>IF('Inputs'!$C$26="","",'Inputs'!$C$26)</f>
        <v/>
      </c>
    </row>
    <row r="28">
      <c r="A28" t="inlineStr">
        <is>
          <t>Route that applied</t>
        </is>
      </c>
      <c r="B28" s="13">
        <f>"automatic method"</f>
        <v/>
      </c>
    </row>
    <row r="29">
      <c r="A29" t="inlineStr">
        <is>
          <t>Function rating</t>
        </is>
      </c>
      <c r="C29" s="15">
        <f>IF(NOT(ISNUMBER('Inputs'!$C$26)),"",IF('Inputs'!$C$26&lt;1,"Good",IF(AND('Inputs'!$C$26&gt;=1,'Inputs'!$C$26&lt;3),"Fair",IF('Inputs'!$C$26&gt;=3,"Poor",""))))</f>
        <v/>
      </c>
      <c r="D29" s="14">
        <f>IF('Metrics'!$C$29="Good",'Reference'!$B$6,IF('Metrics'!$C$29="Fair",'Reference'!$B$7,IF('Metrics'!$C$29="Poor",'Reference'!$B$8,"")))</f>
        <v/>
      </c>
    </row>
    <row r="30">
      <c r="A30" t="inlineStr">
        <is>
          <t>Function score (0 to 15)</t>
        </is>
      </c>
      <c r="B30" s="15">
        <f>IF('Metrics'!$C$29="Good",'Reference'!$C$6,IF('Metrics'!$C$29="Fair",'Reference'!$C$7,IF('Metrics'!$C$29="Poor",'Reference'!$C$8,"")))</f>
        <v/>
      </c>
    </row>
    <row r="31">
      <c r="A31" t="inlineStr">
        <is>
          <t>Status</t>
        </is>
      </c>
      <c r="B31" s="13">
        <f>IF('Metrics'!$C$29="","not rated","complete")</f>
        <v/>
      </c>
    </row>
    <row r="33">
      <c r="A33" s="6" t="inlineStr">
        <is>
          <t>4. Streamflow regime</t>
        </is>
      </c>
      <c r="B33" s="9" t="inlineStr">
        <is>
          <t>Flow alteration (degree of regulation) (degree-of-regulation, ratio)</t>
        </is>
      </c>
    </row>
    <row r="34">
      <c r="A34" s="8" t="inlineStr">
        <is>
          <t>Item</t>
        </is>
      </c>
      <c r="B34" s="8" t="inlineStr">
        <is>
          <t>Value</t>
        </is>
      </c>
      <c r="C34" s="8" t="inlineStr">
        <is>
          <t>Rating</t>
        </is>
      </c>
      <c r="D34" s="8" t="inlineStr">
        <is>
          <t>Index</t>
        </is>
      </c>
      <c r="E34" s="8" t="inlineStr">
        <is>
          <t>Note</t>
        </is>
      </c>
    </row>
    <row r="35">
      <c r="A35" t="inlineStr">
        <is>
          <t>Upstream normalized storage</t>
        </is>
      </c>
      <c r="B35" s="13">
        <f>IF('Inputs'!$C$29="","",'Inputs'!$C$29)</f>
        <v/>
      </c>
    </row>
    <row r="36">
      <c r="A36" t="inlineStr">
        <is>
          <t>Annual runoff</t>
        </is>
      </c>
      <c r="B36" s="13">
        <f>IF('Inputs'!$C$30="","",'Inputs'!$C$30)</f>
        <v/>
      </c>
    </row>
    <row r="37">
      <c r="A37" t="inlineStr">
        <is>
          <t>Degree of regulation (%)</t>
        </is>
      </c>
      <c r="B37" s="13">
        <f>IF(AND(ISNUMBER('Inputs'!$C$29),ISNUMBER('Inputs'!$C$30),'Inputs'!$C$30&lt;&gt;0,'Inputs'!$C$30&gt;0),ROUND((100*'Inputs'!$C$29)/(1000*'Inputs'!$C$30),12),"")</f>
        <v/>
      </c>
    </row>
    <row r="38">
      <c r="A38" t="inlineStr">
        <is>
          <t>Route that applied</t>
        </is>
      </c>
      <c r="B38" s="13">
        <f>"automatic method"</f>
        <v/>
      </c>
    </row>
    <row r="39">
      <c r="A39" t="inlineStr">
        <is>
          <t>Function rating</t>
        </is>
      </c>
      <c r="C39" s="15">
        <f>IF(NOT(ISNUMBER('Metrics'!$B$37)),"",IF('Metrics'!$B$37&lt;2,"Good",IF(AND('Metrics'!$B$37&gt;=2,'Metrics'!$B$37&lt;=15),"Fair",IF('Metrics'!$B$37&gt;15,"Poor",""))))</f>
        <v/>
      </c>
      <c r="D39" s="14">
        <f>IF('Metrics'!$C$39="Good",'Reference'!$B$6,IF('Metrics'!$C$39="Fair",'Reference'!$B$7,IF('Metrics'!$C$39="Poor",'Reference'!$B$8,"")))</f>
        <v/>
      </c>
    </row>
    <row r="40">
      <c r="A40" t="inlineStr">
        <is>
          <t>Function score (0 to 15)</t>
        </is>
      </c>
      <c r="B40" s="15">
        <f>IF('Metrics'!$C$39="Good",'Reference'!$C$6,IF('Metrics'!$C$39="Fair",'Reference'!$C$7,IF('Metrics'!$C$39="Poor",'Reference'!$C$8,"")))</f>
        <v/>
      </c>
    </row>
    <row r="41">
      <c r="A41" t="inlineStr">
        <is>
          <t>Status</t>
        </is>
      </c>
      <c r="B41" s="13">
        <f>IF('Metrics'!$C$39="","not rated","complete")</f>
        <v/>
      </c>
    </row>
    <row r="43">
      <c r="A43" s="6" t="inlineStr">
        <is>
          <t>5. Low flow and baseflow dynamics</t>
        </is>
      </c>
      <c r="B43" s="9" t="inlineStr">
        <is>
          <t>Low-flow condition (erom-flow-variability, threshold)</t>
        </is>
      </c>
    </row>
    <row r="44">
      <c r="A44" s="8" t="inlineStr">
        <is>
          <t>Item</t>
        </is>
      </c>
      <c r="B44" s="8" t="inlineStr">
        <is>
          <t>Value</t>
        </is>
      </c>
      <c r="C44" s="8" t="inlineStr">
        <is>
          <t>Rating</t>
        </is>
      </c>
      <c r="D44" s="8" t="inlineStr">
        <is>
          <t>Index</t>
        </is>
      </c>
      <c r="E44" s="8" t="inlineStr">
        <is>
          <t>Note</t>
        </is>
      </c>
    </row>
    <row r="45">
      <c r="A45" t="inlineStr">
        <is>
          <t>Monthly flow variability</t>
        </is>
      </c>
      <c r="B45" s="13">
        <f>IF('Inputs'!$C$31="","",'Inputs'!$C$31)</f>
        <v/>
      </c>
    </row>
    <row r="46">
      <c r="A46" t="inlineStr">
        <is>
          <t>Expected NHD flow regime (context only)</t>
        </is>
      </c>
      <c r="B46" s="13">
        <f>IF('Inputs'!$C$15="","",'Inputs'!$C$15)</f>
        <v/>
      </c>
    </row>
    <row r="47">
      <c r="A47" s="9" t="inlineStr">
        <is>
          <t>Reference curve used (flow-variability, nars9, national fallback)</t>
        </is>
      </c>
      <c r="B47" s="13">
        <f>IFERROR(MATCH("flow-variability|"&amp;'Inputs'!$C$14,'Reference'!$A$90:$A$123,0),MATCH("flow-variability|national",'Reference'!$A$90:$A$123,0))</f>
        <v/>
      </c>
      <c r="E47" s="16">
        <f>INDEX('Reference'!$A$90:$A$123,'Metrics'!$B$47)</f>
        <v/>
      </c>
    </row>
    <row r="48">
      <c r="A48" s="9" t="inlineStr">
        <is>
          <t>Curve index (interpolated, 0 to 1; Good at or above 0.69, Fair at or above 0.39)</t>
        </is>
      </c>
      <c r="B48" s="17">
        <f>IF(NOT(ISNUMBER('Inputs'!$C$31)),"",MAX(0,MIN(1,IF('Inputs'!$C$31&lt;=INDEX('Reference'!$G$90:$G$123,'Metrics'!$B$47),INDEX('Reference'!$H$90:$H$123,'Metrics'!$B$47),IF('Inputs'!$C$31&gt;=INDEX('Reference'!$O$90:$O$123,'Metrics'!$B$47),INDEX('Reference'!$P$90:$P$123,'Metrics'!$B$47),IF('Inputs'!$C$31&lt;=INDEX('Reference'!$I$90:$I$123,'Metrics'!$B$47),INDEX('Reference'!$H$90:$H$123,'Metrics'!$B$47)+(('Inputs'!$C$31-INDEX('Reference'!$G$90:$G$123,'Metrics'!$B$47))/(INDEX('Reference'!$I$90:$I$123,'Metrics'!$B$47)-INDEX('Reference'!$G$90:$G$123,'Metrics'!$B$47)))*(INDEX('Reference'!$J$90:$J$123,'Metrics'!$B$47)-INDEX('Reference'!$H$90:$H$123,'Metrics'!$B$47)),IF('Inputs'!$C$31&lt;=INDEX('Reference'!$K$90:$K$123,'Metrics'!$B$47),INDEX('Reference'!$J$90:$J$123,'Metrics'!$B$47)+(('Inputs'!$C$31-INDEX('Reference'!$I$90:$I$123,'Metrics'!$B$47))/(INDEX('Reference'!$K$90:$K$123,'Metrics'!$B$47)-INDEX('Reference'!$I$90:$I$123,'Metrics'!$B$47)))*(INDEX('Reference'!$L$90:$L$123,'Metrics'!$B$47)-INDEX('Reference'!$J$90:$J$123,'Metrics'!$B$47)),IF('Inputs'!$C$31&lt;=INDEX('Reference'!$M$90:$M$123,'Metrics'!$B$47),INDEX('Reference'!$L$90:$L$123,'Metrics'!$B$47)+(('Inputs'!$C$31-INDEX('Reference'!$K$90:$K$123,'Metrics'!$B$47))/(INDEX('Reference'!$M$90:$M$123,'Metrics'!$B$47)-INDEX('Reference'!$K$90:$K$123,'Metrics'!$B$47)))*(INDEX('Reference'!$N$90:$N$123,'Metrics'!$B$47)-INDEX('Reference'!$L$90:$L$123,'Metrics'!$B$47)),INDEX('Reference'!$N$90:$N$123,'Metrics'!$B$47)+(('Inputs'!$C$31-INDEX('Reference'!$M$90:$M$123,'Metrics'!$B$47))/(INDEX('Reference'!$O$90:$O$123,'Metrics'!$B$47)-INDEX('Reference'!$M$90:$M$123,'Metrics'!$B$47)))*(INDEX('Reference'!$P$90:$P$123,'Metrics'!$B$47)-INDEX('Reference'!$N$90:$N$123,'Metrics'!$B$47))))))))))</f>
        <v/>
      </c>
    </row>
    <row r="49">
      <c r="A49" t="inlineStr">
        <is>
          <t>Route that applied</t>
        </is>
      </c>
      <c r="B49" s="13">
        <f>"automatic method"</f>
        <v/>
      </c>
    </row>
    <row r="50">
      <c r="A50" t="inlineStr">
        <is>
          <t>Function rating</t>
        </is>
      </c>
      <c r="C50" s="15">
        <f>IF(NOT(ISNUMBER('Metrics'!$B$48)),"",IF('Metrics'!$B$48&gt;=0.69,"Good",IF('Metrics'!$B$48&gt;=0.39,"Fair","Poor")))</f>
        <v/>
      </c>
      <c r="D50" s="14">
        <f>IF('Metrics'!$C$50="Good",'Reference'!$B$6,IF('Metrics'!$C$50="Fair",'Reference'!$B$7,IF('Metrics'!$C$50="Poor",'Reference'!$B$8,"")))</f>
        <v/>
      </c>
      <c r="E50" s="5" t="inlineStr">
        <is>
          <t>Unvalidated screening proxy: monthly flow variability, lower is better, rated on the regional curve with the national fallback.</t>
        </is>
      </c>
    </row>
    <row r="51">
      <c r="A51" t="inlineStr">
        <is>
          <t>Function score (0 to 15)</t>
        </is>
      </c>
      <c r="B51" s="15">
        <f>IF('Metrics'!$C$50="Good",'Reference'!$C$6,IF('Metrics'!$C$50="Fair",'Reference'!$C$7,IF('Metrics'!$C$50="Poor",'Reference'!$C$8,"")))</f>
        <v/>
      </c>
    </row>
    <row r="52">
      <c r="A52" t="inlineStr">
        <is>
          <t>Status</t>
        </is>
      </c>
      <c r="B52" s="13">
        <f>IF('Metrics'!$C$50="","not rated","complete")</f>
        <v/>
      </c>
    </row>
    <row r="54">
      <c r="A54" s="6" t="inlineStr">
        <is>
          <t>6. High flow dynamics</t>
        </is>
      </c>
      <c r="B54" s="9" t="inlineStr">
        <is>
          <t>Floodplain engagement (bank-height ratio) (bank-height-ratio, threshold)</t>
        </is>
      </c>
    </row>
    <row r="55">
      <c r="A55" s="8" t="inlineStr">
        <is>
          <t>Item</t>
        </is>
      </c>
      <c r="B55" s="8" t="inlineStr">
        <is>
          <t>Value</t>
        </is>
      </c>
      <c r="C55" s="8" t="inlineStr">
        <is>
          <t>Rating</t>
        </is>
      </c>
      <c r="D55" s="8" t="inlineStr">
        <is>
          <t>Index</t>
        </is>
      </c>
      <c r="E55" s="8" t="inlineStr">
        <is>
          <t>Note</t>
        </is>
      </c>
    </row>
    <row r="56">
      <c r="A56" t="inlineStr">
        <is>
          <t>Bank-height ratio</t>
        </is>
      </c>
      <c r="B56" s="13">
        <f>IF('Inputs'!$C$39="","",'Inputs'!$C$39)</f>
        <v/>
      </c>
    </row>
    <row r="57">
      <c r="A57" t="inlineStr">
        <is>
          <t>Route that applied</t>
        </is>
      </c>
      <c r="B57" s="13">
        <f>"automatic method"</f>
        <v/>
      </c>
    </row>
    <row r="58">
      <c r="A58" t="inlineStr">
        <is>
          <t>Function rating</t>
        </is>
      </c>
      <c r="C58" s="15">
        <f>IF(NOT(ISNUMBER('Inputs'!$C$39)),"",IF('Inputs'!$C$39&lt;=1.3,"Good",IF(AND('Inputs'!$C$39&gt;1.3,'Inputs'!$C$39&lt;=1.5),"Fair",IF('Inputs'!$C$39&gt;1.5,"Poor",""))))</f>
        <v/>
      </c>
      <c r="D58" s="14">
        <f>IF('Metrics'!$C$58="Good",'Reference'!$B$6,IF('Metrics'!$C$58="Fair",'Reference'!$B$7,IF('Metrics'!$C$58="Poor",'Reference'!$B$8,"")))</f>
        <v/>
      </c>
      <c r="E58" s="5" t="inlineStr">
        <is>
          <t>Values below 1.0 warrant a check of the cross-section geometry.</t>
        </is>
      </c>
    </row>
    <row r="59">
      <c r="A59" t="inlineStr">
        <is>
          <t>Function score (0 to 15)</t>
        </is>
      </c>
      <c r="B59" s="15">
        <f>IF('Metrics'!$C$58="Good",'Reference'!$C$6,IF('Metrics'!$C$58="Fair",'Reference'!$C$7,IF('Metrics'!$C$58="Poor",'Reference'!$C$8,"")))</f>
        <v/>
      </c>
    </row>
    <row r="60">
      <c r="A60" t="inlineStr">
        <is>
          <t>Status</t>
        </is>
      </c>
      <c r="B60" s="13">
        <f>IF('Metrics'!$C$58="","not rated","complete")</f>
        <v/>
      </c>
    </row>
    <row r="62">
      <c r="A62" s="6" t="inlineStr">
        <is>
          <t>7. Floodplain connectivity</t>
        </is>
      </c>
      <c r="B62" s="9" t="inlineStr">
        <is>
          <t>Floodplain access (entrenchment ratio) (entrenchment-ratio, threshold)</t>
        </is>
      </c>
    </row>
    <row r="63">
      <c r="A63" s="8" t="inlineStr">
        <is>
          <t>Item</t>
        </is>
      </c>
      <c r="B63" s="8" t="inlineStr">
        <is>
          <t>Value</t>
        </is>
      </c>
      <c r="C63" s="8" t="inlineStr">
        <is>
          <t>Rating</t>
        </is>
      </c>
      <c r="D63" s="8" t="inlineStr">
        <is>
          <t>Index</t>
        </is>
      </c>
      <c r="E63" s="8" t="inlineStr">
        <is>
          <t>Note</t>
        </is>
      </c>
    </row>
    <row r="64">
      <c r="A64" t="inlineStr">
        <is>
          <t>Entrenchment ratio</t>
        </is>
      </c>
      <c r="B64" s="13">
        <f>IF('Inputs'!$C$40="","",'Inputs'!$C$40)</f>
        <v/>
      </c>
    </row>
    <row r="65">
      <c r="A65" s="9" t="inlineStr">
        <is>
          <t>Reference curve used (entrenchment, slope_class, national fallback)</t>
        </is>
      </c>
      <c r="B65" s="13">
        <f>IFERROR(MATCH("entrenchment|"&amp;'Inputs'!$C$17,'Reference'!$A$90:$A$123,0),MATCH("entrenchment|national",'Reference'!$A$90:$A$123,0))</f>
        <v/>
      </c>
      <c r="E65" s="16">
        <f>INDEX('Reference'!$A$90:$A$123,'Metrics'!$B$65)</f>
        <v/>
      </c>
    </row>
    <row r="66">
      <c r="A66" s="9" t="inlineStr">
        <is>
          <t>Curve index (interpolated, 0 to 1; Good at or above 0.69, Fair at or above 0.39)</t>
        </is>
      </c>
      <c r="B66" s="17">
        <f>IF(NOT(ISNUMBER('Inputs'!$C$40)),"",MAX(0,MIN(1,IF('Inputs'!$C$40&lt;=INDEX('Reference'!$G$90:$G$123,'Metrics'!$B$65),INDEX('Reference'!$H$90:$H$123,'Metrics'!$B$65),IF('Inputs'!$C$40&gt;=INDEX('Reference'!$O$90:$O$123,'Metrics'!$B$65),INDEX('Reference'!$P$90:$P$123,'Metrics'!$B$65),IF('Inputs'!$C$40&lt;=INDEX('Reference'!$I$90:$I$123,'Metrics'!$B$65),INDEX('Reference'!$H$90:$H$123,'Metrics'!$B$65)+(('Inputs'!$C$40-INDEX('Reference'!$G$90:$G$123,'Metrics'!$B$65))/(INDEX('Reference'!$I$90:$I$123,'Metrics'!$B$65)-INDEX('Reference'!$G$90:$G$123,'Metrics'!$B$65)))*(INDEX('Reference'!$J$90:$J$123,'Metrics'!$B$65)-INDEX('Reference'!$H$90:$H$123,'Metrics'!$B$65)),IF('Inputs'!$C$40&lt;=INDEX('Reference'!$K$90:$K$123,'Metrics'!$B$65),INDEX('Reference'!$J$90:$J$123,'Metrics'!$B$65)+(('Inputs'!$C$40-INDEX('Reference'!$I$90:$I$123,'Metrics'!$B$65))/(INDEX('Reference'!$K$90:$K$123,'Metrics'!$B$65)-INDEX('Reference'!$I$90:$I$123,'Metrics'!$B$65)))*(INDEX('Reference'!$L$90:$L$123,'Metrics'!$B$65)-INDEX('Reference'!$J$90:$J$123,'Metrics'!$B$65)),IF('Inputs'!$C$40&lt;=INDEX('Reference'!$M$90:$M$123,'Metrics'!$B$65),INDEX('Reference'!$L$90:$L$123,'Metrics'!$B$65)+(('Inputs'!$C$40-INDEX('Reference'!$K$90:$K$123,'Metrics'!$B$65))/(INDEX('Reference'!$M$90:$M$123,'Metrics'!$B$65)-INDEX('Reference'!$K$90:$K$123,'Metrics'!$B$65)))*(INDEX('Reference'!$N$90:$N$123,'Metrics'!$B$65)-INDEX('Reference'!$L$90:$L$123,'Metrics'!$B$65)),INDEX('Reference'!$N$90:$N$123,'Metrics'!$B$65)+(('Inputs'!$C$40-INDEX('Reference'!$M$90:$M$123,'Metrics'!$B$65))/(INDEX('Reference'!$O$90:$O$123,'Metrics'!$B$65)-INDEX('Reference'!$M$90:$M$123,'Metrics'!$B$65)))*(INDEX('Reference'!$P$90:$P$123,'Metrics'!$B$65)-INDEX('Reference'!$N$90:$N$123,'Metrics'!$B$65))))))))))</f>
        <v/>
      </c>
    </row>
    <row r="67">
      <c r="A67" t="inlineStr">
        <is>
          <t>Route that applied</t>
        </is>
      </c>
      <c r="B67" s="13">
        <f>"automatic method"</f>
        <v/>
      </c>
    </row>
    <row r="68">
      <c r="A68" t="inlineStr">
        <is>
          <t>Function rating</t>
        </is>
      </c>
      <c r="C68" s="15">
        <f>IF(NOT(ISNUMBER('Metrics'!$B$66)),"",IF('Metrics'!$B$66&gt;=0.69,"Good",IF('Metrics'!$B$66&gt;=0.39,"Fair","Poor")))</f>
        <v/>
      </c>
      <c r="D68" s="14">
        <f>IF('Metrics'!$C$68="Good",'Reference'!$B$6,IF('Metrics'!$C$68="Fair",'Reference'!$B$7,IF('Metrics'!$C$68="Poor",'Reference'!$B$8,"")))</f>
        <v/>
      </c>
      <c r="E68" s="5" t="inlineStr">
        <is>
          <t>Rated on the slope-class curve, national fallback when the slope is unknown.</t>
        </is>
      </c>
    </row>
    <row r="69">
      <c r="A69" t="inlineStr">
        <is>
          <t>Function score (0 to 15)</t>
        </is>
      </c>
      <c r="B69" s="15">
        <f>IF('Metrics'!$C$68="Good",'Reference'!$C$6,IF('Metrics'!$C$68="Fair",'Reference'!$C$7,IF('Metrics'!$C$68="Poor",'Reference'!$C$8,"")))</f>
        <v/>
      </c>
    </row>
    <row r="70">
      <c r="A70" t="inlineStr">
        <is>
          <t>Status</t>
        </is>
      </c>
      <c r="B70" s="13">
        <f>IF('Metrics'!$C$68="","not rated","complete")</f>
        <v/>
      </c>
    </row>
    <row r="72">
      <c r="A72" s="6" t="inlineStr">
        <is>
          <t>8. Hyporheic connectivity</t>
        </is>
      </c>
      <c r="B72" s="9" t="inlineStr">
        <is>
          <t>Hyporheic-exchange potential (channel gradient or sinuosity) (hyporheic-exchange-potential, best_index)</t>
        </is>
      </c>
    </row>
    <row r="73">
      <c r="A73" s="8" t="inlineStr">
        <is>
          <t>Item</t>
        </is>
      </c>
      <c r="B73" s="8" t="inlineStr">
        <is>
          <t>Value</t>
        </is>
      </c>
      <c r="C73" s="8" t="inlineStr">
        <is>
          <t>Rating</t>
        </is>
      </c>
      <c r="D73" s="8" t="inlineStr">
        <is>
          <t>Index</t>
        </is>
      </c>
      <c r="E73" s="8" t="inlineStr">
        <is>
          <t>Note</t>
        </is>
      </c>
    </row>
    <row r="74">
      <c r="A74" t="inlineStr">
        <is>
          <t>Channel slope</t>
        </is>
      </c>
      <c r="B74" s="13">
        <f>IF('Inputs'!$C$41="","",'Inputs'!$C$41)</f>
        <v/>
      </c>
      <c r="C74" s="13">
        <f>IF(NOT(ISNUMBER('Inputs'!$C$41)),"",IF('Inputs'!$C$41&lt;0.003,"Poor",IF(AND('Inputs'!$C$41&gt;=0.003,'Inputs'!$C$41&lt;0.006),"Fair",IF('Inputs'!$C$41&gt;=0.006,"Good",""))))</f>
        <v/>
      </c>
      <c r="D74" s="14">
        <f>IF('Metrics'!$C$74="Good",'Reference'!$B$6,IF('Metrics'!$C$74="Fair",'Reference'!$B$7,IF('Metrics'!$C$74="Poor",'Reference'!$B$8,"")))</f>
        <v/>
      </c>
    </row>
    <row r="75">
      <c r="A75" t="inlineStr">
        <is>
          <t>Reach sinuosity</t>
        </is>
      </c>
      <c r="B75" s="13">
        <f>IF('Inputs'!$C$42="","",'Inputs'!$C$42)</f>
        <v/>
      </c>
      <c r="C75" s="13">
        <f>IF(NOT(ISNUMBER('Inputs'!$C$42)),"",IF('Inputs'!$C$42&lt;1.05,"Poor",IF(AND('Inputs'!$C$42&gt;=1.05,'Inputs'!$C$42&lt;1.2),"Fair",IF('Inputs'!$C$42&gt;=1.2,"Good",""))))</f>
        <v/>
      </c>
      <c r="D75" s="14">
        <f>IF('Metrics'!$C$75="Good",'Reference'!$B$6,IF('Metrics'!$C$75="Fair",'Reference'!$B$7,IF('Metrics'!$C$75="Poor",'Reference'!$B$8,"")))</f>
        <v/>
      </c>
    </row>
    <row r="76">
      <c r="A76" t="inlineStr">
        <is>
          <t>Governing input</t>
        </is>
      </c>
      <c r="B76" s="13">
        <f>IF('Metrics'!$B$77="","",INDEX('Metrics'!$A$74:$A$75,MATCH('Metrics'!$B$77,'Metrics'!$D$74:$D$75,0)))</f>
        <v/>
      </c>
    </row>
    <row r="77">
      <c r="A77" t="inlineStr">
        <is>
          <t>Combined rating index (the better pathway)</t>
        </is>
      </c>
      <c r="B77" s="14">
        <f>IF(COUNT('Metrics'!$D$74:$D$75)=0,"",MAX('Metrics'!$D$74:$D$75))</f>
        <v/>
      </c>
    </row>
    <row r="78">
      <c r="A78" t="inlineStr">
        <is>
          <t>Route that applied</t>
        </is>
      </c>
      <c r="B78" s="13">
        <f>"automatic method"</f>
        <v/>
      </c>
    </row>
    <row r="79">
      <c r="A79" t="inlineStr">
        <is>
          <t>Function rating</t>
        </is>
      </c>
      <c r="C79" s="15">
        <f>IF(NOT(ISNUMBER('Metrics'!$B$77)),"",IF('Metrics'!$B$77='Reference'!$B$6,"Good",IF('Metrics'!$B$77='Reference'!$B$7,"Fair",IF('Metrics'!$B$77='Reference'!$B$8,"Poor",""))))</f>
        <v/>
      </c>
      <c r="D79" s="14">
        <f>IF('Metrics'!$C$79="Good",'Reference'!$B$6,IF('Metrics'!$C$79="Fair",'Reference'!$B$7,IF('Metrics'!$C$79="Poor",'Reference'!$B$8,"")))</f>
        <v/>
      </c>
      <c r="E79" s="5" t="inlineStr">
        <is>
          <t>One valid pathway gives a partial rating.</t>
        </is>
      </c>
    </row>
    <row r="80">
      <c r="A80" t="inlineStr">
        <is>
          <t>Function score (0 to 15)</t>
        </is>
      </c>
      <c r="B80" s="15">
        <f>IF('Metrics'!$C$79="Good",'Reference'!$C$6,IF('Metrics'!$C$79="Fair",'Reference'!$C$7,IF('Metrics'!$C$79="Poor",'Reference'!$C$8,"")))</f>
        <v/>
      </c>
    </row>
    <row r="81">
      <c r="A81" t="inlineStr">
        <is>
          <t>Status</t>
        </is>
      </c>
      <c r="B81" s="13">
        <f>IF(COUNT('Metrics'!$D$74:$D$75)=0,"not rated",IF(COUNT('Metrics'!$D$74:$D$75)&lt;2,"partial","complete"))</f>
        <v/>
      </c>
    </row>
    <row r="83">
      <c r="A83" s="6" t="inlineStr">
        <is>
          <t>9. Channel evolution</t>
        </is>
      </c>
      <c r="B83" s="9" t="inlineStr">
        <is>
          <t>Channel evolution (channel-adjustment-susceptibility, worst_index)</t>
        </is>
      </c>
    </row>
    <row r="84">
      <c r="A84" s="8" t="inlineStr">
        <is>
          <t>Item</t>
        </is>
      </c>
      <c r="B84" s="8" t="inlineStr">
        <is>
          <t>Value</t>
        </is>
      </c>
      <c r="C84" s="8" t="inlineStr">
        <is>
          <t>Rating</t>
        </is>
      </c>
      <c r="D84" s="8" t="inlineStr">
        <is>
          <t>Index</t>
        </is>
      </c>
      <c r="E84" s="8" t="inlineStr">
        <is>
          <t>Note</t>
        </is>
      </c>
    </row>
    <row r="85">
      <c r="A85" t="inlineStr">
        <is>
          <t>Bank-height ratio</t>
        </is>
      </c>
      <c r="B85" s="13">
        <f>IF('Inputs'!$C$39="","",'Inputs'!$C$39)</f>
        <v/>
      </c>
      <c r="C85" s="13">
        <f>IF(NOT(ISNUMBER('Inputs'!$C$39)),"",IF('Inputs'!$C$39&lt;=1.3,"Good",IF(AND('Inputs'!$C$39&gt;1.3,'Inputs'!$C$39&lt;=1.5),"Fair",IF('Inputs'!$C$39&gt;1.5,"Poor",""))))</f>
        <v/>
      </c>
      <c r="D85" s="14">
        <f>IF('Metrics'!$C$85="Good",'Reference'!$B$6,IF('Metrics'!$C$85="Fair",'Reference'!$B$7,IF('Metrics'!$C$85="Poor",'Reference'!$B$8,"")))</f>
        <v/>
      </c>
    </row>
    <row r="86">
      <c r="A86" s="9" t="inlineStr">
        <is>
          <t>Reference curve used (entrenchment, slope_class, national fallback)</t>
        </is>
      </c>
      <c r="B86" s="13">
        <f>IFERROR(MATCH("entrenchment|"&amp;'Inputs'!$C$17,'Reference'!$A$90:$A$123,0),MATCH("entrenchment|national",'Reference'!$A$90:$A$123,0))</f>
        <v/>
      </c>
      <c r="E86" s="16">
        <f>INDEX('Reference'!$A$90:$A$123,'Metrics'!$B$86)</f>
        <v/>
      </c>
    </row>
    <row r="87">
      <c r="A87" s="9" t="inlineStr">
        <is>
          <t>Curve index (interpolated, 0 to 1; Good at or above 0.69, Fair at or above 0.39)</t>
        </is>
      </c>
      <c r="B87" s="17">
        <f>IF(NOT(ISNUMBER('Inputs'!$C$40)),"",MAX(0,MIN(1,IF('Inputs'!$C$40&lt;=INDEX('Reference'!$G$90:$G$123,'Metrics'!$B$86),INDEX('Reference'!$H$90:$H$123,'Metrics'!$B$86),IF('Inputs'!$C$40&gt;=INDEX('Reference'!$O$90:$O$123,'Metrics'!$B$86),INDEX('Reference'!$P$90:$P$123,'Metrics'!$B$86),IF('Inputs'!$C$40&lt;=INDEX('Reference'!$I$90:$I$123,'Metrics'!$B$86),INDEX('Reference'!$H$90:$H$123,'Metrics'!$B$86)+(('Inputs'!$C$40-INDEX('Reference'!$G$90:$G$123,'Metrics'!$B$86))/(INDEX('Reference'!$I$90:$I$123,'Metrics'!$B$86)-INDEX('Reference'!$G$90:$G$123,'Metrics'!$B$86)))*(INDEX('Reference'!$J$90:$J$123,'Metrics'!$B$86)-INDEX('Reference'!$H$90:$H$123,'Metrics'!$B$86)),IF('Inputs'!$C$40&lt;=INDEX('Reference'!$K$90:$K$123,'Metrics'!$B$86),INDEX('Reference'!$J$90:$J$123,'Metrics'!$B$86)+(('Inputs'!$C$40-INDEX('Reference'!$I$90:$I$123,'Metrics'!$B$86))/(INDEX('Reference'!$K$90:$K$123,'Metrics'!$B$86)-INDEX('Reference'!$I$90:$I$123,'Metrics'!$B$86)))*(INDEX('Reference'!$L$90:$L$123,'Metrics'!$B$86)-INDEX('Reference'!$J$90:$J$123,'Metrics'!$B$86)),IF('Inputs'!$C$40&lt;=INDEX('Reference'!$M$90:$M$123,'Metrics'!$B$86),INDEX('Reference'!$L$90:$L$123,'Metrics'!$B$86)+(('Inputs'!$C$40-INDEX('Reference'!$K$90:$K$123,'Metrics'!$B$86))/(INDEX('Reference'!$M$90:$M$123,'Metrics'!$B$86)-INDEX('Reference'!$K$90:$K$123,'Metrics'!$B$86)))*(INDEX('Reference'!$N$90:$N$123,'Metrics'!$B$86)-INDEX('Reference'!$L$90:$L$123,'Metrics'!$B$86)),INDEX('Reference'!$N$90:$N$123,'Metrics'!$B$86)+(('Inputs'!$C$40-INDEX('Reference'!$M$90:$M$123,'Metrics'!$B$86))/(INDEX('Reference'!$O$90:$O$123,'Metrics'!$B$86)-INDEX('Reference'!$M$90:$M$123,'Metrics'!$B$86)))*(INDEX('Reference'!$P$90:$P$123,'Metrics'!$B$86)-INDEX('Reference'!$N$90:$N$123,'Metrics'!$B$86))))))))))</f>
        <v/>
      </c>
    </row>
    <row r="88">
      <c r="A88" t="inlineStr">
        <is>
          <t>Entrenchment ratio</t>
        </is>
      </c>
      <c r="B88" s="13">
        <f>IF('Inputs'!$C$40="","",'Inputs'!$C$40)</f>
        <v/>
      </c>
      <c r="C88" s="13">
        <f>IF(NOT(ISNUMBER('Metrics'!$B$87)),"",IF('Metrics'!$B$87&gt;=0.69,"Good",IF('Metrics'!$B$87&gt;=0.39,"Fair","Poor")))</f>
        <v/>
      </c>
      <c r="D88" s="14">
        <f>IF('Metrics'!$C$88="Good",'Reference'!$B$6,IF('Metrics'!$C$88="Fair",'Reference'!$B$7,IF('Metrics'!$C$88="Poor",'Reference'!$B$8,"")))</f>
        <v/>
      </c>
    </row>
    <row r="89">
      <c r="A89" t="inlineStr">
        <is>
          <t>Automatic proxy index (worse of BHR and ER, both required)</t>
        </is>
      </c>
      <c r="B89" s="14">
        <f>IF(COUNT('Metrics'!$D$85:$D$88)&lt;2,"",MIN('Metrics'!$D$85:$D$88))</f>
        <v/>
      </c>
    </row>
    <row r="90">
      <c r="A90" t="inlineStr">
        <is>
          <t>Route that applied</t>
        </is>
      </c>
      <c r="B90" s="13">
        <f>IF(AND(OR('Inputs'!$C$84="Good",'Inputs'!$C$84="Fair",'Inputs'!$C$84="Poor"),LEN(TRIM('Inputs'!$C$85&amp;""))&gt;0),"observed channel class",IF(OR('Inputs'!$C$15=33600,'Inputs'!$C$15=33601,'Inputs'!$C$15=33603),"canal or ditch (FCODE)",IF('Metrics'!$B$89="","not rated","automatic proxy")))</f>
        <v/>
      </c>
    </row>
    <row r="91">
      <c r="A91" t="inlineStr">
        <is>
          <t>Function rating</t>
        </is>
      </c>
      <c r="C91" s="15">
        <f>IF(AND(OR('Inputs'!$C$84="Good",'Inputs'!$C$84="Fair",'Inputs'!$C$84="Poor"),LEN(TRIM('Inputs'!$C$85&amp;""))&gt;0),'Inputs'!$C$84,IF(OR('Inputs'!$C$15=33600,'Inputs'!$C$15=33601,'Inputs'!$C$15=33603),"Poor",IF(NOT(ISNUMBER('Metrics'!$B$89)),"",IF('Metrics'!$B$89='Reference'!$B$6,"Good",IF('Metrics'!$B$89='Reference'!$B$7,"Fair",IF('Metrics'!$B$89='Reference'!$B$8,"Poor",""))))))</f>
        <v/>
      </c>
      <c r="D91" s="14">
        <f>IF('Metrics'!$C$91="Good",'Reference'!$B$6,IF('Metrics'!$C$91="Fair",'Reference'!$B$7,IF('Metrics'!$C$91="Poor",'Reference'!$B$8,"")))</f>
        <v/>
      </c>
      <c r="E91" s="5" t="inlineStr">
        <is>
          <t>Observed class with a note replaces the proxy; canal and ditch feature codes rate Poor.</t>
        </is>
      </c>
    </row>
    <row r="92">
      <c r="A92" t="inlineStr">
        <is>
          <t>Function score (0 to 15)</t>
        </is>
      </c>
      <c r="B92" s="15">
        <f>IF('Metrics'!$C$91="Good",'Reference'!$C$6,IF('Metrics'!$C$91="Fair",'Reference'!$C$7,IF('Metrics'!$C$91="Poor",'Reference'!$C$8,"")))</f>
        <v/>
      </c>
    </row>
    <row r="93">
      <c r="A93" t="inlineStr">
        <is>
          <t>Status</t>
        </is>
      </c>
      <c r="B93" s="13">
        <f>IF('Metrics'!$C$91="","not rated","complete")</f>
        <v/>
      </c>
    </row>
    <row r="95">
      <c r="A95" s="6" t="inlineStr">
        <is>
          <t>10. Channel and floodplain dynamics</t>
        </is>
      </c>
      <c r="B95" s="9" t="inlineStr">
        <is>
          <t>Bank erosion and armoring (bhr-bank-instability-susceptibility, threshold)</t>
        </is>
      </c>
    </row>
    <row r="96">
      <c r="A96" s="8" t="inlineStr">
        <is>
          <t>Item</t>
        </is>
      </c>
      <c r="B96" s="8" t="inlineStr">
        <is>
          <t>Value</t>
        </is>
      </c>
      <c r="C96" s="8" t="inlineStr">
        <is>
          <t>Rating</t>
        </is>
      </c>
      <c r="D96" s="8" t="inlineStr">
        <is>
          <t>Index</t>
        </is>
      </c>
      <c r="E96" s="8" t="inlineStr">
        <is>
          <t>Note</t>
        </is>
      </c>
    </row>
    <row r="97">
      <c r="A97" t="inlineStr">
        <is>
          <t>Bank-height ratio</t>
        </is>
      </c>
      <c r="B97" s="13">
        <f>IF('Inputs'!$C$39="","",'Inputs'!$C$39)</f>
        <v/>
      </c>
    </row>
    <row r="98">
      <c r="A98" t="inlineStr">
        <is>
          <t>Observed eroding bank (%)</t>
        </is>
      </c>
      <c r="B98" s="13">
        <f>IF('Inputs'!$C$86="","",'Inputs'!$C$86)</f>
        <v/>
      </c>
      <c r="C98" s="13">
        <f>IF(NOT(ISNUMBER('Inputs'!$C$86)),"",IF('Inputs'!$C$86&lt;5,"Good",IF(AND('Inputs'!$C$86&gt;=5,'Inputs'!$C$86&lt;60),"Fair",IF('Inputs'!$C$86&gt;=60,"Poor",""))))</f>
        <v/>
      </c>
      <c r="D98" s="14">
        <f>IF('Metrics'!$C$98="Good",'Reference'!$B$6,IF('Metrics'!$C$98="Fair",'Reference'!$B$7,IF('Metrics'!$C$98="Poor",'Reference'!$B$8,"")))</f>
        <v/>
      </c>
    </row>
    <row r="99">
      <c r="A99" t="inlineStr">
        <is>
          <t>Observed armored bank (%)</t>
        </is>
      </c>
      <c r="B99" s="13">
        <f>IF('Inputs'!$C$87="","",'Inputs'!$C$87)</f>
        <v/>
      </c>
      <c r="C99" s="13">
        <f>IF(NOT(ISNUMBER('Inputs'!$C$87)),"",IF('Inputs'!$C$87&lt;=0,"Good",IF(AND('Inputs'!$C$87&gt;0,'Inputs'!$C$87&lt;50),"Fair",IF('Inputs'!$C$87&gt;=50,"Poor",""))))</f>
        <v/>
      </c>
      <c r="D99" s="14">
        <f>IF('Metrics'!$C$99="Good",'Reference'!$B$6,IF('Metrics'!$C$99="Fair",'Reference'!$B$7,IF('Metrics'!$C$99="Poor",'Reference'!$B$8,"")))</f>
        <v/>
      </c>
    </row>
    <row r="100">
      <c r="A100" t="inlineStr">
        <is>
          <t>Route that applied</t>
        </is>
      </c>
      <c r="B100" s="13">
        <f>IF(AND(ISNUMBER('Inputs'!$C$86),ISNUMBER('Inputs'!$C$87)),"observed bank condition",IF(IF(NOT(ISNUMBER('Inputs'!$C$39)),"",IF('Inputs'!$C$39&lt;=1.3,"Good",IF(AND('Inputs'!$C$39&gt;1.3,'Inputs'!$C$39&lt;=1.5),"Fair",IF('Inputs'!$C$39&gt;1.5,"Poor",""))))="","not rated","automatic proxy"))</f>
        <v/>
      </c>
    </row>
    <row r="101">
      <c r="A101" t="inlineStr">
        <is>
          <t>Function rating</t>
        </is>
      </c>
      <c r="C101" s="15">
        <f>IF(AND(ISNUMBER('Inputs'!$C$86),ISNUMBER('Inputs'!$C$87)),IF(NOT(ISNUMBER(MIN('Metrics'!$D$98,'Metrics'!$D$99))),"",IF(MIN('Metrics'!$D$98,'Metrics'!$D$99)='Reference'!$B$6,"Good",IF(MIN('Metrics'!$D$98,'Metrics'!$D$99)='Reference'!$B$7,"Fair",IF(MIN('Metrics'!$D$98,'Metrics'!$D$99)='Reference'!$B$8,"Poor","")))),IF(NOT(ISNUMBER('Inputs'!$C$39)),"",IF('Inputs'!$C$39&lt;=1.3,"Good",IF(AND('Inputs'!$C$39&gt;1.3,'Inputs'!$C$39&lt;=1.5),"Fair",IF('Inputs'!$C$39&gt;1.5,"Poor","")))))</f>
        <v/>
      </c>
      <c r="D101" s="14">
        <f>IF('Metrics'!$C$101="Good",'Reference'!$B$6,IF('Metrics'!$C$101="Fair",'Reference'!$B$7,IF('Metrics'!$C$101="Poor",'Reference'!$B$8,"")))</f>
        <v/>
      </c>
      <c r="E101" s="5" t="inlineStr">
        <is>
          <t>Both observed bank percentages replace the BHR proxy; the worse component governs.</t>
        </is>
      </c>
    </row>
    <row r="102">
      <c r="A102" t="inlineStr">
        <is>
          <t>Function score (0 to 15)</t>
        </is>
      </c>
      <c r="B102" s="15">
        <f>IF('Metrics'!$C$101="Good",'Reference'!$C$6,IF('Metrics'!$C$101="Fair",'Reference'!$C$7,IF('Metrics'!$C$101="Poor",'Reference'!$C$8,"")))</f>
        <v/>
      </c>
    </row>
    <row r="103">
      <c r="A103" t="inlineStr">
        <is>
          <t>Status</t>
        </is>
      </c>
      <c r="B103" s="13">
        <f>IF('Metrics'!$C$101="","not rated","complete")</f>
        <v/>
      </c>
    </row>
    <row r="105">
      <c r="A105" s="6" t="inlineStr">
        <is>
          <t>11. Sediment continuity</t>
        </is>
      </c>
      <c r="B105" s="9" t="inlineStr">
        <is>
          <t>Sediment-supply potential (sediment-supply-potential, worst_index)</t>
        </is>
      </c>
    </row>
    <row r="106">
      <c r="A106" s="8" t="inlineStr">
        <is>
          <t>Item</t>
        </is>
      </c>
      <c r="B106" s="8" t="inlineStr">
        <is>
          <t>Value</t>
        </is>
      </c>
      <c r="C106" s="8" t="inlineStr">
        <is>
          <t>Rating</t>
        </is>
      </c>
      <c r="D106" s="8" t="inlineStr">
        <is>
          <t>Index</t>
        </is>
      </c>
      <c r="E106" s="8" t="inlineStr">
        <is>
          <t>Note</t>
        </is>
      </c>
    </row>
    <row r="107">
      <c r="A107" t="inlineStr">
        <is>
          <t>Agricultural cover</t>
        </is>
      </c>
      <c r="B107" s="13">
        <f>IF('Inputs'!$C$23="","",'Inputs'!$C$23)</f>
        <v/>
      </c>
      <c r="C107" s="13">
        <f>IF(NOT(ISNUMBER('Inputs'!$C$23)),"",IF('Inputs'!$C$23&lt;30,"Good",IF(AND('Inputs'!$C$23&gt;=30,'Inputs'!$C$23&lt;=50),"Fair",IF('Inputs'!$C$23&gt;50,"Poor",""))))</f>
        <v/>
      </c>
      <c r="D107" s="14">
        <f>IF('Metrics'!$C$107="Good",'Reference'!$B$6,IF('Metrics'!$C$107="Fair",'Reference'!$B$7,IF('Metrics'!$C$107="Poor",'Reference'!$B$8,"")))</f>
        <v/>
      </c>
    </row>
    <row r="108">
      <c r="A108" t="inlineStr">
        <is>
          <t>Soil erodibility K-factor</t>
        </is>
      </c>
      <c r="B108" s="13">
        <f>IF('Inputs'!$C$27="","",'Inputs'!$C$27)</f>
        <v/>
      </c>
      <c r="C108" s="13">
        <f>IF(NOT(ISNUMBER('Inputs'!$C$27)),"",IF('Inputs'!$C$27&lt;0.25,"Good",IF(AND('Inputs'!$C$27&gt;=0.25,'Inputs'!$C$27&lt;=0.4),"Fair",IF('Inputs'!$C$27&gt;0.4,"Poor",""))))</f>
        <v/>
      </c>
      <c r="D108" s="14">
        <f>IF('Metrics'!$C$108="Good",'Reference'!$B$6,IF('Metrics'!$C$108="Fair",'Reference'!$B$7,IF('Metrics'!$C$108="Poor",'Reference'!$B$8,"")))</f>
        <v/>
      </c>
    </row>
    <row r="109">
      <c r="A109" t="inlineStr">
        <is>
          <t>Road density</t>
        </is>
      </c>
      <c r="B109" s="13">
        <f>IF('Inputs'!$C$26="","",'Inputs'!$C$26)</f>
        <v/>
      </c>
      <c r="C109" s="13">
        <f>IF(NOT(ISNUMBER('Inputs'!$C$26)),"",IF('Inputs'!$C$26&lt;1.24,"Good",IF(AND('Inputs'!$C$26&gt;=1.24,'Inputs'!$C$26&lt;1.86),"Fair",IF('Inputs'!$C$26&gt;=1.86,"Poor",""))))</f>
        <v/>
      </c>
      <c r="D109" s="14">
        <f>IF('Metrics'!$C$109="Good",'Reference'!$B$6,IF('Metrics'!$C$109="Fair",'Reference'!$B$7,IF('Metrics'!$C$109="Poor",'Reference'!$B$8,"")))</f>
        <v/>
      </c>
    </row>
    <row r="110">
      <c r="A110" t="inlineStr">
        <is>
          <t>Governing input</t>
        </is>
      </c>
      <c r="B110" s="13">
        <f>IF('Metrics'!$B$111="","",INDEX('Metrics'!$A$107:$A$109,MATCH('Metrics'!$B$111,'Metrics'!$D$107:$D$109,0)))</f>
        <v/>
      </c>
    </row>
    <row r="111">
      <c r="A111" t="inlineStr">
        <is>
          <t>Combined rating index (the more limiting input)</t>
        </is>
      </c>
      <c r="B111" s="14">
        <f>IF(COUNT('Metrics'!$D$107:$D$109)&lt;3,"",MIN('Metrics'!$D$107:$D$109))</f>
        <v/>
      </c>
    </row>
    <row r="112">
      <c r="A112" t="inlineStr">
        <is>
          <t>Route that applied</t>
        </is>
      </c>
      <c r="B112" s="13">
        <f>"automatic method"</f>
        <v/>
      </c>
    </row>
    <row r="113">
      <c r="A113" t="inlineStr">
        <is>
          <t>Function rating</t>
        </is>
      </c>
      <c r="C113" s="15">
        <f>IF(NOT(ISNUMBER('Metrics'!$B$111)),"",IF('Metrics'!$B$111='Reference'!$B$6,"Good",IF('Metrics'!$B$111='Reference'!$B$7,"Fair",IF('Metrics'!$B$111='Reference'!$B$8,"Poor",""))))</f>
        <v/>
      </c>
      <c r="D113" s="14">
        <f>IF('Metrics'!$C$113="Good",'Reference'!$B$6,IF('Metrics'!$C$113="Fair",'Reference'!$B$7,IF('Metrics'!$C$113="Poor",'Reference'!$B$8,"")))</f>
        <v/>
      </c>
      <c r="E113" s="5" t="inlineStr">
        <is>
          <t>All three inputs are required.</t>
        </is>
      </c>
    </row>
    <row r="114">
      <c r="A114" t="inlineStr">
        <is>
          <t>Function score (0 to 15)</t>
        </is>
      </c>
      <c r="B114" s="15">
        <f>IF('Metrics'!$C$113="Good",'Reference'!$C$6,IF('Metrics'!$C$113="Fair",'Reference'!$C$7,IF('Metrics'!$C$113="Poor",'Reference'!$C$8,"")))</f>
        <v/>
      </c>
    </row>
    <row r="115">
      <c r="A115" t="inlineStr">
        <is>
          <t>Status</t>
        </is>
      </c>
      <c r="B115" s="13">
        <f>IF(COUNT('Metrics'!$D$107:$D$109)&lt;3,"not rated","complete")</f>
        <v/>
      </c>
    </row>
    <row r="117">
      <c r="A117" s="6" t="inlineStr">
        <is>
          <t>12. Bed composition and large wood</t>
        </is>
      </c>
      <c r="B117" s="9" t="inlineStr">
        <is>
          <t>Substrate condition (watershed-agriculture-share, threshold)</t>
        </is>
      </c>
    </row>
    <row r="118">
      <c r="A118" s="8" t="inlineStr">
        <is>
          <t>Item</t>
        </is>
      </c>
      <c r="B118" s="8" t="inlineStr">
        <is>
          <t>Value</t>
        </is>
      </c>
      <c r="C118" s="8" t="inlineStr">
        <is>
          <t>Rating</t>
        </is>
      </c>
      <c r="D118" s="8" t="inlineStr">
        <is>
          <t>Index</t>
        </is>
      </c>
      <c r="E118" s="8" t="inlineStr">
        <is>
          <t>Note</t>
        </is>
      </c>
    </row>
    <row r="119">
      <c r="A119" t="inlineStr">
        <is>
          <t>Watershed agricultural cover</t>
        </is>
      </c>
      <c r="B119" s="13">
        <f>IF('Inputs'!$C$23="","",'Inputs'!$C$23)</f>
        <v/>
      </c>
    </row>
    <row r="120">
      <c r="A120" t="inlineStr">
        <is>
          <t>Route that applied</t>
        </is>
      </c>
      <c r="B120" s="13">
        <f>"automatic method"</f>
        <v/>
      </c>
    </row>
    <row r="121">
      <c r="A121" t="inlineStr">
        <is>
          <t>Function rating</t>
        </is>
      </c>
      <c r="C121" s="15">
        <f>IF(NOT(ISNUMBER('Inputs'!$C$23)),"",IF('Inputs'!$C$23&lt;30,"Good",IF(AND('Inputs'!$C$23&gt;=30,'Inputs'!$C$23&lt;=50),"Fair",IF('Inputs'!$C$23&gt;50,"Poor",""))))</f>
        <v/>
      </c>
      <c r="D121" s="14">
        <f>IF('Metrics'!$C$121="Good",'Reference'!$B$6,IF('Metrics'!$C$121="Fair",'Reference'!$B$7,IF('Metrics'!$C$121="Poor",'Reference'!$B$8,"")))</f>
        <v/>
      </c>
      <c r="E121" s="5" t="inlineStr">
        <is>
          <t>Pressure proxy sharing the agriculture input of Catchment hydrology; not a bed measurement.</t>
        </is>
      </c>
    </row>
    <row r="122">
      <c r="A122" t="inlineStr">
        <is>
          <t>Function score (0 to 15)</t>
        </is>
      </c>
      <c r="B122" s="15">
        <f>IF('Metrics'!$C$121="Good",'Reference'!$C$6,IF('Metrics'!$C$121="Fair",'Reference'!$C$7,IF('Metrics'!$C$121="Poor",'Reference'!$C$8,"")))</f>
        <v/>
      </c>
    </row>
    <row r="123">
      <c r="A123" t="inlineStr">
        <is>
          <t>Status</t>
        </is>
      </c>
      <c r="B123" s="13">
        <f>IF('Metrics'!$C$121="","not rated","complete")</f>
        <v/>
      </c>
    </row>
    <row r="125">
      <c r="A125" s="6" t="inlineStr">
        <is>
          <t>13. Light &amp; thermal regime</t>
        </is>
      </c>
      <c r="B125" s="9" t="inlineStr">
        <is>
          <t>Thermal-regulation vulnerability (thermal-regulation-vulnerability, worst_index)</t>
        </is>
      </c>
    </row>
    <row r="126">
      <c r="A126" s="8" t="inlineStr">
        <is>
          <t>Item</t>
        </is>
      </c>
      <c r="B126" s="8" t="inlineStr">
        <is>
          <t>Value</t>
        </is>
      </c>
      <c r="C126" s="8" t="inlineStr">
        <is>
          <t>Rating</t>
        </is>
      </c>
      <c r="D126" s="8" t="inlineStr">
        <is>
          <t>Index</t>
        </is>
      </c>
      <c r="E126" s="8" t="inlineStr">
        <is>
          <t>Note</t>
        </is>
      </c>
    </row>
    <row r="127">
      <c r="A127" s="9" t="inlineStr">
        <is>
          <t>Reference curve used (corridor-woody, nars9, national fallback)</t>
        </is>
      </c>
      <c r="B127" s="13">
        <f>IFERROR(MATCH("corridor-woody|"&amp;'Inputs'!$C$14,'Reference'!$A$90:$A$123,0),MATCH("corridor-woody|national",'Reference'!$A$90:$A$123,0))</f>
        <v/>
      </c>
      <c r="E127" s="16">
        <f>INDEX('Reference'!$A$90:$A$123,'Metrics'!$B$127)</f>
        <v/>
      </c>
    </row>
    <row r="128">
      <c r="A128" s="9" t="inlineStr">
        <is>
          <t>Curve index (interpolated, 0 to 1; Good at or above 0.69, Fair at or above 0.39)</t>
        </is>
      </c>
      <c r="B128" s="17">
        <f>IF(NOT(ISNUMBER('Inputs'!$C$33)),"",MAX(0,MIN(1,IF('Inputs'!$C$33&lt;=INDEX('Reference'!$G$90:$G$123,'Metrics'!$B$127),INDEX('Reference'!$H$90:$H$123,'Metrics'!$B$127),IF('Inputs'!$C$33&gt;=INDEX('Reference'!$O$90:$O$123,'Metrics'!$B$127),INDEX('Reference'!$P$90:$P$123,'Metrics'!$B$127),IF('Inputs'!$C$33&lt;=INDEX('Reference'!$I$90:$I$123,'Metrics'!$B$127),INDEX('Reference'!$H$90:$H$123,'Metrics'!$B$127)+(('Inputs'!$C$33-INDEX('Reference'!$G$90:$G$123,'Metrics'!$B$127))/(INDEX('Reference'!$I$90:$I$123,'Metrics'!$B$127)-INDEX('Reference'!$G$90:$G$123,'Metrics'!$B$127)))*(INDEX('Reference'!$J$90:$J$123,'Metrics'!$B$127)-INDEX('Reference'!$H$90:$H$123,'Metrics'!$B$127)),IF('Inputs'!$C$33&lt;=INDEX('Reference'!$K$90:$K$123,'Metrics'!$B$127),INDEX('Reference'!$J$90:$J$123,'Metrics'!$B$127)+(('Inputs'!$C$33-INDEX('Reference'!$I$90:$I$123,'Metrics'!$B$127))/(INDEX('Reference'!$K$90:$K$123,'Metrics'!$B$127)-INDEX('Reference'!$I$90:$I$123,'Metrics'!$B$127)))*(INDEX('Reference'!$L$90:$L$123,'Metrics'!$B$127)-INDEX('Reference'!$J$90:$J$123,'Metrics'!$B$127)),IF('Inputs'!$C$33&lt;=INDEX('Reference'!$M$90:$M$123,'Metrics'!$B$127),INDEX('Reference'!$L$90:$L$123,'Metrics'!$B$127)+(('Inputs'!$C$33-INDEX('Reference'!$K$90:$K$123,'Metrics'!$B$127))/(INDEX('Reference'!$M$90:$M$123,'Metrics'!$B$127)-INDEX('Reference'!$K$90:$K$123,'Metrics'!$B$127)))*(INDEX('Reference'!$N$90:$N$123,'Metrics'!$B$127)-INDEX('Reference'!$L$90:$L$123,'Metrics'!$B$127)),INDEX('Reference'!$N$90:$N$123,'Metrics'!$B$127)+(('Inputs'!$C$33-INDEX('Reference'!$M$90:$M$123,'Metrics'!$B$127))/(INDEX('Reference'!$O$90:$O$123,'Metrics'!$B$127)-INDEX('Reference'!$M$90:$M$123,'Metrics'!$B$127)))*(INDEX('Reference'!$P$90:$P$123,'Metrics'!$B$127)-INDEX('Reference'!$N$90:$N$123,'Metrics'!$B$127))))))))))</f>
        <v/>
      </c>
    </row>
    <row r="129">
      <c r="A129" t="inlineStr">
        <is>
          <t>Woody riparian cover</t>
        </is>
      </c>
      <c r="B129" s="13">
        <f>IF('Inputs'!$C$33="","",'Inputs'!$C$33)</f>
        <v/>
      </c>
      <c r="C129" s="13">
        <f>IF(NOT(ISNUMBER('Metrics'!$B$128)),"",IF('Metrics'!$B$128&gt;=0.69,"Good",IF('Metrics'!$B$128&gt;=0.39,"Fair","Poor")))</f>
        <v/>
      </c>
      <c r="D129" s="14">
        <f>IF('Metrics'!$C$129="Good",'Reference'!$B$6,IF('Metrics'!$C$129="Fair",'Reference'!$B$7,IF('Metrics'!$C$129="Poor",'Reference'!$B$8,"")))</f>
        <v/>
      </c>
    </row>
    <row r="130">
      <c r="A130" t="inlineStr">
        <is>
          <t>Watershed impervious cover</t>
        </is>
      </c>
      <c r="B130" s="13">
        <f>IF('Inputs'!$C$22="","",'Inputs'!$C$22)</f>
        <v/>
      </c>
      <c r="C130" s="13">
        <f>IF(NOT(ISNUMBER('Inputs'!$C$22)),"",IF('Inputs'!$C$22&lt;10,"Good",IF(AND('Inputs'!$C$22&gt;=10,'Inputs'!$C$22&lt;=25),"Fair",IF('Inputs'!$C$22&gt;25,"Poor",""))))</f>
        <v/>
      </c>
      <c r="D130" s="14">
        <f>IF('Metrics'!$C$130="Good",'Reference'!$B$6,IF('Metrics'!$C$130="Fair",'Reference'!$B$7,IF('Metrics'!$C$130="Poor",'Reference'!$B$8,"")))</f>
        <v/>
      </c>
    </row>
    <row r="131">
      <c r="A131" t="inlineStr">
        <is>
          <t>Governing input</t>
        </is>
      </c>
      <c r="B131" s="13">
        <f>IF('Metrics'!$B$132="","",INDEX('Metrics'!$A$129:$A$130,MATCH('Metrics'!$B$132,'Metrics'!$D$129:$D$130,0)))</f>
        <v/>
      </c>
    </row>
    <row r="132">
      <c r="A132" t="inlineStr">
        <is>
          <t>Combined rating index (the more limiting input)</t>
        </is>
      </c>
      <c r="B132" s="14">
        <f>IF(COUNT('Metrics'!$D$129:$D$130)&lt;2,"",MIN('Metrics'!$D$129:$D$130))</f>
        <v/>
      </c>
    </row>
    <row r="133">
      <c r="A133" t="inlineStr">
        <is>
          <t>Route that applied</t>
        </is>
      </c>
      <c r="B133" s="13">
        <f>"automatic method"</f>
        <v/>
      </c>
    </row>
    <row r="134">
      <c r="A134" t="inlineStr">
        <is>
          <t>Function rating</t>
        </is>
      </c>
      <c r="C134" s="15">
        <f>IF(NOT(ISNUMBER('Metrics'!$B$132)),"",IF('Metrics'!$B$132='Reference'!$B$6,"Good",IF('Metrics'!$B$132='Reference'!$B$7,"Fair",IF('Metrics'!$B$132='Reference'!$B$8,"Poor",""))))</f>
        <v/>
      </c>
      <c r="D134" s="14">
        <f>IF('Metrics'!$C$134="Good",'Reference'!$B$6,IF('Metrics'!$C$134="Fair",'Reference'!$B$7,IF('Metrics'!$C$134="Poor",'Reference'!$B$8,"")))</f>
        <v/>
      </c>
      <c r="E134" s="5" t="inlineStr">
        <is>
          <t>Both inputs are required.</t>
        </is>
      </c>
    </row>
    <row r="135">
      <c r="A135" t="inlineStr">
        <is>
          <t>Function score (0 to 15)</t>
        </is>
      </c>
      <c r="B135" s="15">
        <f>IF('Metrics'!$C$134="Good",'Reference'!$C$6,IF('Metrics'!$C$134="Fair",'Reference'!$C$7,IF('Metrics'!$C$134="Poor",'Reference'!$C$8,"")))</f>
        <v/>
      </c>
    </row>
    <row r="136">
      <c r="A136" t="inlineStr">
        <is>
          <t>Status</t>
        </is>
      </c>
      <c r="B136" s="13">
        <f>IF(COUNT('Metrics'!$D$129:$D$130)&lt;2,"not rated","complete")</f>
        <v/>
      </c>
    </row>
    <row r="138">
      <c r="A138" s="6" t="inlineStr">
        <is>
          <t>14. Carbon processing</t>
        </is>
      </c>
      <c r="B138" s="9" t="inlineStr">
        <is>
          <t>Organic-matter supply potential proxy (organic-matter-supply-potential, sum_capped)</t>
        </is>
      </c>
    </row>
    <row r="139">
      <c r="A139" s="8" t="inlineStr">
        <is>
          <t>Item</t>
        </is>
      </c>
      <c r="B139" s="8" t="inlineStr">
        <is>
          <t>Value</t>
        </is>
      </c>
      <c r="C139" s="8" t="inlineStr">
        <is>
          <t>Rating</t>
        </is>
      </c>
      <c r="D139" s="8" t="inlineStr">
        <is>
          <t>Index</t>
        </is>
      </c>
      <c r="E139" s="8" t="inlineStr">
        <is>
          <t>Note</t>
        </is>
      </c>
    </row>
    <row r="140">
      <c r="A140" t="inlineStr">
        <is>
          <t>Riparian forest</t>
        </is>
      </c>
      <c r="B140" s="13">
        <f>IF('Inputs'!$C$34="","",'Inputs'!$C$34)</f>
        <v/>
      </c>
    </row>
    <row r="141">
      <c r="A141" t="inlineStr">
        <is>
          <t>Riparian shrub</t>
        </is>
      </c>
      <c r="B141" s="13">
        <f>IF('Inputs'!$C$35="","",'Inputs'!$C$35)</f>
        <v/>
      </c>
    </row>
    <row r="142">
      <c r="A142" t="inlineStr">
        <is>
          <t>Riparian grassland</t>
        </is>
      </c>
      <c r="B142" s="13">
        <f>IF('Inputs'!$C$36="","",'Inputs'!$C$36)</f>
        <v/>
      </c>
    </row>
    <row r="143">
      <c r="A143" t="inlineStr">
        <is>
          <t>Riparian wetland</t>
        </is>
      </c>
      <c r="B143" s="13">
        <f>IF('Inputs'!$C$37="","",'Inputs'!$C$37)</f>
        <v/>
      </c>
    </row>
    <row r="144">
      <c r="A144" t="inlineStr">
        <is>
          <t>Combined value (sum capped at 100)</t>
        </is>
      </c>
      <c r="B144" s="13">
        <f>IF(AND(ISNUMBER('Inputs'!$C$34),ISNUMBER('Inputs'!$C$35),ISNUMBER('Inputs'!$C$36),ISNUMBER('Inputs'!$C$37)),ROUND(MIN('Inputs'!$C$34+'Inputs'!$C$35+'Inputs'!$C$36+'Inputs'!$C$37,100),12),"")</f>
        <v/>
      </c>
    </row>
    <row r="145">
      <c r="A145" s="9" t="inlineStr">
        <is>
          <t>Reference curve used (corridor-natural, nars9, national fallback)</t>
        </is>
      </c>
      <c r="B145" s="13">
        <f>IFERROR(MATCH("corridor-natural|"&amp;'Inputs'!$C$14,'Reference'!$A$90:$A$123,0),MATCH("corridor-natural|national",'Reference'!$A$90:$A$123,0))</f>
        <v/>
      </c>
      <c r="E145" s="16">
        <f>INDEX('Reference'!$A$90:$A$123,'Metrics'!$B$145)</f>
        <v/>
      </c>
    </row>
    <row r="146">
      <c r="A146" s="9" t="inlineStr">
        <is>
          <t>Curve index (interpolated, 0 to 1; Good at or above 0.69, Fair at or above 0.39)</t>
        </is>
      </c>
      <c r="B146" s="17">
        <f>IF(NOT(ISNUMBER('Metrics'!$B$144)),"",MAX(0,MIN(1,IF('Metrics'!$B$144&lt;=INDEX('Reference'!$G$90:$G$123,'Metrics'!$B$145),INDEX('Reference'!$H$90:$H$123,'Metrics'!$B$145),IF('Metrics'!$B$144&gt;=INDEX('Reference'!$O$90:$O$123,'Metrics'!$B$145),INDEX('Reference'!$P$90:$P$123,'Metrics'!$B$145),IF('Metrics'!$B$144&lt;=INDEX('Reference'!$I$90:$I$123,'Metrics'!$B$145),INDEX('Reference'!$H$90:$H$123,'Metrics'!$B$145)+(('Metrics'!$B$144-INDEX('Reference'!$G$90:$G$123,'Metrics'!$B$145))/(INDEX('Reference'!$I$90:$I$123,'Metrics'!$B$145)-INDEX('Reference'!$G$90:$G$123,'Metrics'!$B$145)))*(INDEX('Reference'!$J$90:$J$123,'Metrics'!$B$145)-INDEX('Reference'!$H$90:$H$123,'Metrics'!$B$145)),IF('Metrics'!$B$144&lt;=INDEX('Reference'!$K$90:$K$123,'Metrics'!$B$145),INDEX('Reference'!$J$90:$J$123,'Metrics'!$B$145)+(('Metrics'!$B$144-INDEX('Reference'!$I$90:$I$123,'Metrics'!$B$145))/(INDEX('Reference'!$K$90:$K$123,'Metrics'!$B$145)-INDEX('Reference'!$I$90:$I$123,'Metrics'!$B$145)))*(INDEX('Reference'!$L$90:$L$123,'Metrics'!$B$145)-INDEX('Reference'!$J$90:$J$123,'Metrics'!$B$145)),IF('Metrics'!$B$144&lt;=INDEX('Reference'!$M$90:$M$123,'Metrics'!$B$145),INDEX('Reference'!$L$90:$L$123,'Metrics'!$B$145)+(('Metrics'!$B$144-INDEX('Reference'!$K$90:$K$123,'Metrics'!$B$145))/(INDEX('Reference'!$M$90:$M$123,'Metrics'!$B$145)-INDEX('Reference'!$K$90:$K$123,'Metrics'!$B$145)))*(INDEX('Reference'!$N$90:$N$123,'Metrics'!$B$145)-INDEX('Reference'!$L$90:$L$123,'Metrics'!$B$145)),INDEX('Reference'!$N$90:$N$123,'Metrics'!$B$145)+(('Metrics'!$B$144-INDEX('Reference'!$M$90:$M$123,'Metrics'!$B$145))/(INDEX('Reference'!$O$90:$O$123,'Metrics'!$B$145)-INDEX('Reference'!$M$90:$M$123,'Metrics'!$B$145)))*(INDEX('Reference'!$P$90:$P$123,'Metrics'!$B$145)-INDEX('Reference'!$N$90:$N$123,'Metrics'!$B$145))))))))))</f>
        <v/>
      </c>
    </row>
    <row r="147">
      <c r="A147" t="inlineStr">
        <is>
          <t>Route that applied</t>
        </is>
      </c>
      <c r="B147" s="13">
        <f>"automatic method"</f>
        <v/>
      </c>
    </row>
    <row r="148">
      <c r="A148" t="inlineStr">
        <is>
          <t>Function rating</t>
        </is>
      </c>
      <c r="C148" s="15">
        <f>IF(NOT(ISNUMBER('Metrics'!$B$146)),"",IF('Metrics'!$B$146&gt;=0.69,"Good",IF('Metrics'!$B$146&gt;=0.39,"Fair","Poor")))</f>
        <v/>
      </c>
      <c r="D148" s="14">
        <f>IF('Metrics'!$C$148="Good",'Reference'!$B$6,IF('Metrics'!$C$148="Fair",'Reference'!$B$7,IF('Metrics'!$C$148="Poor",'Reference'!$B$8,"")))</f>
        <v/>
      </c>
      <c r="E148" s="5" t="inlineStr">
        <is>
          <t>All classes are required. A missing class is unknown, not zero.</t>
        </is>
      </c>
    </row>
    <row r="149">
      <c r="A149" t="inlineStr">
        <is>
          <t>Function score (0 to 15)</t>
        </is>
      </c>
      <c r="B149" s="15">
        <f>IF('Metrics'!$C$148="Good",'Reference'!$C$6,IF('Metrics'!$C$148="Fair",'Reference'!$C$7,IF('Metrics'!$C$148="Poor",'Reference'!$C$8,"")))</f>
        <v/>
      </c>
    </row>
    <row r="150">
      <c r="A150" t="inlineStr">
        <is>
          <t>Status</t>
        </is>
      </c>
      <c r="B150" s="13">
        <f>IF('Metrics'!$C$148="","not rated","complete")</f>
        <v/>
      </c>
    </row>
    <row r="152">
      <c r="A152" s="6" t="inlineStr">
        <is>
          <t>15. Nutrient cycling</t>
        </is>
      </c>
      <c r="B152" s="9" t="inlineStr">
        <is>
          <t>Nutrient condition (regional-nutrient-condition, worst_index)</t>
        </is>
      </c>
    </row>
    <row r="153">
      <c r="A153" s="8" t="inlineStr">
        <is>
          <t>Item</t>
        </is>
      </c>
      <c r="B153" s="8" t="inlineStr">
        <is>
          <t>Value</t>
        </is>
      </c>
      <c r="C153" s="8" t="inlineStr">
        <is>
          <t>Rating</t>
        </is>
      </c>
      <c r="D153" s="8" t="inlineStr">
        <is>
          <t>Index</t>
        </is>
      </c>
      <c r="E153" s="8" t="inlineStr">
        <is>
          <t>Note</t>
        </is>
      </c>
    </row>
    <row r="154">
      <c r="A154" t="inlineStr">
        <is>
          <t>Total nitrogen (mg/L)</t>
        </is>
      </c>
      <c r="B154" s="13">
        <f>IF('Inputs'!$C$44="","",'Inputs'!$C$44)</f>
        <v/>
      </c>
      <c r="C154" s="13">
        <f>IF(NOT(ISNUMBER('Inputs'!$C$44)),"",IFERROR(IF('Inputs'!$C$44&lt;=INDEX('Reference'!$B$127:$B$135,MATCH('Inputs'!$C$14,'Reference'!$A$127:$A$135,0)),"Good",IF('Inputs'!$C$44&gt;=INDEX('Reference'!$C$127:$C$135,MATCH('Inputs'!$C$14,'Reference'!$A$127:$A$135,0)),"Poor","Fair")),""))</f>
        <v/>
      </c>
      <c r="D154" s="14">
        <f>IF('Metrics'!$C$154="Good",'Reference'!$B$6,IF('Metrics'!$C$154="Fair",'Reference'!$B$7,IF('Metrics'!$C$154="Poor",'Reference'!$B$8,"")))</f>
        <v/>
      </c>
    </row>
    <row r="155">
      <c r="A155" t="inlineStr">
        <is>
          <t>Total phosphorus (mg/L)</t>
        </is>
      </c>
      <c r="B155" s="13">
        <f>IF('Inputs'!$C$45="","",'Inputs'!$C$45)</f>
        <v/>
      </c>
      <c r="C155" s="13">
        <f>IF(NOT(ISNUMBER('Inputs'!$C$45)),"",IFERROR(IF('Inputs'!$C$45&lt;=INDEX('Reference'!$D$127:$D$135,MATCH('Inputs'!$C$14,'Reference'!$A$127:$A$135,0)),"Good",IF('Inputs'!$C$45&gt;=INDEX('Reference'!$E$127:$E$135,MATCH('Inputs'!$C$14,'Reference'!$A$127:$A$135,0)),"Poor","Fair")),""))</f>
        <v/>
      </c>
      <c r="D155" s="14">
        <f>IF('Metrics'!$C$155="Good",'Reference'!$B$6,IF('Metrics'!$C$155="Fair",'Reference'!$B$7,IF('Metrics'!$C$155="Poor",'Reference'!$B$8,"")))</f>
        <v/>
      </c>
    </row>
    <row r="156">
      <c r="A156" t="inlineStr">
        <is>
          <t>CHEM fallback value (lower of catchment and watershed)</t>
        </is>
      </c>
      <c r="B156" s="13">
        <f>IF(AND(ISNUMBER('Inputs'!$C$48),ISNUMBER('Inputs'!$C$49)),ROUND(MIN('Inputs'!$C$48,'Inputs'!$C$49),12),"")</f>
        <v/>
      </c>
    </row>
    <row r="157">
      <c r="A157" t="inlineStr">
        <is>
          <t>Route that applied</t>
        </is>
      </c>
      <c r="B157" s="13">
        <f>IF(COUNT('Metrics'!$D$154:$D$155)&gt;0,"WQP nutrients with regional thresholds",IF(IF(NOT(ISNUMBER('Metrics'!$B$156)),"",IF('Metrics'!$B$156&lt;0.4,"Poor",IF(AND('Metrics'!$B$156&gt;=0.4,'Metrics'!$B$156&lt;0.7),"Fair",IF('Metrics'!$B$156&gt;=0.7,"Good",""))))="","not rated","CHEM integrity fallback"))</f>
        <v/>
      </c>
    </row>
    <row r="158">
      <c r="A158" t="inlineStr">
        <is>
          <t>Function rating</t>
        </is>
      </c>
      <c r="C158" s="15">
        <f>IF(COUNT('Metrics'!$D$154:$D$155)&gt;0,IF(NOT(ISNUMBER(MIN('Metrics'!$D$154:$D$155))),"",IF(MIN('Metrics'!$D$154:$D$155)='Reference'!$B$6,"Good",IF(MIN('Metrics'!$D$154:$D$155)='Reference'!$B$7,"Fair",IF(MIN('Metrics'!$D$154:$D$155)='Reference'!$B$8,"Poor","")))),IF(NOT(ISNUMBER('Metrics'!$B$156)),"",IF('Metrics'!$B$156&lt;0.4,"Poor",IF(AND('Metrics'!$B$156&gt;=0.4,'Metrics'!$B$156&lt;0.7),"Fair",IF('Metrics'!$B$156&gt;=0.7,"Good","")))))</f>
        <v/>
      </c>
      <c r="D158" s="14">
        <f>IF('Metrics'!$C$158="Good",'Reference'!$B$6,IF('Metrics'!$C$158="Fair",'Reference'!$B$7,IF('Metrics'!$C$158="Poor",'Reference'!$B$8,"")))</f>
        <v/>
      </c>
      <c r="E158" s="5" t="inlineStr">
        <is>
          <t>One rated analyte gives a partial rating; the worse analyte governs. Without a region or observations the CHEM index decides.</t>
        </is>
      </c>
    </row>
    <row r="159">
      <c r="A159" t="inlineStr">
        <is>
          <t>Function score (0 to 15)</t>
        </is>
      </c>
      <c r="B159" s="15">
        <f>IF('Metrics'!$C$158="Good",'Reference'!$C$6,IF('Metrics'!$C$158="Fair",'Reference'!$C$7,IF('Metrics'!$C$158="Poor",'Reference'!$C$8,"")))</f>
        <v/>
      </c>
    </row>
    <row r="160">
      <c r="A160" t="inlineStr">
        <is>
          <t>Status</t>
        </is>
      </c>
      <c r="B160" s="13">
        <f>IF(COUNT('Metrics'!$D$154:$D$155)&gt;0,IF(COUNT('Metrics'!$D$154:$D$155)&lt;2,"partial","complete"),IF(IF(NOT(ISNUMBER('Metrics'!$B$156)),"",IF('Metrics'!$B$156&lt;0.4,"Poor",IF(AND('Metrics'!$B$156&gt;=0.4,'Metrics'!$B$156&lt;0.7),"Fair",IF('Metrics'!$B$156&gt;=0.7,"Good",""))))="","not rated","complete"))</f>
        <v/>
      </c>
    </row>
    <row r="162">
      <c r="A162" s="6" t="inlineStr">
        <is>
          <t>16. Water &amp; soil quality</t>
        </is>
      </c>
      <c r="B162" s="9" t="inlineStr">
        <is>
          <t>Regulatory impairment (attains-regulatory-category, categorical_lookup)</t>
        </is>
      </c>
    </row>
    <row r="163">
      <c r="A163" s="8" t="inlineStr">
        <is>
          <t>Item</t>
        </is>
      </c>
      <c r="B163" s="8" t="inlineStr">
        <is>
          <t>Value</t>
        </is>
      </c>
      <c r="C163" s="8" t="inlineStr">
        <is>
          <t>Rating</t>
        </is>
      </c>
      <c r="D163" s="8" t="inlineStr">
        <is>
          <t>Index</t>
        </is>
      </c>
      <c r="E163" s="8" t="inlineStr">
        <is>
          <t>Note</t>
        </is>
      </c>
    </row>
    <row r="164">
      <c r="A164" t="inlineStr">
        <is>
          <t>ATTAINS category</t>
        </is>
      </c>
      <c r="B164" s="13">
        <f>IF('Inputs'!$C$46="","",'Inputs'!$C$46)</f>
        <v/>
      </c>
      <c r="C164" s="13">
        <f>IF('Inputs'!$C$46="","",IFERROR(IF(INDEX('Reference'!$B$139:$B$145,MATCH(SUBSTITUTE(UPPER(TRIM('Inputs'!$C$46&amp;""))," ",""),'Reference'!$A$139:$A$145,0))="none","",INDEX('Reference'!$B$139:$B$145,MATCH(SUBSTITUTE(UPPER(TRIM('Inputs'!$C$46&amp;""))," ",""),'Reference'!$A$139:$A$145,0))),""))</f>
        <v/>
      </c>
      <c r="D164" s="14">
        <f>IF('Metrics'!$C$164="Good",'Reference'!$B$6,IF('Metrics'!$C$164="Fair",'Reference'!$B$7,IF('Metrics'!$C$164="Poor",'Reference'!$B$8,"")))</f>
        <v/>
      </c>
    </row>
    <row r="165">
      <c r="A165" t="inlineStr">
        <is>
          <t>CHEM fallback value (lower of catchment and watershed)</t>
        </is>
      </c>
      <c r="B165" s="13">
        <f>IF(AND(ISNUMBER('Inputs'!$C$48),ISNUMBER('Inputs'!$C$49)),ROUND(MIN('Inputs'!$C$48,'Inputs'!$C$49),12),"")</f>
        <v/>
      </c>
    </row>
    <row r="166">
      <c r="A166" t="inlineStr">
        <is>
          <t>Route that applied</t>
        </is>
      </c>
      <c r="B166" s="13">
        <f>IF('Metrics'!$C$164&lt;&gt;"","ATTAINS category",IF(IF(NOT(ISNUMBER('Metrics'!$B$165)),"",IF('Metrics'!$B$165&lt;0.4,"Poor",IF(AND('Metrics'!$B$165&gt;=0.4,'Metrics'!$B$165&lt;0.7),"Fair",IF('Metrics'!$B$165&gt;=0.7,"Good",""))))="","not rated","CHEM integrity fallback"))</f>
        <v/>
      </c>
    </row>
    <row r="167">
      <c r="A167" t="inlineStr">
        <is>
          <t>Function rating</t>
        </is>
      </c>
      <c r="C167" s="15">
        <f>IF('Metrics'!$C$164&lt;&gt;"",'Metrics'!$C$164,IF(NOT(ISNUMBER('Metrics'!$B$165)),"",IF('Metrics'!$B$165&lt;0.4,"Poor",IF(AND('Metrics'!$B$165&gt;=0.4,'Metrics'!$B$165&lt;0.7),"Fair",IF('Metrics'!$B$165&gt;=0.7,"Good","")))))</f>
        <v/>
      </c>
      <c r="D167" s="14">
        <f>IF('Metrics'!$C$167="Good",'Reference'!$B$6,IF('Metrics'!$C$167="Fair",'Reference'!$B$7,IF('Metrics'!$C$167="Poor",'Reference'!$B$8,"")))</f>
        <v/>
      </c>
      <c r="E167" s="5" t="inlineStr">
        <is>
          <t>Categories 1 and 2 Good, 4A and 4B Fair, 4C and 5 Poor; category 3 and a blank fall back.</t>
        </is>
      </c>
    </row>
    <row r="168">
      <c r="A168" t="inlineStr">
        <is>
          <t>Function score (0 to 15)</t>
        </is>
      </c>
      <c r="B168" s="15">
        <f>IF('Metrics'!$C$167="Good",'Reference'!$C$6,IF('Metrics'!$C$167="Fair",'Reference'!$C$7,IF('Metrics'!$C$167="Poor",'Reference'!$C$8,"")))</f>
        <v/>
      </c>
    </row>
    <row r="169">
      <c r="A169" t="inlineStr">
        <is>
          <t>Status</t>
        </is>
      </c>
      <c r="B169" s="13">
        <f>IF('Metrics'!$C$167="","not rated","complete")</f>
        <v/>
      </c>
    </row>
    <row r="171">
      <c r="A171" s="6" t="inlineStr">
        <is>
          <t>17. Habitat provision</t>
        </is>
      </c>
      <c r="B171" s="9" t="inlineStr">
        <is>
          <t>Habitat-support potential (woody riparian corridor) (habitat-support-potential, threshold)</t>
        </is>
      </c>
    </row>
    <row r="172">
      <c r="A172" s="8" t="inlineStr">
        <is>
          <t>Item</t>
        </is>
      </c>
      <c r="B172" s="8" t="inlineStr">
        <is>
          <t>Value</t>
        </is>
      </c>
      <c r="C172" s="8" t="inlineStr">
        <is>
          <t>Rating</t>
        </is>
      </c>
      <c r="D172" s="8" t="inlineStr">
        <is>
          <t>Index</t>
        </is>
      </c>
      <c r="E172" s="8" t="inlineStr">
        <is>
          <t>Note</t>
        </is>
      </c>
    </row>
    <row r="173">
      <c r="A173" t="inlineStr">
        <is>
          <t>Woody riparian cover</t>
        </is>
      </c>
      <c r="B173" s="13">
        <f>IF('Inputs'!$C$33="","",'Inputs'!$C$33)</f>
        <v/>
      </c>
    </row>
    <row r="174">
      <c r="A174" t="inlineStr">
        <is>
          <t>Reach sinuosity (context only)</t>
        </is>
      </c>
      <c r="B174" s="13">
        <f>IF('Inputs'!$C$42="","",'Inputs'!$C$42)</f>
        <v/>
      </c>
    </row>
    <row r="175">
      <c r="A175" s="9" t="inlineStr">
        <is>
          <t>Reference curve used (corridor-woody, nars9, national fallback)</t>
        </is>
      </c>
      <c r="B175" s="13">
        <f>IFERROR(MATCH("corridor-woody|"&amp;'Inputs'!$C$14,'Reference'!$A$90:$A$123,0),MATCH("corridor-woody|national",'Reference'!$A$90:$A$123,0))</f>
        <v/>
      </c>
      <c r="E175" s="16">
        <f>INDEX('Reference'!$A$90:$A$123,'Metrics'!$B$175)</f>
        <v/>
      </c>
    </row>
    <row r="176">
      <c r="A176" s="9" t="inlineStr">
        <is>
          <t>Curve index (interpolated, 0 to 1; Good at or above 0.69, Fair at or above 0.39)</t>
        </is>
      </c>
      <c r="B176" s="17">
        <f>IF(NOT(ISNUMBER('Inputs'!$C$33)),"",MAX(0,MIN(1,IF('Inputs'!$C$33&lt;=INDEX('Reference'!$G$90:$G$123,'Metrics'!$B$175),INDEX('Reference'!$H$90:$H$123,'Metrics'!$B$175),IF('Inputs'!$C$33&gt;=INDEX('Reference'!$O$90:$O$123,'Metrics'!$B$175),INDEX('Reference'!$P$90:$P$123,'Metrics'!$B$175),IF('Inputs'!$C$33&lt;=INDEX('Reference'!$I$90:$I$123,'Metrics'!$B$175),INDEX('Reference'!$H$90:$H$123,'Metrics'!$B$175)+(('Inputs'!$C$33-INDEX('Reference'!$G$90:$G$123,'Metrics'!$B$175))/(INDEX('Reference'!$I$90:$I$123,'Metrics'!$B$175)-INDEX('Reference'!$G$90:$G$123,'Metrics'!$B$175)))*(INDEX('Reference'!$J$90:$J$123,'Metrics'!$B$175)-INDEX('Reference'!$H$90:$H$123,'Metrics'!$B$175)),IF('Inputs'!$C$33&lt;=INDEX('Reference'!$K$90:$K$123,'Metrics'!$B$175),INDEX('Reference'!$J$90:$J$123,'Metrics'!$B$175)+(('Inputs'!$C$33-INDEX('Reference'!$I$90:$I$123,'Metrics'!$B$175))/(INDEX('Reference'!$K$90:$K$123,'Metrics'!$B$175)-INDEX('Reference'!$I$90:$I$123,'Metrics'!$B$175)))*(INDEX('Reference'!$L$90:$L$123,'Metrics'!$B$175)-INDEX('Reference'!$J$90:$J$123,'Metrics'!$B$175)),IF('Inputs'!$C$33&lt;=INDEX('Reference'!$M$90:$M$123,'Metrics'!$B$175),INDEX('Reference'!$L$90:$L$123,'Metrics'!$B$175)+(('Inputs'!$C$33-INDEX('Reference'!$K$90:$K$123,'Metrics'!$B$175))/(INDEX('Reference'!$M$90:$M$123,'Metrics'!$B$175)-INDEX('Reference'!$K$90:$K$123,'Metrics'!$B$175)))*(INDEX('Reference'!$N$90:$N$123,'Metrics'!$B$175)-INDEX('Reference'!$L$90:$L$123,'Metrics'!$B$175)),INDEX('Reference'!$N$90:$N$123,'Metrics'!$B$175)+(('Inputs'!$C$33-INDEX('Reference'!$M$90:$M$123,'Metrics'!$B$175))/(INDEX('Reference'!$O$90:$O$123,'Metrics'!$B$175)-INDEX('Reference'!$M$90:$M$123,'Metrics'!$B$175)))*(INDEX('Reference'!$P$90:$P$123,'Metrics'!$B$175)-INDEX('Reference'!$N$90:$N$123,'Metrics'!$B$175))))))))))</f>
        <v/>
      </c>
    </row>
    <row r="177">
      <c r="A177" t="inlineStr">
        <is>
          <t>Route that applied</t>
        </is>
      </c>
      <c r="B177" s="13">
        <f>"automatic method"</f>
        <v/>
      </c>
    </row>
    <row r="178">
      <c r="A178" t="inlineStr">
        <is>
          <t>Function rating</t>
        </is>
      </c>
      <c r="C178" s="15">
        <f>IF(NOT(ISNUMBER('Metrics'!$B$176)),"",IF('Metrics'!$B$176&gt;=0.69,"Good",IF('Metrics'!$B$176&gt;=0.39,"Fair","Poor")))</f>
        <v/>
      </c>
      <c r="D178" s="14">
        <f>IF('Metrics'!$C$178="Good",'Reference'!$B$6,IF('Metrics'!$C$178="Fair",'Reference'!$B$7,IF('Metrics'!$C$178="Poor",'Reference'!$B$8,"")))</f>
        <v/>
      </c>
      <c r="E178" s="5" t="inlineStr">
        <is>
          <t>Rated on the regional woody-corridor curve, national fallback.</t>
        </is>
      </c>
    </row>
    <row r="179">
      <c r="A179" t="inlineStr">
        <is>
          <t>Function score (0 to 15)</t>
        </is>
      </c>
      <c r="B179" s="15">
        <f>IF('Metrics'!$C$178="Good",'Reference'!$C$6,IF('Metrics'!$C$178="Fair",'Reference'!$C$7,IF('Metrics'!$C$178="Poor",'Reference'!$C$8,"")))</f>
        <v/>
      </c>
    </row>
    <row r="180">
      <c r="A180" t="inlineStr">
        <is>
          <t>Status</t>
        </is>
      </c>
      <c r="B180" s="13">
        <f>IF('Metrics'!$C$178="","not rated","complete")</f>
        <v/>
      </c>
    </row>
    <row r="182">
      <c r="A182" s="6" t="inlineStr">
        <is>
          <t>18. Population support</t>
        </is>
      </c>
      <c r="B182" s="9" t="inlineStr">
        <is>
          <t>Biological integrity (streamcat-prg-bmmi, threshold)</t>
        </is>
      </c>
    </row>
    <row r="183">
      <c r="A183" s="8" t="inlineStr">
        <is>
          <t>Item</t>
        </is>
      </c>
      <c r="B183" s="8" t="inlineStr">
        <is>
          <t>Value</t>
        </is>
      </c>
      <c r="C183" s="8" t="inlineStr">
        <is>
          <t>Rating</t>
        </is>
      </c>
      <c r="D183" s="8" t="inlineStr">
        <is>
          <t>Index</t>
        </is>
      </c>
      <c r="E183" s="8" t="inlineStr">
        <is>
          <t>Note</t>
        </is>
      </c>
    </row>
    <row r="184">
      <c r="A184" t="inlineStr">
        <is>
          <t>Predicted probability of Good BMMI condition</t>
        </is>
      </c>
      <c r="B184" s="13">
        <f>IF('Inputs'!$C$50="","",'Inputs'!$C$50)</f>
        <v/>
      </c>
      <c r="C184" s="13">
        <f>IF(AND(ISNUMBER('Inputs'!$C$50),'Inputs'!$C$50&gt;=0,'Inputs'!$C$50&lt;=1),IF(NOT(ISNUMBER('Inputs'!$C$50)),"",IF('Inputs'!$C$50&lt;0.25,"Poor",IF(AND('Inputs'!$C$50&gt;=0.25,'Inputs'!$C$50&lt;0.5),"Fair",IF('Inputs'!$C$50&gt;=0.5,"Good","")))),"")</f>
        <v/>
      </c>
      <c r="D184" s="14">
        <f>IF('Metrics'!$C$184="Good",'Reference'!$B$6,IF('Metrics'!$C$184="Fair",'Reference'!$B$7,IF('Metrics'!$C$184="Poor",'Reference'!$B$8,"")))</f>
        <v/>
      </c>
    </row>
    <row r="185">
      <c r="A185" t="inlineStr">
        <is>
          <t>ICI (product of six ci components)</t>
        </is>
      </c>
      <c r="B185" s="17">
        <f>IF(AND(ISNUMBER('Inputs'!$C$51),ISNUMBER('Inputs'!$C$48),ISNUMBER('Inputs'!$C$52),ISNUMBER('Inputs'!$C$53),ISNUMBER('Inputs'!$C$54),ISNUMBER('Inputs'!$C$55)),PRODUCT('Inputs'!$C$51,'Inputs'!$C$48,'Inputs'!$C$52,'Inputs'!$C$53,'Inputs'!$C$54,'Inputs'!$C$55),"")</f>
        <v/>
      </c>
    </row>
    <row r="186">
      <c r="A186" t="inlineStr">
        <is>
          <t>IWI (product of six wi components)</t>
        </is>
      </c>
      <c r="B186" s="17">
        <f>IF(AND(ISNUMBER('Inputs'!$C$56),ISNUMBER('Inputs'!$C$49),ISNUMBER('Inputs'!$C$57),ISNUMBER('Inputs'!$C$58),ISNUMBER('Inputs'!$C$59),ISNUMBER('Inputs'!$C$60)),PRODUCT('Inputs'!$C$56,'Inputs'!$C$49,'Inputs'!$C$57,'Inputs'!$C$58,'Inputs'!$C$59,'Inputs'!$C$60),"")</f>
        <v/>
      </c>
    </row>
    <row r="187">
      <c r="A187" t="inlineStr">
        <is>
          <t>Fallback value (lower of ICI and IWI)</t>
        </is>
      </c>
      <c r="B187" s="17">
        <f>IF(AND(ISNUMBER('Metrics'!$B$185),ISNUMBER('Metrics'!$B$186)),ROUND(MIN('Metrics'!$B$185,'Metrics'!$B$186),12),"")</f>
        <v/>
      </c>
    </row>
    <row r="188">
      <c r="A188" t="inlineStr">
        <is>
          <t>Route that applied</t>
        </is>
      </c>
      <c r="B188" s="13">
        <f>IF('Metrics'!$C$184&lt;&gt;"","published benthic model",IF(IF(NOT(ISNUMBER('Metrics'!$B$187)),"",IF('Metrics'!$B$187&lt;0.4,"Poor",IF(AND('Metrics'!$B$187&gt;=0.4,'Metrics'!$B$187&lt;0.7),"Fair",IF('Metrics'!$B$187&gt;=0.7,"Good",""))))="","not rated","ICI/IWI integrity fallback"))</f>
        <v/>
      </c>
    </row>
    <row r="189">
      <c r="A189" t="inlineStr">
        <is>
          <t>Function rating</t>
        </is>
      </c>
      <c r="C189" s="15">
        <f>IF('Metrics'!$C$184&lt;&gt;"",'Metrics'!$C$184,IF(NOT(ISNUMBER('Metrics'!$B$187)),"",IF('Metrics'!$B$187&lt;0.4,"Poor",IF(AND('Metrics'!$B$187&gt;=0.4,'Metrics'!$B$187&lt;0.7),"Fair",IF('Metrics'!$B$187&gt;=0.7,"Good","")))))</f>
        <v/>
      </c>
      <c r="D189" s="14">
        <f>IF('Metrics'!$C$189="Good",'Reference'!$B$6,IF('Metrics'!$C$189="Fair",'Reference'!$B$7,IF('Metrics'!$C$189="Poor",'Reference'!$B$8,"")))</f>
        <v/>
      </c>
      <c r="E189" s="5" t="inlineStr">
        <is>
          <t>The model probability governs when present; otherwise all twelve integrity components.</t>
        </is>
      </c>
    </row>
    <row r="190">
      <c r="A190" t="inlineStr">
        <is>
          <t>Function score (0 to 15)</t>
        </is>
      </c>
      <c r="B190" s="15">
        <f>IF('Metrics'!$C$189="Good",'Reference'!$C$6,IF('Metrics'!$C$189="Fair",'Reference'!$C$7,IF('Metrics'!$C$189="Poor",'Reference'!$C$8,"")))</f>
        <v/>
      </c>
    </row>
    <row r="191">
      <c r="A191" t="inlineStr">
        <is>
          <t>Status</t>
        </is>
      </c>
      <c r="B191" s="13">
        <f>IF('Metrics'!$C$189="","not rated","complete")</f>
        <v/>
      </c>
    </row>
    <row r="193">
      <c r="A193" s="6" t="inlineStr">
        <is>
          <t>19. Community dynamics</t>
        </is>
      </c>
      <c r="B193" s="9" t="inlineStr">
        <is>
          <t>Invasive-species pressure (nas-established-taxa-count, threshold)</t>
        </is>
      </c>
    </row>
    <row r="194">
      <c r="A194" s="8" t="inlineStr">
        <is>
          <t>Item</t>
        </is>
      </c>
      <c r="B194" s="8" t="inlineStr">
        <is>
          <t>Value</t>
        </is>
      </c>
      <c r="C194" s="8" t="inlineStr">
        <is>
          <t>Rating</t>
        </is>
      </c>
      <c r="D194" s="8" t="inlineStr">
        <is>
          <t>Index</t>
        </is>
      </c>
      <c r="E194" s="8" t="inlineStr">
        <is>
          <t>Note</t>
        </is>
      </c>
    </row>
    <row r="195">
      <c r="A195" t="inlineStr">
        <is>
          <t>Established NAS taxa count</t>
        </is>
      </c>
      <c r="B195" s="13">
        <f>IF('Inputs'!$C$62="","",'Inputs'!$C$62)</f>
        <v/>
      </c>
    </row>
    <row r="196">
      <c r="A196" t="inlineStr">
        <is>
          <t>Route that applied</t>
        </is>
      </c>
      <c r="B196" s="13">
        <f>"automatic method"</f>
        <v/>
      </c>
    </row>
    <row r="197">
      <c r="A197" t="inlineStr">
        <is>
          <t>Function rating</t>
        </is>
      </c>
      <c r="C197" s="15">
        <f>IF(NOT(ISNUMBER('Inputs'!$C$62)),"",IF(AND('Inputs'!$C$62&gt;=0,'Inputs'!$C$62&lt;=0),"Good",IF(AND('Inputs'!$C$62&gt;=1,'Inputs'!$C$62&lt;=2),"Fair",IF('Inputs'!$C$62&gt;=3,"Poor",""))))</f>
        <v/>
      </c>
      <c r="D197" s="14">
        <f>IF('Metrics'!$C$197="Good",'Reference'!$B$6,IF('Metrics'!$C$197="Fair",'Reference'!$B$7,IF('Metrics'!$C$197="Poor",'Reference'!$B$8,"")))</f>
        <v/>
      </c>
      <c r="E197" s="5" t="inlineStr">
        <is>
          <t>Whole counts only; a fraction or a negative count is unrated.</t>
        </is>
      </c>
    </row>
    <row r="198">
      <c r="A198" t="inlineStr">
        <is>
          <t>Function score (0 to 15)</t>
        </is>
      </c>
      <c r="B198" s="15">
        <f>IF('Metrics'!$C$197="Good",'Reference'!$C$6,IF('Metrics'!$C$197="Fair",'Reference'!$C$7,IF('Metrics'!$C$197="Poor",'Reference'!$C$8,"")))</f>
        <v/>
      </c>
    </row>
    <row r="199">
      <c r="A199" t="inlineStr">
        <is>
          <t>Status</t>
        </is>
      </c>
      <c r="B199" s="13">
        <f>IF('Metrics'!$C$197="","not rated","complete")</f>
        <v/>
      </c>
    </row>
    <row r="201">
      <c r="A201" s="6" t="inlineStr">
        <is>
          <t>20. Watershed connectivity</t>
        </is>
      </c>
      <c r="B201" s="9" t="inlineStr">
        <is>
          <t>Nearby dam-proximity proxy (nearby-dam-proximity, threshold)</t>
        </is>
      </c>
    </row>
    <row r="202">
      <c r="A202" s="8" t="inlineStr">
        <is>
          <t>Item</t>
        </is>
      </c>
      <c r="B202" s="8" t="inlineStr">
        <is>
          <t>Value</t>
        </is>
      </c>
      <c r="C202" s="8" t="inlineStr">
        <is>
          <t>Rating</t>
        </is>
      </c>
      <c r="D202" s="8" t="inlineStr">
        <is>
          <t>Index</t>
        </is>
      </c>
      <c r="E202" s="8" t="inlineStr">
        <is>
          <t>Note</t>
        </is>
      </c>
    </row>
    <row r="203">
      <c r="A203" t="inlineStr">
        <is>
          <t>Mapped NID dams within one mile</t>
        </is>
      </c>
      <c r="B203" s="13">
        <f>IF('Inputs'!$C$63="","",'Inputs'!$C$63)</f>
        <v/>
      </c>
    </row>
    <row r="204">
      <c r="A204" t="inlineStr">
        <is>
          <t>Route that applied</t>
        </is>
      </c>
      <c r="B204" s="13">
        <f>"automatic method"</f>
        <v/>
      </c>
    </row>
    <row r="205">
      <c r="A205" t="inlineStr">
        <is>
          <t>Function rating</t>
        </is>
      </c>
      <c r="C205" s="15">
        <f>IF(NOT(ISNUMBER('Inputs'!$C$63)),"",IF(AND('Inputs'!$C$63&gt;=0,'Inputs'!$C$63&lt;=0),"Good",IF(AND('Inputs'!$C$63&gt;=1,'Inputs'!$C$63&lt;=1),"Fair",IF('Inputs'!$C$63&gt;=2,"Poor",""))))</f>
        <v/>
      </c>
      <c r="D205" s="14">
        <f>IF('Metrics'!$C$205="Good",'Reference'!$B$6,IF('Metrics'!$C$205="Fair",'Reference'!$B$7,IF('Metrics'!$C$205="Poor",'Reference'!$B$8,"")))</f>
        <v/>
      </c>
      <c r="E205" s="5" t="inlineStr">
        <is>
          <t>Whole counts only.</t>
        </is>
      </c>
    </row>
    <row r="206">
      <c r="A206" t="inlineStr">
        <is>
          <t>Function score (0 to 15)</t>
        </is>
      </c>
      <c r="B206" s="15">
        <f>IF('Metrics'!$C$205="Good",'Reference'!$C$6,IF('Metrics'!$C$205="Fair",'Reference'!$C$7,IF('Metrics'!$C$205="Poor",'Reference'!$C$8,"")))</f>
        <v/>
      </c>
    </row>
    <row r="207">
      <c r="A207" t="inlineStr">
        <is>
          <t>Status</t>
        </is>
      </c>
      <c r="B207" s="13">
        <f>IF('Metrics'!$C$205="","not rated","complete")</f>
        <v/>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7"/>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44" customWidth="1" min="3" max="3"/>
    <col width="12" customWidth="1" min="4" max="4"/>
    <col width="10" customWidth="1" min="5" max="5"/>
    <col width="20" customWidth="1" min="6" max="6"/>
    <col width="10" customWidth="1" min="7" max="7"/>
    <col width="10" customWidth="1" min="8" max="8"/>
    <col width="10" customWidth="1" min="9" max="9"/>
    <col width="10" customWidth="1" min="10" max="10"/>
    <col width="8" customWidth="1" min="11" max="11"/>
    <col width="40" customWidth="1" min="12" max="12"/>
  </cols>
  <sheetData>
    <row r="1">
      <c r="A1" s="4" t="inlineStr">
        <is>
          <t>EASI calculator: results</t>
        </is>
      </c>
    </row>
    <row r="2">
      <c r="A2" s="9" t="inlineStr">
        <is>
          <t>Read only. Function scores, outcome sub-indices and the Ecosystem Condition Index, computed with the STAF rollup: unrated functions leave both the numerator and the denominator.</t>
        </is>
      </c>
    </row>
    <row r="4">
      <c r="A4" s="8" t="inlineStr">
        <is>
          <t>Function</t>
        </is>
      </c>
      <c r="B4" s="8" t="inlineStr">
        <is>
          <t>Discipline</t>
        </is>
      </c>
      <c r="C4" s="8" t="inlineStr">
        <is>
          <t>Metric</t>
        </is>
      </c>
      <c r="D4" s="8" t="inlineStr">
        <is>
          <t>Rating</t>
        </is>
      </c>
      <c r="E4" s="8" t="inlineStr">
        <is>
          <t>Score</t>
        </is>
      </c>
      <c r="F4" s="8" t="inlineStr">
        <is>
          <t>Class</t>
        </is>
      </c>
      <c r="G4" s="8" t="inlineStr">
        <is>
          <t>Physical</t>
        </is>
      </c>
      <c r="H4" s="8" t="inlineStr">
        <is>
          <t>Chemical</t>
        </is>
      </c>
      <c r="I4" s="8" t="inlineStr">
        <is>
          <t>Biological</t>
        </is>
      </c>
      <c r="J4" s="8" t="inlineStr">
        <is>
          <t>Score or 0</t>
        </is>
      </c>
      <c r="K4" s="8" t="inlineStr">
        <is>
          <t>Rated</t>
        </is>
      </c>
      <c r="L4" s="8" t="inlineStr">
        <is>
          <t>Route</t>
        </is>
      </c>
    </row>
    <row r="5">
      <c r="A5" t="inlineStr">
        <is>
          <t>Catchment hydrology</t>
        </is>
      </c>
      <c r="B5" t="inlineStr">
        <is>
          <t>Hydrology</t>
        </is>
      </c>
      <c r="C5" t="inlineStr">
        <is>
          <t>Watershed Land-Cover Pressure</t>
        </is>
      </c>
      <c r="D5" s="13">
        <f>'Metrics'!$C$11</f>
        <v/>
      </c>
      <c r="E5" s="13">
        <f>'Metrics'!$B$12</f>
        <v/>
      </c>
      <c r="F5" s="13">
        <f>IF(NOT(ISNUMBER('Results'!$E$5)),"Not assessed",IF('Results'!$E$5&lt;=5,"Non-Functioning",IF('Results'!$E$5&lt;=10,"Functioning-at-Risk","Functioning")))</f>
        <v/>
      </c>
      <c r="G5" t="n">
        <v>1</v>
      </c>
      <c r="H5" t="n">
        <v>0.1</v>
      </c>
      <c r="I5" t="n">
        <v>0.1</v>
      </c>
      <c r="J5" s="13">
        <f>IF(ISNUMBER('Results'!$E$5),'Results'!$E$5,0)</f>
        <v/>
      </c>
      <c r="K5" s="13">
        <f>IF(ISNUMBER('Results'!$E$5),1,0)</f>
        <v/>
      </c>
      <c r="L5" s="13">
        <f>'Metrics'!$B$10</f>
        <v/>
      </c>
    </row>
    <row r="6">
      <c r="A6" t="inlineStr">
        <is>
          <t>Surface water storage</t>
        </is>
      </c>
      <c r="B6" t="inlineStr">
        <is>
          <t>Hydrology</t>
        </is>
      </c>
      <c r="C6" t="inlineStr">
        <is>
          <t>Percent Wetlands in Watershed</t>
        </is>
      </c>
      <c r="D6" s="13">
        <f>'Metrics'!$C$21</f>
        <v/>
      </c>
      <c r="E6" s="13">
        <f>'Metrics'!$B$22</f>
        <v/>
      </c>
      <c r="F6" s="13">
        <f>IF(NOT(ISNUMBER('Results'!$E$6)),"Not assessed",IF('Results'!$E$6&lt;=5,"Non-Functioning",IF('Results'!$E$6&lt;=10,"Functioning-at-Risk","Functioning")))</f>
        <v/>
      </c>
      <c r="G6" t="n">
        <v>1</v>
      </c>
      <c r="H6" t="n">
        <v>0.1</v>
      </c>
      <c r="I6" t="n">
        <v>0.1</v>
      </c>
      <c r="J6" s="13">
        <f>IF(ISNUMBER('Results'!$E$6),'Results'!$E$6,0)</f>
        <v/>
      </c>
      <c r="K6" s="13">
        <f>IF(ISNUMBER('Results'!$E$6),1,0)</f>
        <v/>
      </c>
      <c r="L6" s="13">
        <f>'Metrics'!$B$20</f>
        <v/>
      </c>
    </row>
    <row r="7">
      <c r="A7" t="inlineStr">
        <is>
          <t>Reach inflow</t>
        </is>
      </c>
      <c r="B7" t="inlineStr">
        <is>
          <t>Hydrology</t>
        </is>
      </c>
      <c r="C7" t="inlineStr">
        <is>
          <t>Concentrated Runoff / Stormwater Inputs</t>
        </is>
      </c>
      <c r="D7" s="13">
        <f>'Metrics'!$C$29</f>
        <v/>
      </c>
      <c r="E7" s="13">
        <f>'Metrics'!$B$30</f>
        <v/>
      </c>
      <c r="F7" s="13">
        <f>IF(NOT(ISNUMBER('Results'!$E$7)),"Not assessed",IF('Results'!$E$7&lt;=5,"Non-Functioning",IF('Results'!$E$7&lt;=10,"Functioning-at-Risk","Functioning")))</f>
        <v/>
      </c>
      <c r="G7" t="n">
        <v>1</v>
      </c>
      <c r="H7" t="n">
        <v>0.1</v>
      </c>
      <c r="I7" t="n">
        <v>0.1</v>
      </c>
      <c r="J7" s="13">
        <f>IF(ISNUMBER('Results'!$E$7),'Results'!$E$7,0)</f>
        <v/>
      </c>
      <c r="K7" s="13">
        <f>IF(ISNUMBER('Results'!$E$7),1,0)</f>
        <v/>
      </c>
      <c r="L7" s="13">
        <f>'Metrics'!$B$28</f>
        <v/>
      </c>
    </row>
    <row r="8">
      <c r="A8" t="inlineStr">
        <is>
          <t>Streamflow regime</t>
        </is>
      </c>
      <c r="B8" t="inlineStr">
        <is>
          <t>Hydrology</t>
        </is>
      </c>
      <c r="C8" t="inlineStr">
        <is>
          <t>Flow Alteration (Regulation / Water Use)</t>
        </is>
      </c>
      <c r="D8" s="13">
        <f>'Metrics'!$C$39</f>
        <v/>
      </c>
      <c r="E8" s="13">
        <f>'Metrics'!$B$40</f>
        <v/>
      </c>
      <c r="F8" s="13">
        <f>IF(NOT(ISNUMBER('Results'!$E$8)),"Not assessed",IF('Results'!$E$8&lt;=5,"Non-Functioning",IF('Results'!$E$8&lt;=10,"Functioning-at-Risk","Functioning")))</f>
        <v/>
      </c>
      <c r="G8" t="n">
        <v>1</v>
      </c>
      <c r="H8" t="n">
        <v>0.1</v>
      </c>
      <c r="I8" t="n">
        <v>0.1</v>
      </c>
      <c r="J8" s="13">
        <f>IF(ISNUMBER('Results'!$E$8),'Results'!$E$8,0)</f>
        <v/>
      </c>
      <c r="K8" s="13">
        <f>IF(ISNUMBER('Results'!$E$8),1,0)</f>
        <v/>
      </c>
      <c r="L8" s="13">
        <f>'Metrics'!$B$38</f>
        <v/>
      </c>
    </row>
    <row r="9">
      <c r="A9" t="inlineStr">
        <is>
          <t>Low flow and baseflow dynamics</t>
        </is>
      </c>
      <c r="B9" t="inlineStr">
        <is>
          <t>Hydraulics</t>
        </is>
      </c>
      <c r="C9" t="inlineStr">
        <is>
          <t>Low-flow Wetted Connectivity</t>
        </is>
      </c>
      <c r="D9" s="13">
        <f>'Metrics'!$C$50</f>
        <v/>
      </c>
      <c r="E9" s="13">
        <f>'Metrics'!$B$51</f>
        <v/>
      </c>
      <c r="F9" s="13">
        <f>IF(NOT(ISNUMBER('Results'!$E$9)),"Not assessed",IF('Results'!$E$9&lt;=5,"Non-Functioning",IF('Results'!$E$9&lt;=10,"Functioning-at-Risk","Functioning")))</f>
        <v/>
      </c>
      <c r="G9" t="n">
        <v>1</v>
      </c>
      <c r="H9" t="n">
        <v>0.1</v>
      </c>
      <c r="I9" t="n">
        <v>0.1</v>
      </c>
      <c r="J9" s="13">
        <f>IF(ISNUMBER('Results'!$E$9),'Results'!$E$9,0)</f>
        <v/>
      </c>
      <c r="K9" s="13">
        <f>IF(ISNUMBER('Results'!$E$9),1,0)</f>
        <v/>
      </c>
      <c r="L9" s="13">
        <f>'Metrics'!$B$49</f>
        <v/>
      </c>
    </row>
    <row r="10">
      <c r="A10" t="inlineStr">
        <is>
          <t>High flow dynamics</t>
        </is>
      </c>
      <c r="B10" t="inlineStr">
        <is>
          <t>Hydraulics</t>
        </is>
      </c>
      <c r="C10" t="inlineStr">
        <is>
          <t>Floodplain Engagement Frequency (bankfull recurrence)</t>
        </is>
      </c>
      <c r="D10" s="13">
        <f>'Metrics'!$C$58</f>
        <v/>
      </c>
      <c r="E10" s="13">
        <f>'Metrics'!$B$59</f>
        <v/>
      </c>
      <c r="F10" s="13">
        <f>IF(NOT(ISNUMBER('Results'!$E$10)),"Not assessed",IF('Results'!$E$10&lt;=5,"Non-Functioning",IF('Results'!$E$10&lt;=10,"Functioning-at-Risk","Functioning")))</f>
        <v/>
      </c>
      <c r="G10" t="n">
        <v>1</v>
      </c>
      <c r="H10" t="n">
        <v>0.1</v>
      </c>
      <c r="I10" t="n">
        <v>0.1</v>
      </c>
      <c r="J10" s="13">
        <f>IF(ISNUMBER('Results'!$E$10),'Results'!$E$10,0)</f>
        <v/>
      </c>
      <c r="K10" s="13">
        <f>IF(ISNUMBER('Results'!$E$10),1,0)</f>
        <v/>
      </c>
      <c r="L10" s="13">
        <f>'Metrics'!$B$57</f>
        <v/>
      </c>
    </row>
    <row r="11">
      <c r="A11" t="inlineStr">
        <is>
          <t>Floodplain connectivity</t>
        </is>
      </c>
      <c r="B11" t="inlineStr">
        <is>
          <t>Hydraulics</t>
        </is>
      </c>
      <c r="C11" t="inlineStr">
        <is>
          <t>Floodplain Access / Entrenchment</t>
        </is>
      </c>
      <c r="D11" s="13">
        <f>'Metrics'!$C$68</f>
        <v/>
      </c>
      <c r="E11" s="13">
        <f>'Metrics'!$B$69</f>
        <v/>
      </c>
      <c r="F11" s="13">
        <f>IF(NOT(ISNUMBER('Results'!$E$11)),"Not assessed",IF('Results'!$E$11&lt;=5,"Non-Functioning",IF('Results'!$E$11&lt;=10,"Functioning-at-Risk","Functioning")))</f>
        <v/>
      </c>
      <c r="G11" t="n">
        <v>1</v>
      </c>
      <c r="H11" t="n">
        <v>0.1</v>
      </c>
      <c r="I11" t="n">
        <v>0.1</v>
      </c>
      <c r="J11" s="13">
        <f>IF(ISNUMBER('Results'!$E$11),'Results'!$E$11,0)</f>
        <v/>
      </c>
      <c r="K11" s="13">
        <f>IF(ISNUMBER('Results'!$E$11),1,0)</f>
        <v/>
      </c>
      <c r="L11" s="13">
        <f>'Metrics'!$B$67</f>
        <v/>
      </c>
    </row>
    <row r="12">
      <c r="A12" t="inlineStr">
        <is>
          <t>Hyporheic connectivity</t>
        </is>
      </c>
      <c r="B12" t="inlineStr">
        <is>
          <t>Hydraulics</t>
        </is>
      </c>
      <c r="C12" t="inlineStr">
        <is>
          <t>Hyporheic Exchange Indicators</t>
        </is>
      </c>
      <c r="D12" s="13">
        <f>'Metrics'!$C$79</f>
        <v/>
      </c>
      <c r="E12" s="13">
        <f>'Metrics'!$B$80</f>
        <v/>
      </c>
      <c r="F12" s="13">
        <f>IF(NOT(ISNUMBER('Results'!$E$12)),"Not assessed",IF('Results'!$E$12&lt;=5,"Non-Functioning",IF('Results'!$E$12&lt;=10,"Functioning-at-Risk","Functioning")))</f>
        <v/>
      </c>
      <c r="G12" t="n">
        <v>1</v>
      </c>
      <c r="H12" t="n">
        <v>0.1</v>
      </c>
      <c r="I12" t="n">
        <v>0.1</v>
      </c>
      <c r="J12" s="13">
        <f>IF(ISNUMBER('Results'!$E$12),'Results'!$E$12,0)</f>
        <v/>
      </c>
      <c r="K12" s="13">
        <f>IF(ISNUMBER('Results'!$E$12),1,0)</f>
        <v/>
      </c>
      <c r="L12" s="13">
        <f>'Metrics'!$B$78</f>
        <v/>
      </c>
    </row>
    <row r="13">
      <c r="A13" t="inlineStr">
        <is>
          <t>Channel evolution</t>
        </is>
      </c>
      <c r="B13" t="inlineStr">
        <is>
          <t>Geomorphology</t>
        </is>
      </c>
      <c r="C13" t="inlineStr">
        <is>
          <t>Channel Evolution Stage &amp; Trends</t>
        </is>
      </c>
      <c r="D13" s="13">
        <f>'Metrics'!$C$91</f>
        <v/>
      </c>
      <c r="E13" s="13">
        <f>'Metrics'!$B$92</f>
        <v/>
      </c>
      <c r="F13" s="13">
        <f>IF(NOT(ISNUMBER('Results'!$E$13)),"Not assessed",IF('Results'!$E$13&lt;=5,"Non-Functioning",IF('Results'!$E$13&lt;=10,"Functioning-at-Risk","Functioning")))</f>
        <v/>
      </c>
      <c r="G13" t="n">
        <v>1</v>
      </c>
      <c r="H13" t="n">
        <v>0.1</v>
      </c>
      <c r="I13" t="n">
        <v>0.1</v>
      </c>
      <c r="J13" s="13">
        <f>IF(ISNUMBER('Results'!$E$13),'Results'!$E$13,0)</f>
        <v/>
      </c>
      <c r="K13" s="13">
        <f>IF(ISNUMBER('Results'!$E$13),1,0)</f>
        <v/>
      </c>
      <c r="L13" s="13">
        <f>'Metrics'!$B$90</f>
        <v/>
      </c>
    </row>
    <row r="14">
      <c r="A14" t="inlineStr">
        <is>
          <t>Channel and floodplain dynamics</t>
        </is>
      </c>
      <c r="B14" t="inlineStr">
        <is>
          <t>Geomorphology</t>
        </is>
      </c>
      <c r="C14" t="inlineStr">
        <is>
          <t>Bank Erosion &amp; Armoring Condition</t>
        </is>
      </c>
      <c r="D14" s="13">
        <f>'Metrics'!$C$101</f>
        <v/>
      </c>
      <c r="E14" s="13">
        <f>'Metrics'!$B$102</f>
        <v/>
      </c>
      <c r="F14" s="13">
        <f>IF(NOT(ISNUMBER('Results'!$E$14)),"Not assessed",IF('Results'!$E$14&lt;=5,"Non-Functioning",IF('Results'!$E$14&lt;=10,"Functioning-at-Risk","Functioning")))</f>
        <v/>
      </c>
      <c r="G14" t="n">
        <v>1</v>
      </c>
      <c r="H14" t="n">
        <v>0.1</v>
      </c>
      <c r="I14" t="n">
        <v>0.1</v>
      </c>
      <c r="J14" s="13">
        <f>IF(ISNUMBER('Results'!$E$14),'Results'!$E$14,0)</f>
        <v/>
      </c>
      <c r="K14" s="13">
        <f>IF(ISNUMBER('Results'!$E$14),1,0)</f>
        <v/>
      </c>
      <c r="L14" s="13">
        <f>'Metrics'!$B$100</f>
        <v/>
      </c>
    </row>
    <row r="15">
      <c r="A15" t="inlineStr">
        <is>
          <t>Sediment continuity</t>
        </is>
      </c>
      <c r="B15" t="inlineStr">
        <is>
          <t>Geomorphology</t>
        </is>
      </c>
      <c r="C15" t="inlineStr">
        <is>
          <t>Sediment Supply Potential (watershed/banks)</t>
        </is>
      </c>
      <c r="D15" s="13">
        <f>'Metrics'!$C$113</f>
        <v/>
      </c>
      <c r="E15" s="13">
        <f>'Metrics'!$B$114</f>
        <v/>
      </c>
      <c r="F15" s="13">
        <f>IF(NOT(ISNUMBER('Results'!$E$15)),"Not assessed",IF('Results'!$E$15&lt;=5,"Non-Functioning",IF('Results'!$E$15&lt;=10,"Functioning-at-Risk","Functioning")))</f>
        <v/>
      </c>
      <c r="G15" t="n">
        <v>1</v>
      </c>
      <c r="H15" t="n">
        <v>0.1</v>
      </c>
      <c r="I15" t="n">
        <v>0.1</v>
      </c>
      <c r="J15" s="13">
        <f>IF(ISNUMBER('Results'!$E$15),'Results'!$E$15,0)</f>
        <v/>
      </c>
      <c r="K15" s="13">
        <f>IF(ISNUMBER('Results'!$E$15),1,0)</f>
        <v/>
      </c>
      <c r="L15" s="13">
        <f>'Metrics'!$B$112</f>
        <v/>
      </c>
    </row>
    <row r="16">
      <c r="A16" t="inlineStr">
        <is>
          <t>Bed composition and large wood</t>
        </is>
      </c>
      <c r="B16" t="inlineStr">
        <is>
          <t>Geomorphology</t>
        </is>
      </c>
      <c r="C16" t="inlineStr">
        <is>
          <t>Substrate Condition (grain size/embeddedness/fines/consolidation)</t>
        </is>
      </c>
      <c r="D16" s="13">
        <f>'Metrics'!$C$121</f>
        <v/>
      </c>
      <c r="E16" s="13">
        <f>'Metrics'!$B$122</f>
        <v/>
      </c>
      <c r="F16" s="13">
        <f>IF(NOT(ISNUMBER('Results'!$E$16)),"Not assessed",IF('Results'!$E$16&lt;=5,"Non-Functioning",IF('Results'!$E$16&lt;=10,"Functioning-at-Risk","Functioning")))</f>
        <v/>
      </c>
      <c r="G16" t="n">
        <v>1</v>
      </c>
      <c r="H16" t="n">
        <v>0.1</v>
      </c>
      <c r="I16" t="n">
        <v>0.1</v>
      </c>
      <c r="J16" s="13">
        <f>IF(ISNUMBER('Results'!$E$16),'Results'!$E$16,0)</f>
        <v/>
      </c>
      <c r="K16" s="13">
        <f>IF(ISNUMBER('Results'!$E$16),1,0)</f>
        <v/>
      </c>
      <c r="L16" s="13">
        <f>'Metrics'!$B$120</f>
        <v/>
      </c>
    </row>
    <row r="17">
      <c r="A17" t="inlineStr">
        <is>
          <t>Light &amp; thermal regime</t>
        </is>
      </c>
      <c r="B17" t="inlineStr">
        <is>
          <t>Physicochemistry</t>
        </is>
      </c>
      <c r="C17" t="inlineStr">
        <is>
          <t>Stream Temperature</t>
        </is>
      </c>
      <c r="D17" s="13">
        <f>'Metrics'!$C$134</f>
        <v/>
      </c>
      <c r="E17" s="13">
        <f>'Metrics'!$B$135</f>
        <v/>
      </c>
      <c r="F17" s="13">
        <f>IF(NOT(ISNUMBER('Results'!$E$17)),"Not assessed",IF('Results'!$E$17&lt;=5,"Non-Functioning",IF('Results'!$E$17&lt;=10,"Functioning-at-Risk","Functioning")))</f>
        <v/>
      </c>
      <c r="G17" t="n">
        <v>0</v>
      </c>
      <c r="H17" t="n">
        <v>1</v>
      </c>
      <c r="I17" t="n">
        <v>0.1</v>
      </c>
      <c r="J17" s="13">
        <f>IF(ISNUMBER('Results'!$E$17),'Results'!$E$17,0)</f>
        <v/>
      </c>
      <c r="K17" s="13">
        <f>IF(ISNUMBER('Results'!$E$17),1,0)</f>
        <v/>
      </c>
      <c r="L17" s="13">
        <f>'Metrics'!$B$133</f>
        <v/>
      </c>
    </row>
    <row r="18">
      <c r="A18" t="inlineStr">
        <is>
          <t>Carbon processing</t>
        </is>
      </c>
      <c r="B18" t="inlineStr">
        <is>
          <t>Physicochemistry</t>
        </is>
      </c>
      <c r="C18" t="inlineStr">
        <is>
          <t>Detrital Processing (CPOM retention / shredders)</t>
        </is>
      </c>
      <c r="D18" s="13">
        <f>'Metrics'!$C$148</f>
        <v/>
      </c>
      <c r="E18" s="13">
        <f>'Metrics'!$B$149</f>
        <v/>
      </c>
      <c r="F18" s="13">
        <f>IF(NOT(ISNUMBER('Results'!$E$18)),"Not assessed",IF('Results'!$E$18&lt;=5,"Non-Functioning",IF('Results'!$E$18&lt;=10,"Functioning-at-Risk","Functioning")))</f>
        <v/>
      </c>
      <c r="G18" t="n">
        <v>0</v>
      </c>
      <c r="H18" t="n">
        <v>1</v>
      </c>
      <c r="I18" t="n">
        <v>0.1</v>
      </c>
      <c r="J18" s="13">
        <f>IF(ISNUMBER('Results'!$E$18),'Results'!$E$18,0)</f>
        <v/>
      </c>
      <c r="K18" s="13">
        <f>IF(ISNUMBER('Results'!$E$18),1,0)</f>
        <v/>
      </c>
      <c r="L18" s="13">
        <f>'Metrics'!$B$147</f>
        <v/>
      </c>
    </row>
    <row r="19">
      <c r="A19" t="inlineStr">
        <is>
          <t>Nutrient cycling</t>
        </is>
      </c>
      <c r="B19" t="inlineStr">
        <is>
          <t>Physicochemistry</t>
        </is>
      </c>
      <c r="C19" t="inlineStr">
        <is>
          <t>Nitrogen &amp; Phosphorus Concentrations</t>
        </is>
      </c>
      <c r="D19" s="13">
        <f>'Metrics'!$C$158</f>
        <v/>
      </c>
      <c r="E19" s="13">
        <f>'Metrics'!$B$159</f>
        <v/>
      </c>
      <c r="F19" s="13">
        <f>IF(NOT(ISNUMBER('Results'!$E$19)),"Not assessed",IF('Results'!$E$19&lt;=5,"Non-Functioning",IF('Results'!$E$19&lt;=10,"Functioning-at-Risk","Functioning")))</f>
        <v/>
      </c>
      <c r="G19" t="n">
        <v>0.1</v>
      </c>
      <c r="H19" t="n">
        <v>1</v>
      </c>
      <c r="I19" t="n">
        <v>0.1</v>
      </c>
      <c r="J19" s="13">
        <f>IF(ISNUMBER('Results'!$E$19),'Results'!$E$19,0)</f>
        <v/>
      </c>
      <c r="K19" s="13">
        <f>IF(ISNUMBER('Results'!$E$19),1,0)</f>
        <v/>
      </c>
      <c r="L19" s="13">
        <f>'Metrics'!$B$157</f>
        <v/>
      </c>
    </row>
    <row r="20">
      <c r="A20" t="inlineStr">
        <is>
          <t>Water &amp; soil quality</t>
        </is>
      </c>
      <c r="B20" t="inlineStr">
        <is>
          <t>Physicochemistry</t>
        </is>
      </c>
      <c r="C20" t="inlineStr">
        <is>
          <t>Regulatory Impairment Status (305b/303d/TMDL)</t>
        </is>
      </c>
      <c r="D20" s="13">
        <f>'Metrics'!$C$167</f>
        <v/>
      </c>
      <c r="E20" s="13">
        <f>'Metrics'!$B$168</f>
        <v/>
      </c>
      <c r="F20" s="13">
        <f>IF(NOT(ISNUMBER('Results'!$E$20)),"Not assessed",IF('Results'!$E$20&lt;=5,"Non-Functioning",IF('Results'!$E$20&lt;=10,"Functioning-at-Risk","Functioning")))</f>
        <v/>
      </c>
      <c r="G20" t="n">
        <v>0.1</v>
      </c>
      <c r="H20" t="n">
        <v>1</v>
      </c>
      <c r="I20" t="n">
        <v>0.1</v>
      </c>
      <c r="J20" s="13">
        <f>IF(ISNUMBER('Results'!$E$20),'Results'!$E$20,0)</f>
        <v/>
      </c>
      <c r="K20" s="13">
        <f>IF(ISNUMBER('Results'!$E$20),1,0)</f>
        <v/>
      </c>
      <c r="L20" s="13">
        <f>'Metrics'!$B$166</f>
        <v/>
      </c>
    </row>
    <row r="21">
      <c r="A21" t="inlineStr">
        <is>
          <t>Habitat provision</t>
        </is>
      </c>
      <c r="B21" t="inlineStr">
        <is>
          <t>Biology</t>
        </is>
      </c>
      <c r="C21" t="inlineStr">
        <is>
          <t>In-stream Habitat Complexity &amp; Cover</t>
        </is>
      </c>
      <c r="D21" s="13">
        <f>'Metrics'!$C$178</f>
        <v/>
      </c>
      <c r="E21" s="13">
        <f>'Metrics'!$B$179</f>
        <v/>
      </c>
      <c r="F21" s="13">
        <f>IF(NOT(ISNUMBER('Results'!$E$21)),"Not assessed",IF('Results'!$E$21&lt;=5,"Non-Functioning",IF('Results'!$E$21&lt;=10,"Functioning-at-Risk","Functioning")))</f>
        <v/>
      </c>
      <c r="G21" t="n">
        <v>0</v>
      </c>
      <c r="H21" t="n">
        <v>0</v>
      </c>
      <c r="I21" t="n">
        <v>1</v>
      </c>
      <c r="J21" s="13">
        <f>IF(ISNUMBER('Results'!$E$21),'Results'!$E$21,0)</f>
        <v/>
      </c>
      <c r="K21" s="13">
        <f>IF(ISNUMBER('Results'!$E$21),1,0)</f>
        <v/>
      </c>
      <c r="L21" s="13">
        <f>'Metrics'!$B$177</f>
        <v/>
      </c>
    </row>
    <row r="22">
      <c r="A22" t="inlineStr">
        <is>
          <t>Population support</t>
        </is>
      </c>
      <c r="B22" t="inlineStr">
        <is>
          <t>Biology</t>
        </is>
      </c>
      <c r="C22" t="inlineStr">
        <is>
          <t>Biological Integrity (IBI / community condition)</t>
        </is>
      </c>
      <c r="D22" s="13">
        <f>'Metrics'!$C$189</f>
        <v/>
      </c>
      <c r="E22" s="13">
        <f>'Metrics'!$B$190</f>
        <v/>
      </c>
      <c r="F22" s="13">
        <f>IF(NOT(ISNUMBER('Results'!$E$22)),"Not assessed",IF('Results'!$E$22&lt;=5,"Non-Functioning",IF('Results'!$E$22&lt;=10,"Functioning-at-Risk","Functioning")))</f>
        <v/>
      </c>
      <c r="G22" t="n">
        <v>0.1</v>
      </c>
      <c r="H22" t="n">
        <v>0.1</v>
      </c>
      <c r="I22" t="n">
        <v>1</v>
      </c>
      <c r="J22" s="13">
        <f>IF(ISNUMBER('Results'!$E$22),'Results'!$E$22,0)</f>
        <v/>
      </c>
      <c r="K22" s="13">
        <f>IF(ISNUMBER('Results'!$E$22),1,0)</f>
        <v/>
      </c>
      <c r="L22" s="13">
        <f>'Metrics'!$B$188</f>
        <v/>
      </c>
    </row>
    <row r="23">
      <c r="A23" t="inlineStr">
        <is>
          <t>Community dynamics</t>
        </is>
      </c>
      <c r="B23" t="inlineStr">
        <is>
          <t>Biology</t>
        </is>
      </c>
      <c r="C23" t="inlineStr">
        <is>
          <t>Invasive / Non-native Species Presence</t>
        </is>
      </c>
      <c r="D23" s="13">
        <f>'Metrics'!$C$197</f>
        <v/>
      </c>
      <c r="E23" s="13">
        <f>'Metrics'!$B$198</f>
        <v/>
      </c>
      <c r="F23" s="13">
        <f>IF(NOT(ISNUMBER('Results'!$E$23)),"Not assessed",IF('Results'!$E$23&lt;=5,"Non-Functioning",IF('Results'!$E$23&lt;=10,"Functioning-at-Risk","Functioning")))</f>
        <v/>
      </c>
      <c r="G23" t="n">
        <v>0.1</v>
      </c>
      <c r="H23" t="n">
        <v>0.1</v>
      </c>
      <c r="I23" t="n">
        <v>1</v>
      </c>
      <c r="J23" s="13">
        <f>IF(ISNUMBER('Results'!$E$23),'Results'!$E$23,0)</f>
        <v/>
      </c>
      <c r="K23" s="13">
        <f>IF(ISNUMBER('Results'!$E$23),1,0)</f>
        <v/>
      </c>
      <c r="L23" s="13">
        <f>'Metrics'!$B$196</f>
        <v/>
      </c>
    </row>
    <row r="24">
      <c r="A24" t="inlineStr">
        <is>
          <t>Watershed connectivity</t>
        </is>
      </c>
      <c r="B24" t="inlineStr">
        <is>
          <t>Biology</t>
        </is>
      </c>
      <c r="C24" t="inlineStr">
        <is>
          <t>Fish Passage &amp; Barrier Effects (longitudinal connectivity)</t>
        </is>
      </c>
      <c r="D24" s="13">
        <f>'Metrics'!$C$205</f>
        <v/>
      </c>
      <c r="E24" s="13">
        <f>'Metrics'!$B$206</f>
        <v/>
      </c>
      <c r="F24" s="13">
        <f>IF(NOT(ISNUMBER('Results'!$E$24)),"Not assessed",IF('Results'!$E$24&lt;=5,"Non-Functioning",IF('Results'!$E$24&lt;=10,"Functioning-at-Risk","Functioning")))</f>
        <v/>
      </c>
      <c r="G24" t="n">
        <v>0.1</v>
      </c>
      <c r="H24" t="n">
        <v>0</v>
      </c>
      <c r="I24" t="n">
        <v>1</v>
      </c>
      <c r="J24" s="13">
        <f>IF(ISNUMBER('Results'!$E$24),'Results'!$E$24,0)</f>
        <v/>
      </c>
      <c r="K24" s="13">
        <f>IF(ISNUMBER('Results'!$E$24),1,0)</f>
        <v/>
      </c>
      <c r="L24" s="13">
        <f>'Metrics'!$B$204</f>
        <v/>
      </c>
    </row>
    <row r="26">
      <c r="A26" s="8" t="inlineStr">
        <is>
          <t>Outcome</t>
        </is>
      </c>
      <c r="B26" s="8" t="inlineStr">
        <is>
          <t>Weighted score</t>
        </is>
      </c>
      <c r="C26" s="8" t="inlineStr">
        <is>
          <t>Weighted maximum</t>
        </is>
      </c>
      <c r="D26" s="8" t="inlineStr">
        <is>
          <t>Sub-index</t>
        </is>
      </c>
      <c r="E26" s="8" t="inlineStr">
        <is>
          <t>Displayed</t>
        </is>
      </c>
      <c r="F26" s="8" t="inlineStr">
        <is>
          <t>Class</t>
        </is>
      </c>
      <c r="G26" s="8" t="inlineStr">
        <is>
          <t>Coverage</t>
        </is>
      </c>
    </row>
    <row r="27">
      <c r="A27" t="inlineStr">
        <is>
          <t>Physical</t>
        </is>
      </c>
      <c r="B27" s="13">
        <f>SUMPRODUCT('Results'!$J$5:$J$24,'Results'!$G$5:$G$24,'Results'!$K$5:$K$24)</f>
        <v/>
      </c>
      <c r="C27" s="13">
        <f>SUMPRODUCT('Results'!$G$5:$G$24,'Results'!$K$5:$K$24)*15</f>
        <v/>
      </c>
      <c r="D27" s="18">
        <f>IF('Results'!$C$27=0,"",'Results'!$B$27/'Results'!$C$27)</f>
        <v/>
      </c>
      <c r="E27" s="19">
        <f>IF('Results'!$D$27="","",ROUND('Results'!$D$27,2))</f>
        <v/>
      </c>
      <c r="F27" s="13">
        <f>IF('Results'!$E$27="","Not assessed",IF('Results'!$E$27&lt;=0.39,"Non-Functioning",IF('Results'!$E$27&lt;=0.69,"Functioning-at-Risk","Functioning")))</f>
        <v/>
      </c>
      <c r="G27" s="19">
        <f>IF(SUMPRODUCT('Results'!$G$5:$G$24)=0,"",SUMPRODUCT('Results'!$G$5:$G$24,'Results'!$K$5:$K$24)/SUMPRODUCT('Results'!$G$5:$G$24))</f>
        <v/>
      </c>
    </row>
    <row r="28">
      <c r="A28" t="inlineStr">
        <is>
          <t>Chemical</t>
        </is>
      </c>
      <c r="B28" s="13">
        <f>SUMPRODUCT('Results'!$J$5:$J$24,'Results'!$H$5:$H$24,'Results'!$K$5:$K$24)</f>
        <v/>
      </c>
      <c r="C28" s="13">
        <f>SUMPRODUCT('Results'!$H$5:$H$24,'Results'!$K$5:$K$24)*15</f>
        <v/>
      </c>
      <c r="D28" s="18">
        <f>IF('Results'!$C$28=0,"",'Results'!$B$28/'Results'!$C$28)</f>
        <v/>
      </c>
      <c r="E28" s="19">
        <f>IF('Results'!$D$28="","",ROUND('Results'!$D$28,2))</f>
        <v/>
      </c>
      <c r="F28" s="13">
        <f>IF('Results'!$E$28="","Not assessed",IF('Results'!$E$28&lt;=0.39,"Non-Functioning",IF('Results'!$E$28&lt;=0.69,"Functioning-at-Risk","Functioning")))</f>
        <v/>
      </c>
      <c r="G28" s="19">
        <f>IF(SUMPRODUCT('Results'!$H$5:$H$24)=0,"",SUMPRODUCT('Results'!$H$5:$H$24,'Results'!$K$5:$K$24)/SUMPRODUCT('Results'!$H$5:$H$24))</f>
        <v/>
      </c>
    </row>
    <row r="29">
      <c r="A29" t="inlineStr">
        <is>
          <t>Biological</t>
        </is>
      </c>
      <c r="B29" s="13">
        <f>SUMPRODUCT('Results'!$J$5:$J$24,'Results'!$I$5:$I$24,'Results'!$K$5:$K$24)</f>
        <v/>
      </c>
      <c r="C29" s="13">
        <f>SUMPRODUCT('Results'!$I$5:$I$24,'Results'!$K$5:$K$24)*15</f>
        <v/>
      </c>
      <c r="D29" s="18">
        <f>IF('Results'!$C$29=0,"",'Results'!$B$29/'Results'!$C$29)</f>
        <v/>
      </c>
      <c r="E29" s="19">
        <f>IF('Results'!$D$29="","",ROUND('Results'!$D$29,2))</f>
        <v/>
      </c>
      <c r="F29" s="13">
        <f>IF('Results'!$E$29="","Not assessed",IF('Results'!$E$29&lt;=0.39,"Non-Functioning",IF('Results'!$E$29&lt;=0.69,"Functioning-at-Risk","Functioning")))</f>
        <v/>
      </c>
      <c r="G29" s="19">
        <f>IF(SUMPRODUCT('Results'!$I$5:$I$24)=0,"",SUMPRODUCT('Results'!$I$5:$I$24,'Results'!$K$5:$K$24)/SUMPRODUCT('Results'!$I$5:$I$24))</f>
        <v/>
      </c>
    </row>
    <row r="30">
      <c r="A30" s="2" t="inlineStr">
        <is>
          <t>Ecosystem Condition Index</t>
        </is>
      </c>
      <c r="D30" s="20">
        <f>IF(COUNT('Results'!$D$27,'Results'!$D$28,'Results'!$D$29)=0,"",AVERAGE('Results'!$D$27,'Results'!$D$28,'Results'!$D$29))</f>
        <v/>
      </c>
      <c r="E30" s="21">
        <f>IF('Results'!$D$30="","",ROUND('Results'!$D$30,2))</f>
        <v/>
      </c>
      <c r="F30" s="15">
        <f>IF('Results'!$E$30="","Not assessed",IF('Results'!$E$30&lt;=0.39,"Non-Functioning",IF('Results'!$E$30&lt;=0.69,"Functioning-at-Risk","Functioning")))</f>
        <v/>
      </c>
    </row>
    <row r="32">
      <c r="A32" s="8" t="inlineStr">
        <is>
          <t>Coverage</t>
        </is>
      </c>
      <c r="B32" s="8" t="inlineStr">
        <is>
          <t>Value</t>
        </is>
      </c>
      <c r="C32" s="8" t="inlineStr"/>
      <c r="D32" s="8" t="inlineStr"/>
      <c r="E32" s="8" t="inlineStr"/>
      <c r="F32" s="8" t="inlineStr"/>
      <c r="G32" s="8" t="inlineStr"/>
    </row>
    <row r="33">
      <c r="A33" t="inlineStr">
        <is>
          <t>Functions rated</t>
        </is>
      </c>
      <c r="B33" s="13">
        <f>SUM('Results'!$K$5:$K$24)</f>
        <v/>
      </c>
    </row>
    <row r="34">
      <c r="A34" t="inlineStr">
        <is>
          <t>Functions selected</t>
        </is>
      </c>
      <c r="B34" s="13" t="n">
        <v>20</v>
      </c>
    </row>
    <row r="35">
      <c r="A35" t="inlineStr">
        <is>
          <t>Overall coverage</t>
        </is>
      </c>
      <c r="B35" s="19">
        <f>'Results'!$B$33/'Results'!$B$34</f>
        <v/>
      </c>
    </row>
    <row r="36">
      <c r="A36" t="inlineStr">
        <is>
          <t>Provisional (coverage below 0.70 overall or for an outcome)</t>
        </is>
      </c>
      <c r="B36" s="13">
        <f>IF(OR(AND(ISNUMBER('Results'!$B$35),'Results'!$B$35&lt;0.7),AND(ISNUMBER('Results'!$G$27),'Results'!$G$27&lt;0.7),AND(ISNUMBER('Results'!$G$28),'Results'!$G$28&lt;0.7),AND(ISNUMBER('Results'!$G$29),'Results'!$G$29&lt;0.7)),"yes","no")</f>
        <v/>
      </c>
    </row>
    <row r="37">
      <c r="A37" t="inlineStr">
        <is>
          <t>Status</t>
        </is>
      </c>
      <c r="B37" s="13">
        <f>IF('Results'!$B$35=1,"Complete screening coverage","Partial screening coverage")</f>
        <v/>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81"/>
  <sheetViews>
    <sheetView workbookViewId="0">
      <selection activeCell="A1" sqref="A1"/>
    </sheetView>
  </sheetViews>
  <sheetFormatPr baseColWidth="8" defaultRowHeight="15"/>
  <cols>
    <col width="34" customWidth="1" min="1" max="1"/>
    <col width="16" customWidth="1" min="2" max="2"/>
    <col width="16" customWidth="1" min="3" max="3"/>
    <col width="14" customWidth="1" min="4" max="4"/>
    <col width="12" customWidth="1" min="5" max="5"/>
    <col width="12" customWidth="1" min="6" max="6"/>
  </cols>
  <sheetData>
    <row r="1">
      <c r="A1" s="4" t="inlineStr">
        <is>
          <t>Reference tables generated from the EASI scoring definitions</t>
        </is>
      </c>
    </row>
    <row r="2">
      <c r="A2" s="9" t="inlineStr">
        <is>
          <t>Read only. These values are the application's own catalog, reference curves, regional thresholds, lookups and weights. The Metrics sheet reads them by cell reference.</t>
        </is>
      </c>
    </row>
    <row r="4">
      <c r="A4" s="6" t="inlineStr">
        <is>
          <t>Rating anchors and function scores</t>
        </is>
      </c>
    </row>
    <row r="5">
      <c r="A5" s="8" t="inlineStr">
        <is>
          <t>Rating</t>
        </is>
      </c>
      <c r="B5" s="8" t="inlineStr">
        <is>
          <t>Index anchor</t>
        </is>
      </c>
      <c r="C5" s="8" t="inlineStr">
        <is>
          <t>Function score</t>
        </is>
      </c>
      <c r="D5" s="8" t="inlineStr">
        <is>
          <t>Score class</t>
        </is>
      </c>
    </row>
    <row r="6">
      <c r="A6" t="inlineStr">
        <is>
          <t>Good</t>
        </is>
      </c>
      <c r="B6" s="22" t="n">
        <v>0.85</v>
      </c>
      <c r="C6" t="n">
        <v>13</v>
      </c>
      <c r="D6" t="inlineStr">
        <is>
          <t>Functioning</t>
        </is>
      </c>
    </row>
    <row r="7">
      <c r="A7" t="inlineStr">
        <is>
          <t>Fair</t>
        </is>
      </c>
      <c r="B7" s="22" t="n">
        <v>0.545</v>
      </c>
      <c r="C7" t="n">
        <v>8</v>
      </c>
      <c r="D7" t="inlineStr">
        <is>
          <t>Functioning-at-Risk</t>
        </is>
      </c>
    </row>
    <row r="8">
      <c r="A8" t="inlineStr">
        <is>
          <t>Poor</t>
        </is>
      </c>
      <c r="B8" s="22" t="n">
        <v>0.195</v>
      </c>
      <c r="C8" t="n">
        <v>3</v>
      </c>
      <c r="D8" t="inlineStr">
        <is>
          <t>Non-Functioning</t>
        </is>
      </c>
    </row>
    <row r="10">
      <c r="A10" s="6" t="inlineStr">
        <is>
          <t>Condition classes</t>
        </is>
      </c>
    </row>
    <row r="11">
      <c r="A11" s="8" t="inlineStr">
        <is>
          <t>Index at or below</t>
        </is>
      </c>
      <c r="B11" s="8" t="inlineStr">
        <is>
          <t>Class</t>
        </is>
      </c>
      <c r="C11" s="8" t="inlineStr">
        <is>
          <t>Function score at or below</t>
        </is>
      </c>
    </row>
    <row r="12">
      <c r="A12" t="n">
        <v>0.39</v>
      </c>
      <c r="B12" t="inlineStr">
        <is>
          <t>Non-Functioning</t>
        </is>
      </c>
      <c r="C12" t="n">
        <v>5</v>
      </c>
    </row>
    <row r="13">
      <c r="A13" t="n">
        <v>0.6899999999999999</v>
      </c>
      <c r="B13" t="inlineStr">
        <is>
          <t>Functioning-at-Risk</t>
        </is>
      </c>
      <c r="C13" t="n">
        <v>10</v>
      </c>
    </row>
    <row r="14">
      <c r="A14" t="n">
        <v>1</v>
      </c>
      <c r="B14" t="inlineStr">
        <is>
          <t>Functioning</t>
        </is>
      </c>
      <c r="C14" t="n">
        <v>15</v>
      </c>
    </row>
    <row r="16">
      <c r="A16" s="6" t="inlineStr">
        <is>
          <t>Fixed bands per input (informational; the Metrics formulas carry the same tests)</t>
        </is>
      </c>
    </row>
    <row r="17">
      <c r="A17" s="8" t="inlineStr">
        <is>
          <t>Method</t>
        </is>
      </c>
      <c r="B17" s="8" t="inlineStr">
        <is>
          <t>Input</t>
        </is>
      </c>
      <c r="C17" s="8" t="inlineStr">
        <is>
          <t>Rating</t>
        </is>
      </c>
      <c r="D17" s="8" t="inlineStr">
        <is>
          <t>Min</t>
        </is>
      </c>
      <c r="E17" s="8" t="inlineStr">
        <is>
          <t>Min inclusive</t>
        </is>
      </c>
      <c r="F17" s="8" t="inlineStr">
        <is>
          <t>Max</t>
        </is>
      </c>
      <c r="G17" s="8" t="inlineStr">
        <is>
          <t>Max inclusive</t>
        </is>
      </c>
      <c r="H17" s="8" t="inlineStr">
        <is>
          <t>Label</t>
        </is>
      </c>
    </row>
    <row r="18">
      <c r="A18" t="inlineStr">
        <is>
          <t>catchment-land-cover-pressure</t>
        </is>
      </c>
      <c r="B18" t="inlineStr">
        <is>
          <t>impervious</t>
        </is>
      </c>
      <c r="C18" t="inlineStr">
        <is>
          <t>Good</t>
        </is>
      </c>
      <c r="E18" t="inlineStr">
        <is>
          <t>FALSE</t>
        </is>
      </c>
      <c r="F18" t="n">
        <v>10</v>
      </c>
      <c r="G18" t="inlineStr">
        <is>
          <t>FALSE</t>
        </is>
      </c>
      <c r="H18" t="inlineStr">
        <is>
          <t>&lt;10%</t>
        </is>
      </c>
    </row>
    <row r="19">
      <c r="A19" t="inlineStr">
        <is>
          <t>catchment-land-cover-pressure</t>
        </is>
      </c>
      <c r="B19" t="inlineStr">
        <is>
          <t>impervious</t>
        </is>
      </c>
      <c r="C19" t="inlineStr">
        <is>
          <t>Fair</t>
        </is>
      </c>
      <c r="D19" t="n">
        <v>10</v>
      </c>
      <c r="E19" t="inlineStr">
        <is>
          <t>TRUE</t>
        </is>
      </c>
      <c r="F19" t="n">
        <v>25</v>
      </c>
      <c r="G19" t="inlineStr">
        <is>
          <t>TRUE</t>
        </is>
      </c>
      <c r="H19" t="inlineStr">
        <is>
          <t>10-25%</t>
        </is>
      </c>
    </row>
    <row r="20">
      <c r="A20" t="inlineStr">
        <is>
          <t>catchment-land-cover-pressure</t>
        </is>
      </c>
      <c r="B20" t="inlineStr">
        <is>
          <t>impervious</t>
        </is>
      </c>
      <c r="C20" t="inlineStr">
        <is>
          <t>Poor</t>
        </is>
      </c>
      <c r="D20" t="n">
        <v>25</v>
      </c>
      <c r="E20" t="inlineStr">
        <is>
          <t>FALSE</t>
        </is>
      </c>
      <c r="G20" t="inlineStr">
        <is>
          <t>FALSE</t>
        </is>
      </c>
      <c r="H20" t="inlineStr">
        <is>
          <t>&gt;25%</t>
        </is>
      </c>
    </row>
    <row r="21">
      <c r="A21" t="inlineStr">
        <is>
          <t>catchment-land-cover-pressure</t>
        </is>
      </c>
      <c r="B21" t="inlineStr">
        <is>
          <t>agriculture</t>
        </is>
      </c>
      <c r="C21" t="inlineStr">
        <is>
          <t>Good</t>
        </is>
      </c>
      <c r="E21" t="inlineStr">
        <is>
          <t>FALSE</t>
        </is>
      </c>
      <c r="F21" t="n">
        <v>30</v>
      </c>
      <c r="G21" t="inlineStr">
        <is>
          <t>FALSE</t>
        </is>
      </c>
      <c r="H21" t="inlineStr">
        <is>
          <t>&lt;30%</t>
        </is>
      </c>
    </row>
    <row r="22">
      <c r="A22" t="inlineStr">
        <is>
          <t>catchment-land-cover-pressure</t>
        </is>
      </c>
      <c r="B22" t="inlineStr">
        <is>
          <t>agriculture</t>
        </is>
      </c>
      <c r="C22" t="inlineStr">
        <is>
          <t>Fair</t>
        </is>
      </c>
      <c r="D22" t="n">
        <v>30</v>
      </c>
      <c r="E22" t="inlineStr">
        <is>
          <t>TRUE</t>
        </is>
      </c>
      <c r="F22" t="n">
        <v>50</v>
      </c>
      <c r="G22" t="inlineStr">
        <is>
          <t>TRUE</t>
        </is>
      </c>
      <c r="H22" t="inlineStr">
        <is>
          <t>30-50%</t>
        </is>
      </c>
    </row>
    <row r="23">
      <c r="A23" t="inlineStr">
        <is>
          <t>catchment-land-cover-pressure</t>
        </is>
      </c>
      <c r="B23" t="inlineStr">
        <is>
          <t>agriculture</t>
        </is>
      </c>
      <c r="C23" t="inlineStr">
        <is>
          <t>Poor</t>
        </is>
      </c>
      <c r="D23" t="n">
        <v>50</v>
      </c>
      <c r="E23" t="inlineStr">
        <is>
          <t>FALSE</t>
        </is>
      </c>
      <c r="G23" t="inlineStr">
        <is>
          <t>FALSE</t>
        </is>
      </c>
      <c r="H23" t="inlineStr">
        <is>
          <t>&gt;50%</t>
        </is>
      </c>
    </row>
    <row r="24">
      <c r="A24" t="inlineStr">
        <is>
          <t>watershed-wetland-extent</t>
        </is>
      </c>
      <c r="B24" t="inlineStr">
        <is>
          <t>(combined)</t>
        </is>
      </c>
      <c r="C24" t="inlineStr">
        <is>
          <t>Poor</t>
        </is>
      </c>
      <c r="E24" t="inlineStr">
        <is>
          <t>FALSE</t>
        </is>
      </c>
      <c r="F24" t="n">
        <v>1</v>
      </c>
      <c r="G24" t="inlineStr">
        <is>
          <t>FALSE</t>
        </is>
      </c>
      <c r="H24" t="inlineStr">
        <is>
          <t>&lt;1%</t>
        </is>
      </c>
    </row>
    <row r="25">
      <c r="A25" t="inlineStr">
        <is>
          <t>watershed-wetland-extent</t>
        </is>
      </c>
      <c r="B25" t="inlineStr">
        <is>
          <t>(combined)</t>
        </is>
      </c>
      <c r="C25" t="inlineStr">
        <is>
          <t>Fair</t>
        </is>
      </c>
      <c r="D25" t="n">
        <v>1</v>
      </c>
      <c r="E25" t="inlineStr">
        <is>
          <t>TRUE</t>
        </is>
      </c>
      <c r="F25" t="n">
        <v>5</v>
      </c>
      <c r="G25" t="inlineStr">
        <is>
          <t>TRUE</t>
        </is>
      </c>
      <c r="H25" t="inlineStr">
        <is>
          <t>1-5%</t>
        </is>
      </c>
    </row>
    <row r="26">
      <c r="A26" t="inlineStr">
        <is>
          <t>watershed-wetland-extent</t>
        </is>
      </c>
      <c r="B26" t="inlineStr">
        <is>
          <t>(combined)</t>
        </is>
      </c>
      <c r="C26" t="inlineStr">
        <is>
          <t>Good</t>
        </is>
      </c>
      <c r="D26" t="n">
        <v>5</v>
      </c>
      <c r="E26" t="inlineStr">
        <is>
          <t>FALSE</t>
        </is>
      </c>
      <c r="G26" t="inlineStr">
        <is>
          <t>FALSE</t>
        </is>
      </c>
      <c r="H26" t="inlineStr">
        <is>
          <t>&gt;5%</t>
        </is>
      </c>
    </row>
    <row r="27">
      <c r="A27" t="inlineStr">
        <is>
          <t>road-density-inflow-pressure</t>
        </is>
      </c>
      <c r="B27" t="inlineStr">
        <is>
          <t>(combined)</t>
        </is>
      </c>
      <c r="C27" t="inlineStr">
        <is>
          <t>Good</t>
        </is>
      </c>
      <c r="E27" t="inlineStr">
        <is>
          <t>FALSE</t>
        </is>
      </c>
      <c r="F27" t="n">
        <v>1</v>
      </c>
      <c r="G27" t="inlineStr">
        <is>
          <t>FALSE</t>
        </is>
      </c>
      <c r="H27" t="inlineStr">
        <is>
          <t>&lt;1 km/km²</t>
        </is>
      </c>
    </row>
    <row r="28">
      <c r="A28" t="inlineStr">
        <is>
          <t>road-density-inflow-pressure</t>
        </is>
      </c>
      <c r="B28" t="inlineStr">
        <is>
          <t>(combined)</t>
        </is>
      </c>
      <c r="C28" t="inlineStr">
        <is>
          <t>Fair</t>
        </is>
      </c>
      <c r="D28" t="n">
        <v>1</v>
      </c>
      <c r="E28" t="inlineStr">
        <is>
          <t>TRUE</t>
        </is>
      </c>
      <c r="F28" t="n">
        <v>3</v>
      </c>
      <c r="G28" t="inlineStr">
        <is>
          <t>FALSE</t>
        </is>
      </c>
      <c r="H28" t="inlineStr">
        <is>
          <t>1-&lt;3 km/km²</t>
        </is>
      </c>
    </row>
    <row r="29">
      <c r="A29" t="inlineStr">
        <is>
          <t>road-density-inflow-pressure</t>
        </is>
      </c>
      <c r="B29" t="inlineStr">
        <is>
          <t>(combined)</t>
        </is>
      </c>
      <c r="C29" t="inlineStr">
        <is>
          <t>Poor</t>
        </is>
      </c>
      <c r="D29" t="n">
        <v>3</v>
      </c>
      <c r="E29" t="inlineStr">
        <is>
          <t>TRUE</t>
        </is>
      </c>
      <c r="G29" t="inlineStr">
        <is>
          <t>FALSE</t>
        </is>
      </c>
      <c r="H29" t="inlineStr">
        <is>
          <t>≥3 km/km²</t>
        </is>
      </c>
    </row>
    <row r="30">
      <c r="A30" t="inlineStr">
        <is>
          <t>degree-of-regulation</t>
        </is>
      </c>
      <c r="B30" t="inlineStr">
        <is>
          <t>(combined)</t>
        </is>
      </c>
      <c r="C30" t="inlineStr">
        <is>
          <t>Good</t>
        </is>
      </c>
      <c r="E30" t="inlineStr">
        <is>
          <t>FALSE</t>
        </is>
      </c>
      <c r="F30" t="n">
        <v>2</v>
      </c>
      <c r="G30" t="inlineStr">
        <is>
          <t>FALSE</t>
        </is>
      </c>
      <c r="H30" t="inlineStr">
        <is>
          <t>&lt;2%</t>
        </is>
      </c>
    </row>
    <row r="31">
      <c r="A31" t="inlineStr">
        <is>
          <t>degree-of-regulation</t>
        </is>
      </c>
      <c r="B31" t="inlineStr">
        <is>
          <t>(combined)</t>
        </is>
      </c>
      <c r="C31" t="inlineStr">
        <is>
          <t>Fair</t>
        </is>
      </c>
      <c r="D31" t="n">
        <v>2</v>
      </c>
      <c r="E31" t="inlineStr">
        <is>
          <t>TRUE</t>
        </is>
      </c>
      <c r="F31" t="n">
        <v>15</v>
      </c>
      <c r="G31" t="inlineStr">
        <is>
          <t>TRUE</t>
        </is>
      </c>
      <c r="H31" t="inlineStr">
        <is>
          <t>2-15%</t>
        </is>
      </c>
    </row>
    <row r="32">
      <c r="A32" t="inlineStr">
        <is>
          <t>degree-of-regulation</t>
        </is>
      </c>
      <c r="B32" t="inlineStr">
        <is>
          <t>(combined)</t>
        </is>
      </c>
      <c r="C32" t="inlineStr">
        <is>
          <t>Poor</t>
        </is>
      </c>
      <c r="D32" t="n">
        <v>15</v>
      </c>
      <c r="E32" t="inlineStr">
        <is>
          <t>FALSE</t>
        </is>
      </c>
      <c r="G32" t="inlineStr">
        <is>
          <t>FALSE</t>
        </is>
      </c>
      <c r="H32" t="inlineStr">
        <is>
          <t>&gt;15%</t>
        </is>
      </c>
    </row>
    <row r="33">
      <c r="A33" t="inlineStr">
        <is>
          <t>bank-height-ratio</t>
        </is>
      </c>
      <c r="B33" t="inlineStr">
        <is>
          <t>(combined)</t>
        </is>
      </c>
      <c r="C33" t="inlineStr">
        <is>
          <t>Good</t>
        </is>
      </c>
      <c r="E33" t="inlineStr">
        <is>
          <t>FALSE</t>
        </is>
      </c>
      <c r="F33" t="n">
        <v>1.3</v>
      </c>
      <c r="G33" t="inlineStr">
        <is>
          <t>TRUE</t>
        </is>
      </c>
      <c r="H33" t="inlineStr">
        <is>
          <t>≤1.3</t>
        </is>
      </c>
    </row>
    <row r="34">
      <c r="A34" t="inlineStr">
        <is>
          <t>bank-height-ratio</t>
        </is>
      </c>
      <c r="B34" t="inlineStr">
        <is>
          <t>(combined)</t>
        </is>
      </c>
      <c r="C34" t="inlineStr">
        <is>
          <t>Fair</t>
        </is>
      </c>
      <c r="D34" t="n">
        <v>1.3</v>
      </c>
      <c r="E34" t="inlineStr">
        <is>
          <t>FALSE</t>
        </is>
      </c>
      <c r="F34" t="n">
        <v>1.5</v>
      </c>
      <c r="G34" t="inlineStr">
        <is>
          <t>TRUE</t>
        </is>
      </c>
      <c r="H34" t="inlineStr">
        <is>
          <t>&gt;1.3-≤1.5</t>
        </is>
      </c>
    </row>
    <row r="35">
      <c r="A35" t="inlineStr">
        <is>
          <t>bank-height-ratio</t>
        </is>
      </c>
      <c r="B35" t="inlineStr">
        <is>
          <t>(combined)</t>
        </is>
      </c>
      <c r="C35" t="inlineStr">
        <is>
          <t>Poor</t>
        </is>
      </c>
      <c r="D35" t="n">
        <v>1.5</v>
      </c>
      <c r="E35" t="inlineStr">
        <is>
          <t>FALSE</t>
        </is>
      </c>
      <c r="G35" t="inlineStr">
        <is>
          <t>FALSE</t>
        </is>
      </c>
      <c r="H35" t="inlineStr">
        <is>
          <t>&gt;1.5</t>
        </is>
      </c>
    </row>
    <row r="36">
      <c r="A36" t="inlineStr">
        <is>
          <t>hyporheic-exchange-potential</t>
        </is>
      </c>
      <c r="B36" t="inlineStr">
        <is>
          <t>slope</t>
        </is>
      </c>
      <c r="C36" t="inlineStr">
        <is>
          <t>Poor</t>
        </is>
      </c>
      <c r="E36" t="inlineStr">
        <is>
          <t>FALSE</t>
        </is>
      </c>
      <c r="F36" t="n">
        <v>0.003</v>
      </c>
      <c r="G36" t="inlineStr">
        <is>
          <t>FALSE</t>
        </is>
      </c>
      <c r="H36" t="inlineStr">
        <is>
          <t>&lt;0.003 m/m</t>
        </is>
      </c>
    </row>
    <row r="37">
      <c r="A37" t="inlineStr">
        <is>
          <t>hyporheic-exchange-potential</t>
        </is>
      </c>
      <c r="B37" t="inlineStr">
        <is>
          <t>slope</t>
        </is>
      </c>
      <c r="C37" t="inlineStr">
        <is>
          <t>Fair</t>
        </is>
      </c>
      <c r="D37" t="n">
        <v>0.003</v>
      </c>
      <c r="E37" t="inlineStr">
        <is>
          <t>TRUE</t>
        </is>
      </c>
      <c r="F37" t="n">
        <v>0.006</v>
      </c>
      <c r="G37" t="inlineStr">
        <is>
          <t>FALSE</t>
        </is>
      </c>
      <c r="H37" t="inlineStr">
        <is>
          <t>0.003-&lt;0.006 m/m</t>
        </is>
      </c>
    </row>
    <row r="38">
      <c r="A38" t="inlineStr">
        <is>
          <t>hyporheic-exchange-potential</t>
        </is>
      </c>
      <c r="B38" t="inlineStr">
        <is>
          <t>slope</t>
        </is>
      </c>
      <c r="C38" t="inlineStr">
        <is>
          <t>Good</t>
        </is>
      </c>
      <c r="D38" t="n">
        <v>0.006</v>
      </c>
      <c r="E38" t="inlineStr">
        <is>
          <t>TRUE</t>
        </is>
      </c>
      <c r="G38" t="inlineStr">
        <is>
          <t>FALSE</t>
        </is>
      </c>
      <c r="H38" t="inlineStr">
        <is>
          <t>≥0.006 m/m</t>
        </is>
      </c>
    </row>
    <row r="39">
      <c r="A39" t="inlineStr">
        <is>
          <t>hyporheic-exchange-potential</t>
        </is>
      </c>
      <c r="B39" t="inlineStr">
        <is>
          <t>sinuosity</t>
        </is>
      </c>
      <c r="C39" t="inlineStr">
        <is>
          <t>Poor</t>
        </is>
      </c>
      <c r="E39" t="inlineStr">
        <is>
          <t>FALSE</t>
        </is>
      </c>
      <c r="F39" t="n">
        <v>1.05</v>
      </c>
      <c r="G39" t="inlineStr">
        <is>
          <t>FALSE</t>
        </is>
      </c>
      <c r="H39" t="inlineStr">
        <is>
          <t>&lt;1.05</t>
        </is>
      </c>
    </row>
    <row r="40">
      <c r="A40" t="inlineStr">
        <is>
          <t>hyporheic-exchange-potential</t>
        </is>
      </c>
      <c r="B40" t="inlineStr">
        <is>
          <t>sinuosity</t>
        </is>
      </c>
      <c r="C40" t="inlineStr">
        <is>
          <t>Fair</t>
        </is>
      </c>
      <c r="D40" t="n">
        <v>1.05</v>
      </c>
      <c r="E40" t="inlineStr">
        <is>
          <t>TRUE</t>
        </is>
      </c>
      <c r="F40" t="n">
        <v>1.2</v>
      </c>
      <c r="G40" t="inlineStr">
        <is>
          <t>FALSE</t>
        </is>
      </c>
      <c r="H40" t="inlineStr">
        <is>
          <t>1.05-&lt;1.2</t>
        </is>
      </c>
    </row>
    <row r="41">
      <c r="A41" t="inlineStr">
        <is>
          <t>hyporheic-exchange-potential</t>
        </is>
      </c>
      <c r="B41" t="inlineStr">
        <is>
          <t>sinuosity</t>
        </is>
      </c>
      <c r="C41" t="inlineStr">
        <is>
          <t>Good</t>
        </is>
      </c>
      <c r="D41" t="n">
        <v>1.2</v>
      </c>
      <c r="E41" t="inlineStr">
        <is>
          <t>TRUE</t>
        </is>
      </c>
      <c r="G41" t="inlineStr">
        <is>
          <t>FALSE</t>
        </is>
      </c>
      <c r="H41" t="inlineStr">
        <is>
          <t>≥1.2</t>
        </is>
      </c>
    </row>
    <row r="42">
      <c r="A42" t="inlineStr">
        <is>
          <t>channel-adjustment-susceptibility</t>
        </is>
      </c>
      <c r="B42" t="inlineStr">
        <is>
          <t>bhr</t>
        </is>
      </c>
      <c r="C42" t="inlineStr">
        <is>
          <t>Good</t>
        </is>
      </c>
      <c r="E42" t="inlineStr">
        <is>
          <t>FALSE</t>
        </is>
      </c>
      <c r="F42" t="n">
        <v>1.3</v>
      </c>
      <c r="G42" t="inlineStr">
        <is>
          <t>TRUE</t>
        </is>
      </c>
      <c r="H42" t="inlineStr">
        <is>
          <t>≤1.3</t>
        </is>
      </c>
    </row>
    <row r="43">
      <c r="A43" t="inlineStr">
        <is>
          <t>channel-adjustment-susceptibility</t>
        </is>
      </c>
      <c r="B43" t="inlineStr">
        <is>
          <t>bhr</t>
        </is>
      </c>
      <c r="C43" t="inlineStr">
        <is>
          <t>Fair</t>
        </is>
      </c>
      <c r="D43" t="n">
        <v>1.3</v>
      </c>
      <c r="E43" t="inlineStr">
        <is>
          <t>FALSE</t>
        </is>
      </c>
      <c r="F43" t="n">
        <v>1.5</v>
      </c>
      <c r="G43" t="inlineStr">
        <is>
          <t>TRUE</t>
        </is>
      </c>
      <c r="H43" t="inlineStr">
        <is>
          <t>&gt;1.3-≤1.5</t>
        </is>
      </c>
    </row>
    <row r="44">
      <c r="A44" t="inlineStr">
        <is>
          <t>channel-adjustment-susceptibility</t>
        </is>
      </c>
      <c r="B44" t="inlineStr">
        <is>
          <t>bhr</t>
        </is>
      </c>
      <c r="C44" t="inlineStr">
        <is>
          <t>Poor</t>
        </is>
      </c>
      <c r="D44" t="n">
        <v>1.5</v>
      </c>
      <c r="E44" t="inlineStr">
        <is>
          <t>FALSE</t>
        </is>
      </c>
      <c r="G44" t="inlineStr">
        <is>
          <t>FALSE</t>
        </is>
      </c>
      <c r="H44" t="inlineStr">
        <is>
          <t>&gt;1.5</t>
        </is>
      </c>
    </row>
    <row r="45">
      <c r="A45" t="inlineStr">
        <is>
          <t>bhr-bank-instability-susceptibility</t>
        </is>
      </c>
      <c r="B45" t="inlineStr">
        <is>
          <t>(combined)</t>
        </is>
      </c>
      <c r="C45" t="inlineStr">
        <is>
          <t>Good</t>
        </is>
      </c>
      <c r="E45" t="inlineStr">
        <is>
          <t>FALSE</t>
        </is>
      </c>
      <c r="F45" t="n">
        <v>1.3</v>
      </c>
      <c r="G45" t="inlineStr">
        <is>
          <t>TRUE</t>
        </is>
      </c>
      <c r="H45" t="inlineStr">
        <is>
          <t>≤1.3</t>
        </is>
      </c>
    </row>
    <row r="46">
      <c r="A46" t="inlineStr">
        <is>
          <t>bhr-bank-instability-susceptibility</t>
        </is>
      </c>
      <c r="B46" t="inlineStr">
        <is>
          <t>(combined)</t>
        </is>
      </c>
      <c r="C46" t="inlineStr">
        <is>
          <t>Fair</t>
        </is>
      </c>
      <c r="D46" t="n">
        <v>1.3</v>
      </c>
      <c r="E46" t="inlineStr">
        <is>
          <t>FALSE</t>
        </is>
      </c>
      <c r="F46" t="n">
        <v>1.5</v>
      </c>
      <c r="G46" t="inlineStr">
        <is>
          <t>TRUE</t>
        </is>
      </c>
      <c r="H46" t="inlineStr">
        <is>
          <t>&gt;1.3-≤1.5</t>
        </is>
      </c>
    </row>
    <row r="47">
      <c r="A47" t="inlineStr">
        <is>
          <t>bhr-bank-instability-susceptibility</t>
        </is>
      </c>
      <c r="B47" t="inlineStr">
        <is>
          <t>(combined)</t>
        </is>
      </c>
      <c r="C47" t="inlineStr">
        <is>
          <t>Poor</t>
        </is>
      </c>
      <c r="D47" t="n">
        <v>1.5</v>
      </c>
      <c r="E47" t="inlineStr">
        <is>
          <t>FALSE</t>
        </is>
      </c>
      <c r="G47" t="inlineStr">
        <is>
          <t>FALSE</t>
        </is>
      </c>
      <c r="H47" t="inlineStr">
        <is>
          <t>&gt;1.5</t>
        </is>
      </c>
    </row>
    <row r="48">
      <c r="A48" t="inlineStr">
        <is>
          <t>observed-bank-condition</t>
        </is>
      </c>
      <c r="B48" t="inlineStr">
        <is>
          <t>erodingBankPct</t>
        </is>
      </c>
      <c r="C48" t="inlineStr">
        <is>
          <t>Good</t>
        </is>
      </c>
      <c r="E48" t="inlineStr">
        <is>
          <t>FALSE</t>
        </is>
      </c>
      <c r="F48" t="n">
        <v>5</v>
      </c>
      <c r="G48" t="inlineStr">
        <is>
          <t>FALSE</t>
        </is>
      </c>
      <c r="H48" t="inlineStr">
        <is>
          <t>&lt;5%</t>
        </is>
      </c>
    </row>
    <row r="49">
      <c r="A49" t="inlineStr">
        <is>
          <t>observed-bank-condition</t>
        </is>
      </c>
      <c r="B49" t="inlineStr">
        <is>
          <t>erodingBankPct</t>
        </is>
      </c>
      <c r="C49" t="inlineStr">
        <is>
          <t>Fair</t>
        </is>
      </c>
      <c r="D49" t="n">
        <v>5</v>
      </c>
      <c r="E49" t="inlineStr">
        <is>
          <t>TRUE</t>
        </is>
      </c>
      <c r="F49" t="n">
        <v>60</v>
      </c>
      <c r="G49" t="inlineStr">
        <is>
          <t>FALSE</t>
        </is>
      </c>
      <c r="H49" t="inlineStr">
        <is>
          <t>5-&lt;60%</t>
        </is>
      </c>
    </row>
    <row r="50">
      <c r="A50" t="inlineStr">
        <is>
          <t>observed-bank-condition</t>
        </is>
      </c>
      <c r="B50" t="inlineStr">
        <is>
          <t>erodingBankPct</t>
        </is>
      </c>
      <c r="C50" t="inlineStr">
        <is>
          <t>Poor</t>
        </is>
      </c>
      <c r="D50" t="n">
        <v>60</v>
      </c>
      <c r="E50" t="inlineStr">
        <is>
          <t>TRUE</t>
        </is>
      </c>
      <c r="G50" t="inlineStr">
        <is>
          <t>FALSE</t>
        </is>
      </c>
      <c r="H50" t="inlineStr">
        <is>
          <t>≥60%</t>
        </is>
      </c>
    </row>
    <row r="51">
      <c r="A51" t="inlineStr">
        <is>
          <t>observed-bank-condition</t>
        </is>
      </c>
      <c r="B51" t="inlineStr">
        <is>
          <t>armoredBankPct</t>
        </is>
      </c>
      <c r="C51" t="inlineStr">
        <is>
          <t>Good</t>
        </is>
      </c>
      <c r="E51" t="inlineStr">
        <is>
          <t>FALSE</t>
        </is>
      </c>
      <c r="F51" t="n">
        <v>0</v>
      </c>
      <c r="G51" t="inlineStr">
        <is>
          <t>TRUE</t>
        </is>
      </c>
      <c r="H51" t="inlineStr">
        <is>
          <t>0%</t>
        </is>
      </c>
    </row>
    <row r="52">
      <c r="A52" t="inlineStr">
        <is>
          <t>observed-bank-condition</t>
        </is>
      </c>
      <c r="B52" t="inlineStr">
        <is>
          <t>armoredBankPct</t>
        </is>
      </c>
      <c r="C52" t="inlineStr">
        <is>
          <t>Fair</t>
        </is>
      </c>
      <c r="D52" t="n">
        <v>0</v>
      </c>
      <c r="E52" t="inlineStr">
        <is>
          <t>FALSE</t>
        </is>
      </c>
      <c r="F52" t="n">
        <v>50</v>
      </c>
      <c r="G52" t="inlineStr">
        <is>
          <t>FALSE</t>
        </is>
      </c>
      <c r="H52" t="inlineStr">
        <is>
          <t>&gt;0-&lt;50%</t>
        </is>
      </c>
    </row>
    <row r="53">
      <c r="A53" t="inlineStr">
        <is>
          <t>observed-bank-condition</t>
        </is>
      </c>
      <c r="B53" t="inlineStr">
        <is>
          <t>armoredBankPct</t>
        </is>
      </c>
      <c r="C53" t="inlineStr">
        <is>
          <t>Poor</t>
        </is>
      </c>
      <c r="D53" t="n">
        <v>50</v>
      </c>
      <c r="E53" t="inlineStr">
        <is>
          <t>TRUE</t>
        </is>
      </c>
      <c r="G53" t="inlineStr">
        <is>
          <t>FALSE</t>
        </is>
      </c>
      <c r="H53" t="inlineStr">
        <is>
          <t>≥50%</t>
        </is>
      </c>
    </row>
    <row r="54">
      <c r="A54" t="inlineStr">
        <is>
          <t>sediment-supply-potential</t>
        </is>
      </c>
      <c r="B54" t="inlineStr">
        <is>
          <t>agriculture</t>
        </is>
      </c>
      <c r="C54" t="inlineStr">
        <is>
          <t>Good</t>
        </is>
      </c>
      <c r="E54" t="inlineStr">
        <is>
          <t>FALSE</t>
        </is>
      </c>
      <c r="F54" t="n">
        <v>30</v>
      </c>
      <c r="G54" t="inlineStr">
        <is>
          <t>FALSE</t>
        </is>
      </c>
      <c r="H54" t="inlineStr">
        <is>
          <t>&lt;30%</t>
        </is>
      </c>
    </row>
    <row r="55">
      <c r="A55" t="inlineStr">
        <is>
          <t>sediment-supply-potential</t>
        </is>
      </c>
      <c r="B55" t="inlineStr">
        <is>
          <t>agriculture</t>
        </is>
      </c>
      <c r="C55" t="inlineStr">
        <is>
          <t>Fair</t>
        </is>
      </c>
      <c r="D55" t="n">
        <v>30</v>
      </c>
      <c r="E55" t="inlineStr">
        <is>
          <t>TRUE</t>
        </is>
      </c>
      <c r="F55" t="n">
        <v>50</v>
      </c>
      <c r="G55" t="inlineStr">
        <is>
          <t>TRUE</t>
        </is>
      </c>
      <c r="H55" t="inlineStr">
        <is>
          <t>30-50%</t>
        </is>
      </c>
    </row>
    <row r="56">
      <c r="A56" t="inlineStr">
        <is>
          <t>sediment-supply-potential</t>
        </is>
      </c>
      <c r="B56" t="inlineStr">
        <is>
          <t>agriculture</t>
        </is>
      </c>
      <c r="C56" t="inlineStr">
        <is>
          <t>Poor</t>
        </is>
      </c>
      <c r="D56" t="n">
        <v>50</v>
      </c>
      <c r="E56" t="inlineStr">
        <is>
          <t>FALSE</t>
        </is>
      </c>
      <c r="G56" t="inlineStr">
        <is>
          <t>FALSE</t>
        </is>
      </c>
      <c r="H56" t="inlineStr">
        <is>
          <t>&gt;50%</t>
        </is>
      </c>
    </row>
    <row r="57">
      <c r="A57" t="inlineStr">
        <is>
          <t>sediment-supply-potential</t>
        </is>
      </c>
      <c r="B57" t="inlineStr">
        <is>
          <t>kFactor</t>
        </is>
      </c>
      <c r="C57" t="inlineStr">
        <is>
          <t>Good</t>
        </is>
      </c>
      <c r="E57" t="inlineStr">
        <is>
          <t>FALSE</t>
        </is>
      </c>
      <c r="F57" t="n">
        <v>0.25</v>
      </c>
      <c r="G57" t="inlineStr">
        <is>
          <t>FALSE</t>
        </is>
      </c>
      <c r="H57" t="inlineStr">
        <is>
          <t>&lt;0.25</t>
        </is>
      </c>
    </row>
    <row r="58">
      <c r="A58" t="inlineStr">
        <is>
          <t>sediment-supply-potential</t>
        </is>
      </c>
      <c r="B58" t="inlineStr">
        <is>
          <t>kFactor</t>
        </is>
      </c>
      <c r="C58" t="inlineStr">
        <is>
          <t>Fair</t>
        </is>
      </c>
      <c r="D58" t="n">
        <v>0.25</v>
      </c>
      <c r="E58" t="inlineStr">
        <is>
          <t>TRUE</t>
        </is>
      </c>
      <c r="F58" t="n">
        <v>0.4</v>
      </c>
      <c r="G58" t="inlineStr">
        <is>
          <t>TRUE</t>
        </is>
      </c>
      <c r="H58" t="inlineStr">
        <is>
          <t>0.25-0.40</t>
        </is>
      </c>
    </row>
    <row r="59">
      <c r="A59" t="inlineStr">
        <is>
          <t>sediment-supply-potential</t>
        </is>
      </c>
      <c r="B59" t="inlineStr">
        <is>
          <t>kFactor</t>
        </is>
      </c>
      <c r="C59" t="inlineStr">
        <is>
          <t>Poor</t>
        </is>
      </c>
      <c r="D59" t="n">
        <v>0.4</v>
      </c>
      <c r="E59" t="inlineStr">
        <is>
          <t>FALSE</t>
        </is>
      </c>
      <c r="G59" t="inlineStr">
        <is>
          <t>FALSE</t>
        </is>
      </c>
      <c r="H59" t="inlineStr">
        <is>
          <t>&gt;0.40</t>
        </is>
      </c>
    </row>
    <row r="60">
      <c r="A60" t="inlineStr">
        <is>
          <t>sediment-supply-potential</t>
        </is>
      </c>
      <c r="B60" t="inlineStr">
        <is>
          <t>roadDensity</t>
        </is>
      </c>
      <c r="C60" t="inlineStr">
        <is>
          <t>Good</t>
        </is>
      </c>
      <c r="E60" t="inlineStr">
        <is>
          <t>FALSE</t>
        </is>
      </c>
      <c r="F60" t="n">
        <v>1.24</v>
      </c>
      <c r="G60" t="inlineStr">
        <is>
          <t>FALSE</t>
        </is>
      </c>
      <c r="H60" t="inlineStr">
        <is>
          <t>&lt;1.24 km/km²</t>
        </is>
      </c>
    </row>
    <row r="61">
      <c r="A61" t="inlineStr">
        <is>
          <t>sediment-supply-potential</t>
        </is>
      </c>
      <c r="B61" t="inlineStr">
        <is>
          <t>roadDensity</t>
        </is>
      </c>
      <c r="C61" t="inlineStr">
        <is>
          <t>Fair</t>
        </is>
      </c>
      <c r="D61" t="n">
        <v>1.24</v>
      </c>
      <c r="E61" t="inlineStr">
        <is>
          <t>TRUE</t>
        </is>
      </c>
      <c r="F61" t="n">
        <v>1.86</v>
      </c>
      <c r="G61" t="inlineStr">
        <is>
          <t>FALSE</t>
        </is>
      </c>
      <c r="H61" t="inlineStr">
        <is>
          <t>1.24-&lt;1.86 km/km²</t>
        </is>
      </c>
    </row>
    <row r="62">
      <c r="A62" t="inlineStr">
        <is>
          <t>sediment-supply-potential</t>
        </is>
      </c>
      <c r="B62" t="inlineStr">
        <is>
          <t>roadDensity</t>
        </is>
      </c>
      <c r="C62" t="inlineStr">
        <is>
          <t>Poor</t>
        </is>
      </c>
      <c r="D62" t="n">
        <v>1.86</v>
      </c>
      <c r="E62" t="inlineStr">
        <is>
          <t>TRUE</t>
        </is>
      </c>
      <c r="G62" t="inlineStr">
        <is>
          <t>FALSE</t>
        </is>
      </c>
      <c r="H62" t="inlineStr">
        <is>
          <t>≥1.86 km/km²</t>
        </is>
      </c>
    </row>
    <row r="63">
      <c r="A63" t="inlineStr">
        <is>
          <t>watershed-agriculture-share</t>
        </is>
      </c>
      <c r="B63" t="inlineStr">
        <is>
          <t>(combined)</t>
        </is>
      </c>
      <c r="C63" t="inlineStr">
        <is>
          <t>Good</t>
        </is>
      </c>
      <c r="E63" t="inlineStr">
        <is>
          <t>FALSE</t>
        </is>
      </c>
      <c r="F63" t="n">
        <v>30</v>
      </c>
      <c r="G63" t="inlineStr">
        <is>
          <t>FALSE</t>
        </is>
      </c>
      <c r="H63" t="inlineStr">
        <is>
          <t>&lt;30%</t>
        </is>
      </c>
    </row>
    <row r="64">
      <c r="A64" t="inlineStr">
        <is>
          <t>watershed-agriculture-share</t>
        </is>
      </c>
      <c r="B64" t="inlineStr">
        <is>
          <t>(combined)</t>
        </is>
      </c>
      <c r="C64" t="inlineStr">
        <is>
          <t>Fair</t>
        </is>
      </c>
      <c r="D64" t="n">
        <v>30</v>
      </c>
      <c r="E64" t="inlineStr">
        <is>
          <t>TRUE</t>
        </is>
      </c>
      <c r="F64" t="n">
        <v>50</v>
      </c>
      <c r="G64" t="inlineStr">
        <is>
          <t>TRUE</t>
        </is>
      </c>
      <c r="H64" t="inlineStr">
        <is>
          <t>30-50%</t>
        </is>
      </c>
    </row>
    <row r="65">
      <c r="A65" t="inlineStr">
        <is>
          <t>watershed-agriculture-share</t>
        </is>
      </c>
      <c r="B65" t="inlineStr">
        <is>
          <t>(combined)</t>
        </is>
      </c>
      <c r="C65" t="inlineStr">
        <is>
          <t>Poor</t>
        </is>
      </c>
      <c r="D65" t="n">
        <v>50</v>
      </c>
      <c r="E65" t="inlineStr">
        <is>
          <t>FALSE</t>
        </is>
      </c>
      <c r="G65" t="inlineStr">
        <is>
          <t>FALSE</t>
        </is>
      </c>
      <c r="H65" t="inlineStr">
        <is>
          <t>&gt;50%</t>
        </is>
      </c>
    </row>
    <row r="66">
      <c r="A66" t="inlineStr">
        <is>
          <t>thermal-regulation-vulnerability</t>
        </is>
      </c>
      <c r="B66" t="inlineStr">
        <is>
          <t>impervious</t>
        </is>
      </c>
      <c r="C66" t="inlineStr">
        <is>
          <t>Good</t>
        </is>
      </c>
      <c r="E66" t="inlineStr">
        <is>
          <t>FALSE</t>
        </is>
      </c>
      <c r="F66" t="n">
        <v>10</v>
      </c>
      <c r="G66" t="inlineStr">
        <is>
          <t>FALSE</t>
        </is>
      </c>
      <c r="H66" t="inlineStr">
        <is>
          <t>&lt;10%</t>
        </is>
      </c>
    </row>
    <row r="67">
      <c r="A67" t="inlineStr">
        <is>
          <t>thermal-regulation-vulnerability</t>
        </is>
      </c>
      <c r="B67" t="inlineStr">
        <is>
          <t>impervious</t>
        </is>
      </c>
      <c r="C67" t="inlineStr">
        <is>
          <t>Fair</t>
        </is>
      </c>
      <c r="D67" t="n">
        <v>10</v>
      </c>
      <c r="E67" t="inlineStr">
        <is>
          <t>TRUE</t>
        </is>
      </c>
      <c r="F67" t="n">
        <v>25</v>
      </c>
      <c r="G67" t="inlineStr">
        <is>
          <t>TRUE</t>
        </is>
      </c>
      <c r="H67" t="inlineStr">
        <is>
          <t>10-25%</t>
        </is>
      </c>
    </row>
    <row r="68">
      <c r="A68" t="inlineStr">
        <is>
          <t>thermal-regulation-vulnerability</t>
        </is>
      </c>
      <c r="B68" t="inlineStr">
        <is>
          <t>impervious</t>
        </is>
      </c>
      <c r="C68" t="inlineStr">
        <is>
          <t>Poor</t>
        </is>
      </c>
      <c r="D68" t="n">
        <v>25</v>
      </c>
      <c r="E68" t="inlineStr">
        <is>
          <t>FALSE</t>
        </is>
      </c>
      <c r="G68" t="inlineStr">
        <is>
          <t>FALSE</t>
        </is>
      </c>
      <c r="H68" t="inlineStr">
        <is>
          <t>&gt;25%</t>
        </is>
      </c>
    </row>
    <row r="69">
      <c r="A69" t="inlineStr">
        <is>
          <t>streamcat-chem-integrity-nutrient</t>
        </is>
      </c>
      <c r="B69" t="inlineStr">
        <is>
          <t>(combined)</t>
        </is>
      </c>
      <c r="C69" t="inlineStr">
        <is>
          <t>Poor</t>
        </is>
      </c>
      <c r="E69" t="inlineStr">
        <is>
          <t>FALSE</t>
        </is>
      </c>
      <c r="F69" t="n">
        <v>0.4</v>
      </c>
      <c r="G69" t="inlineStr">
        <is>
          <t>FALSE</t>
        </is>
      </c>
      <c r="H69" t="inlineStr">
        <is>
          <t>&lt;0.40</t>
        </is>
      </c>
    </row>
    <row r="70">
      <c r="A70" t="inlineStr">
        <is>
          <t>streamcat-chem-integrity-nutrient</t>
        </is>
      </c>
      <c r="B70" t="inlineStr">
        <is>
          <t>(combined)</t>
        </is>
      </c>
      <c r="C70" t="inlineStr">
        <is>
          <t>Fair</t>
        </is>
      </c>
      <c r="D70" t="n">
        <v>0.4</v>
      </c>
      <c r="E70" t="inlineStr">
        <is>
          <t>TRUE</t>
        </is>
      </c>
      <c r="F70" t="n">
        <v>0.7</v>
      </c>
      <c r="G70" t="inlineStr">
        <is>
          <t>FALSE</t>
        </is>
      </c>
      <c r="H70" t="inlineStr">
        <is>
          <t>0.40-&lt;0.70</t>
        </is>
      </c>
    </row>
    <row r="71">
      <c r="A71" t="inlineStr">
        <is>
          <t>streamcat-chem-integrity-nutrient</t>
        </is>
      </c>
      <c r="B71" t="inlineStr">
        <is>
          <t>(combined)</t>
        </is>
      </c>
      <c r="C71" t="inlineStr">
        <is>
          <t>Good</t>
        </is>
      </c>
      <c r="D71" t="n">
        <v>0.7</v>
      </c>
      <c r="E71" t="inlineStr">
        <is>
          <t>TRUE</t>
        </is>
      </c>
      <c r="G71" t="inlineStr">
        <is>
          <t>FALSE</t>
        </is>
      </c>
      <c r="H71" t="inlineStr">
        <is>
          <t>≥0.70</t>
        </is>
      </c>
    </row>
    <row r="72">
      <c r="A72" t="inlineStr">
        <is>
          <t>streamcat-chem-integrity-regulatory</t>
        </is>
      </c>
      <c r="B72" t="inlineStr">
        <is>
          <t>(combined)</t>
        </is>
      </c>
      <c r="C72" t="inlineStr">
        <is>
          <t>Poor</t>
        </is>
      </c>
      <c r="E72" t="inlineStr">
        <is>
          <t>FALSE</t>
        </is>
      </c>
      <c r="F72" t="n">
        <v>0.4</v>
      </c>
      <c r="G72" t="inlineStr">
        <is>
          <t>FALSE</t>
        </is>
      </c>
      <c r="H72" t="inlineStr">
        <is>
          <t>&lt;0.40</t>
        </is>
      </c>
    </row>
    <row r="73">
      <c r="A73" t="inlineStr">
        <is>
          <t>streamcat-chem-integrity-regulatory</t>
        </is>
      </c>
      <c r="B73" t="inlineStr">
        <is>
          <t>(combined)</t>
        </is>
      </c>
      <c r="C73" t="inlineStr">
        <is>
          <t>Fair</t>
        </is>
      </c>
      <c r="D73" t="n">
        <v>0.4</v>
      </c>
      <c r="E73" t="inlineStr">
        <is>
          <t>TRUE</t>
        </is>
      </c>
      <c r="F73" t="n">
        <v>0.7</v>
      </c>
      <c r="G73" t="inlineStr">
        <is>
          <t>FALSE</t>
        </is>
      </c>
      <c r="H73" t="inlineStr">
        <is>
          <t>0.40-&lt;0.70</t>
        </is>
      </c>
    </row>
    <row r="74">
      <c r="A74" t="inlineStr">
        <is>
          <t>streamcat-chem-integrity-regulatory</t>
        </is>
      </c>
      <c r="B74" t="inlineStr">
        <is>
          <t>(combined)</t>
        </is>
      </c>
      <c r="C74" t="inlineStr">
        <is>
          <t>Good</t>
        </is>
      </c>
      <c r="D74" t="n">
        <v>0.7</v>
      </c>
      <c r="E74" t="inlineStr">
        <is>
          <t>TRUE</t>
        </is>
      </c>
      <c r="G74" t="inlineStr">
        <is>
          <t>FALSE</t>
        </is>
      </c>
      <c r="H74" t="inlineStr">
        <is>
          <t>≥0.70</t>
        </is>
      </c>
    </row>
    <row r="75">
      <c r="A75" t="inlineStr">
        <is>
          <t>streamcat-prg-bmmi</t>
        </is>
      </c>
      <c r="B75" t="inlineStr">
        <is>
          <t>(combined)</t>
        </is>
      </c>
      <c r="C75" t="inlineStr">
        <is>
          <t>Poor</t>
        </is>
      </c>
      <c r="E75" t="inlineStr">
        <is>
          <t>FALSE</t>
        </is>
      </c>
      <c r="F75" t="n">
        <v>0.25</v>
      </c>
      <c r="G75" t="inlineStr">
        <is>
          <t>FALSE</t>
        </is>
      </c>
      <c r="H75" t="inlineStr">
        <is>
          <t>&lt;0.25</t>
        </is>
      </c>
    </row>
    <row r="76">
      <c r="A76" t="inlineStr">
        <is>
          <t>streamcat-prg-bmmi</t>
        </is>
      </c>
      <c r="B76" t="inlineStr">
        <is>
          <t>(combined)</t>
        </is>
      </c>
      <c r="C76" t="inlineStr">
        <is>
          <t>Fair</t>
        </is>
      </c>
      <c r="D76" t="n">
        <v>0.25</v>
      </c>
      <c r="E76" t="inlineStr">
        <is>
          <t>TRUE</t>
        </is>
      </c>
      <c r="F76" t="n">
        <v>0.5</v>
      </c>
      <c r="G76" t="inlineStr">
        <is>
          <t>FALSE</t>
        </is>
      </c>
      <c r="H76" t="inlineStr">
        <is>
          <t>0.25 to &lt;0.50</t>
        </is>
      </c>
    </row>
    <row r="77">
      <c r="A77" t="inlineStr">
        <is>
          <t>streamcat-prg-bmmi</t>
        </is>
      </c>
      <c r="B77" t="inlineStr">
        <is>
          <t>(combined)</t>
        </is>
      </c>
      <c r="C77" t="inlineStr">
        <is>
          <t>Good</t>
        </is>
      </c>
      <c r="D77" t="n">
        <v>0.5</v>
      </c>
      <c r="E77" t="inlineStr">
        <is>
          <t>TRUE</t>
        </is>
      </c>
      <c r="G77" t="inlineStr">
        <is>
          <t>FALSE</t>
        </is>
      </c>
      <c r="H77" t="inlineStr">
        <is>
          <t>&gt;=0.50</t>
        </is>
      </c>
    </row>
    <row r="78">
      <c r="A78" t="inlineStr">
        <is>
          <t>streamcat-integrity-products</t>
        </is>
      </c>
      <c r="B78" t="inlineStr">
        <is>
          <t>(combined)</t>
        </is>
      </c>
      <c r="C78" t="inlineStr">
        <is>
          <t>Poor</t>
        </is>
      </c>
      <c r="E78" t="inlineStr">
        <is>
          <t>FALSE</t>
        </is>
      </c>
      <c r="F78" t="n">
        <v>0.4</v>
      </c>
      <c r="G78" t="inlineStr">
        <is>
          <t>FALSE</t>
        </is>
      </c>
      <c r="H78" t="inlineStr">
        <is>
          <t>&lt;0.40</t>
        </is>
      </c>
    </row>
    <row r="79">
      <c r="A79" t="inlineStr">
        <is>
          <t>streamcat-integrity-products</t>
        </is>
      </c>
      <c r="B79" t="inlineStr">
        <is>
          <t>(combined)</t>
        </is>
      </c>
      <c r="C79" t="inlineStr">
        <is>
          <t>Fair</t>
        </is>
      </c>
      <c r="D79" t="n">
        <v>0.4</v>
      </c>
      <c r="E79" t="inlineStr">
        <is>
          <t>TRUE</t>
        </is>
      </c>
      <c r="F79" t="n">
        <v>0.7</v>
      </c>
      <c r="G79" t="inlineStr">
        <is>
          <t>FALSE</t>
        </is>
      </c>
      <c r="H79" t="inlineStr">
        <is>
          <t>0.40-&lt;0.70</t>
        </is>
      </c>
    </row>
    <row r="80">
      <c r="A80" t="inlineStr">
        <is>
          <t>streamcat-integrity-products</t>
        </is>
      </c>
      <c r="B80" t="inlineStr">
        <is>
          <t>(combined)</t>
        </is>
      </c>
      <c r="C80" t="inlineStr">
        <is>
          <t>Good</t>
        </is>
      </c>
      <c r="D80" t="n">
        <v>0.7</v>
      </c>
      <c r="E80" t="inlineStr">
        <is>
          <t>TRUE</t>
        </is>
      </c>
      <c r="G80" t="inlineStr">
        <is>
          <t>FALSE</t>
        </is>
      </c>
      <c r="H80" t="inlineStr">
        <is>
          <t>≥0.70</t>
        </is>
      </c>
    </row>
    <row r="81">
      <c r="A81" t="inlineStr">
        <is>
          <t>nas-established-taxa-count</t>
        </is>
      </c>
      <c r="B81" t="inlineStr">
        <is>
          <t>(combined)</t>
        </is>
      </c>
      <c r="C81" t="inlineStr">
        <is>
          <t>Good</t>
        </is>
      </c>
      <c r="D81" t="n">
        <v>0</v>
      </c>
      <c r="E81" t="inlineStr">
        <is>
          <t>TRUE</t>
        </is>
      </c>
      <c r="F81" t="n">
        <v>0</v>
      </c>
      <c r="G81" t="inlineStr">
        <is>
          <t>TRUE</t>
        </is>
      </c>
      <c r="H81" t="inlineStr">
        <is>
          <t>0 recorded</t>
        </is>
      </c>
    </row>
    <row r="82">
      <c r="A82" t="inlineStr">
        <is>
          <t>nas-established-taxa-count</t>
        </is>
      </c>
      <c r="B82" t="inlineStr">
        <is>
          <t>(combined)</t>
        </is>
      </c>
      <c r="C82" t="inlineStr">
        <is>
          <t>Fair</t>
        </is>
      </c>
      <c r="D82" t="n">
        <v>1</v>
      </c>
      <c r="E82" t="inlineStr">
        <is>
          <t>TRUE</t>
        </is>
      </c>
      <c r="F82" t="n">
        <v>2</v>
      </c>
      <c r="G82" t="inlineStr">
        <is>
          <t>TRUE</t>
        </is>
      </c>
      <c r="H82" t="inlineStr">
        <is>
          <t>1-2 recorded</t>
        </is>
      </c>
    </row>
    <row r="83">
      <c r="A83" t="inlineStr">
        <is>
          <t>nas-established-taxa-count</t>
        </is>
      </c>
      <c r="B83" t="inlineStr">
        <is>
          <t>(combined)</t>
        </is>
      </c>
      <c r="C83" t="inlineStr">
        <is>
          <t>Poor</t>
        </is>
      </c>
      <c r="D83" t="n">
        <v>3</v>
      </c>
      <c r="E83" t="inlineStr">
        <is>
          <t>TRUE</t>
        </is>
      </c>
      <c r="G83" t="inlineStr">
        <is>
          <t>FALSE</t>
        </is>
      </c>
      <c r="H83" t="inlineStr">
        <is>
          <t>≥3 recorded</t>
        </is>
      </c>
    </row>
    <row r="84">
      <c r="A84" t="inlineStr">
        <is>
          <t>nearby-dam-proximity</t>
        </is>
      </c>
      <c r="B84" t="inlineStr">
        <is>
          <t>(combined)</t>
        </is>
      </c>
      <c r="C84" t="inlineStr">
        <is>
          <t>Good</t>
        </is>
      </c>
      <c r="D84" t="n">
        <v>0</v>
      </c>
      <c r="E84" t="inlineStr">
        <is>
          <t>TRUE</t>
        </is>
      </c>
      <c r="F84" t="n">
        <v>0</v>
      </c>
      <c r="G84" t="inlineStr">
        <is>
          <t>TRUE</t>
        </is>
      </c>
      <c r="H84" t="inlineStr">
        <is>
          <t>0 mapped dams</t>
        </is>
      </c>
    </row>
    <row r="85">
      <c r="A85" t="inlineStr">
        <is>
          <t>nearby-dam-proximity</t>
        </is>
      </c>
      <c r="B85" t="inlineStr">
        <is>
          <t>(combined)</t>
        </is>
      </c>
      <c r="C85" t="inlineStr">
        <is>
          <t>Fair</t>
        </is>
      </c>
      <c r="D85" t="n">
        <v>1</v>
      </c>
      <c r="E85" t="inlineStr">
        <is>
          <t>TRUE</t>
        </is>
      </c>
      <c r="F85" t="n">
        <v>1</v>
      </c>
      <c r="G85" t="inlineStr">
        <is>
          <t>TRUE</t>
        </is>
      </c>
      <c r="H85" t="inlineStr">
        <is>
          <t>1 mapped dam</t>
        </is>
      </c>
    </row>
    <row r="86">
      <c r="A86" t="inlineStr">
        <is>
          <t>nearby-dam-proximity</t>
        </is>
      </c>
      <c r="B86" t="inlineStr">
        <is>
          <t>(combined)</t>
        </is>
      </c>
      <c r="C86" t="inlineStr">
        <is>
          <t>Poor</t>
        </is>
      </c>
      <c r="D86" t="n">
        <v>2</v>
      </c>
      <c r="E86" t="inlineStr">
        <is>
          <t>TRUE</t>
        </is>
      </c>
      <c r="G86" t="inlineStr">
        <is>
          <t>FALSE</t>
        </is>
      </c>
      <c r="H86" t="inlineStr">
        <is>
          <t>≥2 mapped dams</t>
        </is>
      </c>
    </row>
    <row r="88">
      <c r="A88" s="6" t="inlineStr">
        <is>
          <t>Reference curves (frozen), one row per curve, knots padded to five</t>
        </is>
      </c>
    </row>
    <row r="89">
      <c r="A89" s="8" t="inlineStr">
        <is>
          <t>Key</t>
        </is>
      </c>
      <c r="B89" s="8" t="inlineStr">
        <is>
          <t>Set</t>
        </is>
      </c>
      <c r="C89" s="8" t="inlineStr">
        <is>
          <t>Stratum</t>
        </is>
      </c>
      <c r="D89" s="8" t="inlineStr">
        <is>
          <t>Higher is better</t>
        </is>
      </c>
      <c r="E89" s="8" t="inlineStr">
        <is>
          <t>n</t>
        </is>
      </c>
      <c r="F89" s="8" t="inlineStr">
        <is>
          <t>Members</t>
        </is>
      </c>
      <c r="G89" s="8" t="inlineStr">
        <is>
          <t>x1</t>
        </is>
      </c>
      <c r="H89" s="8" t="inlineStr">
        <is>
          <t>y1</t>
        </is>
      </c>
      <c r="I89" s="8" t="inlineStr">
        <is>
          <t>x2</t>
        </is>
      </c>
      <c r="J89" s="8" t="inlineStr">
        <is>
          <t>y2</t>
        </is>
      </c>
      <c r="K89" s="8" t="inlineStr">
        <is>
          <t>x3</t>
        </is>
      </c>
      <c r="L89" s="8" t="inlineStr">
        <is>
          <t>y3</t>
        </is>
      </c>
      <c r="M89" s="8" t="inlineStr">
        <is>
          <t>x4</t>
        </is>
      </c>
      <c r="N89" s="8" t="inlineStr">
        <is>
          <t>y4</t>
        </is>
      </c>
      <c r="O89" s="8" t="inlineStr">
        <is>
          <t>x5</t>
        </is>
      </c>
      <c r="P89" s="8" t="inlineStr">
        <is>
          <t>y5</t>
        </is>
      </c>
      <c r="Q89" s="8" t="inlineStr">
        <is>
          <t>x39</t>
        </is>
      </c>
      <c r="R89" s="8" t="inlineStr">
        <is>
          <t>x69</t>
        </is>
      </c>
      <c r="S89" s="8" t="inlineStr">
        <is>
          <t>q25</t>
        </is>
      </c>
      <c r="T89" s="8" t="inlineStr">
        <is>
          <t>q50</t>
        </is>
      </c>
      <c r="U89" s="8" t="inlineStr">
        <is>
          <t>q75</t>
        </is>
      </c>
      <c r="V89" s="8" t="inlineStr">
        <is>
          <t>Tier</t>
        </is>
      </c>
    </row>
    <row r="90">
      <c r="A90" t="inlineStr">
        <is>
          <t>corridor-natural|CPL</t>
        </is>
      </c>
      <c r="B90" t="inlineStr">
        <is>
          <t>corridor-natural</t>
        </is>
      </c>
      <c r="C90" t="inlineStr">
        <is>
          <t>CPL</t>
        </is>
      </c>
      <c r="D90" t="inlineStr">
        <is>
          <t>TRUE</t>
        </is>
      </c>
      <c r="E90" t="n">
        <v>6106</v>
      </c>
      <c r="F90" t="n">
        <v>6130</v>
      </c>
      <c r="G90" t="n">
        <v>0</v>
      </c>
      <c r="H90" t="n">
        <v>0</v>
      </c>
      <c r="I90" t="n">
        <v>39.775713</v>
      </c>
      <c r="J90" t="n">
        <v>0.3</v>
      </c>
      <c r="K90" t="n">
        <v>92.80999799999999</v>
      </c>
      <c r="L90" t="n">
        <v>0.7</v>
      </c>
      <c r="M90" t="n">
        <v>99.220001</v>
      </c>
      <c r="N90" t="n">
        <v>1</v>
      </c>
      <c r="O90" t="n">
        <v>100</v>
      </c>
      <c r="P90" t="n">
        <v>1</v>
      </c>
      <c r="Q90" t="n">
        <v>51.708427</v>
      </c>
      <c r="R90" t="n">
        <v>91.48414</v>
      </c>
      <c r="S90" t="n">
        <v>92.80999799999999</v>
      </c>
      <c r="T90" t="n">
        <v>96.949997</v>
      </c>
      <c r="U90" t="n">
        <v>99.220001</v>
      </c>
      <c r="V90" t="inlineStr">
        <is>
          <t>complete</t>
        </is>
      </c>
    </row>
    <row r="91">
      <c r="A91" t="inlineStr">
        <is>
          <t>corridor-natural|NAP</t>
        </is>
      </c>
      <c r="B91" t="inlineStr">
        <is>
          <t>corridor-natural</t>
        </is>
      </c>
      <c r="C91" t="inlineStr">
        <is>
          <t>NAP</t>
        </is>
      </c>
      <c r="D91" t="inlineStr">
        <is>
          <t>TRUE</t>
        </is>
      </c>
      <c r="E91" t="n">
        <v>3002</v>
      </c>
      <c r="F91" t="n">
        <v>3005</v>
      </c>
      <c r="G91" t="n">
        <v>0</v>
      </c>
      <c r="H91" t="n">
        <v>0</v>
      </c>
      <c r="I91" t="n">
        <v>38.549999</v>
      </c>
      <c r="J91" t="n">
        <v>0.3</v>
      </c>
      <c r="K91" t="n">
        <v>89.949997</v>
      </c>
      <c r="L91" t="n">
        <v>0.7</v>
      </c>
      <c r="M91" t="n">
        <v>98.457499</v>
      </c>
      <c r="N91" t="n">
        <v>1</v>
      </c>
      <c r="O91" t="n">
        <v>100</v>
      </c>
      <c r="P91" t="n">
        <v>1</v>
      </c>
      <c r="Q91" t="n">
        <v>50.114998</v>
      </c>
      <c r="R91" t="n">
        <v>88.664997</v>
      </c>
      <c r="S91" t="n">
        <v>89.949997</v>
      </c>
      <c r="T91" t="n">
        <v>95.24499900000001</v>
      </c>
      <c r="U91" t="n">
        <v>98.457499</v>
      </c>
      <c r="V91" t="inlineStr">
        <is>
          <t>complete</t>
        </is>
      </c>
    </row>
    <row r="92">
      <c r="A92" t="inlineStr">
        <is>
          <t>corridor-natural|NPL</t>
        </is>
      </c>
      <c r="B92" t="inlineStr">
        <is>
          <t>corridor-natural</t>
        </is>
      </c>
      <c r="C92" t="inlineStr">
        <is>
          <t>NPL</t>
        </is>
      </c>
      <c r="D92" t="inlineStr">
        <is>
          <t>TRUE</t>
        </is>
      </c>
      <c r="E92" t="n">
        <v>4318</v>
      </c>
      <c r="F92" t="n">
        <v>4319</v>
      </c>
      <c r="G92" t="n">
        <v>0</v>
      </c>
      <c r="H92" t="n">
        <v>0</v>
      </c>
      <c r="I92" t="n">
        <v>41.7225</v>
      </c>
      <c r="J92" t="n">
        <v>0.3</v>
      </c>
      <c r="K92" t="n">
        <v>97.35249899999999</v>
      </c>
      <c r="L92" t="n">
        <v>0.7</v>
      </c>
      <c r="M92" t="n">
        <v>100</v>
      </c>
      <c r="N92" t="n">
        <v>1</v>
      </c>
      <c r="O92" t="n">
        <v>100</v>
      </c>
      <c r="P92" t="n">
        <v>1</v>
      </c>
      <c r="Q92" t="n">
        <v>54.239249</v>
      </c>
      <c r="R92" t="n">
        <v>95.961749</v>
      </c>
      <c r="S92" t="n">
        <v>97.35249899999999</v>
      </c>
      <c r="T92" t="n">
        <v>99.58000199999999</v>
      </c>
      <c r="U92" t="n">
        <v>100</v>
      </c>
      <c r="V92" t="inlineStr">
        <is>
          <t>complete</t>
        </is>
      </c>
    </row>
    <row r="93">
      <c r="A93" t="inlineStr">
        <is>
          <t>corridor-natural|SAP</t>
        </is>
      </c>
      <c r="B93" t="inlineStr">
        <is>
          <t>corridor-natural</t>
        </is>
      </c>
      <c r="C93" t="inlineStr">
        <is>
          <t>SAP</t>
        </is>
      </c>
      <c r="D93" t="inlineStr">
        <is>
          <t>TRUE</t>
        </is>
      </c>
      <c r="E93" t="n">
        <v>6246</v>
      </c>
      <c r="F93" t="n">
        <v>6246</v>
      </c>
      <c r="G93" t="n">
        <v>0</v>
      </c>
      <c r="H93" t="n">
        <v>0</v>
      </c>
      <c r="I93" t="n">
        <v>37.654286</v>
      </c>
      <c r="J93" t="n">
        <v>0.3</v>
      </c>
      <c r="K93" t="n">
        <v>87.860001</v>
      </c>
      <c r="L93" t="n">
        <v>0.7</v>
      </c>
      <c r="M93" t="n">
        <v>99.099998</v>
      </c>
      <c r="N93" t="n">
        <v>1</v>
      </c>
      <c r="O93" t="n">
        <v>100</v>
      </c>
      <c r="P93" t="n">
        <v>1</v>
      </c>
      <c r="Q93" t="n">
        <v>48.950572</v>
      </c>
      <c r="R93" t="n">
        <v>86.60485799999999</v>
      </c>
      <c r="S93" t="n">
        <v>87.860001</v>
      </c>
      <c r="T93" t="n">
        <v>95.19000200000001</v>
      </c>
      <c r="U93" t="n">
        <v>99.099998</v>
      </c>
      <c r="V93" t="inlineStr">
        <is>
          <t>complete</t>
        </is>
      </c>
    </row>
    <row r="94">
      <c r="A94" t="inlineStr">
        <is>
          <t>corridor-natural|SPL</t>
        </is>
      </c>
      <c r="B94" t="inlineStr">
        <is>
          <t>corridor-natural</t>
        </is>
      </c>
      <c r="C94" t="inlineStr">
        <is>
          <t>SPL</t>
        </is>
      </c>
      <c r="D94" t="inlineStr">
        <is>
          <t>TRUE</t>
        </is>
      </c>
      <c r="E94" t="n">
        <v>5959</v>
      </c>
      <c r="F94" t="n">
        <v>5960</v>
      </c>
      <c r="G94" t="n">
        <v>0</v>
      </c>
      <c r="H94" t="n">
        <v>0</v>
      </c>
      <c r="I94" t="n">
        <v>41.138571</v>
      </c>
      <c r="J94" t="n">
        <v>0.3</v>
      </c>
      <c r="K94" t="n">
        <v>95.989998</v>
      </c>
      <c r="L94" t="n">
        <v>0.7</v>
      </c>
      <c r="M94" t="n">
        <v>99.949997</v>
      </c>
      <c r="N94" t="n">
        <v>1</v>
      </c>
      <c r="O94" t="n">
        <v>100</v>
      </c>
      <c r="P94" t="n">
        <v>1</v>
      </c>
      <c r="Q94" t="n">
        <v>53.480142</v>
      </c>
      <c r="R94" t="n">
        <v>94.618712</v>
      </c>
      <c r="S94" t="n">
        <v>95.989998</v>
      </c>
      <c r="T94" t="n">
        <v>98.639999</v>
      </c>
      <c r="U94" t="n">
        <v>99.949997</v>
      </c>
      <c r="V94" t="inlineStr">
        <is>
          <t>complete</t>
        </is>
      </c>
    </row>
    <row r="95">
      <c r="A95" t="inlineStr">
        <is>
          <t>corridor-natural|TPL</t>
        </is>
      </c>
      <c r="B95" t="inlineStr">
        <is>
          <t>corridor-natural</t>
        </is>
      </c>
      <c r="C95" t="inlineStr">
        <is>
          <t>TPL</t>
        </is>
      </c>
      <c r="D95" t="inlineStr">
        <is>
          <t>TRUE</t>
        </is>
      </c>
      <c r="E95" t="n">
        <v>870</v>
      </c>
      <c r="F95" t="n">
        <v>874</v>
      </c>
      <c r="G95" t="n">
        <v>0</v>
      </c>
      <c r="H95" t="n">
        <v>0</v>
      </c>
      <c r="I95" t="n">
        <v>38.562858</v>
      </c>
      <c r="J95" t="n">
        <v>0.3</v>
      </c>
      <c r="K95" t="n">
        <v>89.980001</v>
      </c>
      <c r="L95" t="n">
        <v>0.7</v>
      </c>
      <c r="M95" t="n">
        <v>98.800003</v>
      </c>
      <c r="N95" t="n">
        <v>1</v>
      </c>
      <c r="O95" t="n">
        <v>100</v>
      </c>
      <c r="P95" t="n">
        <v>1</v>
      </c>
      <c r="Q95" t="n">
        <v>50.131715</v>
      </c>
      <c r="R95" t="n">
        <v>88.69457300000001</v>
      </c>
      <c r="S95" t="n">
        <v>89.980001</v>
      </c>
      <c r="T95" t="n">
        <v>95.25</v>
      </c>
      <c r="U95" t="n">
        <v>98.800003</v>
      </c>
      <c r="V95" t="inlineStr">
        <is>
          <t>complete</t>
        </is>
      </c>
    </row>
    <row r="96">
      <c r="A96" t="inlineStr">
        <is>
          <t>corridor-natural|UMW</t>
        </is>
      </c>
      <c r="B96" t="inlineStr">
        <is>
          <t>corridor-natural</t>
        </is>
      </c>
      <c r="C96" t="inlineStr">
        <is>
          <t>UMW</t>
        </is>
      </c>
      <c r="D96" t="inlineStr">
        <is>
          <t>TRUE</t>
        </is>
      </c>
      <c r="E96" t="n">
        <v>2431</v>
      </c>
      <c r="F96" t="n">
        <v>2432</v>
      </c>
      <c r="G96" t="n">
        <v>0</v>
      </c>
      <c r="H96" t="n">
        <v>0</v>
      </c>
      <c r="I96" t="n">
        <v>39.462856</v>
      </c>
      <c r="J96" t="n">
        <v>0.3</v>
      </c>
      <c r="K96" t="n">
        <v>92.079998</v>
      </c>
      <c r="L96" t="n">
        <v>0.7</v>
      </c>
      <c r="M96" t="n">
        <v>98.514999</v>
      </c>
      <c r="N96" t="n">
        <v>1</v>
      </c>
      <c r="O96" t="n">
        <v>100</v>
      </c>
      <c r="P96" t="n">
        <v>1</v>
      </c>
      <c r="Q96" t="n">
        <v>51.301713</v>
      </c>
      <c r="R96" t="n">
        <v>90.76456899999999</v>
      </c>
      <c r="S96" t="n">
        <v>92.079998</v>
      </c>
      <c r="T96" t="n">
        <v>96.19000200000001</v>
      </c>
      <c r="U96" t="n">
        <v>98.514999</v>
      </c>
      <c r="V96" t="inlineStr">
        <is>
          <t>complete</t>
        </is>
      </c>
    </row>
    <row r="97">
      <c r="A97" t="inlineStr">
        <is>
          <t>corridor-natural|WMT</t>
        </is>
      </c>
      <c r="B97" t="inlineStr">
        <is>
          <t>corridor-natural</t>
        </is>
      </c>
      <c r="C97" t="inlineStr">
        <is>
          <t>WMT</t>
        </is>
      </c>
      <c r="D97" t="inlineStr">
        <is>
          <t>TRUE</t>
        </is>
      </c>
      <c r="E97" t="n">
        <v>12592</v>
      </c>
      <c r="F97" t="n">
        <v>12592</v>
      </c>
      <c r="G97" t="n">
        <v>0</v>
      </c>
      <c r="H97" t="n">
        <v>0</v>
      </c>
      <c r="I97" t="n">
        <v>41.807144</v>
      </c>
      <c r="J97" t="n">
        <v>0.3</v>
      </c>
      <c r="K97" t="n">
        <v>97.550003</v>
      </c>
      <c r="L97" t="n">
        <v>0.7</v>
      </c>
      <c r="M97" t="n">
        <v>100</v>
      </c>
      <c r="N97" t="n">
        <v>1</v>
      </c>
      <c r="O97" t="n">
        <v>100</v>
      </c>
      <c r="P97" t="n">
        <v>1</v>
      </c>
      <c r="Q97" t="n">
        <v>54.349287</v>
      </c>
      <c r="R97" t="n">
        <v>96.156432</v>
      </c>
      <c r="S97" t="n">
        <v>97.550003</v>
      </c>
      <c r="T97" t="n">
        <v>99.900002</v>
      </c>
      <c r="U97" t="n">
        <v>100</v>
      </c>
      <c r="V97" t="inlineStr">
        <is>
          <t>complete</t>
        </is>
      </c>
    </row>
    <row r="98">
      <c r="A98" t="inlineStr">
        <is>
          <t>corridor-natural|XER</t>
        </is>
      </c>
      <c r="B98" t="inlineStr">
        <is>
          <t>corridor-natural</t>
        </is>
      </c>
      <c r="C98" t="inlineStr">
        <is>
          <t>XER</t>
        </is>
      </c>
      <c r="D98" t="inlineStr">
        <is>
          <t>TRUE</t>
        </is>
      </c>
      <c r="E98" t="n">
        <v>14653</v>
      </c>
      <c r="F98" t="n">
        <v>14654</v>
      </c>
      <c r="G98" t="n">
        <v>0</v>
      </c>
      <c r="H98" t="n">
        <v>0</v>
      </c>
      <c r="I98" t="n">
        <v>41.952857</v>
      </c>
      <c r="J98" t="n">
        <v>0.3</v>
      </c>
      <c r="K98" t="n">
        <v>97.889999</v>
      </c>
      <c r="L98" t="n">
        <v>0.7</v>
      </c>
      <c r="M98" t="n">
        <v>100</v>
      </c>
      <c r="N98" t="n">
        <v>1</v>
      </c>
      <c r="O98" t="n">
        <v>100</v>
      </c>
      <c r="P98" t="n">
        <v>1</v>
      </c>
      <c r="Q98" t="n">
        <v>54.538714</v>
      </c>
      <c r="R98" t="n">
        <v>96.49157099999999</v>
      </c>
      <c r="S98" t="n">
        <v>97.889999</v>
      </c>
      <c r="T98" t="n">
        <v>99.879997</v>
      </c>
      <c r="U98" t="n">
        <v>100</v>
      </c>
      <c r="V98" t="inlineStr">
        <is>
          <t>complete</t>
        </is>
      </c>
    </row>
    <row r="99">
      <c r="A99" t="inlineStr">
        <is>
          <t>corridor-natural|national</t>
        </is>
      </c>
      <c r="B99" t="inlineStr">
        <is>
          <t>corridor-natural</t>
        </is>
      </c>
      <c r="C99" t="inlineStr">
        <is>
          <t>national</t>
        </is>
      </c>
      <c r="D99" t="inlineStr">
        <is>
          <t>TRUE</t>
        </is>
      </c>
      <c r="E99" t="n">
        <v>53175</v>
      </c>
      <c r="F99" t="n">
        <v>53210</v>
      </c>
      <c r="G99" t="n">
        <v>0</v>
      </c>
      <c r="H99" t="n">
        <v>0</v>
      </c>
      <c r="I99" t="n">
        <v>40.675716</v>
      </c>
      <c r="J99" t="n">
        <v>0.3</v>
      </c>
      <c r="K99" t="n">
        <v>94.910004</v>
      </c>
      <c r="L99" t="n">
        <v>0.7</v>
      </c>
      <c r="M99" t="n">
        <v>100</v>
      </c>
      <c r="N99" t="n">
        <v>1</v>
      </c>
      <c r="O99" t="n">
        <v>100</v>
      </c>
      <c r="P99" t="n">
        <v>1</v>
      </c>
      <c r="Q99" t="n">
        <v>52.878431</v>
      </c>
      <c r="R99" t="n">
        <v>93.554146</v>
      </c>
      <c r="S99" t="n">
        <v>94.910004</v>
      </c>
      <c r="T99" t="n">
        <v>98.870003</v>
      </c>
      <c r="U99" t="n">
        <v>100</v>
      </c>
      <c r="V99" t="inlineStr">
        <is>
          <t>complete</t>
        </is>
      </c>
    </row>
    <row r="100">
      <c r="A100" t="inlineStr">
        <is>
          <t>corridor-woody|CPL</t>
        </is>
      </c>
      <c r="B100" t="inlineStr">
        <is>
          <t>corridor-woody</t>
        </is>
      </c>
      <c r="C100" t="inlineStr">
        <is>
          <t>CPL</t>
        </is>
      </c>
      <c r="D100" t="inlineStr">
        <is>
          <t>TRUE</t>
        </is>
      </c>
      <c r="E100" t="n">
        <v>6106</v>
      </c>
      <c r="F100" t="n">
        <v>6130</v>
      </c>
      <c r="G100" t="n">
        <v>0</v>
      </c>
      <c r="H100" t="n">
        <v>0</v>
      </c>
      <c r="I100" t="n">
        <v>35.38607</v>
      </c>
      <c r="J100" t="n">
        <v>0.3</v>
      </c>
      <c r="K100" t="n">
        <v>82.567497</v>
      </c>
      <c r="L100" t="n">
        <v>0.7</v>
      </c>
      <c r="M100" t="n">
        <v>97.227503</v>
      </c>
      <c r="N100" t="n">
        <v>1</v>
      </c>
      <c r="O100" t="n">
        <v>100</v>
      </c>
      <c r="P100" t="n">
        <v>1</v>
      </c>
      <c r="Q100" t="n">
        <v>46.001891</v>
      </c>
      <c r="R100" t="n">
        <v>81.387962</v>
      </c>
      <c r="S100" t="n">
        <v>82.567497</v>
      </c>
      <c r="T100" t="n">
        <v>92.5</v>
      </c>
      <c r="U100" t="n">
        <v>97.227503</v>
      </c>
      <c r="V100" t="inlineStr">
        <is>
          <t>complete</t>
        </is>
      </c>
    </row>
    <row r="101">
      <c r="A101" t="inlineStr">
        <is>
          <t>corridor-woody|NAP</t>
        </is>
      </c>
      <c r="B101" t="inlineStr">
        <is>
          <t>corridor-woody</t>
        </is>
      </c>
      <c r="C101" t="inlineStr">
        <is>
          <t>NAP</t>
        </is>
      </c>
      <c r="D101" t="inlineStr">
        <is>
          <t>TRUE</t>
        </is>
      </c>
      <c r="E101" t="n">
        <v>3002</v>
      </c>
      <c r="F101" t="n">
        <v>3005</v>
      </c>
      <c r="G101" t="n">
        <v>0</v>
      </c>
      <c r="H101" t="n">
        <v>0</v>
      </c>
      <c r="I101" t="n">
        <v>36.962142</v>
      </c>
      <c r="J101" t="n">
        <v>0.3</v>
      </c>
      <c r="K101" t="n">
        <v>86.24499900000001</v>
      </c>
      <c r="L101" t="n">
        <v>0.7</v>
      </c>
      <c r="M101" t="n">
        <v>96.64750100000001</v>
      </c>
      <c r="N101" t="n">
        <v>1</v>
      </c>
      <c r="O101" t="n">
        <v>99.768252</v>
      </c>
      <c r="P101" t="n">
        <v>1</v>
      </c>
      <c r="Q101" t="n">
        <v>48.050785</v>
      </c>
      <c r="R101" t="n">
        <v>85.012928</v>
      </c>
      <c r="S101" t="n">
        <v>86.24499900000001</v>
      </c>
      <c r="T101" t="n">
        <v>92.514999</v>
      </c>
      <c r="U101" t="n">
        <v>96.64750100000001</v>
      </c>
      <c r="V101" t="inlineStr">
        <is>
          <t>complete</t>
        </is>
      </c>
    </row>
    <row r="102">
      <c r="A102" t="inlineStr">
        <is>
          <t>corridor-woody|NPL</t>
        </is>
      </c>
      <c r="B102" t="inlineStr">
        <is>
          <t>corridor-woody</t>
        </is>
      </c>
      <c r="C102" t="inlineStr">
        <is>
          <t>NPL</t>
        </is>
      </c>
      <c r="D102" t="inlineStr">
        <is>
          <t>TRUE</t>
        </is>
      </c>
      <c r="E102" t="n">
        <v>4318</v>
      </c>
      <c r="F102" t="n">
        <v>4319</v>
      </c>
      <c r="G102" t="n">
        <v>0</v>
      </c>
      <c r="H102" t="n">
        <v>0</v>
      </c>
      <c r="I102" t="n">
        <v>0.620357</v>
      </c>
      <c r="J102" t="n">
        <v>0.3</v>
      </c>
      <c r="K102" t="n">
        <v>1.4475</v>
      </c>
      <c r="L102" t="n">
        <v>0.7</v>
      </c>
      <c r="M102" t="n">
        <v>63.462501</v>
      </c>
      <c r="N102" t="n">
        <v>1</v>
      </c>
      <c r="O102" t="n">
        <v>82.067001</v>
      </c>
      <c r="P102" t="n">
        <v>1</v>
      </c>
      <c r="Q102" t="n">
        <v>0.806464</v>
      </c>
      <c r="R102" t="n">
        <v>1.426821</v>
      </c>
      <c r="S102" t="n">
        <v>1.4475</v>
      </c>
      <c r="T102" t="n">
        <v>28.26</v>
      </c>
      <c r="U102" t="n">
        <v>63.462501</v>
      </c>
      <c r="V102" t="inlineStr">
        <is>
          <t>complete</t>
        </is>
      </c>
    </row>
    <row r="103">
      <c r="A103" t="inlineStr">
        <is>
          <t>corridor-woody|SAP</t>
        </is>
      </c>
      <c r="B103" t="inlineStr">
        <is>
          <t>corridor-woody</t>
        </is>
      </c>
      <c r="C103" t="inlineStr">
        <is>
          <t>SAP</t>
        </is>
      </c>
      <c r="D103" t="inlineStr">
        <is>
          <t>TRUE</t>
        </is>
      </c>
      <c r="E103" t="n">
        <v>6246</v>
      </c>
      <c r="F103" t="n">
        <v>6246</v>
      </c>
      <c r="G103" t="n">
        <v>0</v>
      </c>
      <c r="H103" t="n">
        <v>0</v>
      </c>
      <c r="I103" t="n">
        <v>36.327858</v>
      </c>
      <c r="J103" t="n">
        <v>0.3</v>
      </c>
      <c r="K103" t="n">
        <v>84.765001</v>
      </c>
      <c r="L103" t="n">
        <v>0.7</v>
      </c>
      <c r="M103" t="n">
        <v>98.197498</v>
      </c>
      <c r="N103" t="n">
        <v>1</v>
      </c>
      <c r="O103" t="n">
        <v>100</v>
      </c>
      <c r="P103" t="n">
        <v>1</v>
      </c>
      <c r="Q103" t="n">
        <v>47.226215</v>
      </c>
      <c r="R103" t="n">
        <v>83.554073</v>
      </c>
      <c r="S103" t="n">
        <v>84.765001</v>
      </c>
      <c r="T103" t="n">
        <v>92.949997</v>
      </c>
      <c r="U103" t="n">
        <v>98.197498</v>
      </c>
      <c r="V103" t="inlineStr">
        <is>
          <t>complete</t>
        </is>
      </c>
    </row>
    <row r="104">
      <c r="A104" t="inlineStr">
        <is>
          <t>corridor-woody|SPL</t>
        </is>
      </c>
      <c r="B104" t="inlineStr">
        <is>
          <t>corridor-woody</t>
        </is>
      </c>
      <c r="C104" t="inlineStr">
        <is>
          <t>SPL</t>
        </is>
      </c>
      <c r="D104" t="inlineStr">
        <is>
          <t>TRUE</t>
        </is>
      </c>
      <c r="E104" t="n">
        <v>5959</v>
      </c>
      <c r="F104" t="n">
        <v>5960</v>
      </c>
      <c r="G104" t="n">
        <v>0</v>
      </c>
      <c r="H104" t="n">
        <v>0</v>
      </c>
      <c r="I104" t="n">
        <v>1.68</v>
      </c>
      <c r="J104" t="n">
        <v>0.3</v>
      </c>
      <c r="K104" t="n">
        <v>3.92</v>
      </c>
      <c r="L104" t="n">
        <v>0.7</v>
      </c>
      <c r="M104" t="n">
        <v>91.924999</v>
      </c>
      <c r="N104" t="n">
        <v>1</v>
      </c>
      <c r="O104" t="n">
        <v>100</v>
      </c>
      <c r="P104" t="n">
        <v>1</v>
      </c>
      <c r="Q104" t="n">
        <v>2.184</v>
      </c>
      <c r="R104" t="n">
        <v>3.864</v>
      </c>
      <c r="S104" t="n">
        <v>3.92</v>
      </c>
      <c r="T104" t="n">
        <v>49.380001</v>
      </c>
      <c r="U104" t="n">
        <v>91.924999</v>
      </c>
      <c r="V104" t="inlineStr">
        <is>
          <t>complete</t>
        </is>
      </c>
    </row>
    <row r="105">
      <c r="A105" t="inlineStr">
        <is>
          <t>corridor-woody|TPL</t>
        </is>
      </c>
      <c r="B105" t="inlineStr">
        <is>
          <t>corridor-woody</t>
        </is>
      </c>
      <c r="C105" t="inlineStr">
        <is>
          <t>TPL</t>
        </is>
      </c>
      <c r="D105" t="inlineStr">
        <is>
          <t>TRUE</t>
        </is>
      </c>
      <c r="E105" t="n">
        <v>870</v>
      </c>
      <c r="F105" t="n">
        <v>874</v>
      </c>
      <c r="G105" t="n">
        <v>0</v>
      </c>
      <c r="H105" t="n">
        <v>0</v>
      </c>
      <c r="I105" t="n">
        <v>1.8075</v>
      </c>
      <c r="J105" t="n">
        <v>0.3</v>
      </c>
      <c r="K105" t="n">
        <v>4.2175</v>
      </c>
      <c r="L105" t="n">
        <v>0.7</v>
      </c>
      <c r="M105" t="n">
        <v>90.220001</v>
      </c>
      <c r="N105" t="n">
        <v>1</v>
      </c>
      <c r="O105" t="n">
        <v>100</v>
      </c>
      <c r="P105" t="n">
        <v>1</v>
      </c>
      <c r="Q105" t="n">
        <v>2.34975</v>
      </c>
      <c r="R105" t="n">
        <v>4.15725</v>
      </c>
      <c r="S105" t="n">
        <v>4.2175</v>
      </c>
      <c r="T105" t="n">
        <v>49.17</v>
      </c>
      <c r="U105" t="n">
        <v>90.220001</v>
      </c>
      <c r="V105" t="inlineStr">
        <is>
          <t>complete</t>
        </is>
      </c>
    </row>
    <row r="106">
      <c r="A106" t="inlineStr">
        <is>
          <t>corridor-woody|UMW</t>
        </is>
      </c>
      <c r="B106" t="inlineStr">
        <is>
          <t>corridor-woody</t>
        </is>
      </c>
      <c r="C106" t="inlineStr">
        <is>
          <t>UMW</t>
        </is>
      </c>
      <c r="D106" t="inlineStr">
        <is>
          <t>TRUE</t>
        </is>
      </c>
      <c r="E106" t="n">
        <v>2431</v>
      </c>
      <c r="F106" t="n">
        <v>2432</v>
      </c>
      <c r="G106" t="n">
        <v>0</v>
      </c>
      <c r="H106" t="n">
        <v>0</v>
      </c>
      <c r="I106" t="n">
        <v>33.004285</v>
      </c>
      <c r="J106" t="n">
        <v>0.3</v>
      </c>
      <c r="K106" t="n">
        <v>77.009998</v>
      </c>
      <c r="L106" t="n">
        <v>0.7</v>
      </c>
      <c r="M106" t="n">
        <v>94.639999</v>
      </c>
      <c r="N106" t="n">
        <v>1</v>
      </c>
      <c r="O106" t="n">
        <v>99.929</v>
      </c>
      <c r="P106" t="n">
        <v>1</v>
      </c>
      <c r="Q106" t="n">
        <v>42.90557</v>
      </c>
      <c r="R106" t="n">
        <v>75.90985499999999</v>
      </c>
      <c r="S106" t="n">
        <v>77.009998</v>
      </c>
      <c r="T106" t="n">
        <v>88.66999800000001</v>
      </c>
      <c r="U106" t="n">
        <v>94.639999</v>
      </c>
      <c r="V106" t="inlineStr">
        <is>
          <t>complete</t>
        </is>
      </c>
    </row>
    <row r="107">
      <c r="A107" t="inlineStr">
        <is>
          <t>corridor-woody|WMT</t>
        </is>
      </c>
      <c r="B107" t="inlineStr">
        <is>
          <t>corridor-woody</t>
        </is>
      </c>
      <c r="C107" t="inlineStr">
        <is>
          <t>WMT</t>
        </is>
      </c>
      <c r="D107" t="inlineStr">
        <is>
          <t>TRUE</t>
        </is>
      </c>
      <c r="E107" t="n">
        <v>12592</v>
      </c>
      <c r="F107" t="n">
        <v>12592</v>
      </c>
      <c r="G107" t="n">
        <v>0</v>
      </c>
      <c r="H107" t="n">
        <v>0</v>
      </c>
      <c r="I107" t="n">
        <v>36.603216</v>
      </c>
      <c r="J107" t="n">
        <v>0.3</v>
      </c>
      <c r="K107" t="n">
        <v>85.40750300000001</v>
      </c>
      <c r="L107" t="n">
        <v>0.7</v>
      </c>
      <c r="M107" t="n">
        <v>99.599998</v>
      </c>
      <c r="N107" t="n">
        <v>1</v>
      </c>
      <c r="O107" t="n">
        <v>100</v>
      </c>
      <c r="P107" t="n">
        <v>1</v>
      </c>
      <c r="Q107" t="n">
        <v>47.58418</v>
      </c>
      <c r="R107" t="n">
        <v>84.18739600000001</v>
      </c>
      <c r="S107" t="n">
        <v>85.40750300000001</v>
      </c>
      <c r="T107" t="n">
        <v>95.865002</v>
      </c>
      <c r="U107" t="n">
        <v>99.599998</v>
      </c>
      <c r="V107" t="inlineStr">
        <is>
          <t>complete</t>
        </is>
      </c>
    </row>
    <row r="108">
      <c r="A108" t="inlineStr">
        <is>
          <t>corridor-woody|XER</t>
        </is>
      </c>
      <c r="B108" t="inlineStr">
        <is>
          <t>corridor-woody</t>
        </is>
      </c>
      <c r="C108" t="inlineStr">
        <is>
          <t>XER</t>
        </is>
      </c>
      <c r="D108" t="inlineStr">
        <is>
          <t>TRUE</t>
        </is>
      </c>
      <c r="E108" t="n">
        <v>14653</v>
      </c>
      <c r="F108" t="n">
        <v>14654</v>
      </c>
      <c r="G108" t="n">
        <v>0</v>
      </c>
      <c r="H108" t="n">
        <v>0</v>
      </c>
      <c r="I108" t="n">
        <v>32.708571</v>
      </c>
      <c r="J108" t="n">
        <v>0.3</v>
      </c>
      <c r="K108" t="n">
        <v>76.31999999999999</v>
      </c>
      <c r="L108" t="n">
        <v>0.7</v>
      </c>
      <c r="M108" t="n">
        <v>99.489998</v>
      </c>
      <c r="N108" t="n">
        <v>1</v>
      </c>
      <c r="O108" t="n">
        <v>100</v>
      </c>
      <c r="P108" t="n">
        <v>1</v>
      </c>
      <c r="Q108" t="n">
        <v>42.521143</v>
      </c>
      <c r="R108" t="n">
        <v>75.229714</v>
      </c>
      <c r="S108" t="n">
        <v>76.31999999999999</v>
      </c>
      <c r="T108" t="n">
        <v>94.839996</v>
      </c>
      <c r="U108" t="n">
        <v>99.489998</v>
      </c>
      <c r="V108" t="inlineStr">
        <is>
          <t>complete</t>
        </is>
      </c>
    </row>
    <row r="109">
      <c r="A109" t="inlineStr">
        <is>
          <t>corridor-woody|national</t>
        </is>
      </c>
      <c r="B109" t="inlineStr">
        <is>
          <t>corridor-woody</t>
        </is>
      </c>
      <c r="C109" t="inlineStr">
        <is>
          <t>national</t>
        </is>
      </c>
      <c r="D109" t="inlineStr">
        <is>
          <t>TRUE</t>
        </is>
      </c>
      <c r="E109" t="n">
        <v>53175</v>
      </c>
      <c r="F109" t="n">
        <v>53210</v>
      </c>
      <c r="G109" t="n">
        <v>0</v>
      </c>
      <c r="H109" t="n">
        <v>0</v>
      </c>
      <c r="I109" t="n">
        <v>29.695715</v>
      </c>
      <c r="J109" t="n">
        <v>0.3</v>
      </c>
      <c r="K109" t="n">
        <v>69.290001</v>
      </c>
      <c r="L109" t="n">
        <v>0.7</v>
      </c>
      <c r="M109" t="n">
        <v>98.16999800000001</v>
      </c>
      <c r="N109" t="n">
        <v>1</v>
      </c>
      <c r="O109" t="n">
        <v>100</v>
      </c>
      <c r="P109" t="n">
        <v>1</v>
      </c>
      <c r="Q109" t="n">
        <v>38.604429</v>
      </c>
      <c r="R109" t="n">
        <v>68.300144</v>
      </c>
      <c r="S109" t="n">
        <v>69.290001</v>
      </c>
      <c r="T109" t="n">
        <v>91.150002</v>
      </c>
      <c r="U109" t="n">
        <v>98.16999800000001</v>
      </c>
      <c r="V109" t="inlineStr">
        <is>
          <t>complete</t>
        </is>
      </c>
    </row>
    <row r="110">
      <c r="A110" t="inlineStr">
        <is>
          <t>entrenchment|0.5_to_2</t>
        </is>
      </c>
      <c r="B110" t="inlineStr">
        <is>
          <t>entrenchment</t>
        </is>
      </c>
      <c r="C110" t="inlineStr">
        <is>
          <t>0.5_to_2</t>
        </is>
      </c>
      <c r="D110" t="inlineStr">
        <is>
          <t>TRUE</t>
        </is>
      </c>
      <c r="E110" t="n">
        <v>9416</v>
      </c>
      <c r="F110" t="n">
        <v>17925</v>
      </c>
      <c r="G110" t="n">
        <v>0</v>
      </c>
      <c r="H110" t="n">
        <v>0</v>
      </c>
      <c r="I110" t="n">
        <v>0.621429</v>
      </c>
      <c r="J110" t="n">
        <v>0.3</v>
      </c>
      <c r="K110" t="n">
        <v>1.45</v>
      </c>
      <c r="L110" t="n">
        <v>0.7</v>
      </c>
      <c r="M110" t="n">
        <v>2.39</v>
      </c>
      <c r="N110" t="n">
        <v>1</v>
      </c>
      <c r="O110" t="n">
        <v>2.672</v>
      </c>
      <c r="P110" t="n">
        <v>1</v>
      </c>
      <c r="Q110" t="n">
        <v>0.807857</v>
      </c>
      <c r="R110" t="n">
        <v>1.429286</v>
      </c>
      <c r="S110" t="n">
        <v>1.45</v>
      </c>
      <c r="T110" t="n">
        <v>1.7</v>
      </c>
      <c r="U110" t="n">
        <v>2.39</v>
      </c>
      <c r="V110" t="inlineStr">
        <is>
          <t>complete</t>
        </is>
      </c>
    </row>
    <row r="111">
      <c r="A111" t="inlineStr">
        <is>
          <t>entrenchment|ge_2</t>
        </is>
      </c>
      <c r="B111" t="inlineStr">
        <is>
          <t>entrenchment</t>
        </is>
      </c>
      <c r="C111" t="inlineStr">
        <is>
          <t>ge_2</t>
        </is>
      </c>
      <c r="D111" t="inlineStr">
        <is>
          <t>TRUE</t>
        </is>
      </c>
      <c r="E111" t="n">
        <v>12473</v>
      </c>
      <c r="F111" t="n">
        <v>22316</v>
      </c>
      <c r="G111" t="n">
        <v>0</v>
      </c>
      <c r="H111" t="n">
        <v>0</v>
      </c>
      <c r="I111" t="n">
        <v>0.63</v>
      </c>
      <c r="J111" t="n">
        <v>0.3</v>
      </c>
      <c r="K111" t="n">
        <v>1.47</v>
      </c>
      <c r="L111" t="n">
        <v>0.7</v>
      </c>
      <c r="M111" t="n">
        <v>1.91</v>
      </c>
      <c r="N111" t="n">
        <v>1</v>
      </c>
      <c r="O111" t="n">
        <v>2.042</v>
      </c>
      <c r="P111" t="n">
        <v>1</v>
      </c>
      <c r="Q111" t="n">
        <v>0.819</v>
      </c>
      <c r="R111" t="n">
        <v>1.449</v>
      </c>
      <c r="S111" t="n">
        <v>1.47</v>
      </c>
      <c r="T111" t="n">
        <v>1.6</v>
      </c>
      <c r="U111" t="n">
        <v>1.91</v>
      </c>
      <c r="V111" t="inlineStr">
        <is>
          <t>complete</t>
        </is>
      </c>
    </row>
    <row r="112">
      <c r="A112" t="inlineStr">
        <is>
          <t>entrenchment|lt_0.5</t>
        </is>
      </c>
      <c r="B112" t="inlineStr">
        <is>
          <t>entrenchment</t>
        </is>
      </c>
      <c r="C112" t="inlineStr">
        <is>
          <t>lt_0.5</t>
        </is>
      </c>
      <c r="D112" t="inlineStr">
        <is>
          <t>TRUE</t>
        </is>
      </c>
      <c r="E112" t="n">
        <v>6136</v>
      </c>
      <c r="F112" t="n">
        <v>12426</v>
      </c>
      <c r="G112" t="n">
        <v>0</v>
      </c>
      <c r="H112" t="n">
        <v>0</v>
      </c>
      <c r="I112" t="n">
        <v>0.497143</v>
      </c>
      <c r="J112" t="n">
        <v>0.3</v>
      </c>
      <c r="K112" t="n">
        <v>1.16</v>
      </c>
      <c r="L112" t="n">
        <v>0.7</v>
      </c>
      <c r="M112" t="n">
        <v>2.5325</v>
      </c>
      <c r="N112" t="n">
        <v>1</v>
      </c>
      <c r="O112" t="n">
        <v>2.94425</v>
      </c>
      <c r="P112" t="n">
        <v>1</v>
      </c>
      <c r="Q112" t="n">
        <v>0.646286</v>
      </c>
      <c r="R112" t="n">
        <v>1.143429</v>
      </c>
      <c r="S112" t="n">
        <v>1.16</v>
      </c>
      <c r="T112" t="n">
        <v>1.58</v>
      </c>
      <c r="U112" t="n">
        <v>2.5325</v>
      </c>
      <c r="V112" t="inlineStr">
        <is>
          <t>complete</t>
        </is>
      </c>
    </row>
    <row r="113">
      <c r="A113" t="inlineStr">
        <is>
          <t>entrenchment|national</t>
        </is>
      </c>
      <c r="B113" t="inlineStr">
        <is>
          <t>entrenchment</t>
        </is>
      </c>
      <c r="C113" t="inlineStr">
        <is>
          <t>national</t>
        </is>
      </c>
      <c r="D113" t="inlineStr">
        <is>
          <t>TRUE</t>
        </is>
      </c>
      <c r="E113" t="n">
        <v>28287</v>
      </c>
      <c r="F113" t="n">
        <v>53210</v>
      </c>
      <c r="G113" t="n">
        <v>0</v>
      </c>
      <c r="H113" t="n">
        <v>0</v>
      </c>
      <c r="I113" t="n">
        <v>0.612857</v>
      </c>
      <c r="J113" t="n">
        <v>0.3</v>
      </c>
      <c r="K113" t="n">
        <v>1.43</v>
      </c>
      <c r="L113" t="n">
        <v>0.7</v>
      </c>
      <c r="M113" t="n">
        <v>2.09</v>
      </c>
      <c r="N113" t="n">
        <v>1</v>
      </c>
      <c r="O113" t="n">
        <v>2.288</v>
      </c>
      <c r="P113" t="n">
        <v>1</v>
      </c>
      <c r="Q113" t="n">
        <v>0.796714</v>
      </c>
      <c r="R113" t="n">
        <v>1.409571</v>
      </c>
      <c r="S113" t="n">
        <v>1.43</v>
      </c>
      <c r="T113" t="n">
        <v>1.62</v>
      </c>
      <c r="U113" t="n">
        <v>2.09</v>
      </c>
      <c r="V113" t="inlineStr">
        <is>
          <t>complete</t>
        </is>
      </c>
    </row>
    <row r="114">
      <c r="A114" t="inlineStr">
        <is>
          <t>flow-variability|CPL</t>
        </is>
      </c>
      <c r="B114" t="inlineStr">
        <is>
          <t>flow-variability</t>
        </is>
      </c>
      <c r="C114" t="inlineStr">
        <is>
          <t>CPL</t>
        </is>
      </c>
      <c r="D114" t="inlineStr">
        <is>
          <t>FALSE</t>
        </is>
      </c>
      <c r="E114" t="n">
        <v>6129</v>
      </c>
      <c r="F114" t="n">
        <v>6130</v>
      </c>
      <c r="G114" t="n">
        <v>0.390855</v>
      </c>
      <c r="H114" t="n">
        <v>1</v>
      </c>
      <c r="I114" t="n">
        <v>0.48476</v>
      </c>
      <c r="J114" t="n">
        <v>1</v>
      </c>
      <c r="K114" t="n">
        <v>0.797778</v>
      </c>
      <c r="L114" t="n">
        <v>0.7</v>
      </c>
      <c r="M114" t="n">
        <v>1.215135</v>
      </c>
      <c r="N114" t="n">
        <v>0.3</v>
      </c>
      <c r="O114" t="n">
        <v>1.528152</v>
      </c>
      <c r="P114" t="n">
        <v>0</v>
      </c>
      <c r="Q114" t="n">
        <v>1.121229</v>
      </c>
      <c r="R114" t="n">
        <v>0.808212</v>
      </c>
      <c r="S114" t="n">
        <v>0.48476</v>
      </c>
      <c r="T114" t="n">
        <v>0.570686</v>
      </c>
      <c r="U114" t="n">
        <v>0.797778</v>
      </c>
      <c r="V114" t="inlineStr">
        <is>
          <t>complete</t>
        </is>
      </c>
    </row>
    <row r="115">
      <c r="A115" t="inlineStr">
        <is>
          <t>flow-variability|NAP</t>
        </is>
      </c>
      <c r="B115" t="inlineStr">
        <is>
          <t>flow-variability</t>
        </is>
      </c>
      <c r="C115" t="inlineStr">
        <is>
          <t>NAP</t>
        </is>
      </c>
      <c r="D115" t="inlineStr">
        <is>
          <t>FALSE</t>
        </is>
      </c>
      <c r="E115" t="n">
        <v>3005</v>
      </c>
      <c r="F115" t="n">
        <v>3005</v>
      </c>
      <c r="G115" t="n">
        <v>0.293031</v>
      </c>
      <c r="H115" t="n">
        <v>1</v>
      </c>
      <c r="I115" t="n">
        <v>0.43709</v>
      </c>
      <c r="J115" t="n">
        <v>1</v>
      </c>
      <c r="K115" t="n">
        <v>0.917287</v>
      </c>
      <c r="L115" t="n">
        <v>0.7</v>
      </c>
      <c r="M115" t="n">
        <v>1.55755</v>
      </c>
      <c r="N115" t="n">
        <v>0.3</v>
      </c>
      <c r="O115" t="n">
        <v>2.037747</v>
      </c>
      <c r="P115" t="n">
        <v>0</v>
      </c>
      <c r="Q115" t="n">
        <v>1.413491</v>
      </c>
      <c r="R115" t="n">
        <v>0.933294</v>
      </c>
      <c r="S115" t="n">
        <v>0.43709</v>
      </c>
      <c r="T115" t="n">
        <v>0.5185999999999999</v>
      </c>
      <c r="U115" t="n">
        <v>0.917287</v>
      </c>
      <c r="V115" t="inlineStr">
        <is>
          <t>complete</t>
        </is>
      </c>
    </row>
    <row r="116">
      <c r="A116" t="inlineStr">
        <is>
          <t>flow-variability|NPL</t>
        </is>
      </c>
      <c r="B116" t="inlineStr">
        <is>
          <t>flow-variability</t>
        </is>
      </c>
      <c r="C116" t="inlineStr">
        <is>
          <t>NPL</t>
        </is>
      </c>
      <c r="D116" t="inlineStr">
        <is>
          <t>FALSE</t>
        </is>
      </c>
      <c r="E116" t="n">
        <v>4319</v>
      </c>
      <c r="F116" t="n">
        <v>4319</v>
      </c>
      <c r="G116" t="n">
        <v>1.295511</v>
      </c>
      <c r="H116" t="n">
        <v>1</v>
      </c>
      <c r="I116" t="n">
        <v>1.420847</v>
      </c>
      <c r="J116" t="n">
        <v>1</v>
      </c>
      <c r="K116" t="n">
        <v>1.838634</v>
      </c>
      <c r="L116" t="n">
        <v>0.7</v>
      </c>
      <c r="M116" t="n">
        <v>2.395684</v>
      </c>
      <c r="N116" t="n">
        <v>0.3</v>
      </c>
      <c r="O116" t="n">
        <v>2.81347</v>
      </c>
      <c r="P116" t="n">
        <v>0</v>
      </c>
      <c r="Q116" t="n">
        <v>2.270347</v>
      </c>
      <c r="R116" t="n">
        <v>1.85256</v>
      </c>
      <c r="S116" t="n">
        <v>1.420847</v>
      </c>
      <c r="T116" t="n">
        <v>1.65361</v>
      </c>
      <c r="U116" t="n">
        <v>1.838634</v>
      </c>
      <c r="V116" t="inlineStr">
        <is>
          <t>complete</t>
        </is>
      </c>
    </row>
    <row r="117">
      <c r="A117" t="inlineStr">
        <is>
          <t>flow-variability|SAP</t>
        </is>
      </c>
      <c r="B117" t="inlineStr">
        <is>
          <t>flow-variability</t>
        </is>
      </c>
      <c r="C117" t="inlineStr">
        <is>
          <t>SAP</t>
        </is>
      </c>
      <c r="D117" t="inlineStr">
        <is>
          <t>FALSE</t>
        </is>
      </c>
      <c r="E117" t="n">
        <v>6246</v>
      </c>
      <c r="F117" t="n">
        <v>6246</v>
      </c>
      <c r="G117" t="n">
        <v>0.352293</v>
      </c>
      <c r="H117" t="n">
        <v>1</v>
      </c>
      <c r="I117" t="n">
        <v>0.5165999999999999</v>
      </c>
      <c r="J117" t="n">
        <v>1</v>
      </c>
      <c r="K117" t="n">
        <v>1.064292</v>
      </c>
      <c r="L117" t="n">
        <v>0.7</v>
      </c>
      <c r="M117" t="n">
        <v>1.794548</v>
      </c>
      <c r="N117" t="n">
        <v>0.3</v>
      </c>
      <c r="O117" t="n">
        <v>2.342239</v>
      </c>
      <c r="P117" t="n">
        <v>0</v>
      </c>
      <c r="Q117" t="n">
        <v>1.63024</v>
      </c>
      <c r="R117" t="n">
        <v>1.082549</v>
      </c>
      <c r="S117" t="n">
        <v>0.5165999999999999</v>
      </c>
      <c r="T117" t="n">
        <v>0.799475</v>
      </c>
      <c r="U117" t="n">
        <v>1.064292</v>
      </c>
      <c r="V117" t="inlineStr">
        <is>
          <t>complete</t>
        </is>
      </c>
    </row>
    <row r="118">
      <c r="A118" t="inlineStr">
        <is>
          <t>flow-variability|SPL</t>
        </is>
      </c>
      <c r="B118" t="inlineStr">
        <is>
          <t>flow-variability</t>
        </is>
      </c>
      <c r="C118" t="inlineStr">
        <is>
          <t>SPL</t>
        </is>
      </c>
      <c r="D118" t="inlineStr">
        <is>
          <t>FALSE</t>
        </is>
      </c>
      <c r="E118" t="n">
        <v>5955</v>
      </c>
      <c r="F118" t="n">
        <v>5960</v>
      </c>
      <c r="G118" t="n">
        <v>0.483146</v>
      </c>
      <c r="H118" t="n">
        <v>1</v>
      </c>
      <c r="I118" t="n">
        <v>0.550742</v>
      </c>
      <c r="J118" t="n">
        <v>1</v>
      </c>
      <c r="K118" t="n">
        <v>0.776062</v>
      </c>
      <c r="L118" t="n">
        <v>0.7</v>
      </c>
      <c r="M118" t="n">
        <v>1.076488</v>
      </c>
      <c r="N118" t="n">
        <v>0.3</v>
      </c>
      <c r="O118" t="n">
        <v>1.301808</v>
      </c>
      <c r="P118" t="n">
        <v>0</v>
      </c>
      <c r="Q118" t="n">
        <v>1.008892</v>
      </c>
      <c r="R118" t="n">
        <v>0.783572</v>
      </c>
      <c r="S118" t="n">
        <v>0.550742</v>
      </c>
      <c r="T118" t="n">
        <v>0.66752</v>
      </c>
      <c r="U118" t="n">
        <v>0.776062</v>
      </c>
      <c r="V118" t="inlineStr">
        <is>
          <t>complete</t>
        </is>
      </c>
    </row>
    <row r="119">
      <c r="A119" t="inlineStr">
        <is>
          <t>flow-variability|TPL</t>
        </is>
      </c>
      <c r="B119" t="inlineStr">
        <is>
          <t>flow-variability</t>
        </is>
      </c>
      <c r="C119" t="inlineStr">
        <is>
          <t>TPL</t>
        </is>
      </c>
      <c r="D119" t="inlineStr">
        <is>
          <t>FALSE</t>
        </is>
      </c>
      <c r="E119" t="n">
        <v>874</v>
      </c>
      <c r="F119" t="n">
        <v>874</v>
      </c>
      <c r="G119" t="n">
        <v>0.399244</v>
      </c>
      <c r="H119" t="n">
        <v>1</v>
      </c>
      <c r="I119" t="n">
        <v>0.795748</v>
      </c>
      <c r="J119" t="n">
        <v>1</v>
      </c>
      <c r="K119" t="n">
        <v>2.11743</v>
      </c>
      <c r="L119" t="n">
        <v>0.7</v>
      </c>
      <c r="M119" t="n">
        <v>3.879673</v>
      </c>
      <c r="N119" t="n">
        <v>0.3</v>
      </c>
      <c r="O119" t="n">
        <v>5.201354</v>
      </c>
      <c r="P119" t="n">
        <v>0</v>
      </c>
      <c r="Q119" t="n">
        <v>3.483168</v>
      </c>
      <c r="R119" t="n">
        <v>2.161486</v>
      </c>
      <c r="S119" t="n">
        <v>0.795748</v>
      </c>
      <c r="T119" t="n">
        <v>1.071896</v>
      </c>
      <c r="U119" t="n">
        <v>2.11743</v>
      </c>
      <c r="V119" t="inlineStr">
        <is>
          <t>complete</t>
        </is>
      </c>
    </row>
    <row r="120">
      <c r="A120" t="inlineStr">
        <is>
          <t>flow-variability|UMW</t>
        </is>
      </c>
      <c r="B120" t="inlineStr">
        <is>
          <t>flow-variability</t>
        </is>
      </c>
      <c r="C120" t="inlineStr">
        <is>
          <t>UMW</t>
        </is>
      </c>
      <c r="D120" t="inlineStr">
        <is>
          <t>FALSE</t>
        </is>
      </c>
      <c r="E120" t="n">
        <v>2432</v>
      </c>
      <c r="F120" t="n">
        <v>2432</v>
      </c>
      <c r="G120" t="n">
        <v>0.35689</v>
      </c>
      <c r="H120" t="n">
        <v>1</v>
      </c>
      <c r="I120" t="n">
        <v>0.641498</v>
      </c>
      <c r="J120" t="n">
        <v>1</v>
      </c>
      <c r="K120" t="n">
        <v>1.590192</v>
      </c>
      <c r="L120" t="n">
        <v>0.7</v>
      </c>
      <c r="M120" t="n">
        <v>2.855118</v>
      </c>
      <c r="N120" t="n">
        <v>0.3</v>
      </c>
      <c r="O120" t="n">
        <v>3.803812</v>
      </c>
      <c r="P120" t="n">
        <v>0</v>
      </c>
      <c r="Q120" t="n">
        <v>2.57051</v>
      </c>
      <c r="R120" t="n">
        <v>1.621816</v>
      </c>
      <c r="S120" t="n">
        <v>0.641498</v>
      </c>
      <c r="T120" t="n">
        <v>0.927893</v>
      </c>
      <c r="U120" t="n">
        <v>1.590192</v>
      </c>
      <c r="V120" t="inlineStr">
        <is>
          <t>complete</t>
        </is>
      </c>
    </row>
    <row r="121">
      <c r="A121" t="inlineStr">
        <is>
          <t>flow-variability|WMT</t>
        </is>
      </c>
      <c r="B121" t="inlineStr">
        <is>
          <t>flow-variability</t>
        </is>
      </c>
      <c r="C121" t="inlineStr">
        <is>
          <t>WMT</t>
        </is>
      </c>
      <c r="D121" t="inlineStr">
        <is>
          <t>FALSE</t>
        </is>
      </c>
      <c r="E121" t="n">
        <v>12591</v>
      </c>
      <c r="F121" t="n">
        <v>12592</v>
      </c>
      <c r="G121" t="n">
        <v>0.597791</v>
      </c>
      <c r="H121" t="n">
        <v>1</v>
      </c>
      <c r="I121" t="n">
        <v>0.761547</v>
      </c>
      <c r="J121" t="n">
        <v>1</v>
      </c>
      <c r="K121" t="n">
        <v>1.3074</v>
      </c>
      <c r="L121" t="n">
        <v>0.7</v>
      </c>
      <c r="M121" t="n">
        <v>2.035204</v>
      </c>
      <c r="N121" t="n">
        <v>0.3</v>
      </c>
      <c r="O121" t="n">
        <v>2.581056</v>
      </c>
      <c r="P121" t="n">
        <v>0</v>
      </c>
      <c r="Q121" t="n">
        <v>1.871448</v>
      </c>
      <c r="R121" t="n">
        <v>1.325595</v>
      </c>
      <c r="S121" t="n">
        <v>0.761547</v>
      </c>
      <c r="T121" t="n">
        <v>1.045299</v>
      </c>
      <c r="U121" t="n">
        <v>1.3074</v>
      </c>
      <c r="V121" t="inlineStr">
        <is>
          <t>complete</t>
        </is>
      </c>
    </row>
    <row r="122">
      <c r="A122" t="inlineStr">
        <is>
          <t>flow-variability|XER</t>
        </is>
      </c>
      <c r="B122" t="inlineStr">
        <is>
          <t>flow-variability</t>
        </is>
      </c>
      <c r="C122" t="inlineStr">
        <is>
          <t>XER</t>
        </is>
      </c>
      <c r="D122" t="inlineStr">
        <is>
          <t>FALSE</t>
        </is>
      </c>
      <c r="E122" t="n">
        <v>14645</v>
      </c>
      <c r="F122" t="n">
        <v>14654</v>
      </c>
      <c r="G122" t="n">
        <v>0.8921559999999999</v>
      </c>
      <c r="H122" t="n">
        <v>1</v>
      </c>
      <c r="I122" t="n">
        <v>1.115726</v>
      </c>
      <c r="J122" t="n">
        <v>1</v>
      </c>
      <c r="K122" t="n">
        <v>1.860961</v>
      </c>
      <c r="L122" t="n">
        <v>0.7</v>
      </c>
      <c r="M122" t="n">
        <v>2.854607</v>
      </c>
      <c r="N122" t="n">
        <v>0.3</v>
      </c>
      <c r="O122" t="n">
        <v>3.599841</v>
      </c>
      <c r="P122" t="n">
        <v>0</v>
      </c>
      <c r="Q122" t="n">
        <v>2.631037</v>
      </c>
      <c r="R122" t="n">
        <v>1.885802</v>
      </c>
      <c r="S122" t="n">
        <v>1.115726</v>
      </c>
      <c r="T122" t="n">
        <v>1.421819</v>
      </c>
      <c r="U122" t="n">
        <v>1.860961</v>
      </c>
      <c r="V122" t="inlineStr">
        <is>
          <t>complete</t>
        </is>
      </c>
    </row>
    <row r="123">
      <c r="A123" t="inlineStr">
        <is>
          <t>flow-variability|national</t>
        </is>
      </c>
      <c r="B123" t="inlineStr">
        <is>
          <t>flow-variability</t>
        </is>
      </c>
      <c r="C123" t="inlineStr">
        <is>
          <t>national</t>
        </is>
      </c>
      <c r="D123" t="inlineStr">
        <is>
          <t>FALSE</t>
        </is>
      </c>
      <c r="E123" t="n">
        <v>53197</v>
      </c>
      <c r="F123" t="n">
        <v>53210</v>
      </c>
      <c r="G123" t="n">
        <v>0.38078</v>
      </c>
      <c r="H123" t="n">
        <v>1</v>
      </c>
      <c r="I123" t="n">
        <v>0.630809</v>
      </c>
      <c r="J123" t="n">
        <v>1</v>
      </c>
      <c r="K123" t="n">
        <v>1.464239</v>
      </c>
      <c r="L123" t="n">
        <v>0.7</v>
      </c>
      <c r="M123" t="n">
        <v>2.575479</v>
      </c>
      <c r="N123" t="n">
        <v>0.3</v>
      </c>
      <c r="O123" t="n">
        <v>3.408909</v>
      </c>
      <c r="P123" t="n">
        <v>0</v>
      </c>
      <c r="Q123" t="n">
        <v>2.32545</v>
      </c>
      <c r="R123" t="n">
        <v>1.49202</v>
      </c>
      <c r="S123" t="n">
        <v>0.630809</v>
      </c>
      <c r="T123" t="n">
        <v>1.00673</v>
      </c>
      <c r="U123" t="n">
        <v>1.464239</v>
      </c>
      <c r="V123" t="inlineStr">
        <is>
          <t>complete</t>
        </is>
      </c>
    </row>
    <row r="125">
      <c r="A125" s="6" t="inlineStr">
        <is>
          <t>Nutrient regional thresholds by NARS-9 region (mg/L): Good at or below the first value, Poor at or above the second, Fair between</t>
        </is>
      </c>
    </row>
    <row r="126">
      <c r="A126" s="8" t="inlineStr">
        <is>
          <t>Region</t>
        </is>
      </c>
      <c r="B126" s="8" t="inlineStr">
        <is>
          <t>TN good/fair</t>
        </is>
      </c>
      <c r="C126" s="8" t="inlineStr">
        <is>
          <t>TN fair/poor</t>
        </is>
      </c>
      <c r="D126" s="8" t="inlineStr">
        <is>
          <t>TP good/fair</t>
        </is>
      </c>
      <c r="E126" s="8" t="inlineStr">
        <is>
          <t>TP fair/poor</t>
        </is>
      </c>
    </row>
    <row r="127">
      <c r="A127" t="inlineStr">
        <is>
          <t>CPL</t>
        </is>
      </c>
      <c r="B127" t="n">
        <v>0.624</v>
      </c>
      <c r="C127" t="n">
        <v>1.081</v>
      </c>
      <c r="D127" t="n">
        <v>0.0559</v>
      </c>
      <c r="E127" t="n">
        <v>0.103</v>
      </c>
    </row>
    <row r="128">
      <c r="A128" t="inlineStr">
        <is>
          <t>NAP</t>
        </is>
      </c>
      <c r="B128" t="n">
        <v>0.345</v>
      </c>
      <c r="C128" t="n">
        <v>0.482</v>
      </c>
      <c r="D128" t="n">
        <v>0.0171</v>
      </c>
      <c r="E128" t="n">
        <v>0.0326</v>
      </c>
    </row>
    <row r="129">
      <c r="A129" t="inlineStr">
        <is>
          <t>NPL</t>
        </is>
      </c>
      <c r="B129" t="n">
        <v>0.575</v>
      </c>
      <c r="C129" t="n">
        <v>0.9370000000000001</v>
      </c>
      <c r="D129" t="n">
        <v>0.064</v>
      </c>
      <c r="E129" t="n">
        <v>0.107</v>
      </c>
    </row>
    <row r="130">
      <c r="A130" t="inlineStr">
        <is>
          <t>SAP</t>
        </is>
      </c>
      <c r="B130" t="n">
        <v>0.24</v>
      </c>
      <c r="C130" t="n">
        <v>0.456</v>
      </c>
      <c r="D130" t="n">
        <v>0.0148</v>
      </c>
      <c r="E130" t="n">
        <v>0.0244</v>
      </c>
    </row>
    <row r="131">
      <c r="A131" t="inlineStr">
        <is>
          <t>SPL</t>
        </is>
      </c>
      <c r="B131" t="n">
        <v>0.581</v>
      </c>
      <c r="C131" t="n">
        <v>1.069</v>
      </c>
      <c r="D131" t="n">
        <v>0.0558</v>
      </c>
      <c r="E131" t="n">
        <v>0.127</v>
      </c>
    </row>
    <row r="132">
      <c r="A132" t="inlineStr">
        <is>
          <t>TPL</t>
        </is>
      </c>
      <c r="B132" t="n">
        <v>0.7</v>
      </c>
      <c r="C132" t="n">
        <v>1.274</v>
      </c>
      <c r="D132" t="n">
        <v>0.0886</v>
      </c>
      <c r="E132" t="n">
        <v>0.143</v>
      </c>
    </row>
    <row r="133">
      <c r="A133" t="inlineStr">
        <is>
          <t>UMW</t>
        </is>
      </c>
      <c r="B133" t="n">
        <v>0.583</v>
      </c>
      <c r="C133" t="n">
        <v>1.024</v>
      </c>
      <c r="D133" t="n">
        <v>0.0363</v>
      </c>
      <c r="E133" t="n">
        <v>0.0499</v>
      </c>
    </row>
    <row r="134">
      <c r="A134" t="inlineStr">
        <is>
          <t>WMT</t>
        </is>
      </c>
      <c r="B134" t="n">
        <v>0.139</v>
      </c>
      <c r="C134" t="n">
        <v>0.249</v>
      </c>
      <c r="D134" t="n">
        <v>0.0177</v>
      </c>
      <c r="E134" t="n">
        <v>0.041</v>
      </c>
    </row>
    <row r="135">
      <c r="A135" t="inlineStr">
        <is>
          <t>XER</t>
        </is>
      </c>
      <c r="B135" t="n">
        <v>0.285</v>
      </c>
      <c r="C135" t="n">
        <v>0.529</v>
      </c>
      <c r="D135" t="n">
        <v>0.052</v>
      </c>
      <c r="E135" t="n">
        <v>0.0959</v>
      </c>
    </row>
    <row r="137">
      <c r="A137" s="6" t="inlineStr">
        <is>
          <t>ATTAINS category lookup (category 3 is inconclusive and falls back to the CHEM index)</t>
        </is>
      </c>
    </row>
    <row r="138">
      <c r="A138" s="8" t="inlineStr">
        <is>
          <t>Category</t>
        </is>
      </c>
      <c r="B138" s="8" t="inlineStr">
        <is>
          <t>Rating</t>
        </is>
      </c>
      <c r="C138" s="8" t="inlineStr">
        <is>
          <t>Label</t>
        </is>
      </c>
    </row>
    <row r="139">
      <c r="A139" t="inlineStr">
        <is>
          <t>1</t>
        </is>
      </c>
      <c r="B139" t="inlineStr">
        <is>
          <t>Good</t>
        </is>
      </c>
      <c r="C139" t="inlineStr">
        <is>
          <t>Category 1</t>
        </is>
      </c>
    </row>
    <row r="140">
      <c r="A140" t="inlineStr">
        <is>
          <t>2</t>
        </is>
      </c>
      <c r="B140" t="inlineStr">
        <is>
          <t>Good</t>
        </is>
      </c>
      <c r="C140" t="inlineStr">
        <is>
          <t>Category 2</t>
        </is>
      </c>
    </row>
    <row r="141">
      <c r="A141" t="inlineStr">
        <is>
          <t>3</t>
        </is>
      </c>
      <c r="B141" t="inlineStr">
        <is>
          <t>none</t>
        </is>
      </c>
      <c r="C141" t="inlineStr">
        <is>
          <t>Category 3 (insufficient evidence)</t>
        </is>
      </c>
    </row>
    <row r="142">
      <c r="A142" t="inlineStr">
        <is>
          <t>4A</t>
        </is>
      </c>
      <c r="B142" t="inlineStr">
        <is>
          <t>Fair</t>
        </is>
      </c>
      <c r="C142" t="inlineStr">
        <is>
          <t>Category 4a</t>
        </is>
      </c>
    </row>
    <row r="143">
      <c r="A143" t="inlineStr">
        <is>
          <t>4B</t>
        </is>
      </c>
      <c r="B143" t="inlineStr">
        <is>
          <t>Fair</t>
        </is>
      </c>
      <c r="C143" t="inlineStr">
        <is>
          <t>Category 4b</t>
        </is>
      </c>
    </row>
    <row r="144">
      <c r="A144" t="inlineStr">
        <is>
          <t>4C</t>
        </is>
      </c>
      <c r="B144" t="inlineStr">
        <is>
          <t>Poor</t>
        </is>
      </c>
      <c r="C144" t="inlineStr">
        <is>
          <t>Category 4c</t>
        </is>
      </c>
    </row>
    <row r="145">
      <c r="A145" t="inlineStr">
        <is>
          <t>5</t>
        </is>
      </c>
      <c r="B145" t="inlineStr">
        <is>
          <t>Poor</t>
        </is>
      </c>
      <c r="C145" t="inlineStr">
        <is>
          <t>Category 5</t>
        </is>
      </c>
    </row>
    <row r="147">
      <c r="A147" s="6" t="inlineStr">
        <is>
          <t>Canal and ditch feature codes (Channel evolution rates Poor)</t>
        </is>
      </c>
    </row>
    <row r="148">
      <c r="A148" s="8" t="inlineStr">
        <is>
          <t>FCODE</t>
        </is>
      </c>
      <c r="B148" s="8" t="inlineStr">
        <is>
          <t>Rating</t>
        </is>
      </c>
    </row>
    <row r="149">
      <c r="A149" t="n">
        <v>33600</v>
      </c>
      <c r="B149" t="inlineStr">
        <is>
          <t>Poor</t>
        </is>
      </c>
    </row>
    <row r="150">
      <c r="A150" t="n">
        <v>33601</v>
      </c>
      <c r="B150" t="inlineStr">
        <is>
          <t>Poor</t>
        </is>
      </c>
    </row>
    <row r="151">
      <c r="A151" t="n">
        <v>33603</v>
      </c>
      <c r="B151" t="inlineStr">
        <is>
          <t>Poor</t>
        </is>
      </c>
    </row>
    <row r="153">
      <c r="A153" s="6" t="inlineStr">
        <is>
          <t>Function to outcome mapping and weights (D direct, i indirect)</t>
        </is>
      </c>
    </row>
    <row r="154">
      <c r="A154" s="8" t="inlineStr">
        <is>
          <t>Function</t>
        </is>
      </c>
      <c r="B154" s="8" t="inlineStr">
        <is>
          <t>Physical</t>
        </is>
      </c>
      <c r="C154" s="8" t="inlineStr">
        <is>
          <t>Chemical</t>
        </is>
      </c>
      <c r="D154" s="8" t="inlineStr">
        <is>
          <t>Biological</t>
        </is>
      </c>
      <c r="E154" s="8" t="inlineStr">
        <is>
          <t>Weight D</t>
        </is>
      </c>
      <c r="F154" s="8" t="inlineStr">
        <is>
          <t>Weight i</t>
        </is>
      </c>
    </row>
    <row r="155">
      <c r="A155" t="inlineStr">
        <is>
          <t>Catchment hydrology</t>
        </is>
      </c>
      <c r="B155" t="inlineStr">
        <is>
          <t>D</t>
        </is>
      </c>
      <c r="C155" t="inlineStr">
        <is>
          <t>i</t>
        </is>
      </c>
      <c r="D155" t="inlineStr">
        <is>
          <t>i</t>
        </is>
      </c>
      <c r="E155" t="n">
        <v>1</v>
      </c>
      <c r="F155" t="n">
        <v>0.1</v>
      </c>
    </row>
    <row r="156">
      <c r="A156" t="inlineStr">
        <is>
          <t>Surface water storage</t>
        </is>
      </c>
      <c r="B156" t="inlineStr">
        <is>
          <t>D</t>
        </is>
      </c>
      <c r="C156" t="inlineStr">
        <is>
          <t>i</t>
        </is>
      </c>
      <c r="D156" t="inlineStr">
        <is>
          <t>i</t>
        </is>
      </c>
      <c r="E156" t="n">
        <v>1</v>
      </c>
      <c r="F156" t="n">
        <v>0.1</v>
      </c>
    </row>
    <row r="157">
      <c r="A157" t="inlineStr">
        <is>
          <t>Reach inflow</t>
        </is>
      </c>
      <c r="B157" t="inlineStr">
        <is>
          <t>D</t>
        </is>
      </c>
      <c r="C157" t="inlineStr">
        <is>
          <t>i</t>
        </is>
      </c>
      <c r="D157" t="inlineStr">
        <is>
          <t>i</t>
        </is>
      </c>
      <c r="E157" t="n">
        <v>1</v>
      </c>
      <c r="F157" t="n">
        <v>0.1</v>
      </c>
    </row>
    <row r="158">
      <c r="A158" t="inlineStr">
        <is>
          <t>Streamflow regime</t>
        </is>
      </c>
      <c r="B158" t="inlineStr">
        <is>
          <t>D</t>
        </is>
      </c>
      <c r="C158" t="inlineStr">
        <is>
          <t>i</t>
        </is>
      </c>
      <c r="D158" t="inlineStr">
        <is>
          <t>i</t>
        </is>
      </c>
      <c r="E158" t="n">
        <v>1</v>
      </c>
      <c r="F158" t="n">
        <v>0.1</v>
      </c>
    </row>
    <row r="159">
      <c r="A159" t="inlineStr">
        <is>
          <t>Low flow and baseflow dynamics</t>
        </is>
      </c>
      <c r="B159" t="inlineStr">
        <is>
          <t>D</t>
        </is>
      </c>
      <c r="C159" t="inlineStr">
        <is>
          <t>i</t>
        </is>
      </c>
      <c r="D159" t="inlineStr">
        <is>
          <t>i</t>
        </is>
      </c>
      <c r="E159" t="n">
        <v>1</v>
      </c>
      <c r="F159" t="n">
        <v>0.1</v>
      </c>
    </row>
    <row r="160">
      <c r="A160" t="inlineStr">
        <is>
          <t>High flow dynamics</t>
        </is>
      </c>
      <c r="B160" t="inlineStr">
        <is>
          <t>D</t>
        </is>
      </c>
      <c r="C160" t="inlineStr">
        <is>
          <t>i</t>
        </is>
      </c>
      <c r="D160" t="inlineStr">
        <is>
          <t>i</t>
        </is>
      </c>
      <c r="E160" t="n">
        <v>1</v>
      </c>
      <c r="F160" t="n">
        <v>0.1</v>
      </c>
    </row>
    <row r="161">
      <c r="A161" t="inlineStr">
        <is>
          <t>Floodplain connectivity</t>
        </is>
      </c>
      <c r="B161" t="inlineStr">
        <is>
          <t>D</t>
        </is>
      </c>
      <c r="C161" t="inlineStr">
        <is>
          <t>i</t>
        </is>
      </c>
      <c r="D161" t="inlineStr">
        <is>
          <t>i</t>
        </is>
      </c>
      <c r="E161" t="n">
        <v>1</v>
      </c>
      <c r="F161" t="n">
        <v>0.1</v>
      </c>
    </row>
    <row r="162">
      <c r="A162" t="inlineStr">
        <is>
          <t>Hyporheic connectivity</t>
        </is>
      </c>
      <c r="B162" t="inlineStr">
        <is>
          <t>D</t>
        </is>
      </c>
      <c r="C162" t="inlineStr">
        <is>
          <t>i</t>
        </is>
      </c>
      <c r="D162" t="inlineStr">
        <is>
          <t>i</t>
        </is>
      </c>
      <c r="E162" t="n">
        <v>1</v>
      </c>
      <c r="F162" t="n">
        <v>0.1</v>
      </c>
    </row>
    <row r="163">
      <c r="A163" t="inlineStr">
        <is>
          <t>Channel evolution</t>
        </is>
      </c>
      <c r="B163" t="inlineStr">
        <is>
          <t>D</t>
        </is>
      </c>
      <c r="C163" t="inlineStr">
        <is>
          <t>i</t>
        </is>
      </c>
      <c r="D163" t="inlineStr">
        <is>
          <t>i</t>
        </is>
      </c>
      <c r="E163" t="n">
        <v>1</v>
      </c>
      <c r="F163" t="n">
        <v>0.1</v>
      </c>
    </row>
    <row r="164">
      <c r="A164" t="inlineStr">
        <is>
          <t>Channel and floodplain dynamics</t>
        </is>
      </c>
      <c r="B164" t="inlineStr">
        <is>
          <t>D</t>
        </is>
      </c>
      <c r="C164" t="inlineStr">
        <is>
          <t>i</t>
        </is>
      </c>
      <c r="D164" t="inlineStr">
        <is>
          <t>i</t>
        </is>
      </c>
      <c r="E164" t="n">
        <v>1</v>
      </c>
      <c r="F164" t="n">
        <v>0.1</v>
      </c>
    </row>
    <row r="165">
      <c r="A165" t="inlineStr">
        <is>
          <t>Sediment continuity</t>
        </is>
      </c>
      <c r="B165" t="inlineStr">
        <is>
          <t>D</t>
        </is>
      </c>
      <c r="C165" t="inlineStr">
        <is>
          <t>i</t>
        </is>
      </c>
      <c r="D165" t="inlineStr">
        <is>
          <t>i</t>
        </is>
      </c>
      <c r="E165" t="n">
        <v>1</v>
      </c>
      <c r="F165" t="n">
        <v>0.1</v>
      </c>
    </row>
    <row r="166">
      <c r="A166" t="inlineStr">
        <is>
          <t>Bed composition and large wood</t>
        </is>
      </c>
      <c r="B166" t="inlineStr">
        <is>
          <t>D</t>
        </is>
      </c>
      <c r="C166" t="inlineStr">
        <is>
          <t>i</t>
        </is>
      </c>
      <c r="D166" t="inlineStr">
        <is>
          <t>i</t>
        </is>
      </c>
      <c r="E166" t="n">
        <v>1</v>
      </c>
      <c r="F166" t="n">
        <v>0.1</v>
      </c>
    </row>
    <row r="167">
      <c r="A167" t="inlineStr">
        <is>
          <t>Light &amp; thermal regime</t>
        </is>
      </c>
      <c r="B167" t="inlineStr">
        <is>
          <t>-</t>
        </is>
      </c>
      <c r="C167" t="inlineStr">
        <is>
          <t>D</t>
        </is>
      </c>
      <c r="D167" t="inlineStr">
        <is>
          <t>i</t>
        </is>
      </c>
      <c r="E167" t="n">
        <v>1</v>
      </c>
      <c r="F167" t="n">
        <v>0.1</v>
      </c>
    </row>
    <row r="168">
      <c r="A168" t="inlineStr">
        <is>
          <t>Carbon processing</t>
        </is>
      </c>
      <c r="B168" t="inlineStr">
        <is>
          <t>-</t>
        </is>
      </c>
      <c r="C168" t="inlineStr">
        <is>
          <t>D</t>
        </is>
      </c>
      <c r="D168" t="inlineStr">
        <is>
          <t>i</t>
        </is>
      </c>
      <c r="E168" t="n">
        <v>1</v>
      </c>
      <c r="F168" t="n">
        <v>0.1</v>
      </c>
    </row>
    <row r="169">
      <c r="A169" t="inlineStr">
        <is>
          <t>Nutrient cycling</t>
        </is>
      </c>
      <c r="B169" t="inlineStr">
        <is>
          <t>i</t>
        </is>
      </c>
      <c r="C169" t="inlineStr">
        <is>
          <t>D</t>
        </is>
      </c>
      <c r="D169" t="inlineStr">
        <is>
          <t>i</t>
        </is>
      </c>
      <c r="E169" t="n">
        <v>1</v>
      </c>
      <c r="F169" t="n">
        <v>0.1</v>
      </c>
    </row>
    <row r="170">
      <c r="A170" t="inlineStr">
        <is>
          <t>Water &amp; soil quality</t>
        </is>
      </c>
      <c r="B170" t="inlineStr">
        <is>
          <t>i</t>
        </is>
      </c>
      <c r="C170" t="inlineStr">
        <is>
          <t>D</t>
        </is>
      </c>
      <c r="D170" t="inlineStr">
        <is>
          <t>i</t>
        </is>
      </c>
      <c r="E170" t="n">
        <v>1</v>
      </c>
      <c r="F170" t="n">
        <v>0.1</v>
      </c>
    </row>
    <row r="171">
      <c r="A171" t="inlineStr">
        <is>
          <t>Habitat provision</t>
        </is>
      </c>
      <c r="B171" t="inlineStr">
        <is>
          <t>-</t>
        </is>
      </c>
      <c r="C171" t="inlineStr">
        <is>
          <t>-</t>
        </is>
      </c>
      <c r="D171" t="inlineStr">
        <is>
          <t>D</t>
        </is>
      </c>
      <c r="E171" t="n">
        <v>1</v>
      </c>
      <c r="F171" t="n">
        <v>0.1</v>
      </c>
    </row>
    <row r="172">
      <c r="A172" t="inlineStr">
        <is>
          <t>Population support</t>
        </is>
      </c>
      <c r="B172" t="inlineStr">
        <is>
          <t>i</t>
        </is>
      </c>
      <c r="C172" t="inlineStr">
        <is>
          <t>i</t>
        </is>
      </c>
      <c r="D172" t="inlineStr">
        <is>
          <t>D</t>
        </is>
      </c>
      <c r="E172" t="n">
        <v>1</v>
      </c>
      <c r="F172" t="n">
        <v>0.1</v>
      </c>
    </row>
    <row r="173">
      <c r="A173" t="inlineStr">
        <is>
          <t>Community dynamics</t>
        </is>
      </c>
      <c r="B173" t="inlineStr">
        <is>
          <t>i</t>
        </is>
      </c>
      <c r="C173" t="inlineStr">
        <is>
          <t>i</t>
        </is>
      </c>
      <c r="D173" t="inlineStr">
        <is>
          <t>D</t>
        </is>
      </c>
      <c r="E173" t="n">
        <v>1</v>
      </c>
      <c r="F173" t="n">
        <v>0.1</v>
      </c>
    </row>
    <row r="174">
      <c r="A174" t="inlineStr">
        <is>
          <t>Watershed connectivity</t>
        </is>
      </c>
      <c r="B174" t="inlineStr">
        <is>
          <t>i</t>
        </is>
      </c>
      <c r="C174" t="inlineStr">
        <is>
          <t>-</t>
        </is>
      </c>
      <c r="D174" t="inlineStr">
        <is>
          <t>D</t>
        </is>
      </c>
      <c r="E174" t="n">
        <v>1</v>
      </c>
      <c r="F174" t="n">
        <v>0.1</v>
      </c>
    </row>
    <row r="176">
      <c r="A176" s="6" t="inlineStr">
        <is>
          <t>Slope classes for the entrenchment curves</t>
        </is>
      </c>
    </row>
    <row r="177">
      <c r="A177" s="8" t="inlineStr">
        <is>
          <t>Class</t>
        </is>
      </c>
      <c r="B177" s="8" t="inlineStr">
        <is>
          <t>Channel slope</t>
        </is>
      </c>
    </row>
    <row r="178">
      <c r="A178" t="inlineStr">
        <is>
          <t>lt_0.5</t>
        </is>
      </c>
      <c r="B178" t="inlineStr">
        <is>
          <t>below 0.005 m/m</t>
        </is>
      </c>
    </row>
    <row r="179">
      <c r="A179" t="inlineStr">
        <is>
          <t>0.5_to_2</t>
        </is>
      </c>
      <c r="B179" t="inlineStr">
        <is>
          <t>0.005 to below 0.02 m/m</t>
        </is>
      </c>
    </row>
    <row r="180">
      <c r="A180" t="inlineStr">
        <is>
          <t>ge_2</t>
        </is>
      </c>
      <c r="B180" t="inlineStr">
        <is>
          <t>0.02 m/m and above</t>
        </is>
      </c>
    </row>
    <row r="181">
      <c r="A181" t="inlineStr">
        <is>
          <t>national</t>
        </is>
      </c>
      <c r="B181" t="inlineStr">
        <is>
          <t>slope unknown or negative</t>
        </is>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8" customWidth="1" min="1" max="1"/>
    <col width="110" customWidth="1" min="2" max="2"/>
  </cols>
  <sheetData>
    <row r="1">
      <c r="A1" s="4" t="inlineStr">
        <is>
          <t>Metadata and version information</t>
        </is>
      </c>
    </row>
    <row r="2">
      <c r="A2" s="8" t="inlineStr">
        <is>
          <t>Item</t>
        </is>
      </c>
      <c r="B2" s="8" t="inlineStr">
        <is>
          <t>Value</t>
        </is>
      </c>
    </row>
    <row r="3">
      <c r="A3" t="inlineStr">
        <is>
          <t>Calculator version</t>
        </is>
      </c>
      <c r="B3" t="inlineStr">
        <is>
          <t>1.0.0</t>
        </is>
      </c>
    </row>
    <row r="4">
      <c r="A4" t="inlineStr">
        <is>
          <t>Calculator date</t>
        </is>
      </c>
      <c r="B4" t="inlineStr">
        <is>
          <t>2026-09-16</t>
        </is>
      </c>
    </row>
    <row r="5">
      <c r="A5" t="inlineStr">
        <is>
          <t>Scoring method digest</t>
        </is>
      </c>
      <c r="B5" t="inlineStr">
        <is>
          <t>b2e3033116e3</t>
        </is>
      </c>
    </row>
    <row r="6">
      <c r="A6" t="inlineStr">
        <is>
          <t>Scoring identity</t>
        </is>
      </c>
      <c r="B6" t="inlineStr">
        <is>
          <t>alternative-2 (Alternative 2: NARS-9 references)</t>
        </is>
      </c>
    </row>
    <row r="7">
      <c r="A7" t="inlineStr">
        <is>
          <t>Criteria set</t>
        </is>
      </c>
      <c r="B7" t="inlineStr">
        <is>
          <t>regional</t>
        </is>
      </c>
    </row>
    <row r="8">
      <c r="A8" t="inlineStr">
        <is>
          <t>Reference curves</t>
        </is>
      </c>
      <c r="B8" t="inlineStr">
        <is>
          <t>34 curves</t>
        </is>
      </c>
    </row>
    <row r="9">
      <c r="A9" t="inlineStr">
        <is>
          <t>Catalog sha256</t>
        </is>
      </c>
      <c r="B9" t="inlineStr">
        <is>
          <t>78c1e2921198905ee6e53f18147e2aa33f9a6ffd87ff3e7a23844238b3fb73f3</t>
        </is>
      </c>
    </row>
    <row r="10">
      <c r="A10" t="inlineStr">
        <is>
          <t>Curves sha256</t>
        </is>
      </c>
      <c r="B10" t="inlineStr">
        <is>
          <t>a824e2c254dea1c22af62d2a6f5fd3d0862ff0574190111655aa5b34dbce4887</t>
        </is>
      </c>
    </row>
    <row r="11">
      <c r="A11" t="inlineStr">
        <is>
          <t>NARS-9 geography sha256</t>
        </is>
      </c>
      <c r="B11" t="inlineStr">
        <is>
          <t>f08b5be1ec4149da224f7fc5185c755f0d612d9115c53a172081c67009ab0300</t>
        </is>
      </c>
    </row>
    <row r="12">
      <c r="A12" t="inlineStr">
        <is>
          <t>Rating anchors</t>
        </is>
      </c>
      <c r="B12" t="inlineStr">
        <is>
          <t>Good 0.85, Fair 0.545, Poor 0.195</t>
        </is>
      </c>
    </row>
    <row r="13">
      <c r="A13" t="inlineStr">
        <is>
          <t>Function scores</t>
        </is>
      </c>
      <c r="B13" t="inlineStr">
        <is>
          <t>Good 13, Fair 8, Poor 3</t>
        </is>
      </c>
    </row>
    <row r="14">
      <c r="A14" t="inlineStr">
        <is>
          <t>Outcome weights</t>
        </is>
      </c>
      <c r="B14" t="inlineStr">
        <is>
          <t>direct 1.0, indirect 0.1</t>
        </is>
      </c>
    </row>
    <row r="15">
      <c r="A15" t="inlineStr">
        <is>
          <t>Condition classes</t>
        </is>
      </c>
      <c r="B15" t="inlineStr">
        <is>
          <t>index at or below 0.39 Non-Functioning, at or below 0.69 Functioning-at-Risk, else Functioning</t>
        </is>
      </c>
    </row>
    <row r="16">
      <c r="A16" t="inlineStr">
        <is>
          <t>Coverage threshold</t>
        </is>
      </c>
      <c r="B16" t="inlineStr">
        <is>
          <t>0.7</t>
        </is>
      </c>
    </row>
    <row r="17">
      <c r="A17" t="inlineStr">
        <is>
          <t>Generator</t>
        </is>
      </c>
      <c r="B17" t="inlineStr">
        <is>
          <t>apps/easi/scripts/build_calculator.py</t>
        </is>
      </c>
    </row>
    <row r="18">
      <c r="A18" t="inlineStr">
        <is>
          <t>Generator sha256</t>
        </is>
      </c>
      <c r="B18" t="inlineStr">
        <is>
          <t>67618f11d7fb20e55ed440add66d98f4f26bae76a0720e348eb963f44be5950f</t>
        </is>
      </c>
    </row>
    <row r="19">
      <c r="A19" t="inlineStr">
        <is>
          <t>Generated from</t>
        </is>
      </c>
      <c r="B19" t="inlineStr">
        <is>
          <t>apps/easi/data/screening-methods.json, reference-curves.json, cwa-mapping.json, easi-metrics.json, scoring-identity.json</t>
        </is>
      </c>
    </row>
    <row r="20">
      <c r="A20" t="inlineStr">
        <is>
          <t>Application</t>
        </is>
      </c>
      <c r="B20" t="inlineStr">
        <is>
          <t>EASI (apps/easi), STAF, USACE-WRISES/staf</t>
        </is>
      </c>
    </row>
    <row r="21">
      <c r="A21" t="inlineStr">
        <is>
          <t>Formula vocabulary</t>
        </is>
      </c>
      <c r="B21" t="inlineStr">
        <is>
          <t>IF AND OR NOT MIN MAX ROUND INDEX MATCH IFERROR ISNUMBER COUNT SUM SUMPRODUCT AVERAGE STDEV.P PRODUCT UPPER TRIM SUBSTITUTE LEN</t>
        </is>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EASI</dc:creator>
  <dcterms:created xmlns:dcterms="http://purl.org/dc/terms/" xmlns:xsi="http://www.w3.org/2001/XMLSchema-instance" xsi:type="dcterms:W3CDTF">2026-09-16T00:00:00Z</dcterms:created>
  <dcterms:modified xmlns:dcterms="http://purl.org/dc/terms/" xmlns:xsi="http://www.w3.org/2001/XMLSchema-instance" xsi:type="dcterms:W3CDTF">2026-09-16T00:00:00Z</dcterms:modified>
  <cp:lastModifiedBy>EASI</cp:lastModifiedBy>
</cp:coreProperties>
</file>