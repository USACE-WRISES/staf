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Instructions" sheetId="1" state="visible" r:id="rId1"/>
    <sheet xmlns:r="http://schemas.openxmlformats.org/officeDocument/2006/relationships" name="EASI Score" sheetId="2" state="visible" r:id="rId2"/>
    <sheet xmlns:r="http://schemas.openxmlformats.org/officeDocument/2006/relationships" name="Metrics" sheetId="3" state="visible" r:id="rId3"/>
    <sheet xmlns:r="http://schemas.openxmlformats.org/officeDocument/2006/relationships" name="Results" sheetId="4" state="hidden" r:id="rId4"/>
    <sheet xmlns:r="http://schemas.openxmlformats.org/officeDocument/2006/relationships" name="Reference" sheetId="5" state="visible" r:id="rId5"/>
    <sheet xmlns:r="http://schemas.openxmlformats.org/officeDocument/2006/relationships" name="Metadata" sheetId="6" state="visible" r:id="rId6"/>
    <sheet xmlns:r="http://schemas.openxmlformats.org/officeDocument/2006/relationships" name="ChartData" sheetId="7" state="hidden" r:id="rId7"/>
  </sheets>
  <definedNames>
    <definedName name="anchor_good">'Reference'!$B$6</definedName>
    <definedName name="score_good">'Reference'!$C$6</definedName>
    <definedName name="anchor_fair">'Reference'!$B$7</definedName>
    <definedName name="score_fair">'Reference'!$C$7</definedName>
    <definedName name="anchor_poor">'Reference'!$B$8</definedName>
    <definedName name="score_poor">'Reference'!$C$8</definedName>
    <definedName name="curve_keys">'Reference'!$A$90:$A$123</definedName>
    <definedName name="curve_x1">'Reference'!$G$90:$G$123</definedName>
    <definedName name="curve_y1">'Reference'!$H$90:$H$123</definedName>
    <definedName name="curve_x2">'Reference'!$I$90:$I$123</definedName>
    <definedName name="curve_y2">'Reference'!$J$90:$J$123</definedName>
    <definedName name="curve_x3">'Reference'!$K$90:$K$123</definedName>
    <definedName name="curve_y3">'Reference'!$L$90:$L$123</definedName>
    <definedName name="curve_x4">'Reference'!$M$90:$M$123</definedName>
    <definedName name="curve_y4">'Reference'!$N$90:$N$123</definedName>
    <definedName name="curve_x5">'Reference'!$O$90:$O$123</definedName>
    <definedName name="curve_y5">'Reference'!$P$90:$P$123</definedName>
    <definedName name="curve_x39">'Reference'!$Q$90:$Q$123</definedName>
    <definedName name="curve_x69">'Reference'!$R$90:$R$123</definedName>
    <definedName name="nutrient_regions">'Reference'!$A$127:$A$135</definedName>
    <definedName name="nutrient_tn_gf">'Reference'!$B$127:$B$135</definedName>
    <definedName name="nutrient_tn_fp">'Reference'!$C$127:$C$135</definedName>
    <definedName name="nutrient_tp_gf">'Reference'!$D$127:$D$135</definedName>
    <definedName name="nutrient_tp_fp">'Reference'!$E$127:$E$135</definedName>
    <definedName name="attains_keys">'Reference'!$A$139:$A$145</definedName>
    <definedName name="attains_ratings">'Reference'!$B$139:$B$145</definedName>
    <definedName name="site_name">'EASI Score'!$B$2</definedName>
    <definedName name="site_assessor">'EASI Score'!$G$2</definedName>
    <definedName name="site_comid">'EASI Score'!$K$2</definedName>
    <definedName name="site_coords">'EASI Score'!$B$3</definedName>
    <definedName name="site_date">'EASI Score'!$G$3</definedName>
    <definedName name="ctx_region">'EASI Score'!$K$3</definedName>
    <definedName name="ctx_fcode">'EASI Score'!$B$4</definedName>
    <definedName name="ctx_slope_override">'EASI Score'!$G$4</definedName>
    <definedName name="calc_slope_class">'EASI Score'!$K$4</definedName>
    <definedName name="in_impervious">'EASI Score'!$J$8</definedName>
    <definedName name="in_agriculture">'EASI Score'!$J$9</definedName>
    <definedName name="in_woodyWetland">'EASI Score'!$J$10</definedName>
    <definedName name="in_herbaceousWetland">'EASI Score'!$J$11</definedName>
    <definedName name="in_roadDensity">'EASI Score'!$J$13</definedName>
    <definedName name="in_storage">'EASI Score'!$J$14</definedName>
    <definedName name="in_runoff">'EASI Score'!$J$15</definedName>
    <definedName name="in_flowCv">'EASI Score'!$J$17</definedName>
    <definedName name="in_bhr">'EASI Score'!$J$18</definedName>
    <definedName name="in_er">'EASI Score'!$J$19</definedName>
    <definedName name="in_slope">'EASI Score'!$J$20</definedName>
    <definedName name="in_sinuosity">'EASI Score'!$J$22</definedName>
    <definedName name="ov_stageClass">'EASI Score'!$J$25</definedName>
    <definedName name="ov_indicators">'EASI Score'!$J$26</definedName>
    <definedName name="ov_erodingBankPct">'EASI Score'!$J$28</definedName>
    <definedName name="ov_armoredBankPct">'EASI Score'!$J$29</definedName>
    <definedName name="in_kFactor">'EASI Score'!$J$31</definedName>
    <definedName name="in_woodyRiparian">'EASI Score'!$J$34</definedName>
    <definedName name="in_forest">'EASI Score'!$J$36</definedName>
    <definedName name="in_shrub">'EASI Score'!$J$37</definedName>
    <definedName name="in_grassland">'EASI Score'!$J$38</definedName>
    <definedName name="in_wetland">'EASI Score'!$J$39</definedName>
    <definedName name="in_tn">'EASI Score'!$J$41</definedName>
    <definedName name="in_tp">'EASI Score'!$J$42</definedName>
    <definedName name="in_chemCatchment">'EASI Score'!$J$43</definedName>
    <definedName name="in_chemWatershed">'EASI Score'!$J$44</definedName>
    <definedName name="in_category">'EASI Score'!$J$45</definedName>
    <definedName name="in_prGBmmi">'EASI Score'!$J$49</definedName>
    <definedName name="in_hydCat">'EASI Score'!$J$50</definedName>
    <definedName name="in_sedCat">'EASI Score'!$J$51</definedName>
    <definedName name="in_connCat">'EASI Score'!$J$52</definedName>
    <definedName name="in_tempCat">'EASI Score'!$J$53</definedName>
    <definedName name="in_habtCat">'EASI Score'!$J$54</definedName>
    <definedName name="in_hydWs">'EASI Score'!$J$56</definedName>
    <definedName name="in_sedWs">'EASI Score'!$J$57</definedName>
    <definedName name="in_connWs">'EASI Score'!$J$58</definedName>
    <definedName name="in_tempWs">'EASI Score'!$J$59</definedName>
    <definedName name="in_habtWs">'EASI Score'!$J$60</definedName>
    <definedName name="in_taxaCount">'EASI Score'!$J$64</definedName>
    <definedName name="in_damCount">'EASI Score'!$J$65</definedName>
    <definedName name="in_m01">'EASI Score'!$B$69</definedName>
    <definedName name="in_m02">'EASI Score'!$C$69</definedName>
    <definedName name="in_m03">'EASI Score'!$D$69</definedName>
    <definedName name="in_m04">'EASI Score'!$E$69</definedName>
    <definedName name="in_m05">'EASI Score'!$F$69</definedName>
    <definedName name="in_m06">'EASI Score'!$G$69</definedName>
    <definedName name="in_m07">'EASI Score'!$H$69</definedName>
    <definedName name="in_m08">'EASI Score'!$I$69</definedName>
    <definedName name="in_m09">'EASI Score'!$J$69</definedName>
    <definedName name="in_m10">'EASI Score'!$K$69</definedName>
    <definedName name="in_m11">'EASI Score'!$L$69</definedName>
    <definedName name="in_m12">'EASI Score'!$M$69</definedName>
    <definedName name="flow_cv_helper">'EASI Score'!$B$70</definedName>
    <definedName name="site_notes">'EASI Score'!$A$72</definedName>
    <definedName name="m01_governing">'Metrics'!$B$8</definedName>
    <definedName name="m01_combined">'Metrics'!$B$9</definedName>
    <definedName name="m01_route">'Metrics'!$B$10</definedName>
    <definedName name="m01_rating">'Metrics'!$C$11</definedName>
    <definedName name="m01_index">'Metrics'!$D$11</definedName>
    <definedName name="m01_score">'Metrics'!$B$12</definedName>
    <definedName name="m01_status">'Metrics'!$B$13</definedName>
    <definedName name="m02_combined">'Metrics'!$B$19</definedName>
    <definedName name="m02_route">'Metrics'!$B$20</definedName>
    <definedName name="m02_rating">'Metrics'!$C$21</definedName>
    <definedName name="m02_index">'Metrics'!$D$21</definedName>
    <definedName name="m02_score">'Metrics'!$B$22</definedName>
    <definedName name="m02_status">'Metrics'!$B$23</definedName>
    <definedName name="m03_route">'Metrics'!$B$28</definedName>
    <definedName name="m03_rating">'Metrics'!$C$29</definedName>
    <definedName name="m03_index">'Metrics'!$D$29</definedName>
    <definedName name="m03_score">'Metrics'!$B$30</definedName>
    <definedName name="m03_status">'Metrics'!$B$31</definedName>
    <definedName name="m04_combined">'Metrics'!$B$37</definedName>
    <definedName name="m04_route">'Metrics'!$B$38</definedName>
    <definedName name="m04_rating">'Metrics'!$C$39</definedName>
    <definedName name="m04_index">'Metrics'!$D$39</definedName>
    <definedName name="m04_score">'Metrics'!$B$40</definedName>
    <definedName name="m04_status">'Metrics'!$B$41</definedName>
    <definedName name="m05_route">'Metrics'!$B$49</definedName>
    <definedName name="m05_rating">'Metrics'!$C$50</definedName>
    <definedName name="m05_index">'Metrics'!$D$50</definedName>
    <definedName name="m05_score">'Metrics'!$B$51</definedName>
    <definedName name="m05_status">'Metrics'!$B$52</definedName>
    <definedName name="m06_route">'Metrics'!$B$57</definedName>
    <definedName name="m06_rating">'Metrics'!$C$58</definedName>
    <definedName name="m06_index">'Metrics'!$D$58</definedName>
    <definedName name="m06_score">'Metrics'!$B$59</definedName>
    <definedName name="m06_status">'Metrics'!$B$60</definedName>
    <definedName name="m07_route">'Metrics'!$B$67</definedName>
    <definedName name="m07_rating">'Metrics'!$C$68</definedName>
    <definedName name="m07_index">'Metrics'!$D$68</definedName>
    <definedName name="m07_score">'Metrics'!$B$69</definedName>
    <definedName name="m07_status">'Metrics'!$B$70</definedName>
    <definedName name="m08_governing">'Metrics'!$B$76</definedName>
    <definedName name="m08_combined">'Metrics'!$B$77</definedName>
    <definedName name="m08_route">'Metrics'!$B$78</definedName>
    <definedName name="m08_rating">'Metrics'!$C$79</definedName>
    <definedName name="m08_index">'Metrics'!$D$79</definedName>
    <definedName name="m08_score">'Metrics'!$B$80</definedName>
    <definedName name="m08_status">'Metrics'!$B$81</definedName>
    <definedName name="m09_proxy_index">'Metrics'!$B$89</definedName>
    <definedName name="m09_route">'Metrics'!$B$90</definedName>
    <definedName name="m09_rating">'Metrics'!$C$91</definedName>
    <definedName name="m09_index">'Metrics'!$D$91</definedName>
    <definedName name="m09_score">'Metrics'!$B$92</definedName>
    <definedName name="m09_status">'Metrics'!$B$93</definedName>
    <definedName name="m10_route">'Metrics'!$B$100</definedName>
    <definedName name="m10_rating">'Metrics'!$C$101</definedName>
    <definedName name="m10_index">'Metrics'!$D$101</definedName>
    <definedName name="m10_score">'Metrics'!$B$102</definedName>
    <definedName name="m10_status">'Metrics'!$B$103</definedName>
    <definedName name="m11_governing">'Metrics'!$B$110</definedName>
    <definedName name="m11_combined">'Metrics'!$B$111</definedName>
    <definedName name="m11_route">'Metrics'!$B$112</definedName>
    <definedName name="m11_rating">'Metrics'!$C$113</definedName>
    <definedName name="m11_index">'Metrics'!$D$113</definedName>
    <definedName name="m11_score">'Metrics'!$B$114</definedName>
    <definedName name="m11_status">'Metrics'!$B$115</definedName>
    <definedName name="m12_route">'Metrics'!$B$120</definedName>
    <definedName name="m12_rating">'Metrics'!$C$121</definedName>
    <definedName name="m12_index">'Metrics'!$D$121</definedName>
    <definedName name="m12_score">'Metrics'!$B$122</definedName>
    <definedName name="m12_status">'Metrics'!$B$123</definedName>
    <definedName name="m13_governing">'Metrics'!$B$131</definedName>
    <definedName name="m13_combined">'Metrics'!$B$132</definedName>
    <definedName name="m13_route">'Metrics'!$B$133</definedName>
    <definedName name="m13_rating">'Metrics'!$C$134</definedName>
    <definedName name="m13_index">'Metrics'!$D$134</definedName>
    <definedName name="m13_score">'Metrics'!$B$135</definedName>
    <definedName name="m13_status">'Metrics'!$B$136</definedName>
    <definedName name="m14_combined">'Metrics'!$B$144</definedName>
    <definedName name="m14_route">'Metrics'!$B$147</definedName>
    <definedName name="m14_rating">'Metrics'!$C$148</definedName>
    <definedName name="m14_index">'Metrics'!$D$148</definedName>
    <definedName name="m14_score">'Metrics'!$B$149</definedName>
    <definedName name="m14_status">'Metrics'!$B$150</definedName>
    <definedName name="m15_chem">'Metrics'!$B$156</definedName>
    <definedName name="m15_route">'Metrics'!$B$157</definedName>
    <definedName name="m15_rating">'Metrics'!$C$158</definedName>
    <definedName name="m15_index">'Metrics'!$D$158</definedName>
    <definedName name="m15_score">'Metrics'!$B$159</definedName>
    <definedName name="m15_status">'Metrics'!$B$160</definedName>
    <definedName name="m16_chem">'Metrics'!$B$165</definedName>
    <definedName name="m16_route">'Metrics'!$B$166</definedName>
    <definedName name="m16_rating">'Metrics'!$C$167</definedName>
    <definedName name="m16_index">'Metrics'!$D$167</definedName>
    <definedName name="m16_score">'Metrics'!$B$168</definedName>
    <definedName name="m16_status">'Metrics'!$B$169</definedName>
    <definedName name="m17_route">'Metrics'!$B$177</definedName>
    <definedName name="m17_rating">'Metrics'!$C$178</definedName>
    <definedName name="m17_index">'Metrics'!$D$178</definedName>
    <definedName name="m17_score">'Metrics'!$B$179</definedName>
    <definedName name="m17_status">'Metrics'!$B$180</definedName>
    <definedName name="m18_ici">'Metrics'!$B$185</definedName>
    <definedName name="m18_iwi">'Metrics'!$B$186</definedName>
    <definedName name="m18_products">'Metrics'!$B$187</definedName>
    <definedName name="m18_route">'Metrics'!$B$188</definedName>
    <definedName name="m18_rating">'Metrics'!$C$189</definedName>
    <definedName name="m18_index">'Metrics'!$D$189</definedName>
    <definedName name="m18_score">'Metrics'!$B$190</definedName>
    <definedName name="m18_status">'Metrics'!$B$191</definedName>
    <definedName name="m19_route">'Metrics'!$B$196</definedName>
    <definedName name="m19_rating">'Metrics'!$C$197</definedName>
    <definedName name="m19_index">'Metrics'!$D$197</definedName>
    <definedName name="m19_score">'Metrics'!$B$198</definedName>
    <definedName name="m19_status">'Metrics'!$B$199</definedName>
    <definedName name="m20_route">'Metrics'!$B$204</definedName>
    <definedName name="m20_rating">'Metrics'!$C$205</definedName>
    <definedName name="m20_index">'Metrics'!$D$205</definedName>
    <definedName name="m20_score">'Metrics'!$B$206</definedName>
    <definedName name="m20_status">'Metrics'!$B$207</definedName>
    <definedName name="result_score_catchment_hydrology">'Results'!$E$5</definedName>
    <definedName name="result_score_surface_water_storage">'Results'!$E$6</definedName>
    <definedName name="result_score_reach_inflow">'Results'!$E$7</definedName>
    <definedName name="result_score_streamflow_regime">'Results'!$E$8</definedName>
    <definedName name="result_score_low_flow_baseflow_dynamics">'Results'!$E$9</definedName>
    <definedName name="result_score_high_flow_dynamics">'Results'!$E$10</definedName>
    <definedName name="result_score_floodplain_connectivity">'Results'!$E$11</definedName>
    <definedName name="result_score_hyporheic_connectivity">'Results'!$E$12</definedName>
    <definedName name="result_score_channel_evolution">'Results'!$E$13</definedName>
    <definedName name="result_score_channel_floodplain_dynamics">'Results'!$E$14</definedName>
    <definedName name="result_score_sediment_continuity">'Results'!$E$15</definedName>
    <definedName name="result_score_bed_composition_bedform_dynamics">'Results'!$E$16</definedName>
    <definedName name="result_score_light_thermal_regime">'Results'!$E$17</definedName>
    <definedName name="result_score_carbon_processing">'Results'!$E$18</definedName>
    <definedName name="result_score_nutrient_cycling">'Results'!$E$19</definedName>
    <definedName name="result_score_water_soil_quality">'Results'!$E$20</definedName>
    <definedName name="result_score_habitat_provision">'Results'!$E$21</definedName>
    <definedName name="result_score_population_support">'Results'!$E$22</definedName>
    <definedName name="result_score_community_dynamics">'Results'!$E$23</definedName>
    <definedName name="result_score_watershed_connectivity">'Results'!$E$24</definedName>
    <definedName name="sub_index_physical">'Results'!$D$27</definedName>
    <definedName name="sub_index_physical_display">'Results'!$E$27</definedName>
    <definedName name="coverage_physical">'Results'!$G$27</definedName>
    <definedName name="sub_index_chemical">'Results'!$D$28</definedName>
    <definedName name="sub_index_chemical_display">'Results'!$E$28</definedName>
    <definedName name="coverage_chemical">'Results'!$G$28</definedName>
    <definedName name="sub_index_biological">'Results'!$D$29</definedName>
    <definedName name="sub_index_biological_display">'Results'!$E$29</definedName>
    <definedName name="coverage_biological">'Results'!$G$29</definedName>
    <definedName name="eci">'Results'!$D$30</definedName>
    <definedName name="eci_display">'Results'!$E$30</definedName>
    <definedName name="eci_class">'Results'!$F$30</definedName>
    <definedName name="functions_rated">'Results'!$B$33</definedName>
    <definedName name="functions_selected">'Results'!$B$34</definedName>
    <definedName name="coverage_overall">'Results'!$B$35</definedName>
    <definedName name="provisional">'Results'!$B$36</definedName>
    <definedName name="coverage_status">'Results'!$B$37</definedName>
    <definedName name="meta_calculator_version">'Metadata'!$B$3</definedName>
    <definedName name="meta_calculator_date">'Metadata'!$B$4</definedName>
    <definedName name="meta_scoring_method_digest">'Metadata'!$B$5</definedName>
    <definedName name="meta_scoring_identity">'Metadata'!$B$6</definedName>
    <definedName name="meta_criteria_set">'Metadata'!$B$7</definedName>
    <definedName name="meta_reference_curves">'Metadata'!$B$8</definedName>
    <definedName name="meta_catalog_sha256">'Metadata'!$B$9</definedName>
    <definedName name="meta_curves_sha256">'Metadata'!$B$10</definedName>
    <definedName name="meta_nars_9_geography_sha256">'Metadata'!$B$11</definedName>
    <definedName name="meta_rating_anchors">'Metadata'!$B$12</definedName>
    <definedName name="meta_function_scores">'Metadata'!$B$13</definedName>
    <definedName name="meta_outcome_weights">'Metadata'!$B$14</definedName>
    <definedName name="meta_condition_classes">'Metadata'!$B$15</definedName>
    <definedName name="meta_coverage_threshold">'Metadata'!$B$16</definedName>
    <definedName name="meta_worksheet_layout">'Metadata'!$B$17</definedName>
    <definedName name="meta_generator">'Metadata'!$B$18</definedName>
    <definedName name="meta_generator_sha256">'Metadata'!$B$19</definedName>
    <definedName name="meta_generated_from">'Metadata'!$B$20</definedName>
    <definedName name="meta_application">'Metadata'!$B$21</definedName>
    <definedName name="meta_formula_vocabulary">'Metadata'!$B$22</definedName>
    <definedName name="_xlnm.Print_Area" localSheetId="1">'EASI Score'!$A$1:$Z$81</definedName>
  </definedNames>
  <calcPr calcId="124519" fullCalcOnLoad="1"/>
</workbook>
</file>

<file path=xl/styles.xml><?xml version="1.0" encoding="utf-8"?>
<styleSheet xmlns="http://schemas.openxmlformats.org/spreadsheetml/2006/main">
  <numFmts count="8">
    <numFmt numFmtId="164" formatCode="0.000"/>
    <numFmt numFmtId="165" formatCode="yyyy-mm-dd"/>
    <numFmt numFmtId="166" formatCode="0.000000"/>
    <numFmt numFmtId="167" formatCode="0.0000"/>
    <numFmt numFmtId="168" formatCode="0&quot; of 4&quot;"/>
    <numFmt numFmtId="169" formatCode="0&quot; of 20&quot;"/>
    <numFmt numFmtId="170" formatCode="yyyy-mm-dd h:mm:ss"/>
    <numFmt numFmtId="171" formatCode="mmmm d, yyyy"/>
  </numFmts>
  <fonts count="14">
    <font>
      <name val="Calibri"/>
      <family val="2"/>
      <color theme="1"/>
      <sz val="11"/>
      <scheme val="minor"/>
    </font>
    <font>
      <b val="1"/>
      <sz val="13"/>
    </font>
    <font>
      <i val="1"/>
      <color rgb="00555555"/>
      <sz val="9"/>
    </font>
    <font>
      <b val="1"/>
      <sz val="11"/>
    </font>
    <font>
      <b val="1"/>
    </font>
    <font>
      <b val="1"/>
      <sz val="16"/>
    </font>
    <font>
      <b val="1"/>
      <sz val="12"/>
    </font>
    <font>
      <sz val="12"/>
    </font>
    <font>
      <b val="1"/>
      <sz val="14"/>
    </font>
    <font>
      <sz val="10"/>
    </font>
    <font>
      <b val="1"/>
      <sz val="10"/>
    </font>
    <font>
      <sz val="9"/>
    </font>
    <font>
      <name val="Arial"/>
      <b val="1"/>
      <sz val="10"/>
    </font>
    <font>
      <name val="Arial"/>
      <sz val="10"/>
    </font>
  </fonts>
  <fills count="15">
    <fill>
      <patternFill/>
    </fill>
    <fill>
      <patternFill patternType="gray125"/>
    </fill>
    <fill>
      <patternFill patternType="solid">
        <fgColor rgb="00F2F2F2"/>
      </patternFill>
    </fill>
    <fill>
      <patternFill patternType="solid">
        <fgColor rgb="00F8CBAD"/>
      </patternFill>
    </fill>
    <fill>
      <patternFill patternType="solid">
        <fgColor rgb="00EDEDED"/>
      </patternFill>
    </fill>
    <fill>
      <patternFill patternType="solid">
        <fgColor rgb="00D9D9D9"/>
      </patternFill>
    </fill>
    <fill>
      <patternFill patternType="solid">
        <fgColor rgb="00BFBFBF"/>
      </patternFill>
    </fill>
    <fill>
      <patternFill patternType="solid">
        <fgColor rgb="00D9E1F2"/>
      </patternFill>
    </fill>
    <fill>
      <patternFill patternType="solid">
        <fgColor rgb="00B4C6E7"/>
      </patternFill>
    </fill>
    <fill>
      <patternFill patternType="solid">
        <fgColor rgb="00FCE4D6"/>
      </patternFill>
    </fill>
    <fill>
      <patternFill patternType="solid">
        <fgColor rgb="00FFF2CC"/>
      </patternFill>
    </fill>
    <fill>
      <patternFill patternType="solid">
        <fgColor rgb="00E2EFDA"/>
      </patternFill>
    </fill>
    <fill>
      <patternFill patternType="solid">
        <fgColor rgb="008FAADC"/>
      </patternFill>
    </fill>
    <fill>
      <patternFill patternType="solid">
        <fgColor rgb="00FFFF99"/>
      </patternFill>
    </fill>
    <fill>
      <patternFill patternType="solid">
        <fgColor rgb="00FF6969"/>
      </patternFill>
    </fill>
  </fills>
  <borders count="19">
    <border>
      <left/>
      <right/>
      <top/>
      <bottom/>
      <diagonal/>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thin">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top style="medium">
        <color rgb="00000000"/>
      </top>
      <bottom/>
    </border>
    <border>
      <left/>
      <right/>
      <top style="medium">
        <color rgb="00000000"/>
      </top>
      <bottom/>
    </border>
    <border>
      <left/>
      <right style="medium">
        <color rgb="00000000"/>
      </right>
      <top style="medium">
        <color rgb="00000000"/>
      </top>
      <bottom/>
    </border>
    <border>
      <left style="medium">
        <color rgb="00000000"/>
      </left>
      <right/>
      <top/>
      <bottom/>
    </border>
    <border>
      <left/>
      <right/>
      <top/>
      <bottom/>
    </border>
    <border>
      <left/>
      <right style="medium">
        <color rgb="00000000"/>
      </right>
      <top/>
      <bottom/>
    </border>
    <border>
      <left style="medium">
        <color rgb="00000000"/>
      </left>
      <right/>
      <top/>
      <bottom style="medium">
        <color rgb="00000000"/>
      </bottom>
    </border>
    <border>
      <left/>
      <right/>
      <top/>
      <bottom style="medium">
        <color rgb="00000000"/>
      </bottom>
    </border>
    <border>
      <left/>
      <right style="medium">
        <color rgb="00000000"/>
      </right>
      <top/>
      <bottom style="medium">
        <color rgb="00000000"/>
      </bottom>
    </border>
  </borders>
  <cellStyleXfs count="1">
    <xf numFmtId="0" fontId="0" fillId="0" borderId="0"/>
  </cellStyleXfs>
  <cellXfs count="144">
    <xf numFmtId="0" fontId="0" fillId="0" borderId="0" pivotButton="0" quotePrefix="0" xfId="0"/>
    <xf numFmtId="0" fontId="12" fillId="0" borderId="1" applyAlignment="1" pivotButton="0" quotePrefix="0" xfId="0">
      <alignment vertical="center"/>
    </xf>
    <xf numFmtId="0" fontId="12" fillId="0" borderId="1" applyAlignment="1" pivotButton="0" quotePrefix="0" xfId="0">
      <alignment horizontal="left" vertical="center" wrapText="1"/>
    </xf>
    <xf numFmtId="0" fontId="0" fillId="0" borderId="1" applyAlignment="1" pivotButton="0" quotePrefix="0" xfId="0">
      <alignment horizontal="left" vertical="center" wrapText="1"/>
    </xf>
    <xf numFmtId="0" fontId="0" fillId="3" borderId="1" applyAlignment="1" pivotButton="0" quotePrefix="0" xfId="0">
      <alignment horizontal="center" vertical="center"/>
    </xf>
    <xf numFmtId="0" fontId="0" fillId="0" borderId="1" applyAlignment="1" pivotButton="0" quotePrefix="0" xfId="0">
      <alignment horizontal="center" vertical="center"/>
    </xf>
    <xf numFmtId="0" fontId="0" fillId="2" borderId="1" applyAlignment="1" pivotButton="0" quotePrefix="0" xfId="0">
      <alignment horizontal="center" vertical="center"/>
    </xf>
    <xf numFmtId="0" fontId="2" fillId="0" borderId="0" pivotButton="0" quotePrefix="0" xfId="0"/>
    <xf numFmtId="0" fontId="13" fillId="0" borderId="1" applyAlignment="1" pivotButton="0" quotePrefix="0" xfId="0">
      <alignment horizontal="left" vertical="center" wrapText="1"/>
    </xf>
    <xf numFmtId="171" fontId="0" fillId="0" borderId="1" applyAlignment="1" pivotButton="0" quotePrefix="0" xfId="0">
      <alignment horizontal="left" vertical="center"/>
    </xf>
    <xf numFmtId="0" fontId="12" fillId="0" borderId="1" applyAlignment="1" pivotButton="0" quotePrefix="0" xfId="0">
      <alignment horizontal="center" vertical="center"/>
    </xf>
    <xf numFmtId="0" fontId="0" fillId="0" borderId="1" pivotButton="0" quotePrefix="0" xfId="0"/>
    <xf numFmtId="0" fontId="5" fillId="2" borderId="0" applyAlignment="1" pivotButton="0" quotePrefix="0" xfId="0">
      <alignment horizontal="center" vertical="center"/>
    </xf>
    <xf numFmtId="0" fontId="6" fillId="0" borderId="2" applyAlignment="1" pivotButton="0" quotePrefix="0" xfId="0">
      <alignment horizontal="center" vertical="center"/>
    </xf>
    <xf numFmtId="0" fontId="0" fillId="3" borderId="3" applyAlignment="1" applyProtection="1" pivotButton="0" quotePrefix="0" xfId="0">
      <alignment horizontal="center" vertical="center"/>
      <protection locked="0" hidden="0"/>
    </xf>
    <xf numFmtId="0" fontId="0" fillId="0" borderId="3" applyProtection="1" pivotButton="0" quotePrefix="0" xfId="0">
      <protection locked="0" hidden="0"/>
    </xf>
    <xf numFmtId="0" fontId="6" fillId="0" borderId="3" applyAlignment="1" pivotButton="0" quotePrefix="0" xfId="0">
      <alignment horizontal="center" vertical="center"/>
    </xf>
    <xf numFmtId="0" fontId="0" fillId="0" borderId="4" applyProtection="1" pivotButton="0" quotePrefix="0" xfId="0">
      <protection locked="0" hidden="0"/>
    </xf>
    <xf numFmtId="0" fontId="6" fillId="0" borderId="5" applyAlignment="1" pivotButton="0" quotePrefix="0" xfId="0">
      <alignment horizontal="center" vertical="center"/>
    </xf>
    <xf numFmtId="0" fontId="0" fillId="3" borderId="1" applyAlignment="1" applyProtection="1" pivotButton="0" quotePrefix="0" xfId="0">
      <alignment horizontal="center" vertical="center"/>
      <protection locked="0" hidden="0"/>
    </xf>
    <xf numFmtId="0" fontId="0" fillId="0" borderId="1" applyProtection="1" pivotButton="0" quotePrefix="0" xfId="0">
      <protection locked="0" hidden="0"/>
    </xf>
    <xf numFmtId="0" fontId="6" fillId="0" borderId="1" applyAlignment="1" pivotButton="0" quotePrefix="0" xfId="0">
      <alignment horizontal="center" vertical="center"/>
    </xf>
    <xf numFmtId="165" fontId="0" fillId="3" borderId="1" applyAlignment="1" applyProtection="1" pivotButton="0" quotePrefix="0" xfId="0">
      <alignment horizontal="center" vertical="center"/>
      <protection locked="0" hidden="0"/>
    </xf>
    <xf numFmtId="0" fontId="0" fillId="0" borderId="6" applyProtection="1" pivotButton="0" quotePrefix="0" xfId="0">
      <protection locked="0" hidden="0"/>
    </xf>
    <xf numFmtId="0" fontId="6" fillId="0" borderId="7" applyAlignment="1" pivotButton="0" quotePrefix="0" xfId="0">
      <alignment horizontal="center" vertical="center"/>
    </xf>
    <xf numFmtId="0" fontId="0" fillId="3" borderId="8" applyAlignment="1" applyProtection="1" pivotButton="0" quotePrefix="0" xfId="0">
      <alignment horizontal="center" vertical="center"/>
      <protection locked="0" hidden="0"/>
    </xf>
    <xf numFmtId="0" fontId="0" fillId="0" borderId="8" applyProtection="1" pivotButton="0" quotePrefix="0" xfId="0">
      <protection locked="0" hidden="0"/>
    </xf>
    <xf numFmtId="0" fontId="6" fillId="0" borderId="8" applyAlignment="1" pivotButton="0" quotePrefix="0" xfId="0">
      <alignment horizontal="center" vertical="center"/>
    </xf>
    <xf numFmtId="0" fontId="0" fillId="0" borderId="8" applyAlignment="1" pivotButton="0" quotePrefix="0" xfId="0">
      <alignment horizontal="center" vertical="center"/>
    </xf>
    <xf numFmtId="0" fontId="0" fillId="0" borderId="8" pivotButton="0" quotePrefix="0" xfId="0"/>
    <xf numFmtId="0" fontId="0" fillId="0" borderId="9" pivotButton="0" quotePrefix="0" xfId="0"/>
    <xf numFmtId="0" fontId="6" fillId="2" borderId="2" applyAlignment="1" pivotButton="0" quotePrefix="0" xfId="0">
      <alignment horizontal="center" vertical="center" wrapText="1"/>
    </xf>
    <xf numFmtId="0" fontId="0" fillId="0" borderId="3" pivotButton="0" quotePrefix="0" xfId="0"/>
    <xf numFmtId="0" fontId="0" fillId="0" borderId="4" pivotButton="0" quotePrefix="0" xfId="0"/>
    <xf numFmtId="0" fontId="3" fillId="0" borderId="0" applyAlignment="1" pivotButton="0" quotePrefix="0" xfId="0">
      <alignment horizontal="center" vertical="center"/>
    </xf>
    <xf numFmtId="0" fontId="6" fillId="0" borderId="5"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6" applyAlignment="1" pivotButton="0" quotePrefix="0" xfId="0">
      <alignment horizontal="center" vertical="center" wrapText="1"/>
    </xf>
    <xf numFmtId="0" fontId="11" fillId="0" borderId="0" applyAlignment="1" pivotButton="0" quotePrefix="0" xfId="0">
      <alignment horizontal="right" vertical="top"/>
    </xf>
    <xf numFmtId="0" fontId="10" fillId="12" borderId="1" applyAlignment="1" pivotButton="0" quotePrefix="0" xfId="0">
      <alignment horizontal="center" vertical="center" wrapText="1"/>
    </xf>
    <xf numFmtId="0" fontId="0" fillId="0" borderId="7" pivotButton="0" quotePrefix="0" xfId="0"/>
    <xf numFmtId="0" fontId="0" fillId="12" borderId="1" pivotButton="0" quotePrefix="0" xfId="0"/>
    <xf numFmtId="2" fontId="8" fillId="0" borderId="2" applyAlignment="1" pivotButton="0" quotePrefix="0" xfId="0">
      <alignment horizontal="center" vertical="center"/>
    </xf>
    <xf numFmtId="0" fontId="7" fillId="2" borderId="2" applyAlignment="1" pivotButton="0" quotePrefix="0" xfId="0">
      <alignment horizontal="center" vertical="center" wrapText="1"/>
    </xf>
    <xf numFmtId="2" fontId="6" fillId="0" borderId="3" applyAlignment="1" pivotButton="0" quotePrefix="0" xfId="0">
      <alignment horizontal="center" vertical="center"/>
    </xf>
    <xf numFmtId="168" fontId="7" fillId="0" borderId="3" applyAlignment="1" pivotButton="0" quotePrefix="0" xfId="0">
      <alignment horizontal="center" vertical="center"/>
    </xf>
    <xf numFmtId="1" fontId="6" fillId="0" borderId="3" applyAlignment="1" pivotButton="0" quotePrefix="0" xfId="0">
      <alignment horizontal="center" vertical="center"/>
    </xf>
    <xf numFmtId="0" fontId="0" fillId="2" borderId="2" applyAlignment="1" pivotButton="0" quotePrefix="0" xfId="0">
      <alignment horizontal="left" vertical="center" wrapText="1"/>
    </xf>
    <xf numFmtId="0" fontId="0" fillId="0" borderId="3" applyAlignment="1" pivotButton="0" quotePrefix="0" xfId="0">
      <alignment horizontal="center" vertical="center"/>
    </xf>
    <xf numFmtId="0" fontId="0" fillId="0" borderId="4" applyAlignment="1" pivotButton="0" quotePrefix="0" xfId="0">
      <alignment horizontal="left" vertical="center" wrapText="1"/>
    </xf>
    <xf numFmtId="0" fontId="9" fillId="7" borderId="1" applyAlignment="1" pivotButton="0" quotePrefix="0" xfId="0">
      <alignment horizontal="center" vertical="center" wrapText="1"/>
    </xf>
    <xf numFmtId="0" fontId="9" fillId="7" borderId="1" applyAlignment="1" pivotButton="0" quotePrefix="0" xfId="0">
      <alignment horizontal="left" vertical="center" wrapText="1"/>
    </xf>
    <xf numFmtId="1" fontId="10" fillId="0" borderId="1" applyAlignment="1" pivotButton="0" quotePrefix="0" xfId="0">
      <alignment horizontal="center" vertical="center"/>
    </xf>
    <xf numFmtId="0" fontId="9" fillId="7" borderId="1" applyAlignment="1" pivotButton="0" quotePrefix="0" xfId="0">
      <alignment horizontal="center" vertical="center"/>
    </xf>
    <xf numFmtId="0" fontId="11" fillId="0" borderId="0" applyAlignment="1" pivotButton="0" quotePrefix="0" xfId="0">
      <alignment horizontal="right" vertical="bottom"/>
    </xf>
    <xf numFmtId="0" fontId="0" fillId="0" borderId="5" pivotButton="0" quotePrefix="0" xfId="0"/>
    <xf numFmtId="0" fontId="0" fillId="2" borderId="7" applyAlignment="1" pivotButton="0" quotePrefix="0" xfId="0">
      <alignment horizontal="left" vertical="center" wrapText="1"/>
    </xf>
    <xf numFmtId="0" fontId="0" fillId="0" borderId="9" applyAlignment="1" pivotButton="0" quotePrefix="0" xfId="0">
      <alignment horizontal="left" vertical="center" wrapText="1"/>
    </xf>
    <xf numFmtId="0" fontId="0" fillId="7" borderId="1" pivotButton="0" quotePrefix="0" xfId="0"/>
    <xf numFmtId="0" fontId="10" fillId="13" borderId="1" applyAlignment="1" pivotButton="0" quotePrefix="0" xfId="0">
      <alignment horizontal="center" vertical="center" wrapText="1"/>
    </xf>
    <xf numFmtId="0" fontId="7" fillId="2" borderId="5" applyAlignment="1" pivotButton="0" quotePrefix="0" xfId="0">
      <alignment horizontal="center" vertical="center" wrapText="1"/>
    </xf>
    <xf numFmtId="1" fontId="6" fillId="0" borderId="1" applyAlignment="1" pivotButton="0" quotePrefix="0" xfId="0">
      <alignment horizontal="center" vertical="center"/>
    </xf>
    <xf numFmtId="0" fontId="0" fillId="2" borderId="5" applyAlignment="1" pivotButton="0" quotePrefix="0" xfId="0">
      <alignment horizontal="left" vertical="center" wrapText="1"/>
    </xf>
    <xf numFmtId="0" fontId="0" fillId="0" borderId="6" applyAlignment="1" pivotButton="0" quotePrefix="0" xfId="0">
      <alignment horizontal="left" vertical="center" wrapText="1"/>
    </xf>
    <xf numFmtId="0" fontId="0" fillId="13" borderId="1" pivotButton="0" quotePrefix="0" xfId="0"/>
    <xf numFmtId="2" fontId="0" fillId="0" borderId="8" applyAlignment="1" pivotButton="0" quotePrefix="0" xfId="0">
      <alignment horizontal="center" vertical="center"/>
    </xf>
    <xf numFmtId="0" fontId="2" fillId="0" borderId="9" applyAlignment="1" pivotButton="0" quotePrefix="0" xfId="0">
      <alignment horizontal="left" vertical="center" wrapText="1"/>
    </xf>
    <xf numFmtId="0" fontId="9" fillId="8"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xf>
    <xf numFmtId="0" fontId="10" fillId="14" borderId="1" applyAlignment="1" pivotButton="0" quotePrefix="0" xfId="0">
      <alignment horizontal="center" vertical="center" wrapText="1"/>
    </xf>
    <xf numFmtId="0" fontId="7" fillId="2" borderId="7" applyAlignment="1" pivotButton="0" quotePrefix="0" xfId="0">
      <alignment horizontal="center" vertical="center" wrapText="1"/>
    </xf>
    <xf numFmtId="1" fontId="6" fillId="0" borderId="8" applyAlignment="1" pivotButton="0" quotePrefix="0" xfId="0">
      <alignment horizontal="center" vertical="center"/>
    </xf>
    <xf numFmtId="0" fontId="0" fillId="8" borderId="1" pivotButton="0" quotePrefix="0" xfId="0"/>
    <xf numFmtId="0" fontId="0" fillId="14" borderId="1" pivotButton="0" quotePrefix="0" xfId="0"/>
    <xf numFmtId="0" fontId="9" fillId="9" borderId="1" applyAlignment="1" pivotButton="0" quotePrefix="0" xfId="0">
      <alignment horizontal="center" vertical="center" wrapText="1"/>
    </xf>
    <xf numFmtId="0" fontId="9" fillId="9" borderId="1" applyAlignment="1" pivotButton="0" quotePrefix="0" xfId="0">
      <alignment horizontal="left" vertical="center" wrapText="1"/>
    </xf>
    <xf numFmtId="0" fontId="9" fillId="9" borderId="1" applyAlignment="1" pivotButton="0" quotePrefix="0" xfId="0">
      <alignment horizontal="center" vertical="center"/>
    </xf>
    <xf numFmtId="168" fontId="7" fillId="0" borderId="1" applyAlignment="1" pivotButton="0" quotePrefix="0" xfId="0">
      <alignment horizontal="center" vertical="center"/>
    </xf>
    <xf numFmtId="0" fontId="0" fillId="9" borderId="1" pivotButton="0" quotePrefix="0" xfId="0"/>
    <xf numFmtId="0" fontId="10" fillId="0" borderId="1" applyAlignment="1" pivotButton="0" quotePrefix="0" xfId="0">
      <alignment horizontal="center" vertical="center"/>
    </xf>
    <xf numFmtId="0" fontId="9" fillId="12" borderId="1" applyAlignment="1" pivotButton="0" quotePrefix="0" xfId="0">
      <alignment horizontal="center" vertical="center"/>
    </xf>
    <xf numFmtId="1" fontId="10" fillId="12" borderId="1" applyAlignment="1" pivotButton="0" quotePrefix="0" xfId="0">
      <alignment horizontal="center" vertical="center"/>
    </xf>
    <xf numFmtId="0" fontId="9" fillId="10" borderId="1" applyAlignment="1" pivotButton="0" quotePrefix="0" xfId="0">
      <alignment horizontal="center" vertical="center" wrapText="1"/>
    </xf>
    <xf numFmtId="0" fontId="9" fillId="10" borderId="1" applyAlignment="1" pivotButton="0" quotePrefix="0" xfId="0">
      <alignment horizontal="left" vertical="center" wrapText="1"/>
    </xf>
    <xf numFmtId="0" fontId="9" fillId="10" borderId="1" applyAlignment="1" pivotButton="0" quotePrefix="0" xfId="0">
      <alignment horizontal="center" vertical="center"/>
    </xf>
    <xf numFmtId="0" fontId="9" fillId="13" borderId="1" applyAlignment="1" pivotButton="0" quotePrefix="0" xfId="0">
      <alignment horizontal="center" vertical="center"/>
    </xf>
    <xf numFmtId="1" fontId="10" fillId="13" borderId="1" applyAlignment="1" pivotButton="0" quotePrefix="0" xfId="0">
      <alignment horizontal="center" vertical="center"/>
    </xf>
    <xf numFmtId="0" fontId="0" fillId="10" borderId="1" pivotButton="0" quotePrefix="0" xfId="0"/>
    <xf numFmtId="0" fontId="9" fillId="14" borderId="1" applyAlignment="1" pivotButton="0" quotePrefix="0" xfId="0">
      <alignment horizontal="center" vertical="center"/>
    </xf>
    <xf numFmtId="1" fontId="10" fillId="14" borderId="1" applyAlignment="1" pivotButton="0" quotePrefix="0" xfId="0">
      <alignment horizontal="center" vertical="center"/>
    </xf>
    <xf numFmtId="0" fontId="9" fillId="0" borderId="1" applyAlignment="1" pivotButton="0" quotePrefix="0" xfId="0">
      <alignment horizontal="center" vertical="center"/>
    </xf>
    <xf numFmtId="0" fontId="9" fillId="11" borderId="1" applyAlignment="1" pivotButton="0" quotePrefix="0" xfId="0">
      <alignment horizontal="center" vertical="center" wrapText="1"/>
    </xf>
    <xf numFmtId="0" fontId="9" fillId="11" borderId="1" applyAlignment="1" pivotButton="0" quotePrefix="0" xfId="0">
      <alignment horizontal="left" vertical="center" wrapText="1"/>
    </xf>
    <xf numFmtId="0" fontId="9" fillId="11" borderId="1" applyAlignment="1" pivotButton="0" quotePrefix="0" xfId="0">
      <alignment horizontal="center" vertical="center"/>
    </xf>
    <xf numFmtId="0" fontId="0" fillId="11" borderId="1" pivotButton="0" quotePrefix="0" xfId="0"/>
    <xf numFmtId="0" fontId="3" fillId="0" borderId="1" applyAlignment="1" pivotButton="0" quotePrefix="0" xfId="0">
      <alignment horizontal="right" vertical="center"/>
    </xf>
    <xf numFmtId="2" fontId="3" fillId="0" borderId="1" applyAlignment="1" pivotButton="0" quotePrefix="0" xfId="0">
      <alignment horizontal="center" vertical="center"/>
    </xf>
    <xf numFmtId="2" fontId="6" fillId="0" borderId="1" applyAlignment="1" pivotButton="0" quotePrefix="0" xfId="0">
      <alignment horizontal="center" vertical="center"/>
    </xf>
    <xf numFmtId="169" fontId="0" fillId="0" borderId="1" applyAlignment="1" pivotButton="0" quotePrefix="0" xfId="0">
      <alignment horizontal="center" vertical="center"/>
    </xf>
    <xf numFmtId="0" fontId="0" fillId="2" borderId="8" applyAlignment="1" pivotButton="0" quotePrefix="0" xfId="0">
      <alignment horizontal="center" vertical="center"/>
    </xf>
    <xf numFmtId="0" fontId="7" fillId="5" borderId="5" applyAlignment="1" pivotButton="0" quotePrefix="0" xfId="0">
      <alignment horizontal="center" vertical="center" wrapText="1"/>
    </xf>
    <xf numFmtId="0" fontId="0" fillId="5" borderId="5" applyAlignment="1" pivotButton="0" quotePrefix="0" xfId="0">
      <alignment horizontal="left" vertical="center" wrapText="1"/>
    </xf>
    <xf numFmtId="0" fontId="0" fillId="5" borderId="7" applyAlignment="1" pivotButton="0" quotePrefix="0" xfId="0">
      <alignment horizontal="left" vertical="center" wrapText="1"/>
    </xf>
    <xf numFmtId="0" fontId="7" fillId="6" borderId="5" applyAlignment="1" pivotButton="0" quotePrefix="0" xfId="0">
      <alignment horizontal="center" vertical="center" wrapText="1"/>
    </xf>
    <xf numFmtId="0" fontId="7" fillId="6" borderId="7" applyAlignment="1" pivotButton="0" quotePrefix="0" xfId="0">
      <alignment horizontal="center" vertical="center" wrapText="1"/>
    </xf>
    <xf numFmtId="0" fontId="0" fillId="6" borderId="7" applyAlignment="1" pivotButton="0" quotePrefix="0" xfId="0">
      <alignment horizontal="left" vertical="center" wrapText="1"/>
    </xf>
    <xf numFmtId="0" fontId="0" fillId="6" borderId="5" applyAlignment="1" pivotButton="0" quotePrefix="0" xfId="0">
      <alignment horizontal="left" vertical="center" wrapText="1"/>
    </xf>
    <xf numFmtId="167" fontId="0" fillId="0" borderId="1" applyAlignment="1" pivotButton="0" quotePrefix="0" xfId="0">
      <alignment horizontal="center" vertical="center"/>
    </xf>
    <xf numFmtId="0" fontId="2" fillId="0" borderId="6" applyAlignment="1" pivotButton="0" quotePrefix="0" xfId="0">
      <alignment horizontal="left" vertical="center" wrapText="1"/>
    </xf>
    <xf numFmtId="167" fontId="0" fillId="0" borderId="8" applyAlignment="1" pivotButton="0" quotePrefix="0" xfId="0">
      <alignment horizontal="center" vertical="center"/>
    </xf>
    <xf numFmtId="0" fontId="4" fillId="0" borderId="0" applyAlignment="1" pivotButton="0" quotePrefix="0" xfId="0">
      <alignment horizontal="left" vertical="center" wrapText="1"/>
    </xf>
    <xf numFmtId="0" fontId="4" fillId="2" borderId="2" applyAlignment="1" pivotButton="0" quotePrefix="0" xfId="0">
      <alignment horizontal="center" vertical="center"/>
    </xf>
    <xf numFmtId="0" fontId="4" fillId="2" borderId="3" applyAlignment="1" pivotButton="0" quotePrefix="0" xfId="0">
      <alignment horizontal="center" vertical="center"/>
    </xf>
    <xf numFmtId="0" fontId="4" fillId="2" borderId="4" applyAlignment="1" pivotButton="0" quotePrefix="0" xfId="0">
      <alignment horizontal="center" vertical="center"/>
    </xf>
    <xf numFmtId="0" fontId="4" fillId="2" borderId="5" applyAlignment="1" pivotButton="0" quotePrefix="0" xfId="0">
      <alignment horizontal="center" vertical="center"/>
    </xf>
    <xf numFmtId="0" fontId="0" fillId="3" borderId="6" applyAlignment="1" applyProtection="1" pivotButton="0" quotePrefix="0" xfId="0">
      <alignment horizontal="center" vertical="center"/>
      <protection locked="0" hidden="0"/>
    </xf>
    <xf numFmtId="0" fontId="4" fillId="0" borderId="7" applyAlignment="1" pivotButton="0" quotePrefix="0" xfId="0">
      <alignment horizontal="center" vertical="center" wrapText="1"/>
    </xf>
    <xf numFmtId="166" fontId="0" fillId="0" borderId="8" applyAlignment="1" pivotButton="0" quotePrefix="0" xfId="0">
      <alignment horizontal="center" vertical="center"/>
    </xf>
    <xf numFmtId="0" fontId="2" fillId="0" borderId="8" applyAlignment="1" pivotButton="0" quotePrefix="0" xfId="0">
      <alignment horizontal="left" vertical="center" wrapText="1"/>
    </xf>
    <xf numFmtId="0" fontId="0" fillId="2" borderId="10" applyAlignment="1" applyProtection="1" pivotButton="0" quotePrefix="0" xfId="0">
      <alignment horizontal="left" vertical="top" wrapText="1"/>
      <protection locked="0" hidden="0"/>
    </xf>
    <xf numFmtId="0" fontId="0" fillId="2" borderId="11" applyProtection="1" pivotButton="0" quotePrefix="0" xfId="0">
      <protection locked="0" hidden="0"/>
    </xf>
    <xf numFmtId="0" fontId="0" fillId="2" borderId="12" applyProtection="1" pivotButton="0" quotePrefix="0" xfId="0">
      <protection locked="0" hidden="0"/>
    </xf>
    <xf numFmtId="0" fontId="0" fillId="2" borderId="13" applyProtection="1" pivotButton="0" quotePrefix="0" xfId="0">
      <protection locked="0" hidden="0"/>
    </xf>
    <xf numFmtId="0" fontId="0" fillId="2" borderId="14" applyProtection="1" pivotButton="0" quotePrefix="0" xfId="0">
      <protection locked="0" hidden="0"/>
    </xf>
    <xf numFmtId="0" fontId="0" fillId="2" borderId="15" applyProtection="1" pivotButton="0" quotePrefix="0" xfId="0">
      <protection locked="0" hidden="0"/>
    </xf>
    <xf numFmtId="0" fontId="0" fillId="2" borderId="16" applyProtection="1" pivotButton="0" quotePrefix="0" xfId="0">
      <protection locked="0" hidden="0"/>
    </xf>
    <xf numFmtId="0" fontId="0" fillId="2" borderId="17" applyProtection="1" pivotButton="0" quotePrefix="0" xfId="0">
      <protection locked="0" hidden="0"/>
    </xf>
    <xf numFmtId="0" fontId="0" fillId="2" borderId="18" applyProtection="1" pivotButton="0" quotePrefix="0" xfId="0">
      <protection locked="0" hidden="0"/>
    </xf>
    <xf numFmtId="0" fontId="1" fillId="0" borderId="0" pivotButton="0" quotePrefix="0" xfId="0"/>
    <xf numFmtId="0" fontId="3" fillId="0" borderId="0" pivotButton="0" quotePrefix="0" xfId="0"/>
    <xf numFmtId="0" fontId="4" fillId="2" borderId="1" pivotButton="0" quotePrefix="0" xfId="0"/>
    <xf numFmtId="0" fontId="0" fillId="4" borderId="0" pivotButton="0" quotePrefix="0" xfId="0"/>
    <xf numFmtId="164" fontId="0" fillId="4" borderId="0" pivotButton="0" quotePrefix="0" xfId="0"/>
    <xf numFmtId="0" fontId="4" fillId="4" borderId="0" pivotButton="0" quotePrefix="0" xfId="0"/>
    <xf numFmtId="0" fontId="2" fillId="0" borderId="0" applyAlignment="1" pivotButton="0" quotePrefix="0" xfId="0">
      <alignment vertical="top" wrapText="1"/>
    </xf>
    <xf numFmtId="0" fontId="2" fillId="4" borderId="0" pivotButton="0" quotePrefix="0" xfId="0"/>
    <xf numFmtId="167" fontId="0" fillId="4" borderId="0" pivotButton="0" quotePrefix="0" xfId="0"/>
    <xf numFmtId="166" fontId="0" fillId="4" borderId="0" pivotButton="0" quotePrefix="0" xfId="0"/>
    <xf numFmtId="2" fontId="0" fillId="4" borderId="0" pivotButton="0" quotePrefix="0" xfId="0"/>
    <xf numFmtId="0" fontId="4" fillId="0" borderId="0" pivotButton="0" quotePrefix="0" xfId="0"/>
    <xf numFmtId="166" fontId="4" fillId="4" borderId="0" pivotButton="0" quotePrefix="0" xfId="0"/>
    <xf numFmtId="2" fontId="4" fillId="4" borderId="0" pivotButton="0" quotePrefix="0" xfId="0"/>
    <xf numFmtId="164" fontId="0" fillId="0" borderId="0" pivotButton="0" quotePrefix="0" xfId="0"/>
  </cellXfs>
  <cellStyles count="1">
    <cellStyle name="Normal" xfId="0" builtinId="0" hidden="0"/>
  </cellStyles>
  <dxfs count="3">
    <dxf>
      <fill>
        <patternFill patternType="solid">
          <fgColor rgb="008FAADC"/>
          <bgColor rgb="008FAADC"/>
        </patternFill>
      </fill>
    </dxf>
    <dxf>
      <fill>
        <patternFill patternType="solid">
          <fgColor rgb="00FFFF99"/>
          <bgColor rgb="00FFFF99"/>
        </patternFill>
      </fill>
    </dxf>
    <dxf>
      <fill>
        <patternFill patternType="solid">
          <fgColor rgb="00FF6969"/>
          <bgColor rgb="00FF6969"/>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style val="2"/>
  <chart>
    <title>
      <tx>
        <rich>
          <a:bodyPr xmlns:a="http://schemas.openxmlformats.org/drawingml/2006/main"/>
          <a:p xmlns:a="http://schemas.openxmlformats.org/drawingml/2006/main">
            <a:pPr>
              <a:defRPr/>
            </a:pPr>
            <a:r>
              <a:t>Function Score</a:t>
            </a:r>
          </a:p>
        </rich>
      </tx>
      <overlay val="0"/>
    </title>
    <plotArea>
      <barChart>
        <barDir val="bar"/>
        <grouping val="clustered"/>
        <ser>
          <idx val="0"/>
          <order val="0"/>
          <tx>
            <strRef>
              <f>'ChartData'!C2</f>
            </strRef>
          </tx>
          <spPr>
            <a:solidFill xmlns:a="http://schemas.openxmlformats.org/drawingml/2006/main">
              <a:srgbClr val="FF6969"/>
            </a:solidFill>
            <a:ln xmlns:a="http://schemas.openxmlformats.org/drawingml/2006/main">
              <a:solidFill>
                <a:srgbClr val="000000"/>
              </a:solidFill>
              <a:prstDash val="solid"/>
            </a:ln>
          </spPr>
          <cat>
            <numRef>
              <f>'ChartData'!$A$3:$A$22</f>
            </numRef>
          </cat>
          <val>
            <numRef>
              <f>'ChartData'!$C$3:$C$22</f>
            </numRef>
          </val>
        </ser>
        <ser>
          <idx val="1"/>
          <order val="1"/>
          <tx>
            <strRef>
              <f>'ChartData'!D2</f>
            </strRef>
          </tx>
          <spPr>
            <a:solidFill xmlns:a="http://schemas.openxmlformats.org/drawingml/2006/main">
              <a:srgbClr val="FFFF99"/>
            </a:solidFill>
            <a:ln xmlns:a="http://schemas.openxmlformats.org/drawingml/2006/main">
              <a:solidFill>
                <a:srgbClr val="000000"/>
              </a:solidFill>
              <a:prstDash val="solid"/>
            </a:ln>
          </spPr>
          <cat>
            <numRef>
              <f>'ChartData'!$A$3:$A$22</f>
            </numRef>
          </cat>
          <val>
            <numRef>
              <f>'ChartData'!$D$3:$D$22</f>
            </numRef>
          </val>
        </ser>
        <ser>
          <idx val="2"/>
          <order val="2"/>
          <tx>
            <strRef>
              <f>'ChartData'!E2</f>
            </strRef>
          </tx>
          <spPr>
            <a:solidFill xmlns:a="http://schemas.openxmlformats.org/drawingml/2006/main">
              <a:srgbClr val="8FAADC"/>
            </a:solidFill>
            <a:ln xmlns:a="http://schemas.openxmlformats.org/drawingml/2006/main">
              <a:solidFill>
                <a:srgbClr val="000000"/>
              </a:solidFill>
              <a:prstDash val="solid"/>
            </a:ln>
          </spPr>
          <cat>
            <numRef>
              <f>'ChartData'!$A$3:$A$22</f>
            </numRef>
          </cat>
          <val>
            <numRef>
              <f>'ChartData'!$E$3:$E$22</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5"/>
          <min val="0"/>
        </scaling>
        <delete val="0"/>
        <axPos val="l"/>
        <numFmt formatCode="0" sourceLinked="0"/>
        <majorTickMark val="none"/>
        <minorTickMark val="none"/>
        <crossAx val="10"/>
        <majorUnit val="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charts/chart2.xml><?xml version="1.0" encoding="utf-8"?>
<chartSpace xmlns="http://schemas.openxmlformats.org/drawingml/2006/chart">
  <style val="2"/>
  <chart>
    <title>
      <tx>
        <rich>
          <a:bodyPr xmlns:a="http://schemas.openxmlformats.org/drawingml/2006/main"/>
          <a:p xmlns:a="http://schemas.openxmlformats.org/drawingml/2006/main">
            <a:pPr>
              <a:defRPr/>
            </a:pPr>
            <a:r>
              <a:t>Outcome Score</a:t>
            </a:r>
          </a:p>
        </rich>
      </tx>
      <overlay val="0"/>
    </title>
    <plotArea>
      <barChart>
        <barDir val="bar"/>
        <grouping val="clustered"/>
        <ser>
          <idx val="0"/>
          <order val="0"/>
          <tx>
            <strRef>
              <f>'ChartData'!C24</f>
            </strRef>
          </tx>
          <spPr>
            <a:solidFill xmlns:a="http://schemas.openxmlformats.org/drawingml/2006/main">
              <a:srgbClr val="FF6969"/>
            </a:solidFill>
            <a:ln xmlns:a="http://schemas.openxmlformats.org/drawingml/2006/main">
              <a:solidFill>
                <a:srgbClr val="000000"/>
              </a:solidFill>
              <a:prstDash val="solid"/>
            </a:ln>
          </spPr>
          <cat>
            <numRef>
              <f>'ChartData'!$A$25:$A$27</f>
            </numRef>
          </cat>
          <val>
            <numRef>
              <f>'ChartData'!$C$25:$C$27</f>
            </numRef>
          </val>
        </ser>
        <ser>
          <idx val="1"/>
          <order val="1"/>
          <tx>
            <strRef>
              <f>'ChartData'!D24</f>
            </strRef>
          </tx>
          <spPr>
            <a:solidFill xmlns:a="http://schemas.openxmlformats.org/drawingml/2006/main">
              <a:srgbClr val="FFFF99"/>
            </a:solidFill>
            <a:ln xmlns:a="http://schemas.openxmlformats.org/drawingml/2006/main">
              <a:solidFill>
                <a:srgbClr val="000000"/>
              </a:solidFill>
              <a:prstDash val="solid"/>
            </a:ln>
          </spPr>
          <cat>
            <numRef>
              <f>'ChartData'!$A$25:$A$27</f>
            </numRef>
          </cat>
          <val>
            <numRef>
              <f>'ChartData'!$D$25:$D$27</f>
            </numRef>
          </val>
        </ser>
        <ser>
          <idx val="2"/>
          <order val="2"/>
          <tx>
            <strRef>
              <f>'ChartData'!E24</f>
            </strRef>
          </tx>
          <spPr>
            <a:solidFill xmlns:a="http://schemas.openxmlformats.org/drawingml/2006/main">
              <a:srgbClr val="8FAADC"/>
            </a:solidFill>
            <a:ln xmlns:a="http://schemas.openxmlformats.org/drawingml/2006/main">
              <a:solidFill>
                <a:srgbClr val="000000"/>
              </a:solidFill>
              <a:prstDash val="solid"/>
            </a:ln>
          </spPr>
          <cat>
            <numRef>
              <f>'ChartData'!$A$25:$A$27</f>
            </numRef>
          </cat>
          <val>
            <numRef>
              <f>'ChartData'!$E$25:$E$27</f>
            </numRef>
          </val>
        </ser>
        <dLbls>
          <showLegendKey val="0"/>
          <showVal val="1"/>
          <showCatName val="0"/>
          <showSerName val="0"/>
        </dLbls>
        <gapWidth val="40"/>
        <overlap val="100"/>
        <axId val="10"/>
        <axId val="100"/>
      </barChart>
      <catAx>
        <axId val="10"/>
        <scaling>
          <orientation val="maxMin"/>
        </scaling>
        <delete val="0"/>
        <axPos val="l"/>
        <majorTickMark val="none"/>
        <minorTickMark val="none"/>
        <crossAx val="100"/>
        <lblOffset val="100"/>
      </catAx>
      <valAx>
        <axId val="100"/>
        <scaling>
          <orientation val="minMax"/>
          <max val="1"/>
          <min val="0"/>
        </scaling>
        <delete val="0"/>
        <axPos val="l"/>
        <numFmt formatCode="0.00" sourceLinked="0"/>
        <majorTickMark val="none"/>
        <minorTickMark val="none"/>
        <crossAx val="10"/>
        <majorUnit val="0.1"/>
      </valAx>
    </plotArea>
    <legend>
      <legendPos val="b"/>
      <overlay val="0"/>
    </legend>
    <plotVisOnly val="1"/>
    <dispBlanksAs val="gap"/>
    <extLst>
      <ext xmlns:c16r3="http://schemas.microsoft.com/office/drawing/2017/03/chart" uri="{56B9EC1D-385E-4148-901F-78D8002777C0}">
        <c16r3:dataDisplayOptions16>
          <c16r3:dispNaAsBlank val="1"/>
        </c16r3:dataDisplayOptions16>
      </ext>
    </extLst>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14</col>
      <colOff>0</colOff>
      <row>33</row>
      <rowOff>0</rowOff>
    </from>
    <ext cx="8640000" cy="46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14</col>
      <colOff>0</colOff>
      <row>60</row>
      <rowOff>0</rowOff>
    </from>
    <ext cx="8640000" cy="234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D28"/>
  <sheetViews>
    <sheetView showGridLines="0" tabSelected="0" workbookViewId="0">
      <selection activeCell="A1" sqref="A1"/>
    </sheetView>
  </sheetViews>
  <sheetFormatPr baseColWidth="8" defaultRowHeight="15"/>
  <cols>
    <col width="20" customWidth="1" min="1" max="1"/>
    <col width="90" customWidth="1" min="2" max="2"/>
    <col width="4" customWidth="1" min="3" max="3"/>
    <col width="28" customWidth="1" min="4" max="4"/>
  </cols>
  <sheetData>
    <row r="1">
      <c r="A1" s="1" t="inlineStr">
        <is>
          <t>Model Name</t>
        </is>
      </c>
      <c r="B1" s="2" t="inlineStr">
        <is>
          <t>Ecosystem Assessment Screening Index (EASI)</t>
        </is>
      </c>
      <c r="D1" t="inlineStr">
        <is>
          <t>Color Coding Key:</t>
        </is>
      </c>
    </row>
    <row r="2">
      <c r="A2" s="1" t="inlineStr">
        <is>
          <t>Developers</t>
        </is>
      </c>
      <c r="B2" s="3" t="inlineStr">
        <is>
          <t>Leanne M. Stepchinski, Gabrielle C. David, Samantha R. Wiest, and Garrett T. Menichino</t>
        </is>
      </c>
      <c r="D2" s="4" t="inlineStr">
        <is>
          <t>User Input</t>
        </is>
      </c>
    </row>
    <row r="3">
      <c r="A3" s="1" t="n"/>
      <c r="B3" s="3" t="inlineStr">
        <is>
          <t>U.S. Army Engineer Research and Development Center, Environmental Laboratory</t>
        </is>
      </c>
      <c r="D3" s="5" t="inlineStr">
        <is>
          <t>Calculated</t>
        </is>
      </c>
    </row>
    <row r="4">
      <c r="A4" s="1" t="n"/>
      <c r="B4" s="3" t="inlineStr">
        <is>
          <t>Vicksburg, MS</t>
        </is>
      </c>
      <c r="D4" s="6" t="inlineStr">
        <is>
          <t>Linked to Another Cell</t>
        </is>
      </c>
    </row>
    <row r="5">
      <c r="A5" s="1" t="n"/>
      <c r="B5" s="3" t="inlineStr">
        <is>
          <t>Leanne.M.Stepchinski@usace.army.mil, Gabrielle.C.David@usace.army.mil, Samantha.R.Wiest@erdc.dren.mil, Garrett.T.Menichino@usace.army.mil</t>
        </is>
      </c>
    </row>
    <row r="6">
      <c r="D6" s="7" t="inlineStr">
        <is>
          <t>Select an orange cell to read its guidance note.</t>
        </is>
      </c>
    </row>
    <row r="7">
      <c r="A7" s="1" t="inlineStr">
        <is>
          <t>Model Version</t>
        </is>
      </c>
      <c r="B7" s="8" t="inlineStr">
        <is>
          <t>EASI calculator v1.1.0, scoring method b2e3033116e3 (Alternative 2: NARS-9 references)</t>
        </is>
      </c>
      <c r="D7" s="7" t="inlineStr">
        <is>
          <t>Sheets: EASI Score (entries and results), Metrics (every rule and route), Reference (bands, curves, weights), Metadata (method identity).</t>
        </is>
      </c>
    </row>
    <row r="8">
      <c r="A8" s="1" t="inlineStr">
        <is>
          <t>Date of Last Update</t>
        </is>
      </c>
      <c r="B8" s="9" t="n">
        <v>46282</v>
      </c>
    </row>
    <row r="10" ht="45" customHeight="1">
      <c r="A10" s="1" t="inlineStr">
        <is>
          <t>Waiver</t>
        </is>
      </c>
      <c r="B10" s="8" t="inlineStr">
        <is>
          <t>This model is provided for free as part of the USACE Technical Report "Ecosystem Assessment Screening Index (EASI)" by Leanne M. Stepchinski, Gabrielle C. David, Samantha R. Wiest, and Garrett T. Menichino. It ships with the STAF web application, whose EASI report offers the same download.</t>
        </is>
      </c>
    </row>
    <row r="11">
      <c r="A11" s="1" t="n"/>
      <c r="B11" s="8" t="inlineStr">
        <is>
          <t>None of the authors nor the US Army Corps of Engineers accepts responsibility or liability for the model's use by third parties.</t>
        </is>
      </c>
    </row>
    <row r="13">
      <c r="A13" s="10" t="inlineStr">
        <is>
          <t>Instructions</t>
        </is>
      </c>
      <c r="B13" s="11" t="n"/>
    </row>
    <row r="14" ht="45" customHeight="1">
      <c r="A14" s="5" t="inlineStr">
        <is>
          <t>1)</t>
        </is>
      </c>
      <c r="B14" s="3" t="inlineStr">
        <is>
          <t>Add the site information into the orange cells at the top of the EASI Score worksheet: reach ID, coordinates, date, assessor, NHDPlus V2 COMID, the NARS-9 ecoregion (drop-down) and the NHD feature code.</t>
        </is>
      </c>
    </row>
    <row r="15" ht="45" customHeight="1">
      <c r="A15" s="5" t="inlineStr">
        <is>
          <t>2)</t>
        </is>
      </c>
      <c r="B15" s="3" t="inlineStr">
        <is>
          <t>Enter each desktop quantity once in the orange cells of the Metrics columns (column J). The Source column names the StreamCat field or the EASI report item each value comes from. Select a cell to read its guidance note.</t>
        </is>
      </c>
    </row>
    <row r="16" ht="30" customHeight="1">
      <c r="A16" s="5" t="inlineStr">
        <is>
          <t>3)</t>
        </is>
      </c>
      <c r="B16" s="3" t="inlineStr">
        <is>
          <t>Grey cells repeat an entry made higher in the table and cannot be edited. White cells in column J are computed from the entries above them.</t>
        </is>
      </c>
    </row>
    <row r="17" ht="45" customHeight="1">
      <c r="A17" s="5" t="inlineStr">
        <is>
          <t>4)</t>
        </is>
      </c>
      <c r="B17" s="3" t="inlineStr">
        <is>
          <t>Leave a cell blank when the evidence is unavailable. Never enter zero for unknown: a zero is evidence. A blank input leaves its function unrated, and unrated functions drop out of the sub-indices and the index.</t>
        </is>
      </c>
    </row>
    <row r="18" ht="45" customHeight="1">
      <c r="A18" s="5" t="inlineStr">
        <is>
          <t>5)</t>
        </is>
      </c>
      <c r="B18" s="3" t="inlineStr">
        <is>
          <t>Optional: enter the twelve EROM mean monthly flows in the helper block below the table and copy the computed variability into the Low flow row, and enter the observed channel class, indicators and bank percentages if you have field observations.</t>
        </is>
      </c>
    </row>
    <row r="19" ht="45" customHeight="1">
      <c r="A19" s="5" t="inlineStr">
        <is>
          <t>6)</t>
        </is>
      </c>
      <c r="B19" s="3" t="inlineStr">
        <is>
          <t>Ratings, function scores (0 to 15), the outcome sub-indices and the EASI index auto-populate (columns A to H). The scoring summary table, the legends and the charts to the right of the table also auto-populate.</t>
        </is>
      </c>
    </row>
    <row r="20" ht="30" customHeight="1">
      <c r="A20" s="5" t="inlineStr">
        <is>
          <t>7)</t>
        </is>
      </c>
      <c r="B20" s="3" t="inlineStr">
        <is>
          <t>Record other observations, sources or assumptions in the grey box at the bottom of the worksheet.</t>
        </is>
      </c>
    </row>
    <row r="22">
      <c r="A22" s="10" t="inlineStr">
        <is>
          <t>Comments/Assumptions</t>
        </is>
      </c>
      <c r="B22" s="11" t="n"/>
    </row>
    <row r="23" ht="60" customHeight="1">
      <c r="A23" s="5" t="inlineStr">
        <is>
          <t>1)</t>
        </is>
      </c>
      <c r="B23" s="3" t="inlineStr">
        <is>
          <t>The calculator implements the EASI scoring method of the web application exactly: the same bands, regional reference curves, lookups, weights and rounding, generated from the application's own scoring definitions. Same inputs give the same ratings, function scores, sub-indices and index. The Metadata sheet identifies the method.</t>
        </is>
      </c>
    </row>
    <row r="24" ht="45" customHeight="1">
      <c r="A24" s="5" t="inlineStr">
        <is>
          <t>2)</t>
        </is>
      </c>
      <c r="B24" s="3" t="inlineStr">
        <is>
          <t>The Metrics sheet shows every input, rule and route that produced a rating. The Reference sheet lists the bands, the reference curves, the regional nutrient thresholds, the lookups and the outcome weights.</t>
        </is>
      </c>
    </row>
    <row r="25" ht="75" customHeight="1">
      <c r="A25" s="5" t="inlineStr">
        <is>
          <t>3)</t>
        </is>
      </c>
      <c r="B25" s="3" t="inlineStr">
        <is>
          <t>Derived values (ratios, sums and products) are rounded to twelve decimals before banding, as in the application. Displayed indices are rounded to two decimals. When a sub-index lands exactly on a half-hundredth, Excel rounds away from zero and the application rounds to the even digit, so the displayed value can differ by 0.01 while the class is the same.</t>
        </is>
      </c>
    </row>
    <row r="26" ht="45" customHeight="1">
      <c r="A26" s="5" t="inlineStr">
        <is>
          <t>4)</t>
        </is>
      </c>
      <c r="B26" s="3" t="inlineStr">
        <is>
          <t>The calculator does not retrieve data, delineate a watershed or draw cross-sections. The observed channel and bank entries are the only expert-review inputs it supports. Entries outside the documented ranges are refused.</t>
        </is>
      </c>
    </row>
    <row r="27" ht="45" customHeight="1">
      <c r="A27" s="5" t="inlineStr">
        <is>
          <t>5)</t>
        </is>
      </c>
      <c r="B27" s="3" t="inlineStr">
        <is>
          <t>EASI is a screening-level desktop estimate, not a field-validated assessment. The reference curves express regional expectations derived from least-disturbed reaches, and several proxies remain unvalidated. The technical report states each metric's limitations.</t>
        </is>
      </c>
    </row>
    <row r="28" ht="30" customHeight="1">
      <c r="A28" s="5" t="inlineStr">
        <is>
          <t>6)</t>
        </is>
      </c>
      <c r="B28" s="3" t="inlineStr">
        <is>
          <t>All computed cells are locked and the sheets are protected without a secret password (it is 'easi'), so a mistaken edit is unlikely, not impossible.</t>
        </is>
      </c>
    </row>
  </sheetData>
  <sheetProtection selectLockedCells="0" selectUnlockedCells="0" sheet="1" objects="0" insertRows="1" insertHyperlinks="1" autoFilter="1" scenarios="0" formatColumns="1" deleteColumns="1" insertColumns="1" pivotTables="1" deleteRows="1" formatCells="1" formatRows="1" sort="1" password="CA09"/>
  <mergeCells count="2">
    <mergeCell ref="A13:B13"/>
    <mergeCell ref="A22:B22"/>
  </mergeCell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A1:Z81"/>
  <sheetViews>
    <sheetView showGridLines="0" tabSelected="1" zoomScale="80" workbookViewId="0">
      <pane ySplit="7" topLeftCell="A8" activePane="bottomLeft" state="frozen"/>
      <selection pane="bottomLeft" activeCell="A1" sqref="A1"/>
    </sheetView>
  </sheetViews>
  <sheetFormatPr baseColWidth="8" defaultRowHeight="15"/>
  <cols>
    <col width="15.6" customWidth="1" min="1" max="1"/>
    <col width="13" customWidth="1" min="2" max="2"/>
    <col width="13" customWidth="1" min="3" max="3"/>
    <col width="17" customWidth="1" min="4" max="4"/>
    <col width="13" customWidth="1" min="5" max="5"/>
    <col width="27" customWidth="1" min="6" max="6"/>
    <col width="10" customWidth="1" min="7" max="7"/>
    <col width="12" customWidth="1" min="8" max="8"/>
    <col width="46" customWidth="1" min="9" max="9"/>
    <col width="16" customWidth="1" min="10" max="10"/>
    <col width="10" customWidth="1" min="11" max="11"/>
    <col width="12" customWidth="1" min="12" max="12"/>
    <col width="40" customWidth="1" min="13" max="13"/>
    <col width="3" customWidth="1" min="14" max="14"/>
    <col width="17" customWidth="1" min="15" max="15"/>
    <col width="32" customWidth="1" min="16" max="16"/>
    <col width="8" customWidth="1" min="17" max="17"/>
    <col width="10" customWidth="1" min="18" max="18"/>
    <col width="10" customWidth="1" min="19" max="19"/>
    <col width="11" customWidth="1" min="20" max="20"/>
    <col width="3" customWidth="1" min="21" max="21"/>
    <col width="8" customWidth="1" min="22" max="22"/>
    <col width="20" customWidth="1" min="23" max="23"/>
    <col width="3" customWidth="1" min="24" max="24"/>
    <col width="8" customWidth="1" min="25" max="25"/>
    <col width="20" customWidth="1" min="26" max="26"/>
  </cols>
  <sheetData>
    <row r="1" ht="24" customHeight="1">
      <c r="A1" s="12" t="inlineStr">
        <is>
          <t>Ecosystem Assessment Screening Index (EASI) Worksheet</t>
        </is>
      </c>
    </row>
    <row r="2" ht="21" customHeight="1">
      <c r="A2" s="13" t="inlineStr">
        <is>
          <t>Reach ID</t>
        </is>
      </c>
      <c r="B2" s="14" t="n"/>
      <c r="C2" s="15" t="n"/>
      <c r="D2" s="15" t="n"/>
      <c r="E2" s="15" t="n"/>
      <c r="F2" s="16" t="inlineStr">
        <is>
          <t>Assessor(s)</t>
        </is>
      </c>
      <c r="G2" s="14" t="n"/>
      <c r="H2" s="15" t="n"/>
      <c r="I2" s="15" t="n"/>
      <c r="J2" s="16" t="inlineStr">
        <is>
          <t>COMID</t>
        </is>
      </c>
      <c r="K2" s="14" t="n"/>
      <c r="L2" s="15" t="n"/>
      <c r="M2" s="17" t="n"/>
    </row>
    <row r="3" ht="21" customHeight="1">
      <c r="A3" s="18" t="inlineStr">
        <is>
          <t>Lat/Long</t>
        </is>
      </c>
      <c r="B3" s="19" t="n"/>
      <c r="C3" s="20" t="n"/>
      <c r="D3" s="20" t="n"/>
      <c r="E3" s="20" t="n"/>
      <c r="F3" s="21" t="inlineStr">
        <is>
          <t>Date</t>
        </is>
      </c>
      <c r="G3" s="22" t="n"/>
      <c r="H3" s="20" t="n"/>
      <c r="I3" s="20" t="n"/>
      <c r="J3" s="21" t="inlineStr">
        <is>
          <t>NARS-9 region</t>
        </is>
      </c>
      <c r="K3" s="19" t="n"/>
      <c r="L3" s="20" t="n"/>
      <c r="M3" s="23" t="n"/>
    </row>
    <row r="4" ht="21" customHeight="1">
      <c r="A4" s="24" t="inlineStr">
        <is>
          <t>NHD FCODE</t>
        </is>
      </c>
      <c r="B4" s="25" t="n"/>
      <c r="C4" s="26" t="n"/>
      <c r="D4" s="26" t="n"/>
      <c r="E4" s="26" t="n"/>
      <c r="F4" s="27" t="inlineStr">
        <is>
          <t>Slope class override</t>
        </is>
      </c>
      <c r="G4" s="25" t="n"/>
      <c r="H4" s="26" t="n"/>
      <c r="I4" s="26" t="n"/>
      <c r="J4" s="27" t="inlineStr">
        <is>
          <t>Slope class used</t>
        </is>
      </c>
      <c r="K4" s="28">
        <f>IF('EASI Score'!$G$4&lt;&gt;"",'EASI Score'!$G$4,IF(NOT(ISNUMBER('EASI Score'!$J$20)),"national",IF('EASI Score'!$J$20&lt;0,"national",IF('EASI Score'!$J$20&lt;0.005,"lt_0.5",IF('EASI Score'!$J$20&lt;0.02,"0.5_to_2","ge_2")))))</f>
        <v/>
      </c>
      <c r="L4" s="29" t="n"/>
      <c r="M4" s="30" t="n"/>
    </row>
    <row r="5" ht="18" customHeight="1">
      <c r="A5" s="31" t="inlineStr">
        <is>
          <t>EASI</t>
        </is>
      </c>
      <c r="B5" s="31" t="inlineStr">
        <is>
          <t>Outcomes</t>
        </is>
      </c>
      <c r="C5" s="32" t="n"/>
      <c r="D5" s="31" t="inlineStr">
        <is>
          <t>Functional Categories</t>
        </is>
      </c>
      <c r="E5" s="32" t="n"/>
      <c r="F5" s="31" t="inlineStr">
        <is>
          <t>Functions</t>
        </is>
      </c>
      <c r="G5" s="32" t="n"/>
      <c r="H5" s="32" t="n"/>
      <c r="I5" s="31" t="inlineStr">
        <is>
          <t>Metrics</t>
        </is>
      </c>
      <c r="J5" s="32" t="n"/>
      <c r="K5" s="32" t="n"/>
      <c r="L5" s="32" t="n"/>
      <c r="M5" s="33" t="n"/>
      <c r="O5" s="21" t="inlineStr">
        <is>
          <t>Scoring Summary</t>
        </is>
      </c>
      <c r="P5" s="11" t="n"/>
      <c r="Q5" s="11" t="n"/>
      <c r="R5" s="21" t="inlineStr">
        <is>
          <t>Outcomes</t>
        </is>
      </c>
      <c r="S5" s="11" t="n"/>
      <c r="T5" s="11" t="n"/>
      <c r="V5" s="34" t="inlineStr">
        <is>
          <t>EASI Index Scoring</t>
        </is>
      </c>
      <c r="Y5" s="34" t="inlineStr">
        <is>
          <t>Function Scoring</t>
        </is>
      </c>
    </row>
    <row r="6" ht="18" customHeight="1">
      <c r="A6" s="35" t="inlineStr">
        <is>
          <t>Index Score</t>
        </is>
      </c>
      <c r="B6" s="35" t="inlineStr">
        <is>
          <t>Name</t>
        </is>
      </c>
      <c r="C6" s="36" t="inlineStr">
        <is>
          <t>Sub-Index Score</t>
        </is>
      </c>
      <c r="D6" s="35" t="inlineStr">
        <is>
          <t>Name</t>
        </is>
      </c>
      <c r="E6" s="36" t="inlineStr">
        <is>
          <t>Functions Rated</t>
        </is>
      </c>
      <c r="F6" s="35" t="inlineStr">
        <is>
          <t>Name</t>
        </is>
      </c>
      <c r="G6" s="36" t="inlineStr">
        <is>
          <t>Rating</t>
        </is>
      </c>
      <c r="H6" s="36" t="inlineStr">
        <is>
          <t>Function Score</t>
        </is>
      </c>
      <c r="I6" s="35" t="inlineStr">
        <is>
          <t>Name</t>
        </is>
      </c>
      <c r="J6" s="36" t="inlineStr">
        <is>
          <t>Value</t>
        </is>
      </c>
      <c r="K6" s="36" t="inlineStr">
        <is>
          <t>Units</t>
        </is>
      </c>
      <c r="L6" s="36" t="inlineStr">
        <is>
          <t>Input Rating</t>
        </is>
      </c>
      <c r="M6" s="37" t="inlineStr">
        <is>
          <t>Source</t>
        </is>
      </c>
      <c r="O6" s="36" t="inlineStr">
        <is>
          <t>Functional Categories</t>
        </is>
      </c>
      <c r="P6" s="36" t="inlineStr">
        <is>
          <t>Functions</t>
        </is>
      </c>
      <c r="Q6" s="36" t="inlineStr">
        <is>
          <t>Score</t>
        </is>
      </c>
      <c r="R6" s="36" t="inlineStr">
        <is>
          <t>Physical</t>
        </is>
      </c>
      <c r="S6" s="36" t="inlineStr">
        <is>
          <t>Chemical</t>
        </is>
      </c>
      <c r="T6" s="36" t="inlineStr">
        <is>
          <t>Biological</t>
        </is>
      </c>
      <c r="V6" s="38" t="inlineStr">
        <is>
          <t>1.00</t>
        </is>
      </c>
      <c r="W6" s="39" t="inlineStr">
        <is>
          <t>Functioning</t>
        </is>
      </c>
      <c r="Y6" s="38" t="inlineStr">
        <is>
          <t>15</t>
        </is>
      </c>
      <c r="Z6" s="39" t="inlineStr">
        <is>
          <t>Functioning</t>
        </is>
      </c>
    </row>
    <row r="7" ht="18" customHeight="1">
      <c r="A7" s="40" t="n"/>
      <c r="B7" s="40" t="n"/>
      <c r="C7" s="29" t="n"/>
      <c r="D7" s="40" t="n"/>
      <c r="E7" s="29" t="n"/>
      <c r="F7" s="40" t="n"/>
      <c r="G7" s="29" t="n"/>
      <c r="H7" s="29" t="n"/>
      <c r="I7" s="40" t="n"/>
      <c r="J7" s="29" t="n"/>
      <c r="K7" s="29" t="n"/>
      <c r="L7" s="29" t="n"/>
      <c r="M7" s="30" t="n"/>
      <c r="O7" s="11" t="n"/>
      <c r="P7" s="11" t="n"/>
      <c r="Q7" s="11" t="n"/>
      <c r="R7" s="11" t="n"/>
      <c r="S7" s="11" t="n"/>
      <c r="T7" s="11" t="n"/>
      <c r="W7" s="41" t="n"/>
      <c r="Z7" s="41" t="n"/>
    </row>
    <row r="8" ht="15.75" customHeight="1">
      <c r="A8" s="42">
        <f>IF('Results'!$E$30="","",'Results'!$E$30)</f>
        <v/>
      </c>
      <c r="B8" s="43" t="inlineStr">
        <is>
          <t>Physical</t>
        </is>
      </c>
      <c r="C8" s="44">
        <f>IF('Results'!$E$27="","",'Results'!$E$27)</f>
        <v/>
      </c>
      <c r="D8" s="43" t="inlineStr">
        <is>
          <t>Hydrology</t>
        </is>
      </c>
      <c r="E8" s="45">
        <f>COUNT('EASI Score'!$H$8:$H$16)</f>
        <v/>
      </c>
      <c r="F8" s="43" t="inlineStr">
        <is>
          <t>Catchment hydrology</t>
        </is>
      </c>
      <c r="G8" s="16">
        <f>'Metrics'!$C$11</f>
        <v/>
      </c>
      <c r="H8" s="46">
        <f>'Metrics'!$B$12</f>
        <v/>
      </c>
      <c r="I8" s="47" t="inlineStr">
        <is>
          <t>Impervious cover of the watershed</t>
        </is>
      </c>
      <c r="J8" s="14" t="n"/>
      <c r="K8" s="48" t="inlineStr">
        <is>
          <t>%</t>
        </is>
      </c>
      <c r="L8" s="48">
        <f>'Metrics'!$C$6</f>
        <v/>
      </c>
      <c r="M8" s="49" t="inlineStr">
        <is>
          <t>StreamCat pctimp2019ws</t>
        </is>
      </c>
      <c r="O8" s="50" t="inlineStr">
        <is>
          <t>Hydrology</t>
        </is>
      </c>
      <c r="P8" s="51" t="inlineStr">
        <is>
          <t>Catchment hydrology</t>
        </is>
      </c>
      <c r="Q8" s="52">
        <f>IF('EASI Score'!$H$8="","",'EASI Score'!$H$8)</f>
        <v/>
      </c>
      <c r="R8" s="53" t="inlineStr">
        <is>
          <t>D</t>
        </is>
      </c>
      <c r="S8" s="53" t="inlineStr">
        <is>
          <t>i</t>
        </is>
      </c>
      <c r="T8" s="53" t="inlineStr">
        <is>
          <t>i</t>
        </is>
      </c>
      <c r="V8" s="54" t="inlineStr">
        <is>
          <t>0.70</t>
        </is>
      </c>
      <c r="W8" s="41" t="n"/>
      <c r="Y8" s="54" t="inlineStr">
        <is>
          <t>11</t>
        </is>
      </c>
      <c r="Z8" s="41" t="n"/>
    </row>
    <row r="9" ht="31.5" customHeight="1">
      <c r="A9" s="55" t="n"/>
      <c r="B9" s="55" t="n"/>
      <c r="C9" s="11" t="n"/>
      <c r="D9" s="55" t="n"/>
      <c r="E9" s="11" t="n"/>
      <c r="F9" s="40" t="n"/>
      <c r="G9" s="29" t="n"/>
      <c r="H9" s="29" t="n"/>
      <c r="I9" s="56" t="inlineStr">
        <is>
          <t>Agricultural cover of the watershed (crop, hay and pasture)</t>
        </is>
      </c>
      <c r="J9" s="25" t="n"/>
      <c r="K9" s="28" t="inlineStr">
        <is>
          <t>%</t>
        </is>
      </c>
      <c r="L9" s="28">
        <f>'Metrics'!$C$7</f>
        <v/>
      </c>
      <c r="M9" s="57" t="inlineStr">
        <is>
          <t>StreamCat pctcrop2019ws + pcthay2019ws</t>
        </is>
      </c>
      <c r="O9" s="58" t="n"/>
      <c r="P9" s="51" t="inlineStr">
        <is>
          <t>Surface water storage</t>
        </is>
      </c>
      <c r="Q9" s="52">
        <f>IF('EASI Score'!$H$10="","",'EASI Score'!$H$10)</f>
        <v/>
      </c>
      <c r="R9" s="53" t="inlineStr">
        <is>
          <t>D</t>
        </is>
      </c>
      <c r="S9" s="53" t="inlineStr">
        <is>
          <t>i</t>
        </is>
      </c>
      <c r="T9" s="53" t="inlineStr">
        <is>
          <t>i</t>
        </is>
      </c>
      <c r="W9" s="59" t="inlineStr">
        <is>
          <t>Functioning At-Risk</t>
        </is>
      </c>
      <c r="Y9" s="38" t="inlineStr">
        <is>
          <t>10</t>
        </is>
      </c>
      <c r="Z9" s="59" t="inlineStr">
        <is>
          <t>Functioning At-Risk</t>
        </is>
      </c>
    </row>
    <row r="10" ht="15.75" customHeight="1">
      <c r="A10" s="55" t="n"/>
      <c r="B10" s="55" t="n"/>
      <c r="C10" s="11" t="n"/>
      <c r="D10" s="55" t="n"/>
      <c r="E10" s="11" t="n"/>
      <c r="F10" s="60" t="inlineStr">
        <is>
          <t>Surface water storage</t>
        </is>
      </c>
      <c r="G10" s="21">
        <f>'Metrics'!$C$21</f>
        <v/>
      </c>
      <c r="H10" s="61">
        <f>'Metrics'!$B$22</f>
        <v/>
      </c>
      <c r="I10" s="62" t="inlineStr">
        <is>
          <t>Woody wetland cover of the watershed</t>
        </is>
      </c>
      <c r="J10" s="19" t="n"/>
      <c r="K10" s="5" t="inlineStr">
        <is>
          <t>%</t>
        </is>
      </c>
      <c r="L10" s="11" t="n"/>
      <c r="M10" s="63" t="inlineStr">
        <is>
          <t>StreamCat pctwdwet2019ws</t>
        </is>
      </c>
      <c r="O10" s="58" t="n"/>
      <c r="P10" s="51" t="inlineStr">
        <is>
          <t>Reach inflow</t>
        </is>
      </c>
      <c r="Q10" s="52">
        <f>IF('EASI Score'!$H$13="","",'EASI Score'!$H$13)</f>
        <v/>
      </c>
      <c r="R10" s="53" t="inlineStr">
        <is>
          <t>D</t>
        </is>
      </c>
      <c r="S10" s="53" t="inlineStr">
        <is>
          <t>i</t>
        </is>
      </c>
      <c r="T10" s="53" t="inlineStr">
        <is>
          <t>i</t>
        </is>
      </c>
      <c r="W10" s="64" t="n"/>
      <c r="Z10" s="64" t="n"/>
    </row>
    <row r="11" ht="15.75" customHeight="1">
      <c r="A11" s="55" t="n"/>
      <c r="B11" s="55" t="n"/>
      <c r="C11" s="11" t="n"/>
      <c r="D11" s="55" t="n"/>
      <c r="E11" s="11" t="n"/>
      <c r="F11" s="55" t="n"/>
      <c r="G11" s="11" t="n"/>
      <c r="H11" s="11" t="n"/>
      <c r="I11" s="62" t="inlineStr">
        <is>
          <t>Herbaceous wetland cover of the watershed</t>
        </is>
      </c>
      <c r="J11" s="19" t="n"/>
      <c r="K11" s="5" t="inlineStr">
        <is>
          <t>%</t>
        </is>
      </c>
      <c r="L11" s="11" t="n"/>
      <c r="M11" s="63" t="inlineStr">
        <is>
          <t>StreamCat pcthbwet2019ws</t>
        </is>
      </c>
      <c r="O11" s="58" t="n"/>
      <c r="P11" s="51" t="inlineStr">
        <is>
          <t>Streamflow regime</t>
        </is>
      </c>
      <c r="Q11" s="52">
        <f>IF('EASI Score'!$H$14="","",'EASI Score'!$H$14)</f>
        <v/>
      </c>
      <c r="R11" s="53" t="inlineStr">
        <is>
          <t>D</t>
        </is>
      </c>
      <c r="S11" s="53" t="inlineStr">
        <is>
          <t>i</t>
        </is>
      </c>
      <c r="T11" s="53" t="inlineStr">
        <is>
          <t>i</t>
        </is>
      </c>
      <c r="V11" s="54" t="inlineStr">
        <is>
          <t>0.40</t>
        </is>
      </c>
      <c r="W11" s="64" t="n"/>
      <c r="Y11" s="54" t="inlineStr">
        <is>
          <t>6</t>
        </is>
      </c>
      <c r="Z11" s="64" t="n"/>
    </row>
    <row r="12" ht="15.75" customHeight="1">
      <c r="A12" s="55" t="n"/>
      <c r="B12" s="55" t="n"/>
      <c r="C12" s="11" t="n"/>
      <c r="D12" s="55" t="n"/>
      <c r="E12" s="11" t="n"/>
      <c r="F12" s="40" t="n"/>
      <c r="G12" s="29" t="n"/>
      <c r="H12" s="29" t="n"/>
      <c r="I12" s="56" t="inlineStr">
        <is>
          <t>Wetland extent (sum, capped at 100)</t>
        </is>
      </c>
      <c r="J12" s="65">
        <f>IF('Metrics'!$B$19="","",'Metrics'!$B$19)</f>
        <v/>
      </c>
      <c r="K12" s="28" t="inlineStr">
        <is>
          <t>%</t>
        </is>
      </c>
      <c r="L12" s="28">
        <f>'Metrics'!$C$21</f>
        <v/>
      </c>
      <c r="M12" s="66" t="inlineStr">
        <is>
          <t>Computed from the entries above</t>
        </is>
      </c>
      <c r="O12" s="67" t="inlineStr">
        <is>
          <t>Hydraulics</t>
        </is>
      </c>
      <c r="P12" s="68" t="inlineStr">
        <is>
          <t>Low flow and baseflow dynamics</t>
        </is>
      </c>
      <c r="Q12" s="52">
        <f>IF('EASI Score'!$H$17="","",'EASI Score'!$H$17)</f>
        <v/>
      </c>
      <c r="R12" s="69" t="inlineStr">
        <is>
          <t>D</t>
        </is>
      </c>
      <c r="S12" s="69" t="inlineStr">
        <is>
          <t>i</t>
        </is>
      </c>
      <c r="T12" s="69" t="inlineStr">
        <is>
          <t>i</t>
        </is>
      </c>
      <c r="W12" s="70" t="inlineStr">
        <is>
          <t>Non-Functioning</t>
        </is>
      </c>
      <c r="Y12" s="38" t="inlineStr">
        <is>
          <t>5</t>
        </is>
      </c>
      <c r="Z12" s="70" t="inlineStr">
        <is>
          <t>Non-Functioning</t>
        </is>
      </c>
    </row>
    <row r="13" ht="15.75" customHeight="1">
      <c r="A13" s="55" t="n"/>
      <c r="B13" s="55" t="n"/>
      <c r="C13" s="11" t="n"/>
      <c r="D13" s="55" t="n"/>
      <c r="E13" s="11" t="n"/>
      <c r="F13" s="71" t="inlineStr">
        <is>
          <t>Reach inflow</t>
        </is>
      </c>
      <c r="G13" s="27">
        <f>'Metrics'!$C$29</f>
        <v/>
      </c>
      <c r="H13" s="72">
        <f>'Metrics'!$B$30</f>
        <v/>
      </c>
      <c r="I13" s="56" t="inlineStr">
        <is>
          <t>Road density of the watershed</t>
        </is>
      </c>
      <c r="J13" s="25" t="n"/>
      <c r="K13" s="28" t="inlineStr">
        <is>
          <t>km/km2</t>
        </is>
      </c>
      <c r="L13" s="28">
        <f>'Metrics'!$C$29</f>
        <v/>
      </c>
      <c r="M13" s="57" t="inlineStr">
        <is>
          <t>StreamCat rddensws</t>
        </is>
      </c>
      <c r="O13" s="73" t="n"/>
      <c r="P13" s="68" t="inlineStr">
        <is>
          <t>High flow dynamics</t>
        </is>
      </c>
      <c r="Q13" s="52">
        <f>IF('EASI Score'!$H$18="","",'EASI Score'!$H$18)</f>
        <v/>
      </c>
      <c r="R13" s="69" t="inlineStr">
        <is>
          <t>D</t>
        </is>
      </c>
      <c r="S13" s="69" t="inlineStr">
        <is>
          <t>i</t>
        </is>
      </c>
      <c r="T13" s="69" t="inlineStr">
        <is>
          <t>i</t>
        </is>
      </c>
      <c r="W13" s="74" t="n"/>
      <c r="Z13" s="74" t="n"/>
    </row>
    <row r="14" ht="15.75" customHeight="1">
      <c r="A14" s="55" t="n"/>
      <c r="B14" s="55" t="n"/>
      <c r="C14" s="11" t="n"/>
      <c r="D14" s="55" t="n"/>
      <c r="E14" s="11" t="n"/>
      <c r="F14" s="60" t="inlineStr">
        <is>
          <t>Streamflow regime</t>
        </is>
      </c>
      <c r="G14" s="21">
        <f>'Metrics'!$C$39</f>
        <v/>
      </c>
      <c r="H14" s="61">
        <f>'Metrics'!$B$40</f>
        <v/>
      </c>
      <c r="I14" s="62" t="inlineStr">
        <is>
          <t>Normalized dam storage upstream</t>
        </is>
      </c>
      <c r="J14" s="19" t="n"/>
      <c r="K14" s="5" t="inlineStr">
        <is>
          <t>m3/km2</t>
        </is>
      </c>
      <c r="L14" s="11" t="n"/>
      <c r="M14" s="63" t="inlineStr">
        <is>
          <t>StreamCat damnrmstorws</t>
        </is>
      </c>
      <c r="O14" s="73" t="n"/>
      <c r="P14" s="68" t="inlineStr">
        <is>
          <t>Floodplain connectivity</t>
        </is>
      </c>
      <c r="Q14" s="52">
        <f>IF('EASI Score'!$H$19="","",'EASI Score'!$H$19)</f>
        <v/>
      </c>
      <c r="R14" s="69" t="inlineStr">
        <is>
          <t>D</t>
        </is>
      </c>
      <c r="S14" s="69" t="inlineStr">
        <is>
          <t>i</t>
        </is>
      </c>
      <c r="T14" s="69" t="inlineStr">
        <is>
          <t>i</t>
        </is>
      </c>
      <c r="V14" s="54" t="inlineStr">
        <is>
          <t>0.00</t>
        </is>
      </c>
      <c r="W14" s="74" t="n"/>
      <c r="Y14" s="54" t="inlineStr">
        <is>
          <t>0</t>
        </is>
      </c>
      <c r="Z14" s="74" t="n"/>
    </row>
    <row r="15" ht="15.75" customHeight="1">
      <c r="A15" s="55" t="n"/>
      <c r="B15" s="55" t="n"/>
      <c r="C15" s="11" t="n"/>
      <c r="D15" s="55" t="n"/>
      <c r="E15" s="11" t="n"/>
      <c r="F15" s="55" t="n"/>
      <c r="G15" s="11" t="n"/>
      <c r="H15" s="11" t="n"/>
      <c r="I15" s="62" t="inlineStr">
        <is>
          <t>Mean annual runoff of the watershed</t>
        </is>
      </c>
      <c r="J15" s="19" t="n"/>
      <c r="K15" s="5" t="inlineStr">
        <is>
          <t>mm</t>
        </is>
      </c>
      <c r="L15" s="11" t="n"/>
      <c r="M15" s="63" t="inlineStr">
        <is>
          <t>StreamCat runoffws</t>
        </is>
      </c>
      <c r="O15" s="73" t="n"/>
      <c r="P15" s="68" t="inlineStr">
        <is>
          <t>Hyporheic connectivity</t>
        </is>
      </c>
      <c r="Q15" s="52">
        <f>IF('EASI Score'!$H$21="","",'EASI Score'!$H$21)</f>
        <v/>
      </c>
      <c r="R15" s="69" t="inlineStr">
        <is>
          <t>D</t>
        </is>
      </c>
      <c r="S15" s="69" t="inlineStr">
        <is>
          <t>i</t>
        </is>
      </c>
      <c r="T15" s="69" t="inlineStr">
        <is>
          <t>i</t>
        </is>
      </c>
    </row>
    <row r="16" ht="15.75" customHeight="1">
      <c r="A16" s="55" t="n"/>
      <c r="B16" s="55" t="n"/>
      <c r="C16" s="11" t="n"/>
      <c r="D16" s="40" t="n"/>
      <c r="E16" s="29" t="n"/>
      <c r="F16" s="40" t="n"/>
      <c r="G16" s="29" t="n"/>
      <c r="H16" s="29" t="n"/>
      <c r="I16" s="56" t="inlineStr">
        <is>
          <t>Degree of regulation</t>
        </is>
      </c>
      <c r="J16" s="65">
        <f>IF('Metrics'!$B$37="","",'Metrics'!$B$37)</f>
        <v/>
      </c>
      <c r="K16" s="28" t="inlineStr">
        <is>
          <t>%</t>
        </is>
      </c>
      <c r="L16" s="28">
        <f>'Metrics'!$C$39</f>
        <v/>
      </c>
      <c r="M16" s="66" t="inlineStr">
        <is>
          <t>Computed from the entries above</t>
        </is>
      </c>
      <c r="O16" s="75" t="inlineStr">
        <is>
          <t>Geomorphology</t>
        </is>
      </c>
      <c r="P16" s="76" t="inlineStr">
        <is>
          <t>Channel evolution</t>
        </is>
      </c>
      <c r="Q16" s="52">
        <f>IF('EASI Score'!$H$23="","",'EASI Score'!$H$23)</f>
        <v/>
      </c>
      <c r="R16" s="77" t="inlineStr">
        <is>
          <t>D</t>
        </is>
      </c>
      <c r="S16" s="77" t="inlineStr">
        <is>
          <t>i</t>
        </is>
      </c>
      <c r="T16" s="77" t="inlineStr">
        <is>
          <t>i</t>
        </is>
      </c>
    </row>
    <row r="17" ht="31.5" customHeight="1">
      <c r="A17" s="55" t="n"/>
      <c r="B17" s="55" t="n"/>
      <c r="C17" s="11" t="n"/>
      <c r="D17" s="60" t="inlineStr">
        <is>
          <t>Hydraulics</t>
        </is>
      </c>
      <c r="E17" s="78">
        <f>COUNT('EASI Score'!$H$17:$H$22)</f>
        <v/>
      </c>
      <c r="F17" s="71" t="inlineStr">
        <is>
          <t>Low flow and baseflow dynamics</t>
        </is>
      </c>
      <c r="G17" s="27">
        <f>'Metrics'!$C$50</f>
        <v/>
      </c>
      <c r="H17" s="72">
        <f>'Metrics'!$B$51</f>
        <v/>
      </c>
      <c r="I17" s="56" t="inlineStr">
        <is>
          <t>Monthly flow variability (CV of the twelve EROM monthly flows)</t>
        </is>
      </c>
      <c r="J17" s="25" t="n"/>
      <c r="K17" s="28" t="inlineStr">
        <is>
          <t>ratio</t>
        </is>
      </c>
      <c r="L17" s="28">
        <f>'Metrics'!$C$50</f>
        <v/>
      </c>
      <c r="M17" s="57" t="inlineStr">
        <is>
          <t>NHDPlus V2 EROM QE_01 to QE_12, or the helper below</t>
        </is>
      </c>
      <c r="O17" s="79" t="n"/>
      <c r="P17" s="76" t="inlineStr">
        <is>
          <t>Channel and floodplain dynamics</t>
        </is>
      </c>
      <c r="Q17" s="52">
        <f>IF('EASI Score'!$H$27="","",'EASI Score'!$H$27)</f>
        <v/>
      </c>
      <c r="R17" s="77" t="inlineStr">
        <is>
          <t>D</t>
        </is>
      </c>
      <c r="S17" s="77" t="inlineStr">
        <is>
          <t>i</t>
        </is>
      </c>
      <c r="T17" s="77" t="inlineStr">
        <is>
          <t>i</t>
        </is>
      </c>
      <c r="V17" s="34" t="inlineStr">
        <is>
          <t>Rating to Function Score</t>
        </is>
      </c>
    </row>
    <row r="18" ht="31.5" customHeight="1">
      <c r="A18" s="55" t="n"/>
      <c r="B18" s="55" t="n"/>
      <c r="C18" s="11" t="n"/>
      <c r="D18" s="55" t="n"/>
      <c r="E18" s="11" t="n"/>
      <c r="F18" s="71" t="inlineStr">
        <is>
          <t>High flow dynamics</t>
        </is>
      </c>
      <c r="G18" s="27">
        <f>'Metrics'!$C$58</f>
        <v/>
      </c>
      <c r="H18" s="72">
        <f>'Metrics'!$B$59</f>
        <v/>
      </c>
      <c r="I18" s="56" t="inlineStr">
        <is>
          <t>Bank-height ratio (reach median)</t>
        </is>
      </c>
      <c r="J18" s="25" t="n"/>
      <c r="K18" s="28" t="inlineStr">
        <is>
          <t>ratio</t>
        </is>
      </c>
      <c r="L18" s="28">
        <f>'Metrics'!$C$58</f>
        <v/>
      </c>
      <c r="M18" s="57" t="inlineStr">
        <is>
          <t>EASI report cross-section block or a field survey</t>
        </is>
      </c>
      <c r="O18" s="79" t="n"/>
      <c r="P18" s="76" t="inlineStr">
        <is>
          <t>Sediment continuity</t>
        </is>
      </c>
      <c r="Q18" s="52">
        <f>IF('EASI Score'!$H$30="","",'EASI Score'!$H$30)</f>
        <v/>
      </c>
      <c r="R18" s="77" t="inlineStr">
        <is>
          <t>D</t>
        </is>
      </c>
      <c r="S18" s="77" t="inlineStr">
        <is>
          <t>i</t>
        </is>
      </c>
      <c r="T18" s="77" t="inlineStr">
        <is>
          <t>i</t>
        </is>
      </c>
      <c r="V18" s="80" t="inlineStr">
        <is>
          <t>Rating</t>
        </is>
      </c>
      <c r="W18" s="11" t="n"/>
      <c r="X18" s="11" t="n"/>
      <c r="Y18" s="80" t="inlineStr">
        <is>
          <t>Score</t>
        </is>
      </c>
      <c r="Z18" s="11" t="n"/>
    </row>
    <row r="19" ht="31.5" customHeight="1">
      <c r="A19" s="55" t="n"/>
      <c r="B19" s="55" t="n"/>
      <c r="C19" s="11" t="n"/>
      <c r="D19" s="55" t="n"/>
      <c r="E19" s="11" t="n"/>
      <c r="F19" s="60" t="inlineStr">
        <is>
          <t>Floodplain connectivity</t>
        </is>
      </c>
      <c r="G19" s="21">
        <f>'Metrics'!$C$68</f>
        <v/>
      </c>
      <c r="H19" s="61">
        <f>'Metrics'!$B$69</f>
        <v/>
      </c>
      <c r="I19" s="62" t="inlineStr">
        <is>
          <t>Entrenchment ratio (reach median)</t>
        </is>
      </c>
      <c r="J19" s="19" t="n"/>
      <c r="K19" s="5" t="inlineStr">
        <is>
          <t>ratio</t>
        </is>
      </c>
      <c r="L19" s="5">
        <f>'Metrics'!$C$68</f>
        <v/>
      </c>
      <c r="M19" s="63" t="inlineStr">
        <is>
          <t>EASI report cross-section block or a field survey</t>
        </is>
      </c>
      <c r="O19" s="79" t="n"/>
      <c r="P19" s="76" t="inlineStr">
        <is>
          <t>Bed composition and large wood</t>
        </is>
      </c>
      <c r="Q19" s="52">
        <f>IF('EASI Score'!$H$33="","",'EASI Score'!$H$33)</f>
        <v/>
      </c>
      <c r="R19" s="77" t="inlineStr">
        <is>
          <t>D</t>
        </is>
      </c>
      <c r="S19" s="77" t="inlineStr">
        <is>
          <t>i</t>
        </is>
      </c>
      <c r="T19" s="77" t="inlineStr">
        <is>
          <t>i</t>
        </is>
      </c>
      <c r="V19" s="81" t="inlineStr">
        <is>
          <t>Good (Functioning)</t>
        </is>
      </c>
      <c r="W19" s="41" t="n"/>
      <c r="X19" s="11" t="n"/>
      <c r="Y19" s="82">
        <f>'Reference'!$C$6</f>
        <v/>
      </c>
      <c r="Z19" s="41" t="n"/>
    </row>
    <row r="20" ht="15.75" customHeight="1">
      <c r="A20" s="55" t="n"/>
      <c r="B20" s="55" t="n"/>
      <c r="C20" s="11" t="n"/>
      <c r="D20" s="55" t="n"/>
      <c r="E20" s="11" t="n"/>
      <c r="F20" s="40" t="n"/>
      <c r="G20" s="29" t="n"/>
      <c r="H20" s="29" t="n"/>
      <c r="I20" s="56" t="inlineStr">
        <is>
          <t>Channel slope</t>
        </is>
      </c>
      <c r="J20" s="25" t="n"/>
      <c r="K20" s="28" t="inlineStr">
        <is>
          <t>m/m</t>
        </is>
      </c>
      <c r="L20" s="29" t="n"/>
      <c r="M20" s="57" t="inlineStr">
        <is>
          <t>NHDPlus V2 VAA slope</t>
        </is>
      </c>
      <c r="O20" s="83" t="inlineStr">
        <is>
          <t>Physicochemistry</t>
        </is>
      </c>
      <c r="P20" s="84" t="inlineStr">
        <is>
          <t>Light &amp; thermal regime</t>
        </is>
      </c>
      <c r="Q20" s="52">
        <f>IF('EASI Score'!$H$34="","",'EASI Score'!$H$34)</f>
        <v/>
      </c>
      <c r="R20" s="85" t="inlineStr"/>
      <c r="S20" s="85" t="inlineStr">
        <is>
          <t>D</t>
        </is>
      </c>
      <c r="T20" s="85" t="inlineStr">
        <is>
          <t>i</t>
        </is>
      </c>
      <c r="V20" s="86" t="inlineStr">
        <is>
          <t>Fair (Functioning At-Risk)</t>
        </is>
      </c>
      <c r="W20" s="64" t="n"/>
      <c r="X20" s="11" t="n"/>
      <c r="Y20" s="87">
        <f>'Reference'!$C$7</f>
        <v/>
      </c>
      <c r="Z20" s="64" t="n"/>
    </row>
    <row r="21" ht="15.75" customHeight="1">
      <c r="A21" s="55" t="n"/>
      <c r="B21" s="55" t="n"/>
      <c r="C21" s="11" t="n"/>
      <c r="D21" s="55" t="n"/>
      <c r="E21" s="11" t="n"/>
      <c r="F21" s="60" t="inlineStr">
        <is>
          <t>Hyporheic connectivity</t>
        </is>
      </c>
      <c r="G21" s="21">
        <f>'Metrics'!$C$79</f>
        <v/>
      </c>
      <c r="H21" s="61">
        <f>'Metrics'!$B$80</f>
        <v/>
      </c>
      <c r="I21" s="62" t="inlineStr">
        <is>
          <t>Channel slope</t>
        </is>
      </c>
      <c r="J21" s="6">
        <f>IF('EASI Score'!$J$20="","",'EASI Score'!$J$20)</f>
        <v/>
      </c>
      <c r="K21" s="5" t="inlineStr">
        <is>
          <t>m/m</t>
        </is>
      </c>
      <c r="L21" s="5">
        <f>'Metrics'!$C$74</f>
        <v/>
      </c>
      <c r="M21" s="63" t="inlineStr">
        <is>
          <t>NHDPlus V2 VAA slope</t>
        </is>
      </c>
      <c r="O21" s="88" t="n"/>
      <c r="P21" s="84" t="inlineStr">
        <is>
          <t>Carbon processing</t>
        </is>
      </c>
      <c r="Q21" s="52">
        <f>IF('EASI Score'!$H$36="","",'EASI Score'!$H$36)</f>
        <v/>
      </c>
      <c r="R21" s="85" t="inlineStr"/>
      <c r="S21" s="85" t="inlineStr">
        <is>
          <t>D</t>
        </is>
      </c>
      <c r="T21" s="85" t="inlineStr">
        <is>
          <t>i</t>
        </is>
      </c>
      <c r="V21" s="89" t="inlineStr">
        <is>
          <t>Poor (Non-Functioning)</t>
        </is>
      </c>
      <c r="W21" s="74" t="n"/>
      <c r="X21" s="11" t="n"/>
      <c r="Y21" s="90">
        <f>'Reference'!$C$8</f>
        <v/>
      </c>
      <c r="Z21" s="74" t="n"/>
    </row>
    <row r="22" ht="31.5" customHeight="1">
      <c r="A22" s="55" t="n"/>
      <c r="B22" s="55" t="n"/>
      <c r="C22" s="11" t="n"/>
      <c r="D22" s="40" t="n"/>
      <c r="E22" s="29" t="n"/>
      <c r="F22" s="40" t="n"/>
      <c r="G22" s="29" t="n"/>
      <c r="H22" s="29" t="n"/>
      <c r="I22" s="56" t="inlineStr">
        <is>
          <t>Reach sinuosity</t>
        </is>
      </c>
      <c r="J22" s="25" t="n"/>
      <c r="K22" s="28" t="inlineStr">
        <is>
          <t>ratio</t>
        </is>
      </c>
      <c r="L22" s="28">
        <f>'Metrics'!$C$75</f>
        <v/>
      </c>
      <c r="M22" s="57" t="inlineStr">
        <is>
          <t>Reach geometry (channel length over straight-line length)</t>
        </is>
      </c>
      <c r="O22" s="88" t="n"/>
      <c r="P22" s="84" t="inlineStr">
        <is>
          <t>Nutrient cycling</t>
        </is>
      </c>
      <c r="Q22" s="52">
        <f>IF('EASI Score'!$H$41="","",'EASI Score'!$H$41)</f>
        <v/>
      </c>
      <c r="R22" s="85" t="inlineStr">
        <is>
          <t>i</t>
        </is>
      </c>
      <c r="S22" s="85" t="inlineStr">
        <is>
          <t>D</t>
        </is>
      </c>
      <c r="T22" s="85" t="inlineStr">
        <is>
          <t>i</t>
        </is>
      </c>
      <c r="V22" s="91" t="inlineStr">
        <is>
          <t>Not rated (blank input)</t>
        </is>
      </c>
      <c r="W22" s="11" t="n"/>
      <c r="X22" s="11" t="n"/>
      <c r="Y22" s="91" t="inlineStr">
        <is>
          <t>excluded from the rollup</t>
        </is>
      </c>
      <c r="Z22" s="11" t="n"/>
    </row>
    <row r="23" ht="31.5" customHeight="1">
      <c r="A23" s="55" t="n"/>
      <c r="B23" s="55" t="n"/>
      <c r="C23" s="11" t="n"/>
      <c r="D23" s="60" t="inlineStr">
        <is>
          <t>Geomorphology</t>
        </is>
      </c>
      <c r="E23" s="78">
        <f>COUNT('EASI Score'!$H$23:$H$33)</f>
        <v/>
      </c>
      <c r="F23" s="60" t="inlineStr">
        <is>
          <t>Channel evolution</t>
        </is>
      </c>
      <c r="G23" s="21">
        <f>'Metrics'!$C$91</f>
        <v/>
      </c>
      <c r="H23" s="61">
        <f>'Metrics'!$B$92</f>
        <v/>
      </c>
      <c r="I23" s="62" t="inlineStr">
        <is>
          <t>Bank-height ratio (reach median)</t>
        </is>
      </c>
      <c r="J23" s="6">
        <f>IF('EASI Score'!$J$18="","",'EASI Score'!$J$18)</f>
        <v/>
      </c>
      <c r="K23" s="5" t="inlineStr">
        <is>
          <t>ratio</t>
        </is>
      </c>
      <c r="L23" s="5">
        <f>'Metrics'!$C$85</f>
        <v/>
      </c>
      <c r="M23" s="63" t="inlineStr">
        <is>
          <t>EASI report cross-section block or a field survey</t>
        </is>
      </c>
      <c r="O23" s="88" t="n"/>
      <c r="P23" s="84" t="inlineStr">
        <is>
          <t>Water &amp; soil quality</t>
        </is>
      </c>
      <c r="Q23" s="52">
        <f>IF('EASI Score'!$H$45="","",'EASI Score'!$H$45)</f>
        <v/>
      </c>
      <c r="R23" s="85" t="inlineStr">
        <is>
          <t>i</t>
        </is>
      </c>
      <c r="S23" s="85" t="inlineStr">
        <is>
          <t>D</t>
        </is>
      </c>
      <c r="T23" s="85" t="inlineStr">
        <is>
          <t>i</t>
        </is>
      </c>
    </row>
    <row r="24" ht="31.5" customHeight="1">
      <c r="A24" s="55" t="n"/>
      <c r="B24" s="55" t="n"/>
      <c r="C24" s="11" t="n"/>
      <c r="D24" s="55" t="n"/>
      <c r="E24" s="11" t="n"/>
      <c r="F24" s="55" t="n"/>
      <c r="G24" s="11" t="n"/>
      <c r="H24" s="11" t="n"/>
      <c r="I24" s="62" t="inlineStr">
        <is>
          <t>Entrenchment ratio (reach median)</t>
        </is>
      </c>
      <c r="J24" s="6">
        <f>IF('EASI Score'!$J$19="","",'EASI Score'!$J$19)</f>
        <v/>
      </c>
      <c r="K24" s="5" t="inlineStr">
        <is>
          <t>ratio</t>
        </is>
      </c>
      <c r="L24" s="5">
        <f>'Metrics'!$C$88</f>
        <v/>
      </c>
      <c r="M24" s="63" t="inlineStr">
        <is>
          <t>EASI report cross-section block or a field survey</t>
        </is>
      </c>
      <c r="O24" s="92" t="inlineStr">
        <is>
          <t>Biology</t>
        </is>
      </c>
      <c r="P24" s="93" t="inlineStr">
        <is>
          <t>Habitat provision</t>
        </is>
      </c>
      <c r="Q24" s="52">
        <f>IF('EASI Score'!$H$48="","",'EASI Score'!$H$48)</f>
        <v/>
      </c>
      <c r="R24" s="94" t="inlineStr"/>
      <c r="S24" s="94" t="inlineStr"/>
      <c r="T24" s="94" t="inlineStr">
        <is>
          <t>D</t>
        </is>
      </c>
    </row>
    <row r="25" ht="15.75" customHeight="1">
      <c r="A25" s="55" t="n"/>
      <c r="B25" s="55" t="n"/>
      <c r="C25" s="11" t="n"/>
      <c r="D25" s="55" t="n"/>
      <c r="E25" s="11" t="n"/>
      <c r="F25" s="55" t="n"/>
      <c r="G25" s="11" t="n"/>
      <c r="H25" s="11" t="n"/>
      <c r="I25" s="62" t="inlineStr">
        <is>
          <t>Observed channel-evolution class (optional)</t>
        </is>
      </c>
      <c r="J25" s="19" t="n"/>
      <c r="K25" s="11" t="n"/>
      <c r="L25" s="11" t="n"/>
      <c r="M25" s="63" t="inlineStr">
        <is>
          <t>Field assessment or verified imagery</t>
        </is>
      </c>
      <c r="O25" s="95" t="n"/>
      <c r="P25" s="93" t="inlineStr">
        <is>
          <t>Population support</t>
        </is>
      </c>
      <c r="Q25" s="52">
        <f>IF('EASI Score'!$H$49="","",'EASI Score'!$H$49)</f>
        <v/>
      </c>
      <c r="R25" s="94" t="inlineStr">
        <is>
          <t>i</t>
        </is>
      </c>
      <c r="S25" s="94" t="inlineStr">
        <is>
          <t>i</t>
        </is>
      </c>
      <c r="T25" s="94" t="inlineStr">
        <is>
          <t>D</t>
        </is>
      </c>
    </row>
    <row r="26" ht="31.5" customHeight="1">
      <c r="A26" s="55" t="n"/>
      <c r="B26" s="55" t="n"/>
      <c r="C26" s="11" t="n"/>
      <c r="D26" s="55" t="n"/>
      <c r="E26" s="11" t="n"/>
      <c r="F26" s="40" t="n"/>
      <c r="G26" s="29" t="n"/>
      <c r="H26" s="29" t="n"/>
      <c r="I26" s="56" t="inlineStr">
        <is>
          <t>Observed channel-evolution indicators (note) (optional)</t>
        </is>
      </c>
      <c r="J26" s="25" t="n"/>
      <c r="K26" s="29" t="n"/>
      <c r="L26" s="29" t="n"/>
      <c r="M26" s="57" t="inlineStr">
        <is>
          <t>Field assessment or verified imagery</t>
        </is>
      </c>
      <c r="O26" s="95" t="n"/>
      <c r="P26" s="93" t="inlineStr">
        <is>
          <t>Community dynamics</t>
        </is>
      </c>
      <c r="Q26" s="52">
        <f>IF('EASI Score'!$H$64="","",'EASI Score'!$H$64)</f>
        <v/>
      </c>
      <c r="R26" s="94" t="inlineStr">
        <is>
          <t>i</t>
        </is>
      </c>
      <c r="S26" s="94" t="inlineStr">
        <is>
          <t>i</t>
        </is>
      </c>
      <c r="T26" s="94" t="inlineStr">
        <is>
          <t>D</t>
        </is>
      </c>
    </row>
    <row r="27" ht="31.5" customHeight="1">
      <c r="A27" s="55" t="n"/>
      <c r="B27" s="55" t="n"/>
      <c r="C27" s="11" t="n"/>
      <c r="D27" s="55" t="n"/>
      <c r="E27" s="11" t="n"/>
      <c r="F27" s="60" t="inlineStr">
        <is>
          <t>Channel and floodplain dynamics</t>
        </is>
      </c>
      <c r="G27" s="21">
        <f>'Metrics'!$C$101</f>
        <v/>
      </c>
      <c r="H27" s="61">
        <f>'Metrics'!$B$102</f>
        <v/>
      </c>
      <c r="I27" s="62" t="inlineStr">
        <is>
          <t>Bank-height ratio (reach median)</t>
        </is>
      </c>
      <c r="J27" s="6">
        <f>IF('EASI Score'!$J$18="","",'EASI Score'!$J$18)</f>
        <v/>
      </c>
      <c r="K27" s="5" t="inlineStr">
        <is>
          <t>ratio</t>
        </is>
      </c>
      <c r="L27" s="11" t="n"/>
      <c r="M27" s="63" t="inlineStr">
        <is>
          <t>EASI report cross-section block or a field survey</t>
        </is>
      </c>
      <c r="O27" s="95" t="n"/>
      <c r="P27" s="93" t="inlineStr">
        <is>
          <t>Watershed connectivity</t>
        </is>
      </c>
      <c r="Q27" s="52">
        <f>IF('EASI Score'!$H$65="","",'EASI Score'!$H$65)</f>
        <v/>
      </c>
      <c r="R27" s="94" t="inlineStr">
        <is>
          <t>i</t>
        </is>
      </c>
      <c r="S27" s="94" t="inlineStr"/>
      <c r="T27" s="94" t="inlineStr">
        <is>
          <t>D</t>
        </is>
      </c>
    </row>
    <row r="28" ht="15.75" customHeight="1">
      <c r="A28" s="55" t="n"/>
      <c r="B28" s="55" t="n"/>
      <c r="C28" s="11" t="n"/>
      <c r="D28" s="55" t="n"/>
      <c r="E28" s="11" t="n"/>
      <c r="F28" s="55" t="n"/>
      <c r="G28" s="11" t="n"/>
      <c r="H28" s="11" t="n"/>
      <c r="I28" s="62" t="inlineStr">
        <is>
          <t>Observed eroding bank (optional)</t>
        </is>
      </c>
      <c r="J28" s="19" t="n"/>
      <c r="K28" s="5" t="inlineStr">
        <is>
          <t>%</t>
        </is>
      </c>
      <c r="L28" s="5">
        <f>'Metrics'!$C$98</f>
        <v/>
      </c>
      <c r="M28" s="63" t="inlineStr">
        <is>
          <t>Field assessment or verified imagery</t>
        </is>
      </c>
      <c r="O28" s="96" t="inlineStr">
        <is>
          <t>Sub-index Scores</t>
        </is>
      </c>
      <c r="P28" s="11" t="n"/>
      <c r="Q28" s="11" t="n"/>
      <c r="R28" s="97">
        <f>IF('Results'!$E$27="","",'Results'!$E$27)</f>
        <v/>
      </c>
      <c r="S28" s="97">
        <f>IF('Results'!$E$28="","",'Results'!$E$28)</f>
        <v/>
      </c>
      <c r="T28" s="97">
        <f>IF('Results'!$E$29="","",'Results'!$E$29)</f>
        <v/>
      </c>
    </row>
    <row r="29" ht="15.75" customHeight="1">
      <c r="A29" s="55" t="n"/>
      <c r="B29" s="55" t="n"/>
      <c r="C29" s="11" t="n"/>
      <c r="D29" s="55" t="n"/>
      <c r="E29" s="11" t="n"/>
      <c r="F29" s="40" t="n"/>
      <c r="G29" s="29" t="n"/>
      <c r="H29" s="29" t="n"/>
      <c r="I29" s="56" t="inlineStr">
        <is>
          <t>Observed armored bank (optional)</t>
        </is>
      </c>
      <c r="J29" s="25" t="n"/>
      <c r="K29" s="28" t="inlineStr">
        <is>
          <t>%</t>
        </is>
      </c>
      <c r="L29" s="28">
        <f>'Metrics'!$C$99</f>
        <v/>
      </c>
      <c r="M29" s="57" t="inlineStr">
        <is>
          <t>Field assessment or verified imagery</t>
        </is>
      </c>
      <c r="O29" s="96" t="inlineStr">
        <is>
          <t>EASI Index</t>
        </is>
      </c>
      <c r="P29" s="11" t="n"/>
      <c r="Q29" s="11" t="n"/>
      <c r="R29" s="98">
        <f>IF('Results'!$E$30="","",'Results'!$E$30)</f>
        <v/>
      </c>
      <c r="S29" s="11" t="n"/>
      <c r="T29" s="11" t="n"/>
    </row>
    <row r="30" ht="31.5" customHeight="1">
      <c r="A30" s="55" t="n"/>
      <c r="B30" s="55" t="n"/>
      <c r="C30" s="11" t="n"/>
      <c r="D30" s="55" t="n"/>
      <c r="E30" s="11" t="n"/>
      <c r="F30" s="60" t="inlineStr">
        <is>
          <t>Sediment continuity</t>
        </is>
      </c>
      <c r="G30" s="21">
        <f>'Metrics'!$C$113</f>
        <v/>
      </c>
      <c r="H30" s="61">
        <f>'Metrics'!$B$114</f>
        <v/>
      </c>
      <c r="I30" s="62" t="inlineStr">
        <is>
          <t>Agricultural cover of the watershed (crop, hay and pasture)</t>
        </is>
      </c>
      <c r="J30" s="6">
        <f>IF('EASI Score'!$J$9="","",'EASI Score'!$J$9)</f>
        <v/>
      </c>
      <c r="K30" s="5" t="inlineStr">
        <is>
          <t>%</t>
        </is>
      </c>
      <c r="L30" s="5">
        <f>'Metrics'!$C$107</f>
        <v/>
      </c>
      <c r="M30" s="63" t="inlineStr">
        <is>
          <t>StreamCat pctcrop2019ws + pcthay2019ws</t>
        </is>
      </c>
      <c r="O30" s="96" t="inlineStr">
        <is>
          <t>Functions rated</t>
        </is>
      </c>
      <c r="P30" s="11" t="n"/>
      <c r="Q30" s="11" t="n"/>
      <c r="R30" s="99">
        <f>'Results'!$B$33</f>
        <v/>
      </c>
      <c r="S30" s="11" t="n"/>
      <c r="T30" s="11" t="n"/>
    </row>
    <row r="31" ht="15.75" customHeight="1">
      <c r="A31" s="55" t="n"/>
      <c r="B31" s="55" t="n"/>
      <c r="C31" s="11" t="n"/>
      <c r="D31" s="55" t="n"/>
      <c r="E31" s="11" t="n"/>
      <c r="F31" s="55" t="n"/>
      <c r="G31" s="11" t="n"/>
      <c r="H31" s="11" t="n"/>
      <c r="I31" s="62" t="inlineStr">
        <is>
          <t>Soil erodibility (K factor) of the watershed</t>
        </is>
      </c>
      <c r="J31" s="19" t="n"/>
      <c r="K31" s="5" t="inlineStr"/>
      <c r="L31" s="5">
        <f>'Metrics'!$C$108</f>
        <v/>
      </c>
      <c r="M31" s="63" t="inlineStr">
        <is>
          <t>StreamCat kffactws</t>
        </is>
      </c>
      <c r="O31" s="96" t="inlineStr">
        <is>
          <t>Coverage</t>
        </is>
      </c>
      <c r="P31" s="11" t="n"/>
      <c r="Q31" s="11" t="n"/>
      <c r="R31" s="5">
        <f>'Results'!$B$37</f>
        <v/>
      </c>
      <c r="S31" s="11" t="n"/>
      <c r="T31" s="11" t="n"/>
    </row>
    <row r="32" ht="15.75" customHeight="1">
      <c r="A32" s="55" t="n"/>
      <c r="B32" s="55" t="n"/>
      <c r="C32" s="11" t="n"/>
      <c r="D32" s="55" t="n"/>
      <c r="E32" s="11" t="n"/>
      <c r="F32" s="40" t="n"/>
      <c r="G32" s="29" t="n"/>
      <c r="H32" s="29" t="n"/>
      <c r="I32" s="56" t="inlineStr">
        <is>
          <t>Road density of the watershed</t>
        </is>
      </c>
      <c r="J32" s="100">
        <f>IF('EASI Score'!$J$13="","",'EASI Score'!$J$13)</f>
        <v/>
      </c>
      <c r="K32" s="28" t="inlineStr">
        <is>
          <t>km/km2</t>
        </is>
      </c>
      <c r="L32" s="28">
        <f>'Metrics'!$C$109</f>
        <v/>
      </c>
      <c r="M32" s="57" t="inlineStr">
        <is>
          <t>StreamCat rddensws</t>
        </is>
      </c>
      <c r="O32" s="96" t="inlineStr">
        <is>
          <t>Provisional result</t>
        </is>
      </c>
      <c r="P32" s="11" t="n"/>
      <c r="Q32" s="11" t="n"/>
      <c r="R32" s="5">
        <f>IF('Results'!$B$36="yes","yes (coverage below 0.70)","no")</f>
        <v/>
      </c>
      <c r="S32" s="11" t="n"/>
      <c r="T32" s="11" t="n"/>
    </row>
    <row r="33" ht="31.5" customHeight="1">
      <c r="A33" s="40" t="n"/>
      <c r="B33" s="40" t="n"/>
      <c r="C33" s="29" t="n"/>
      <c r="D33" s="40" t="n"/>
      <c r="E33" s="29" t="n"/>
      <c r="F33" s="71" t="inlineStr">
        <is>
          <t>Bed composition and large wood</t>
        </is>
      </c>
      <c r="G33" s="27">
        <f>'Metrics'!$C$121</f>
        <v/>
      </c>
      <c r="H33" s="72">
        <f>'Metrics'!$B$122</f>
        <v/>
      </c>
      <c r="I33" s="56" t="inlineStr">
        <is>
          <t>Agricultural cover of the watershed (crop, hay and pasture)</t>
        </is>
      </c>
      <c r="J33" s="100">
        <f>IF('EASI Score'!$J$9="","",'EASI Score'!$J$9)</f>
        <v/>
      </c>
      <c r="K33" s="28" t="inlineStr">
        <is>
          <t>%</t>
        </is>
      </c>
      <c r="L33" s="28">
        <f>'Metrics'!$C$121</f>
        <v/>
      </c>
      <c r="M33" s="57" t="inlineStr">
        <is>
          <t>StreamCat pctcrop2019ws + pcthay2019ws</t>
        </is>
      </c>
    </row>
    <row r="34" ht="31.5" customHeight="1">
      <c r="A34" s="55" t="n"/>
      <c r="B34" s="101" t="inlineStr">
        <is>
          <t>Chemical</t>
        </is>
      </c>
      <c r="C34" s="98">
        <f>IF('Results'!$E$28="","",'Results'!$E$28)</f>
        <v/>
      </c>
      <c r="D34" s="101" t="inlineStr">
        <is>
          <t>Physicochemistry</t>
        </is>
      </c>
      <c r="E34" s="78">
        <f>COUNT('EASI Score'!$H$34:$H$47)</f>
        <v/>
      </c>
      <c r="F34" s="101" t="inlineStr">
        <is>
          <t>Light &amp; thermal regime</t>
        </is>
      </c>
      <c r="G34" s="21">
        <f>'Metrics'!$C$134</f>
        <v/>
      </c>
      <c r="H34" s="61">
        <f>'Metrics'!$B$135</f>
        <v/>
      </c>
      <c r="I34" s="102" t="inlineStr">
        <is>
          <t>Woody riparian cover in the 100 m corridor</t>
        </is>
      </c>
      <c r="J34" s="19" t="n"/>
      <c r="K34" s="5" t="inlineStr">
        <is>
          <t>%</t>
        </is>
      </c>
      <c r="L34" s="5">
        <f>'Metrics'!$C$129</f>
        <v/>
      </c>
      <c r="M34" s="63" t="inlineStr">
        <is>
          <t>StreamCat forest + shrub + woody wetland at wsrp100</t>
        </is>
      </c>
    </row>
    <row r="35" ht="15.75" customHeight="1">
      <c r="A35" s="55" t="n"/>
      <c r="B35" s="55" t="n"/>
      <c r="C35" s="11" t="n"/>
      <c r="D35" s="55" t="n"/>
      <c r="E35" s="11" t="n"/>
      <c r="F35" s="40" t="n"/>
      <c r="G35" s="29" t="n"/>
      <c r="H35" s="29" t="n"/>
      <c r="I35" s="103" t="inlineStr">
        <is>
          <t>Impervious cover of the watershed</t>
        </is>
      </c>
      <c r="J35" s="100">
        <f>IF('EASI Score'!$J$8="","",'EASI Score'!$J$8)</f>
        <v/>
      </c>
      <c r="K35" s="28" t="inlineStr">
        <is>
          <t>%</t>
        </is>
      </c>
      <c r="L35" s="28">
        <f>'Metrics'!$C$130</f>
        <v/>
      </c>
      <c r="M35" s="57" t="inlineStr">
        <is>
          <t>StreamCat pctimp2019ws</t>
        </is>
      </c>
    </row>
    <row r="36" ht="31.5" customHeight="1">
      <c r="A36" s="55" t="n"/>
      <c r="B36" s="55" t="n"/>
      <c r="C36" s="11" t="n"/>
      <c r="D36" s="55" t="n"/>
      <c r="E36" s="11" t="n"/>
      <c r="F36" s="101" t="inlineStr">
        <is>
          <t>Carbon processing</t>
        </is>
      </c>
      <c r="G36" s="21">
        <f>'Metrics'!$C$148</f>
        <v/>
      </c>
      <c r="H36" s="61">
        <f>'Metrics'!$B$149</f>
        <v/>
      </c>
      <c r="I36" s="102" t="inlineStr">
        <is>
          <t>Forest cover in the 100 m corridor</t>
        </is>
      </c>
      <c r="J36" s="19" t="n"/>
      <c r="K36" s="5" t="inlineStr">
        <is>
          <t>%</t>
        </is>
      </c>
      <c r="L36" s="11" t="n"/>
      <c r="M36" s="63" t="inlineStr">
        <is>
          <t>StreamCat pctconif + pctdecid + pctmxfst at wsrp100</t>
        </is>
      </c>
    </row>
    <row r="37" ht="15.75" customHeight="1">
      <c r="A37" s="55" t="n"/>
      <c r="B37" s="55" t="n"/>
      <c r="C37" s="11" t="n"/>
      <c r="D37" s="55" t="n"/>
      <c r="E37" s="11" t="n"/>
      <c r="F37" s="55" t="n"/>
      <c r="G37" s="11" t="n"/>
      <c r="H37" s="11" t="n"/>
      <c r="I37" s="102" t="inlineStr">
        <is>
          <t>Shrub cover in the 100 m corridor</t>
        </is>
      </c>
      <c r="J37" s="19" t="n"/>
      <c r="K37" s="5" t="inlineStr">
        <is>
          <t>%</t>
        </is>
      </c>
      <c r="L37" s="11" t="n"/>
      <c r="M37" s="63" t="inlineStr">
        <is>
          <t>StreamCat pctshrb2019wsrp100</t>
        </is>
      </c>
    </row>
    <row r="38" ht="15.75" customHeight="1">
      <c r="A38" s="55" t="n"/>
      <c r="B38" s="55" t="n"/>
      <c r="C38" s="11" t="n"/>
      <c r="D38" s="55" t="n"/>
      <c r="E38" s="11" t="n"/>
      <c r="F38" s="55" t="n"/>
      <c r="G38" s="11" t="n"/>
      <c r="H38" s="11" t="n"/>
      <c r="I38" s="102" t="inlineStr">
        <is>
          <t>Grassland cover in the 100 m corridor</t>
        </is>
      </c>
      <c r="J38" s="19" t="n"/>
      <c r="K38" s="5" t="inlineStr">
        <is>
          <t>%</t>
        </is>
      </c>
      <c r="L38" s="11" t="n"/>
      <c r="M38" s="63" t="inlineStr">
        <is>
          <t>StreamCat pctgrs2019wsrp100</t>
        </is>
      </c>
    </row>
    <row r="39" ht="31.5" customHeight="1">
      <c r="A39" s="55" t="n"/>
      <c r="B39" s="55" t="n"/>
      <c r="C39" s="11" t="n"/>
      <c r="D39" s="55" t="n"/>
      <c r="E39" s="11" t="n"/>
      <c r="F39" s="55" t="n"/>
      <c r="G39" s="11" t="n"/>
      <c r="H39" s="11" t="n"/>
      <c r="I39" s="102" t="inlineStr">
        <is>
          <t>Wetland cover in the 100 m corridor (woody and herbaceous)</t>
        </is>
      </c>
      <c r="J39" s="19" t="n"/>
      <c r="K39" s="5" t="inlineStr">
        <is>
          <t>%</t>
        </is>
      </c>
      <c r="L39" s="11" t="n"/>
      <c r="M39" s="63" t="inlineStr">
        <is>
          <t>StreamCat pctwdwet + pcthbwet at wsrp100</t>
        </is>
      </c>
    </row>
    <row r="40" ht="15.75" customHeight="1">
      <c r="A40" s="55" t="n"/>
      <c r="B40" s="55" t="n"/>
      <c r="C40" s="11" t="n"/>
      <c r="D40" s="55" t="n"/>
      <c r="E40" s="11" t="n"/>
      <c r="F40" s="40" t="n"/>
      <c r="G40" s="29" t="n"/>
      <c r="H40" s="29" t="n"/>
      <c r="I40" s="103" t="inlineStr">
        <is>
          <t>Natural corridor cover (sum, capped at 100)</t>
        </is>
      </c>
      <c r="J40" s="65">
        <f>IF('Metrics'!$B$144="","",'Metrics'!$B$144)</f>
        <v/>
      </c>
      <c r="K40" s="28" t="inlineStr">
        <is>
          <t>%</t>
        </is>
      </c>
      <c r="L40" s="28">
        <f>'Metrics'!$C$148</f>
        <v/>
      </c>
      <c r="M40" s="66" t="inlineStr">
        <is>
          <t>Computed from the entries above</t>
        </is>
      </c>
    </row>
    <row r="41" ht="31.5" customHeight="1">
      <c r="A41" s="55" t="n"/>
      <c r="B41" s="55" t="n"/>
      <c r="C41" s="11" t="n"/>
      <c r="D41" s="55" t="n"/>
      <c r="E41" s="11" t="n"/>
      <c r="F41" s="101" t="inlineStr">
        <is>
          <t>Nutrient cycling</t>
        </is>
      </c>
      <c r="G41" s="21">
        <f>'Metrics'!$C$158</f>
        <v/>
      </c>
      <c r="H41" s="61">
        <f>'Metrics'!$B$159</f>
        <v/>
      </c>
      <c r="I41" s="102" t="inlineStr">
        <is>
          <t>Total nitrogen (median of station medians)</t>
        </is>
      </c>
      <c r="J41" s="19" t="n"/>
      <c r="K41" s="5" t="inlineStr">
        <is>
          <t>mg/L</t>
        </is>
      </c>
      <c r="L41" s="5">
        <f>'Metrics'!$C$154</f>
        <v/>
      </c>
      <c r="M41" s="63" t="inlineStr">
        <is>
          <t>WQP total-fraction observations within 5 miles and 10 years</t>
        </is>
      </c>
    </row>
    <row r="42" ht="31.5" customHeight="1">
      <c r="A42" s="55" t="n"/>
      <c r="B42" s="55" t="n"/>
      <c r="C42" s="11" t="n"/>
      <c r="D42" s="55" t="n"/>
      <c r="E42" s="11" t="n"/>
      <c r="F42" s="55" t="n"/>
      <c r="G42" s="11" t="n"/>
      <c r="H42" s="11" t="n"/>
      <c r="I42" s="102" t="inlineStr">
        <is>
          <t>Total phosphorus (median of station medians)</t>
        </is>
      </c>
      <c r="J42" s="19" t="n"/>
      <c r="K42" s="5" t="inlineStr">
        <is>
          <t>mg/L</t>
        </is>
      </c>
      <c r="L42" s="5">
        <f>'Metrics'!$C$155</f>
        <v/>
      </c>
      <c r="M42" s="63" t="inlineStr">
        <is>
          <t>WQP total-fraction observations within 5 miles and 10 years</t>
        </is>
      </c>
    </row>
    <row r="43" ht="15.75" customHeight="1">
      <c r="A43" s="55" t="n"/>
      <c r="B43" s="55" t="n"/>
      <c r="C43" s="11" t="n"/>
      <c r="D43" s="55" t="n"/>
      <c r="E43" s="11" t="n"/>
      <c r="F43" s="55" t="n"/>
      <c r="G43" s="11" t="n"/>
      <c r="H43" s="11" t="n"/>
      <c r="I43" s="102" t="inlineStr">
        <is>
          <t>CHEM integrity index, catchment</t>
        </is>
      </c>
      <c r="J43" s="19" t="n"/>
      <c r="K43" s="5" t="inlineStr">
        <is>
          <t>index</t>
        </is>
      </c>
      <c r="L43" s="11" t="n"/>
      <c r="M43" s="63" t="inlineStr">
        <is>
          <t>StreamCat chemcat</t>
        </is>
      </c>
    </row>
    <row r="44" ht="15.75" customHeight="1">
      <c r="A44" s="55" t="n"/>
      <c r="B44" s="55" t="n"/>
      <c r="C44" s="11" t="n"/>
      <c r="D44" s="55" t="n"/>
      <c r="E44" s="11" t="n"/>
      <c r="F44" s="40" t="n"/>
      <c r="G44" s="29" t="n"/>
      <c r="H44" s="29" t="n"/>
      <c r="I44" s="103" t="inlineStr">
        <is>
          <t>CHEM integrity index, watershed</t>
        </is>
      </c>
      <c r="J44" s="25" t="n"/>
      <c r="K44" s="28" t="inlineStr">
        <is>
          <t>index</t>
        </is>
      </c>
      <c r="L44" s="29" t="n"/>
      <c r="M44" s="57" t="inlineStr">
        <is>
          <t>StreamCat chemws</t>
        </is>
      </c>
    </row>
    <row r="45" ht="31.5" customHeight="1">
      <c r="A45" s="55" t="n"/>
      <c r="B45" s="55" t="n"/>
      <c r="C45" s="11" t="n"/>
      <c r="D45" s="55" t="n"/>
      <c r="E45" s="11" t="n"/>
      <c r="F45" s="101" t="inlineStr">
        <is>
          <t>Water &amp; soil quality</t>
        </is>
      </c>
      <c r="G45" s="21">
        <f>'Metrics'!$C$167</f>
        <v/>
      </c>
      <c r="H45" s="61">
        <f>'Metrics'!$B$168</f>
        <v/>
      </c>
      <c r="I45" s="102" t="inlineStr">
        <is>
          <t>ATTAINS integrated-report category</t>
        </is>
      </c>
      <c r="J45" s="19" t="n"/>
      <c r="K45" s="5" t="inlineStr"/>
      <c r="L45" s="5">
        <f>'Metrics'!$C$164</f>
        <v/>
      </c>
      <c r="M45" s="63" t="inlineStr">
        <is>
          <t>EPA ATTAINS (at the reach or within 2 km)</t>
        </is>
      </c>
    </row>
    <row r="46" ht="15.75" customHeight="1">
      <c r="A46" s="55" t="n"/>
      <c r="B46" s="55" t="n"/>
      <c r="C46" s="11" t="n"/>
      <c r="D46" s="55" t="n"/>
      <c r="E46" s="11" t="n"/>
      <c r="F46" s="55" t="n"/>
      <c r="G46" s="11" t="n"/>
      <c r="H46" s="11" t="n"/>
      <c r="I46" s="102" t="inlineStr">
        <is>
          <t>CHEM integrity index, catchment</t>
        </is>
      </c>
      <c r="J46" s="6">
        <f>IF('EASI Score'!$J$43="","",'EASI Score'!$J$43)</f>
        <v/>
      </c>
      <c r="K46" s="5" t="inlineStr">
        <is>
          <t>index</t>
        </is>
      </c>
      <c r="L46" s="11" t="n"/>
      <c r="M46" s="63" t="inlineStr">
        <is>
          <t>StreamCat chemcat</t>
        </is>
      </c>
    </row>
    <row r="47" ht="15.75" customHeight="1">
      <c r="A47" s="40" t="n"/>
      <c r="B47" s="40" t="n"/>
      <c r="C47" s="29" t="n"/>
      <c r="D47" s="40" t="n"/>
      <c r="E47" s="29" t="n"/>
      <c r="F47" s="40" t="n"/>
      <c r="G47" s="29" t="n"/>
      <c r="H47" s="29" t="n"/>
      <c r="I47" s="103" t="inlineStr">
        <is>
          <t>CHEM integrity index, watershed</t>
        </is>
      </c>
      <c r="J47" s="100">
        <f>IF('EASI Score'!$J$44="","",'EASI Score'!$J$44)</f>
        <v/>
      </c>
      <c r="K47" s="28" t="inlineStr">
        <is>
          <t>index</t>
        </is>
      </c>
      <c r="L47" s="29" t="n"/>
      <c r="M47" s="57" t="inlineStr">
        <is>
          <t>StreamCat chemws</t>
        </is>
      </c>
    </row>
    <row r="48" ht="31.5" customHeight="1">
      <c r="A48" s="55" t="n"/>
      <c r="B48" s="104" t="inlineStr">
        <is>
          <t>Biological</t>
        </is>
      </c>
      <c r="C48" s="98">
        <f>IF('Results'!$E$29="","",'Results'!$E$29)</f>
        <v/>
      </c>
      <c r="D48" s="104" t="inlineStr">
        <is>
          <t>Biology</t>
        </is>
      </c>
      <c r="E48" s="78">
        <f>COUNT('EASI Score'!$H$48:$H$65)</f>
        <v/>
      </c>
      <c r="F48" s="105" t="inlineStr">
        <is>
          <t>Habitat provision</t>
        </is>
      </c>
      <c r="G48" s="27">
        <f>'Metrics'!$C$178</f>
        <v/>
      </c>
      <c r="H48" s="72">
        <f>'Metrics'!$B$179</f>
        <v/>
      </c>
      <c r="I48" s="106" t="inlineStr">
        <is>
          <t>Woody riparian cover in the 100 m corridor</t>
        </is>
      </c>
      <c r="J48" s="100">
        <f>IF('EASI Score'!$J$34="","",'EASI Score'!$J$34)</f>
        <v/>
      </c>
      <c r="K48" s="28" t="inlineStr">
        <is>
          <t>%</t>
        </is>
      </c>
      <c r="L48" s="28">
        <f>'Metrics'!$C$178</f>
        <v/>
      </c>
      <c r="M48" s="57" t="inlineStr">
        <is>
          <t>StreamCat forest + shrub + woody wetland at wsrp100</t>
        </is>
      </c>
    </row>
    <row r="49" ht="31.5" customHeight="1">
      <c r="A49" s="55" t="n"/>
      <c r="B49" s="55" t="n"/>
      <c r="C49" s="11" t="n"/>
      <c r="D49" s="55" t="n"/>
      <c r="E49" s="11" t="n"/>
      <c r="F49" s="104" t="inlineStr">
        <is>
          <t>Population support</t>
        </is>
      </c>
      <c r="G49" s="21">
        <f>'Metrics'!$C$189</f>
        <v/>
      </c>
      <c r="H49" s="61">
        <f>'Metrics'!$B$190</f>
        <v/>
      </c>
      <c r="I49" s="107" t="inlineStr">
        <is>
          <t>Predicted probability of Good benthic condition</t>
        </is>
      </c>
      <c r="J49" s="19" t="n"/>
      <c r="K49" s="5" t="inlineStr">
        <is>
          <t>probability</t>
        </is>
      </c>
      <c r="L49" s="5">
        <f>'Metrics'!$C$184</f>
        <v/>
      </c>
      <c r="M49" s="63" t="inlineStr">
        <is>
          <t>StreamCat prg_bmmi0809</t>
        </is>
      </c>
    </row>
    <row r="50" ht="15.75" customHeight="1">
      <c r="A50" s="55" t="n"/>
      <c r="B50" s="55" t="n"/>
      <c r="C50" s="11" t="n"/>
      <c r="D50" s="55" t="n"/>
      <c r="E50" s="11" t="n"/>
      <c r="F50" s="55" t="n"/>
      <c r="G50" s="11" t="n"/>
      <c r="H50" s="11" t="n"/>
      <c r="I50" s="107" t="inlineStr">
        <is>
          <t>HYD integrity index, catchment</t>
        </is>
      </c>
      <c r="J50" s="19" t="n"/>
      <c r="K50" s="5" t="inlineStr">
        <is>
          <t>index</t>
        </is>
      </c>
      <c r="L50" s="11" t="n"/>
      <c r="M50" s="63" t="inlineStr">
        <is>
          <t>StreamCat hydcat</t>
        </is>
      </c>
    </row>
    <row r="51" ht="15.75" customHeight="1">
      <c r="A51" s="55" t="n"/>
      <c r="B51" s="55" t="n"/>
      <c r="C51" s="11" t="n"/>
      <c r="D51" s="55" t="n"/>
      <c r="E51" s="11" t="n"/>
      <c r="F51" s="55" t="n"/>
      <c r="G51" s="11" t="n"/>
      <c r="H51" s="11" t="n"/>
      <c r="I51" s="107" t="inlineStr">
        <is>
          <t>SED integrity index, catchment</t>
        </is>
      </c>
      <c r="J51" s="19" t="n"/>
      <c r="K51" s="5" t="inlineStr">
        <is>
          <t>index</t>
        </is>
      </c>
      <c r="L51" s="11" t="n"/>
      <c r="M51" s="63" t="inlineStr">
        <is>
          <t>StreamCat sedcat</t>
        </is>
      </c>
    </row>
    <row r="52" ht="15.75" customHeight="1">
      <c r="A52" s="55" t="n"/>
      <c r="B52" s="55" t="n"/>
      <c r="C52" s="11" t="n"/>
      <c r="D52" s="55" t="n"/>
      <c r="E52" s="11" t="n"/>
      <c r="F52" s="55" t="n"/>
      <c r="G52" s="11" t="n"/>
      <c r="H52" s="11" t="n"/>
      <c r="I52" s="107" t="inlineStr">
        <is>
          <t>CONN integrity index, catchment</t>
        </is>
      </c>
      <c r="J52" s="19" t="n"/>
      <c r="K52" s="5" t="inlineStr">
        <is>
          <t>index</t>
        </is>
      </c>
      <c r="L52" s="11" t="n"/>
      <c r="M52" s="63" t="inlineStr">
        <is>
          <t>StreamCat conncat</t>
        </is>
      </c>
    </row>
    <row r="53" ht="15.75" customHeight="1">
      <c r="A53" s="55" t="n"/>
      <c r="B53" s="55" t="n"/>
      <c r="C53" s="11" t="n"/>
      <c r="D53" s="55" t="n"/>
      <c r="E53" s="11" t="n"/>
      <c r="F53" s="55" t="n"/>
      <c r="G53" s="11" t="n"/>
      <c r="H53" s="11" t="n"/>
      <c r="I53" s="107" t="inlineStr">
        <is>
          <t>TEMP integrity index, catchment</t>
        </is>
      </c>
      <c r="J53" s="19" t="n"/>
      <c r="K53" s="5" t="inlineStr">
        <is>
          <t>index</t>
        </is>
      </c>
      <c r="L53" s="11" t="n"/>
      <c r="M53" s="63" t="inlineStr">
        <is>
          <t>StreamCat tempcat</t>
        </is>
      </c>
    </row>
    <row r="54" ht="15.75" customHeight="1">
      <c r="A54" s="55" t="n"/>
      <c r="B54" s="55" t="n"/>
      <c r="C54" s="11" t="n"/>
      <c r="D54" s="55" t="n"/>
      <c r="E54" s="11" t="n"/>
      <c r="F54" s="55" t="n"/>
      <c r="G54" s="11" t="n"/>
      <c r="H54" s="11" t="n"/>
      <c r="I54" s="107" t="inlineStr">
        <is>
          <t>HABT integrity index, catchment</t>
        </is>
      </c>
      <c r="J54" s="19" t="n"/>
      <c r="K54" s="5" t="inlineStr">
        <is>
          <t>index</t>
        </is>
      </c>
      <c r="L54" s="11" t="n"/>
      <c r="M54" s="63" t="inlineStr">
        <is>
          <t>StreamCat habtcat</t>
        </is>
      </c>
    </row>
    <row r="55" ht="15.75" customHeight="1">
      <c r="A55" s="55" t="n"/>
      <c r="B55" s="55" t="n"/>
      <c r="C55" s="11" t="n"/>
      <c r="D55" s="55" t="n"/>
      <c r="E55" s="11" t="n"/>
      <c r="F55" s="55" t="n"/>
      <c r="G55" s="11" t="n"/>
      <c r="H55" s="11" t="n"/>
      <c r="I55" s="107" t="inlineStr">
        <is>
          <t>CHEM integrity index, catchment</t>
        </is>
      </c>
      <c r="J55" s="6">
        <f>IF('EASI Score'!$J$43="","",'EASI Score'!$J$43)</f>
        <v/>
      </c>
      <c r="K55" s="5" t="inlineStr">
        <is>
          <t>index</t>
        </is>
      </c>
      <c r="L55" s="11" t="n"/>
      <c r="M55" s="63" t="inlineStr">
        <is>
          <t>StreamCat chemcat</t>
        </is>
      </c>
    </row>
    <row r="56" ht="15.75" customHeight="1">
      <c r="A56" s="55" t="n"/>
      <c r="B56" s="55" t="n"/>
      <c r="C56" s="11" t="n"/>
      <c r="D56" s="55" t="n"/>
      <c r="E56" s="11" t="n"/>
      <c r="F56" s="55" t="n"/>
      <c r="G56" s="11" t="n"/>
      <c r="H56" s="11" t="n"/>
      <c r="I56" s="107" t="inlineStr">
        <is>
          <t>HYD integrity index, watershed</t>
        </is>
      </c>
      <c r="J56" s="19" t="n"/>
      <c r="K56" s="5" t="inlineStr">
        <is>
          <t>index</t>
        </is>
      </c>
      <c r="L56" s="11" t="n"/>
      <c r="M56" s="63" t="inlineStr">
        <is>
          <t>StreamCat hydws</t>
        </is>
      </c>
    </row>
    <row r="57" ht="15.75" customHeight="1">
      <c r="A57" s="55" t="n"/>
      <c r="B57" s="55" t="n"/>
      <c r="C57" s="11" t="n"/>
      <c r="D57" s="55" t="n"/>
      <c r="E57" s="11" t="n"/>
      <c r="F57" s="55" t="n"/>
      <c r="G57" s="11" t="n"/>
      <c r="H57" s="11" t="n"/>
      <c r="I57" s="107" t="inlineStr">
        <is>
          <t>SED integrity index, watershed</t>
        </is>
      </c>
      <c r="J57" s="19" t="n"/>
      <c r="K57" s="5" t="inlineStr">
        <is>
          <t>index</t>
        </is>
      </c>
      <c r="L57" s="11" t="n"/>
      <c r="M57" s="63" t="inlineStr">
        <is>
          <t>StreamCat sedws</t>
        </is>
      </c>
    </row>
    <row r="58" ht="15.75" customHeight="1">
      <c r="A58" s="55" t="n"/>
      <c r="B58" s="55" t="n"/>
      <c r="C58" s="11" t="n"/>
      <c r="D58" s="55" t="n"/>
      <c r="E58" s="11" t="n"/>
      <c r="F58" s="55" t="n"/>
      <c r="G58" s="11" t="n"/>
      <c r="H58" s="11" t="n"/>
      <c r="I58" s="107" t="inlineStr">
        <is>
          <t>CONN integrity index, watershed</t>
        </is>
      </c>
      <c r="J58" s="19" t="n"/>
      <c r="K58" s="5" t="inlineStr">
        <is>
          <t>index</t>
        </is>
      </c>
      <c r="L58" s="11" t="n"/>
      <c r="M58" s="63" t="inlineStr">
        <is>
          <t>StreamCat connws</t>
        </is>
      </c>
    </row>
    <row r="59" ht="15.75" customHeight="1">
      <c r="A59" s="55" t="n"/>
      <c r="B59" s="55" t="n"/>
      <c r="C59" s="11" t="n"/>
      <c r="D59" s="55" t="n"/>
      <c r="E59" s="11" t="n"/>
      <c r="F59" s="55" t="n"/>
      <c r="G59" s="11" t="n"/>
      <c r="H59" s="11" t="n"/>
      <c r="I59" s="107" t="inlineStr">
        <is>
          <t>TEMP integrity index, watershed</t>
        </is>
      </c>
      <c r="J59" s="19" t="n"/>
      <c r="K59" s="5" t="inlineStr">
        <is>
          <t>index</t>
        </is>
      </c>
      <c r="L59" s="11" t="n"/>
      <c r="M59" s="63" t="inlineStr">
        <is>
          <t>StreamCat tempws</t>
        </is>
      </c>
    </row>
    <row r="60" ht="15.75" customHeight="1">
      <c r="A60" s="55" t="n"/>
      <c r="B60" s="55" t="n"/>
      <c r="C60" s="11" t="n"/>
      <c r="D60" s="55" t="n"/>
      <c r="E60" s="11" t="n"/>
      <c r="F60" s="55" t="n"/>
      <c r="G60" s="11" t="n"/>
      <c r="H60" s="11" t="n"/>
      <c r="I60" s="107" t="inlineStr">
        <is>
          <t>HABT integrity index, watershed</t>
        </is>
      </c>
      <c r="J60" s="19" t="n"/>
      <c r="K60" s="5" t="inlineStr">
        <is>
          <t>index</t>
        </is>
      </c>
      <c r="L60" s="11" t="n"/>
      <c r="M60" s="63" t="inlineStr">
        <is>
          <t>StreamCat habtws</t>
        </is>
      </c>
    </row>
    <row r="61" ht="15.75" customHeight="1">
      <c r="A61" s="55" t="n"/>
      <c r="B61" s="55" t="n"/>
      <c r="C61" s="11" t="n"/>
      <c r="D61" s="55" t="n"/>
      <c r="E61" s="11" t="n"/>
      <c r="F61" s="55" t="n"/>
      <c r="G61" s="11" t="n"/>
      <c r="H61" s="11" t="n"/>
      <c r="I61" s="107" t="inlineStr">
        <is>
          <t>CHEM integrity index, watershed</t>
        </is>
      </c>
      <c r="J61" s="6">
        <f>IF('EASI Score'!$J$44="","",'EASI Score'!$J$44)</f>
        <v/>
      </c>
      <c r="K61" s="5" t="inlineStr">
        <is>
          <t>index</t>
        </is>
      </c>
      <c r="L61" s="11" t="n"/>
      <c r="M61" s="63" t="inlineStr">
        <is>
          <t>StreamCat chemws</t>
        </is>
      </c>
    </row>
    <row r="62" ht="15.75" customHeight="1">
      <c r="A62" s="55" t="n"/>
      <c r="B62" s="55" t="n"/>
      <c r="C62" s="11" t="n"/>
      <c r="D62" s="55" t="n"/>
      <c r="E62" s="11" t="n"/>
      <c r="F62" s="55" t="n"/>
      <c r="G62" s="11" t="n"/>
      <c r="H62" s="11" t="n"/>
      <c r="I62" s="107" t="inlineStr">
        <is>
          <t>ICI (product of the six catchment indices)</t>
        </is>
      </c>
      <c r="J62" s="108">
        <f>IF('Metrics'!$B$185="","",'Metrics'!$B$185)</f>
        <v/>
      </c>
      <c r="K62" s="5" t="inlineStr">
        <is>
          <t>index</t>
        </is>
      </c>
      <c r="L62" s="11" t="n"/>
      <c r="M62" s="109" t="inlineStr">
        <is>
          <t>Computed from the entries above</t>
        </is>
      </c>
    </row>
    <row r="63" ht="15.75" customHeight="1">
      <c r="A63" s="55" t="n"/>
      <c r="B63" s="55" t="n"/>
      <c r="C63" s="11" t="n"/>
      <c r="D63" s="55" t="n"/>
      <c r="E63" s="11" t="n"/>
      <c r="F63" s="40" t="n"/>
      <c r="G63" s="29" t="n"/>
      <c r="H63" s="29" t="n"/>
      <c r="I63" s="106" t="inlineStr">
        <is>
          <t>IWI (product of the six watershed indices)</t>
        </is>
      </c>
      <c r="J63" s="110">
        <f>IF('Metrics'!$B$186="","",'Metrics'!$B$186)</f>
        <v/>
      </c>
      <c r="K63" s="28" t="inlineStr">
        <is>
          <t>index</t>
        </is>
      </c>
      <c r="L63" s="29" t="n"/>
      <c r="M63" s="66" t="inlineStr">
        <is>
          <t>Computed from the entries above</t>
        </is>
      </c>
    </row>
    <row r="64" ht="31.5" customHeight="1">
      <c r="A64" s="55" t="n"/>
      <c r="B64" s="55" t="n"/>
      <c r="C64" s="11" t="n"/>
      <c r="D64" s="55" t="n"/>
      <c r="E64" s="11" t="n"/>
      <c r="F64" s="105" t="inlineStr">
        <is>
          <t>Community dynamics</t>
        </is>
      </c>
      <c r="G64" s="27">
        <f>'Metrics'!$C$197</f>
        <v/>
      </c>
      <c r="H64" s="72">
        <f>'Metrics'!$B$198</f>
        <v/>
      </c>
      <c r="I64" s="106" t="inlineStr">
        <is>
          <t>Established non-native taxa recorded in the HUC12</t>
        </is>
      </c>
      <c r="J64" s="25" t="n"/>
      <c r="K64" s="28" t="inlineStr">
        <is>
          <t>count</t>
        </is>
      </c>
      <c r="L64" s="28">
        <f>'Metrics'!$C$197</f>
        <v/>
      </c>
      <c r="M64" s="57" t="inlineStr">
        <is>
          <t>USGS NAS</t>
        </is>
      </c>
    </row>
    <row r="65" ht="15.75" customHeight="1">
      <c r="A65" s="40" t="n"/>
      <c r="B65" s="40" t="n"/>
      <c r="C65" s="29" t="n"/>
      <c r="D65" s="40" t="n"/>
      <c r="E65" s="29" t="n"/>
      <c r="F65" s="105" t="inlineStr">
        <is>
          <t>Watershed connectivity</t>
        </is>
      </c>
      <c r="G65" s="27">
        <f>'Metrics'!$C$205</f>
        <v/>
      </c>
      <c r="H65" s="72">
        <f>'Metrics'!$B$206</f>
        <v/>
      </c>
      <c r="I65" s="106" t="inlineStr">
        <is>
          <t>Mapped dams within one mile of the site</t>
        </is>
      </c>
      <c r="J65" s="25" t="n"/>
      <c r="K65" s="28" t="inlineStr">
        <is>
          <t>count</t>
        </is>
      </c>
      <c r="L65" s="28">
        <f>'Metrics'!$C$205</f>
        <v/>
      </c>
      <c r="M65" s="57" t="inlineStr">
        <is>
          <t>USACE NID</t>
        </is>
      </c>
    </row>
    <row r="67">
      <c r="A67" s="111" t="inlineStr">
        <is>
          <t>Monthly flow helper (optional): the twelve EROM mean monthly flows in cfs, QE_01 to QE_12. Copy the computed variability into the Low flow row above.</t>
        </is>
      </c>
    </row>
    <row r="68">
      <c r="A68" s="112" t="inlineStr">
        <is>
          <t>Month</t>
        </is>
      </c>
      <c r="B68" s="113" t="inlineStr">
        <is>
          <t>QE_01</t>
        </is>
      </c>
      <c r="C68" s="113" t="inlineStr">
        <is>
          <t>QE_02</t>
        </is>
      </c>
      <c r="D68" s="113" t="inlineStr">
        <is>
          <t>QE_03</t>
        </is>
      </c>
      <c r="E68" s="113" t="inlineStr">
        <is>
          <t>QE_04</t>
        </is>
      </c>
      <c r="F68" s="113" t="inlineStr">
        <is>
          <t>QE_05</t>
        </is>
      </c>
      <c r="G68" s="113" t="inlineStr">
        <is>
          <t>QE_06</t>
        </is>
      </c>
      <c r="H68" s="113" t="inlineStr">
        <is>
          <t>QE_07</t>
        </is>
      </c>
      <c r="I68" s="113" t="inlineStr">
        <is>
          <t>QE_08</t>
        </is>
      </c>
      <c r="J68" s="113" t="inlineStr">
        <is>
          <t>QE_09</t>
        </is>
      </c>
      <c r="K68" s="113" t="inlineStr">
        <is>
          <t>QE_10</t>
        </is>
      </c>
      <c r="L68" s="113" t="inlineStr">
        <is>
          <t>QE_11</t>
        </is>
      </c>
      <c r="M68" s="114" t="inlineStr">
        <is>
          <t>QE_12</t>
        </is>
      </c>
    </row>
    <row r="69">
      <c r="A69" s="115" t="inlineStr">
        <is>
          <t>Flow (cfs)</t>
        </is>
      </c>
      <c r="B69" s="19" t="n"/>
      <c r="C69" s="19" t="n"/>
      <c r="D69" s="19" t="n"/>
      <c r="E69" s="19" t="n"/>
      <c r="F69" s="19" t="n"/>
      <c r="G69" s="19" t="n"/>
      <c r="H69" s="19" t="n"/>
      <c r="I69" s="19" t="n"/>
      <c r="J69" s="19" t="n"/>
      <c r="K69" s="19" t="n"/>
      <c r="L69" s="19" t="n"/>
      <c r="M69" s="116" t="n"/>
    </row>
    <row r="70" ht="30" customHeight="1">
      <c r="A70" s="117" t="inlineStr">
        <is>
          <t>Flow variability (CV)</t>
        </is>
      </c>
      <c r="B70" s="118">
        <f>IF(COUNT('EASI Score'!$B$69:$M$69)&lt;12,"",IF(AVERAGE('EASI Score'!$B$69:$M$69)&lt;=0,"",ROUND(STDEV.P('EASI Score'!$B$69:$M$69)/AVERAGE('EASI Score'!$B$69:$M$69),6)))</f>
        <v/>
      </c>
      <c r="C70" s="119" t="inlineStr">
        <is>
          <t>All twelve flows are required and the mean must be positive. Enter the result in the Monthly flow variability cell of Low flow and baseflow dynamics.</t>
        </is>
      </c>
      <c r="D70" s="29" t="n"/>
      <c r="E70" s="29" t="n"/>
      <c r="F70" s="29" t="n"/>
      <c r="G70" s="29" t="n"/>
      <c r="H70" s="29" t="n"/>
      <c r="I70" s="29" t="n"/>
      <c r="J70" s="29" t="n"/>
      <c r="K70" s="29" t="n"/>
      <c r="L70" s="29" t="n"/>
      <c r="M70" s="30" t="n"/>
    </row>
    <row r="72">
      <c r="A72" s="120" t="inlineStr">
        <is>
          <t>Other Metrics/Notes:</t>
        </is>
      </c>
      <c r="B72" s="121" t="n"/>
      <c r="C72" s="121" t="n"/>
      <c r="D72" s="121" t="n"/>
      <c r="E72" s="121" t="n"/>
      <c r="F72" s="121" t="n"/>
      <c r="G72" s="121" t="n"/>
      <c r="H72" s="121" t="n"/>
      <c r="I72" s="121" t="n"/>
      <c r="J72" s="121" t="n"/>
      <c r="K72" s="121" t="n"/>
      <c r="L72" s="121" t="n"/>
      <c r="M72" s="122" t="n"/>
    </row>
    <row r="73">
      <c r="A73" s="123" t="n"/>
      <c r="B73" s="124" t="n"/>
      <c r="C73" s="124" t="n"/>
      <c r="D73" s="124" t="n"/>
      <c r="E73" s="124" t="n"/>
      <c r="F73" s="124" t="n"/>
      <c r="G73" s="124" t="n"/>
      <c r="H73" s="124" t="n"/>
      <c r="I73" s="124" t="n"/>
      <c r="J73" s="124" t="n"/>
      <c r="K73" s="124" t="n"/>
      <c r="L73" s="124" t="n"/>
      <c r="M73" s="125" t="n"/>
    </row>
    <row r="74">
      <c r="A74" s="123" t="n"/>
      <c r="B74" s="124" t="n"/>
      <c r="C74" s="124" t="n"/>
      <c r="D74" s="124" t="n"/>
      <c r="E74" s="124" t="n"/>
      <c r="F74" s="124" t="n"/>
      <c r="G74" s="124" t="n"/>
      <c r="H74" s="124" t="n"/>
      <c r="I74" s="124" t="n"/>
      <c r="J74" s="124" t="n"/>
      <c r="K74" s="124" t="n"/>
      <c r="L74" s="124" t="n"/>
      <c r="M74" s="125" t="n"/>
    </row>
    <row r="75">
      <c r="A75" s="123" t="n"/>
      <c r="B75" s="124" t="n"/>
      <c r="C75" s="124" t="n"/>
      <c r="D75" s="124" t="n"/>
      <c r="E75" s="124" t="n"/>
      <c r="F75" s="124" t="n"/>
      <c r="G75" s="124" t="n"/>
      <c r="H75" s="124" t="n"/>
      <c r="I75" s="124" t="n"/>
      <c r="J75" s="124" t="n"/>
      <c r="K75" s="124" t="n"/>
      <c r="L75" s="124" t="n"/>
      <c r="M75" s="125" t="n"/>
    </row>
    <row r="76">
      <c r="A76" s="123" t="n"/>
      <c r="B76" s="124" t="n"/>
      <c r="C76" s="124" t="n"/>
      <c r="D76" s="124" t="n"/>
      <c r="E76" s="124" t="n"/>
      <c r="F76" s="124" t="n"/>
      <c r="G76" s="124" t="n"/>
      <c r="H76" s="124" t="n"/>
      <c r="I76" s="124" t="n"/>
      <c r="J76" s="124" t="n"/>
      <c r="K76" s="124" t="n"/>
      <c r="L76" s="124" t="n"/>
      <c r="M76" s="125" t="n"/>
    </row>
    <row r="77">
      <c r="A77" s="123" t="n"/>
      <c r="B77" s="124" t="n"/>
      <c r="C77" s="124" t="n"/>
      <c r="D77" s="124" t="n"/>
      <c r="E77" s="124" t="n"/>
      <c r="F77" s="124" t="n"/>
      <c r="G77" s="124" t="n"/>
      <c r="H77" s="124" t="n"/>
      <c r="I77" s="124" t="n"/>
      <c r="J77" s="124" t="n"/>
      <c r="K77" s="124" t="n"/>
      <c r="L77" s="124" t="n"/>
      <c r="M77" s="125" t="n"/>
    </row>
    <row r="78">
      <c r="A78" s="123" t="n"/>
      <c r="B78" s="124" t="n"/>
      <c r="C78" s="124" t="n"/>
      <c r="D78" s="124" t="n"/>
      <c r="E78" s="124" t="n"/>
      <c r="F78" s="124" t="n"/>
      <c r="G78" s="124" t="n"/>
      <c r="H78" s="124" t="n"/>
      <c r="I78" s="124" t="n"/>
      <c r="J78" s="124" t="n"/>
      <c r="K78" s="124" t="n"/>
      <c r="L78" s="124" t="n"/>
      <c r="M78" s="125" t="n"/>
    </row>
    <row r="79">
      <c r="A79" s="123" t="n"/>
      <c r="B79" s="124" t="n"/>
      <c r="C79" s="124" t="n"/>
      <c r="D79" s="124" t="n"/>
      <c r="E79" s="124" t="n"/>
      <c r="F79" s="124" t="n"/>
      <c r="G79" s="124" t="n"/>
      <c r="H79" s="124" t="n"/>
      <c r="I79" s="124" t="n"/>
      <c r="J79" s="124" t="n"/>
      <c r="K79" s="124" t="n"/>
      <c r="L79" s="124" t="n"/>
      <c r="M79" s="125" t="n"/>
    </row>
    <row r="80">
      <c r="A80" s="123" t="n"/>
      <c r="B80" s="124" t="n"/>
      <c r="C80" s="124" t="n"/>
      <c r="D80" s="124" t="n"/>
      <c r="E80" s="124" t="n"/>
      <c r="F80" s="124" t="n"/>
      <c r="G80" s="124" t="n"/>
      <c r="H80" s="124" t="n"/>
      <c r="I80" s="124" t="n"/>
      <c r="J80" s="124" t="n"/>
      <c r="K80" s="124" t="n"/>
      <c r="L80" s="124" t="n"/>
      <c r="M80" s="125" t="n"/>
    </row>
    <row r="81">
      <c r="A81" s="126" t="n"/>
      <c r="B81" s="127" t="n"/>
      <c r="C81" s="127" t="n"/>
      <c r="D81" s="127" t="n"/>
      <c r="E81" s="127" t="n"/>
      <c r="F81" s="127" t="n"/>
      <c r="G81" s="127" t="n"/>
      <c r="H81" s="127" t="n"/>
      <c r="I81" s="127" t="n"/>
      <c r="J81" s="127" t="n"/>
      <c r="K81" s="127" t="n"/>
      <c r="L81" s="127" t="n"/>
      <c r="M81" s="128" t="n"/>
    </row>
  </sheetData>
  <sheetProtection selectLockedCells="0" selectUnlockedCells="0" sheet="1" objects="0" insertRows="1" insertHyperlinks="1" autoFilter="1" scenarios="0" formatColumns="1" deleteColumns="1" insertColumns="1" pivotTables="1" deleteRows="1" formatCells="1" formatRows="1" sort="1" password="CA09"/>
  <mergeCells count="127">
    <mergeCell ref="O29:Q29"/>
    <mergeCell ref="H41:H44"/>
    <mergeCell ref="F5:H5"/>
    <mergeCell ref="G8:G9"/>
    <mergeCell ref="P6:P7"/>
    <mergeCell ref="O31:Q31"/>
    <mergeCell ref="R6:R7"/>
    <mergeCell ref="O24:O27"/>
    <mergeCell ref="H34:H35"/>
    <mergeCell ref="V20:W20"/>
    <mergeCell ref="Y21:Z21"/>
    <mergeCell ref="Z9:Z11"/>
    <mergeCell ref="B8:B33"/>
    <mergeCell ref="D17:D22"/>
    <mergeCell ref="C34:C47"/>
    <mergeCell ref="O16:O19"/>
    <mergeCell ref="B6:B7"/>
    <mergeCell ref="C48:C65"/>
    <mergeCell ref="R5:T5"/>
    <mergeCell ref="K3:M3"/>
    <mergeCell ref="Y18:Z18"/>
    <mergeCell ref="G2:I2"/>
    <mergeCell ref="H8:H9"/>
    <mergeCell ref="E8:E16"/>
    <mergeCell ref="E34:E47"/>
    <mergeCell ref="I6:I7"/>
    <mergeCell ref="D48:D65"/>
    <mergeCell ref="G21:G22"/>
    <mergeCell ref="K6:K7"/>
    <mergeCell ref="C6:C7"/>
    <mergeCell ref="F34:F35"/>
    <mergeCell ref="B34:B47"/>
    <mergeCell ref="O5:Q5"/>
    <mergeCell ref="B48:B65"/>
    <mergeCell ref="G30:G32"/>
    <mergeCell ref="G45:G47"/>
    <mergeCell ref="H23:H26"/>
    <mergeCell ref="W12:W14"/>
    <mergeCell ref="G14:G16"/>
    <mergeCell ref="F27:F29"/>
    <mergeCell ref="O20:O23"/>
    <mergeCell ref="H27:H29"/>
    <mergeCell ref="W9:W11"/>
    <mergeCell ref="G23:G26"/>
    <mergeCell ref="V19:W19"/>
    <mergeCell ref="H49:H63"/>
    <mergeCell ref="G4:I4"/>
    <mergeCell ref="B3:E3"/>
    <mergeCell ref="H19:H20"/>
    <mergeCell ref="G49:G63"/>
    <mergeCell ref="K4:M4"/>
    <mergeCell ref="F30:F32"/>
    <mergeCell ref="L6:L7"/>
    <mergeCell ref="G41:G44"/>
    <mergeCell ref="R29:T29"/>
    <mergeCell ref="H45:H47"/>
    <mergeCell ref="O8:O11"/>
    <mergeCell ref="Z12:Z14"/>
    <mergeCell ref="R31:T31"/>
    <mergeCell ref="H36:H40"/>
    <mergeCell ref="E23:E33"/>
    <mergeCell ref="A72:M81"/>
    <mergeCell ref="V21:W21"/>
    <mergeCell ref="V17:Z17"/>
    <mergeCell ref="A8:A65"/>
    <mergeCell ref="G3:I3"/>
    <mergeCell ref="A6:A7"/>
    <mergeCell ref="F21:F22"/>
    <mergeCell ref="F8:F9"/>
    <mergeCell ref="Y20:Z20"/>
    <mergeCell ref="G6:G7"/>
    <mergeCell ref="Q6:Q7"/>
    <mergeCell ref="S6:S7"/>
    <mergeCell ref="Y22:Z22"/>
    <mergeCell ref="A1:M1"/>
    <mergeCell ref="D8:D16"/>
    <mergeCell ref="D23:D33"/>
    <mergeCell ref="D34:D47"/>
    <mergeCell ref="O12:O15"/>
    <mergeCell ref="C8:C33"/>
    <mergeCell ref="H10:H12"/>
    <mergeCell ref="B2:E2"/>
    <mergeCell ref="I5:M5"/>
    <mergeCell ref="T6:T7"/>
    <mergeCell ref="C70:M70"/>
    <mergeCell ref="G10:G12"/>
    <mergeCell ref="F45:F47"/>
    <mergeCell ref="B5:C5"/>
    <mergeCell ref="D5:E5"/>
    <mergeCell ref="F49:F63"/>
    <mergeCell ref="V22:W22"/>
    <mergeCell ref="F36:F40"/>
    <mergeCell ref="D6:D7"/>
    <mergeCell ref="E48:E65"/>
    <mergeCell ref="F6:F7"/>
    <mergeCell ref="R30:T30"/>
    <mergeCell ref="O32:Q32"/>
    <mergeCell ref="H6:H7"/>
    <mergeCell ref="V5:W5"/>
    <mergeCell ref="J6:J7"/>
    <mergeCell ref="H21:H22"/>
    <mergeCell ref="G19:G20"/>
    <mergeCell ref="G34:G35"/>
    <mergeCell ref="F14:F16"/>
    <mergeCell ref="K2:M2"/>
    <mergeCell ref="E17:E22"/>
    <mergeCell ref="B4:E4"/>
    <mergeCell ref="A67:M67"/>
    <mergeCell ref="H30:H32"/>
    <mergeCell ref="F10:F12"/>
    <mergeCell ref="R32:T32"/>
    <mergeCell ref="Y5:Z5"/>
    <mergeCell ref="M6:M7"/>
    <mergeCell ref="Z6:Z8"/>
    <mergeCell ref="Y19:Z19"/>
    <mergeCell ref="E6:E7"/>
    <mergeCell ref="H14:H16"/>
    <mergeCell ref="G27:G29"/>
    <mergeCell ref="F41:F44"/>
    <mergeCell ref="F23:F26"/>
    <mergeCell ref="W6:W8"/>
    <mergeCell ref="G36:G40"/>
    <mergeCell ref="O28:Q28"/>
    <mergeCell ref="F19:F20"/>
    <mergeCell ref="O30:Q30"/>
    <mergeCell ref="O6:O7"/>
    <mergeCell ref="V18:W18"/>
  </mergeCells>
  <conditionalFormatting sqref="G8:G65">
    <cfRule type="expression" priority="1" dxfId="0">
      <formula>$G8="Good"</formula>
    </cfRule>
    <cfRule type="expression" priority="2" dxfId="1">
      <formula>$G8="Fair"</formula>
    </cfRule>
    <cfRule type="expression" priority="3" dxfId="2">
      <formula>$G8="Poor"</formula>
    </cfRule>
  </conditionalFormatting>
  <conditionalFormatting sqref="L8:L65">
    <cfRule type="expression" priority="4" dxfId="0">
      <formula>$L8="Good"</formula>
    </cfRule>
    <cfRule type="expression" priority="5" dxfId="1">
      <formula>$L8="Fair"</formula>
    </cfRule>
    <cfRule type="expression" priority="6" dxfId="2">
      <formula>$L8="Poor"</formula>
    </cfRule>
  </conditionalFormatting>
  <conditionalFormatting sqref="H8:H65">
    <cfRule type="expression" priority="7" dxfId="0">
      <formula>AND(ISNUMBER($H8),$H8&gt;10)</formula>
    </cfRule>
    <cfRule type="expression" priority="8" dxfId="1">
      <formula>AND(ISNUMBER($H8),$H8&gt;5,$H8&lt;=10)</formula>
    </cfRule>
    <cfRule type="expression" priority="9" dxfId="2">
      <formula>AND(ISNUMBER($H8),$H8&lt;=5)</formula>
    </cfRule>
  </conditionalFormatting>
  <conditionalFormatting sqref="A8:A65">
    <cfRule type="expression" priority="10" dxfId="0">
      <formula>AND(ISNUMBER($A8),$A8&gt;0.69)</formula>
    </cfRule>
    <cfRule type="expression" priority="11" dxfId="1">
      <formula>AND(ISNUMBER($A8),$A8&gt;0.39,$A8&lt;=0.69)</formula>
    </cfRule>
    <cfRule type="expression" priority="12" dxfId="2">
      <formula>AND(ISNUMBER($A8),$A8&lt;=0.39)</formula>
    </cfRule>
  </conditionalFormatting>
  <conditionalFormatting sqref="C8:C65">
    <cfRule type="expression" priority="13" dxfId="0">
      <formula>AND(ISNUMBER($C8),$C8&gt;0.69)</formula>
    </cfRule>
    <cfRule type="expression" priority="14" dxfId="1">
      <formula>AND(ISNUMBER($C8),$C8&gt;0.39,$C8&lt;=0.69)</formula>
    </cfRule>
    <cfRule type="expression" priority="15" dxfId="2">
      <formula>AND(ISNUMBER($C8),$C8&lt;=0.39)</formula>
    </cfRule>
  </conditionalFormatting>
  <conditionalFormatting sqref="Q8:Q27">
    <cfRule type="expression" priority="16" dxfId="0">
      <formula>AND(ISNUMBER($Q8),$Q8&gt;10)</formula>
    </cfRule>
    <cfRule type="expression" priority="17" dxfId="1">
      <formula>AND(ISNUMBER($Q8),$Q8&gt;5,$Q8&lt;=10)</formula>
    </cfRule>
    <cfRule type="expression" priority="18" dxfId="2">
      <formula>AND(ISNUMBER($Q8),$Q8&lt;=5)</formula>
    </cfRule>
  </conditionalFormatting>
  <conditionalFormatting sqref="R28:T29">
    <cfRule type="expression" priority="19" dxfId="0">
      <formula>AND(ISNUMBER($R28),$R28&gt;0.69)</formula>
    </cfRule>
    <cfRule type="expression" priority="20" dxfId="1">
      <formula>AND(ISNUMBER($R28),$R28&gt;0.39,$R28&lt;=0.69)</formula>
    </cfRule>
    <cfRule type="expression" priority="21" dxfId="2">
      <formula>AND(ISNUMBER($R28),$R28&lt;=0.39)</formula>
    </cfRule>
  </conditionalFormatting>
  <dataValidations count="56">
    <dataValidation sqref="K2" showDropDown="0" showInputMessage="1" showErrorMessage="0" allowBlank="1" promptTitle="COMID" prompt="NHDPlus V2 reach identifier of the assessed reach (from the EASI report)." type="custom">
      <formula1>TRUE</formula1>
    </dataValidation>
    <dataValidation sqref="K3" showDropDown="0" showInputMessage="1" showErrorMessage="1" allowBlank="1" errorTitle="Entry refused" error="Pick one of the nine NARS aggregate ecoregion codes, or leave the cell blank." promptTitle="NARS-9 ecoregion" prompt="Code of the EPA NARS nine-region ecoregion containing the site (CPL, NAP, NPL, SAP, SPL, TPL, UMW, WMT, XER). It selects the regional reference curves and the nutrient thresholds. Leave blank if unknown: the national curves apply and nutrients fall back t" type="list" errorStyle="stop">
      <formula1>"CPL,NAP,NPL,SAP,SPL,TPL,UMW,WMT,XER"</formula1>
    </dataValidation>
    <dataValidation sqref="B4" showDropDown="0" showInputMessage="1" showErrorMessage="1" allowBlank="1" errorTitle="Entry refused" error="Enter the whole-number NHDPlus V2 feature code of the reach, or leave the cell blank." promptTitle="NHD feature code" prompt="From NHDPlus V2. Codes 33600, 33601 and 33603 are canals and ditches, which rate Channel evolution Poor." type="whole" errorStyle="stop" operator="between">
      <formula1>0</formula1>
      <formula2>99999</formula2>
    </dataValidation>
    <dataValidation sqref="G4" showDropDown="0" showInputMessage="1" showErrorMessage="1" allowBlank="1" errorTitle="Entry refused" error="Pick lt_0.5, 0.5_to_2, ge_2 or national, or leave the cell blank." promptTitle="Slope class override" prompt="Normally derived from the channel slope below. Set only to force a class (lt_0.5, 0.5_to_2, ge_2 or national)." type="list" errorStyle="stop">
      <formula1>"lt_0.5,0.5_to_2,ge_2,national"</formula1>
    </dataValidation>
    <dataValidation sqref="J8" showDropDown="0" showInputMessage="1" showErrorMessage="1" allowBlank="1" errorTitle="Entry refused" error="Enter a number from 0 to 100, or leave the cell blank when the evidence is unavailable." promptTitle="Impervious cover of the watershe" prompt="Used by Catchment hydrology and Light and thermal regime." type="decimal" errorStyle="stop" operator="between">
      <formula1>0</formula1>
      <formula2>100</formula2>
    </dataValidation>
    <dataValidation sqref="J9" showDropDown="0" showInputMessage="1" showErrorMessage="1" allowBlank="1" errorTitle="Entry refused" error="Enter a number from 0 to 100, or leave the cell blank when the evidence is unavailable." promptTitle="Agricultural cover of the waters" prompt="The application rounds the sum to two decimals. Used by Catchment hydrology, Sediment continuity and Bed composition." type="decimal" errorStyle="stop" operator="between">
      <formula1>0</formula1>
      <formula2>100</formula2>
    </dataValidation>
    <dataValidation sqref="J10"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1"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13" showDropDown="0" showInputMessage="1" showErrorMessage="1" allowBlank="1" errorTitle="Entry refused" error="Enter a number from 0 to 1000000.0, or leave the cell blank when the evidence is unavailable." promptTitle="Road density of the watershed" prompt="Used by Reach inflow and Sediment continuity." type="decimal" errorStyle="stop" operator="between">
      <formula1>0</formula1>
      <formula2>1000000.0</formula2>
    </dataValidation>
    <dataValidation sqref="J14" showDropDown="0" showInputMessage="1" showErrorMessage="1" allowBlank="1" errorTitle="Entry refused" error="Enter a number from 0 to 1000000000000.0, or leave the cell blank when the evidence is unavailable." promptTitle="Normalized dam storage upstream" prompt="A true zero is valid evidence. Leave blank when unknown." type="decimal" errorStyle="stop" operator="between">
      <formula1>0</formula1>
      <formula2>1000000000000.0</formula2>
    </dataValidation>
    <dataValidation sqref="J15" showDropDown="0" showInputMessage="1" showErrorMessage="1" allowBlank="1" errorTitle="Entry refused" error="Enter a number from 0 to 1000000.0, or leave the cell blank when the evidence is unavailable." promptTitle="Mean annual runoff of the waters" prompt="Must be positive for the degree of regulation." type="decimal" errorStyle="stop" operator="between">
      <formula1>0</formula1>
      <formula2>1000000.0</formula2>
    </dataValidation>
    <dataValidation sqref="J17" showDropDown="0" showInputMessage="1" showErrorMessage="1" allowBlank="1" errorTitle="Entry refused" error="Enter a number from 0 to 1000000.0, or leave the cell blank when the evidence is unavailable." promptTitle="Monthly flow variability (CV of " prompt="Population standard deviation over the mean of the twelve EROM mean monthly flows, rounded to six decimals. Enter the value from the EASI report or compute it in the helper below the table." type="decimal" errorStyle="stop" operator="between">
      <formula1>0</formula1>
      <formula2>1000000.0</formula2>
    </dataValidation>
    <dataValidation sqref="J18" showDropDown="0" showInputMessage="1" showErrorMessage="1" allowBlank="1" errorTitle="Entry refused" error="Enter a number from 0 to 1000.0, or leave the cell blank when the evidence is unavailable." promptTitle="Bank-height ratio (reach median)" prompt="Used by High flow dynamics, Channel evolution and Channel and floodplain dynamics." type="decimal" errorStyle="stop" operator="between">
      <formula1>0</formula1>
      <formula2>1000.0</formula2>
    </dataValidation>
    <dataValidation sqref="J19" showDropDown="0" showInputMessage="1" showErrorMessage="1" allowBlank="1" errorTitle="Entry refused" error="Enter a number from 0 to 1000.0, or leave the cell blank when the evidence is unavailable." promptTitle="Entrenchment ratio (reach median" prompt="Used by Floodplain connectivity and Channel evolution." type="decimal" errorStyle="stop" operator="between">
      <formula1>0</formula1>
      <formula2>1000.0</formula2>
    </dataValidation>
    <dataValidation sqref="J20" showDropDown="0" showInputMessage="1" showErrorMessage="1" allowBlank="1" errorTitle="Entry refused" error="Enter a number from 0 to 10, or leave the cell blank when the evidence is unavailable." promptTitle="Channel slope" prompt="Used by Hyporheic connectivity and to pick the entrenchment slope class." type="decimal" errorStyle="stop" operator="between">
      <formula1>0</formula1>
      <formula2>10</formula2>
    </dataValidation>
    <dataValidation sqref="J22" showDropDown="0" showInputMessage="0" showErrorMessage="1" allowBlank="1" errorTitle="Entry refused" error="Enter a number from 1 to 100, or leave the cell blank when the evidence is unavailable." type="decimal" errorStyle="stop" operator="between">
      <formula1>1</formula1>
      <formula2>100</formula2>
    </dataValidation>
    <dataValidation sqref="J25" showDropDown="0" showInputMessage="1" showErrorMessage="1" allowBlank="1" errorTitle="Entry refused" error="Pick Good, Fair or Poor, or leave the cell blank." promptTitle="Observed channel-evolution class" prompt="Good, Fair or Poor from a documented field assessment. Applies only with the note below." type="list" errorStyle="stop">
      <formula1>"Good,Fair,Poor"</formula1>
    </dataValidation>
    <dataValidation sqref="J26" showDropDown="0" showInputMessage="1" showErrorMessage="0" allowBlank="1" promptTitle="Observed channel-evolution indic" prompt="Required for the observed class to replace the automatic proxy." type="custom">
      <formula1>TRUE</formula1>
    </dataValidation>
    <dataValidation sqref="J28" showDropDown="0" showInputMessage="1" showErrorMessage="1" allowBlank="1" errorTitle="Entry refused" error="Enter a percentage from 0 to 100, or leave the cell blank." promptTitle="Observed eroding bank" prompt="Percent of bank length eroding, from field or verified imagery. Both bank entries are required." type="decimal" errorStyle="stop" operator="between">
      <formula1>0</formula1>
      <formula2>100</formula2>
    </dataValidation>
    <dataValidation sqref="J29" showDropDown="0" showInputMessage="1" showErrorMessage="1" allowBlank="1" errorTitle="Entry refused" error="Enter a percentage from 0 to 100, or leave the cell blank." promptTitle="Observed armored bank" prompt="Percent of bank length armored." type="decimal" errorStyle="stop" operator="between">
      <formula1>0</formula1>
      <formula2>100</formula2>
    </dataValidation>
    <dataValidation sqref="J3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34" showDropDown="0" showInputMessage="1" showErrorMessage="1" allowBlank="1" errorTitle="Entry refused" error="Enter a number from 0 to 100, or leave the cell blank when the evidence is unavailable." promptTitle="Woody riparian cover in the 100 " prompt="Conifer, deciduous and mixed forest, shrub and woody wetland at wsrp100, rounded to one decimal. Used by Light and thermal regime and Habitat provision." type="decimal" errorStyle="stop" operator="between">
      <formula1>0</formula1>
      <formula2>100</formula2>
    </dataValidation>
    <dataValidation sqref="J36"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37"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38"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39" showDropDown="0" showInputMessage="0" showErrorMessage="1" allowBlank="1" errorTitle="Entry refused" error="Enter a number from 0 to 100, or leave the cell blank when the evidence is unavailable." type="decimal" errorStyle="stop" operator="between">
      <formula1>0</formula1>
      <formula2>100</formula2>
    </dataValidation>
    <dataValidation sqref="J41" showDropDown="0" showInputMessage="1" showErrorMessage="1" allowBlank="1" errorTitle="Entry refused" error="Enter a number from 0 to 10000.0, or leave the cell blank when the evidence is unavailable." promptTitle="Total nitrogen (median of statio" prompt="Leave blank when there are no qualifying observations." type="decimal" errorStyle="stop" operator="between">
      <formula1>0</formula1>
      <formula2>10000.0</formula2>
    </dataValidation>
    <dataValidation sqref="J42" showDropDown="0" showInputMessage="0" showErrorMessage="1" allowBlank="1" errorTitle="Entry refused" error="Enter a number from 0 to 10000.0, or leave the cell blank when the evidence is unavailable." type="decimal" errorStyle="stop" operator="between">
      <formula1>0</formula1>
      <formula2>10000.0</formula2>
    </dataValidation>
    <dataValidation sqref="J43" showDropDown="0" showInputMessage="1" showErrorMessage="1" allowBlank="1" errorTitle="Entry refused" error="Enter a number from 0 to 1, or leave the cell blank when the evidence is unavailable." promptTitle="CHEM integrity index, catchment" prompt="Fallback for Nutrient cycling and Water and soil quality; a component of the ICI product." type="decimal" errorStyle="stop" operator="between">
      <formula1>0</formula1>
      <formula2>1</formula2>
    </dataValidation>
    <dataValidation sqref="J44" showDropDown="0" showInputMessage="1" showErrorMessage="1" allowBlank="1" errorTitle="Entry refused" error="Enter a number from 0 to 1, or leave the cell blank when the evidence is unavailable." promptTitle="CHEM integrity index, watershed" prompt="Fallback for Nutrient cycling and Water and soil quality; a component of the IWI product." type="decimal" errorStyle="stop" operator="between">
      <formula1>0</formula1>
      <formula2>1</formula2>
    </dataValidation>
    <dataValidation sqref="J45" showDropDown="0" showInputMessage="1" showErrorMessage="1" allowBlank="1" errorTitle="Entry refused" error="Pick 1, 2, 3, 4A, 4B, 4C or 5, or leave the cell blank." promptTitle="ATTAINS category" prompt="1, 2, 3, 4A, 4B, 4C or 5. Category 3 and a blank fall back to the CHEM index." type="list" errorStyle="stop">
      <formula1>"1,2,3,4A,4B,4C,5"</formula1>
    </dataValidation>
    <dataValidation sqref="J49" showDropDown="0" showInputMessage="1" showErrorMessage="1" allowBlank="1" errorTitle="Entry refused" error="Enter a number from 0 to 1, or leave the cell blank when the evidence is unavailable." promptTitle="Predicted probability of Good be" prompt="Population support uses the model probability directly. Leave it blank to fall back to the twelve integrity indices (ICI and IWI products)." type="decimal" errorStyle="stop" operator="between">
      <formula1>0</formula1>
      <formula2>1</formula2>
    </dataValidation>
    <dataValidation sqref="J5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1"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2"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3"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4"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6"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7"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8"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59"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0" showDropDown="0" showInputMessage="0" showErrorMessage="1" allowBlank="1" errorTitle="Entry refused" error="Enter a number from 0 to 1, or leave the cell blank when the evidence is unavailable." type="decimal" errorStyle="stop" operator="between">
      <formula1>0</formula1>
      <formula2>1</formula2>
    </dataValidation>
    <dataValidation sqref="J64" showDropDown="0" showInputMessage="1" showErrorMessage="1" allowBlank="1" errorTitle="Entry refused" error="Enter a whole number from 0 to 100000, or leave the cell blank when the evidence is unavailable." promptTitle="Established non-native taxa reco" prompt="A successful empty query is zero. Leave blank when the query was unavailable." type="whole" errorStyle="stop" operator="between">
      <formula1>0</formula1>
      <formula2>100000</formula2>
    </dataValidation>
    <dataValidation sqref="J65" showDropDown="0" showInputMessage="0" showErrorMessage="1" allowBlank="1" errorTitle="Entry refused" error="Enter a whole number from 0 to 100000, or leave the cell blank when the evidence is unavailable." type="whole" errorStyle="stop" operator="between">
      <formula1>0</formula1>
      <formula2>100000</formula2>
    </dataValidation>
    <dataValidation sqref="B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C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D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E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F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G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H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I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J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K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L69" showDropDown="0" showInputMessage="0" showErrorMessage="1" allowBlank="1" errorTitle="Entry refused" error="Enter the EROM mean monthly flow in cfs, or leave the cell blank." type="decimal" errorStyle="stop" operator="between">
      <formula1>0</formula1>
      <formula2>1000000000.0</formula2>
    </dataValidation>
    <dataValidation sqref="M69" showDropDown="0" showInputMessage="0" showErrorMessage="1" allowBlank="1" errorTitle="Entry refused" error="Enter the EROM mean monthly flow in cfs, or leave the cell blank." type="decimal" errorStyle="stop" operator="between">
      <formula1>0</formula1>
      <formula2>1000000000.0</formula2>
    </dataValidation>
  </dataValidations>
  <pageMargins left="0.75" right="0.75" top="1" bottom="1" header="0.5" footer="0.5"/>
  <pageSetup orientation="landscape" fitToHeight="0" fitToWidth="1"/>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07"/>
  <sheetViews>
    <sheetView showGridLines="0" tabSelected="0" workbookViewId="0">
      <selection activeCell="A1" sqref="A1"/>
    </sheetView>
  </sheetViews>
  <sheetFormatPr baseColWidth="8" defaultRowHeight="15"/>
  <cols>
    <col width="52" customWidth="1" min="1" max="1"/>
    <col width="18" customWidth="1" min="2" max="2"/>
    <col width="12" customWidth="1" min="3" max="3"/>
    <col width="12" customWidth="1" min="4" max="4"/>
    <col width="70" customWidth="1" min="5" max="5"/>
  </cols>
  <sheetData>
    <row r="1">
      <c r="A1" s="129" t="inlineStr">
        <is>
          <t>EASI calculator: metric scoring</t>
        </is>
      </c>
    </row>
    <row r="2">
      <c r="A2" s="7" t="inlineStr">
        <is>
          <t>Read only. One block per function: the inputs it reads, the route that applied, the rating, the index anchor and the function score. Ratings follow the application's catalog exactly. The entries live on the EASI Score sheet.</t>
        </is>
      </c>
    </row>
    <row r="4">
      <c r="A4" s="130" t="inlineStr">
        <is>
          <t>1. Catchment hydrology</t>
        </is>
      </c>
      <c r="B4" s="7" t="inlineStr">
        <is>
          <t>Catchment hydrology (land-cover pressure) (catchment-land-cover-pressure, worst_index)</t>
        </is>
      </c>
    </row>
    <row r="5">
      <c r="A5" s="131" t="inlineStr">
        <is>
          <t>Item</t>
        </is>
      </c>
      <c r="B5" s="131" t="inlineStr">
        <is>
          <t>Value</t>
        </is>
      </c>
      <c r="C5" s="131" t="inlineStr">
        <is>
          <t>Rating</t>
        </is>
      </c>
      <c r="D5" s="131" t="inlineStr">
        <is>
          <t>Index</t>
        </is>
      </c>
      <c r="E5" s="131" t="inlineStr">
        <is>
          <t>Note</t>
        </is>
      </c>
    </row>
    <row r="6">
      <c r="A6" t="inlineStr">
        <is>
          <t>Watershed impervious cover</t>
        </is>
      </c>
      <c r="B6" s="132">
        <f>IF('EASI Score'!$J$8="","",'EASI Score'!$J$8)</f>
        <v/>
      </c>
      <c r="C6" s="132">
        <f>IF(NOT(ISNUMBER('EASI Score'!$J$8)),"",IF('EASI Score'!$J$8&lt;10,"Good",IF(AND('EASI Score'!$J$8&gt;=10,'EASI Score'!$J$8&lt;=25),"Fair",IF('EASI Score'!$J$8&gt;25,"Poor",""))))</f>
        <v/>
      </c>
      <c r="D6" s="133">
        <f>IF('Metrics'!$C$6="Good",'Reference'!$B$6,IF('Metrics'!$C$6="Fair",'Reference'!$B$7,IF('Metrics'!$C$6="Poor",'Reference'!$B$8,"")))</f>
        <v/>
      </c>
    </row>
    <row r="7">
      <c r="A7" t="inlineStr">
        <is>
          <t>Watershed agricultural cover</t>
        </is>
      </c>
      <c r="B7" s="132">
        <f>IF('EASI Score'!$J$9="","",'EASI Score'!$J$9)</f>
        <v/>
      </c>
      <c r="C7" s="132">
        <f>IF(NOT(ISNUMBER('EASI Score'!$J$9)),"",IF('EASI Score'!$J$9&lt;30,"Good",IF(AND('EASI Score'!$J$9&gt;=30,'EASI Score'!$J$9&lt;=50),"Fair",IF('EASI Score'!$J$9&gt;50,"Poor",""))))</f>
        <v/>
      </c>
      <c r="D7" s="133">
        <f>IF('Metrics'!$C$7="Good",'Reference'!$B$6,IF('Metrics'!$C$7="Fair",'Reference'!$B$7,IF('Metrics'!$C$7="Poor",'Reference'!$B$8,"")))</f>
        <v/>
      </c>
    </row>
    <row r="8">
      <c r="A8" t="inlineStr">
        <is>
          <t>Governing input</t>
        </is>
      </c>
      <c r="B8" s="132">
        <f>IF('Metrics'!$B$9="","",INDEX('Metrics'!$A$6:$A$7,MATCH('Metrics'!$B$9,'Metrics'!$D$6:$D$7,0)))</f>
        <v/>
      </c>
    </row>
    <row r="9">
      <c r="A9" t="inlineStr">
        <is>
          <t>Combined rating index (the more limiting input)</t>
        </is>
      </c>
      <c r="B9" s="133">
        <f>IF(COUNT('Metrics'!$D$6:$D$7)=0,"",MIN('Metrics'!$D$6:$D$7))</f>
        <v/>
      </c>
    </row>
    <row r="10">
      <c r="A10" t="inlineStr">
        <is>
          <t>Route that applied</t>
        </is>
      </c>
      <c r="B10" s="132">
        <f>"automatic method"</f>
        <v/>
      </c>
    </row>
    <row r="11">
      <c r="A11" t="inlineStr">
        <is>
          <t>Function rating</t>
        </is>
      </c>
      <c r="C11" s="134">
        <f>IF(NOT(ISNUMBER('Metrics'!$B$9)),"",IF('Metrics'!$B$9='Reference'!$B$6,"Good",IF('Metrics'!$B$9='Reference'!$B$7,"Fair",IF('Metrics'!$B$9='Reference'!$B$8,"Poor",""))))</f>
        <v/>
      </c>
      <c r="D11" s="133">
        <f>IF('Metrics'!$C$11="Good",'Reference'!$B$6,IF('Metrics'!$C$11="Fair",'Reference'!$B$7,IF('Metrics'!$C$11="Poor",'Reference'!$B$8,"")))</f>
        <v/>
      </c>
      <c r="E11" s="135" t="inlineStr">
        <is>
          <t>Partial rating allowed when one input is missing.</t>
        </is>
      </c>
    </row>
    <row r="12">
      <c r="A12" t="inlineStr">
        <is>
          <t>Function score (0 to 15)</t>
        </is>
      </c>
      <c r="B12" s="134">
        <f>IF('Metrics'!$C$11="Good",'Reference'!$C$6,IF('Metrics'!$C$11="Fair",'Reference'!$C$7,IF('Metrics'!$C$11="Poor",'Reference'!$C$8,"")))</f>
        <v/>
      </c>
    </row>
    <row r="13">
      <c r="A13" t="inlineStr">
        <is>
          <t>Status</t>
        </is>
      </c>
      <c r="B13" s="132">
        <f>IF(COUNT('Metrics'!$D$6:$D$7)=0,"not rated",IF(COUNT('Metrics'!$D$6:$D$7)&lt;2,"partial","complete"))</f>
        <v/>
      </c>
    </row>
    <row r="15">
      <c r="A15" s="130" t="inlineStr">
        <is>
          <t>2. Surface water storage</t>
        </is>
      </c>
      <c r="B15" s="7" t="inlineStr">
        <is>
          <t>Wetland extent (watershed-wetland-extent, sum_capped)</t>
        </is>
      </c>
    </row>
    <row r="16">
      <c r="A16" s="131" t="inlineStr">
        <is>
          <t>Item</t>
        </is>
      </c>
      <c r="B16" s="131" t="inlineStr">
        <is>
          <t>Value</t>
        </is>
      </c>
      <c r="C16" s="131" t="inlineStr">
        <is>
          <t>Rating</t>
        </is>
      </c>
      <c r="D16" s="131" t="inlineStr">
        <is>
          <t>Index</t>
        </is>
      </c>
      <c r="E16" s="131" t="inlineStr">
        <is>
          <t>Note</t>
        </is>
      </c>
    </row>
    <row r="17">
      <c r="A17" t="inlineStr">
        <is>
          <t>Woody wetland cover</t>
        </is>
      </c>
      <c r="B17" s="132">
        <f>IF('EASI Score'!$J$10="","",'EASI Score'!$J$10)</f>
        <v/>
      </c>
    </row>
    <row r="18">
      <c r="A18" t="inlineStr">
        <is>
          <t>Herbaceous wetland cover</t>
        </is>
      </c>
      <c r="B18" s="132">
        <f>IF('EASI Score'!$J$11="","",'EASI Score'!$J$11)</f>
        <v/>
      </c>
    </row>
    <row r="19">
      <c r="A19" t="inlineStr">
        <is>
          <t>Combined value (sum capped at 100)</t>
        </is>
      </c>
      <c r="B19" s="132">
        <f>IF(AND(ISNUMBER('EASI Score'!$J$10),ISNUMBER('EASI Score'!$J$11)),ROUND(MIN('EASI Score'!$J$10+'EASI Score'!$J$11,100),12),"")</f>
        <v/>
      </c>
    </row>
    <row r="20">
      <c r="A20" t="inlineStr">
        <is>
          <t>Route that applied</t>
        </is>
      </c>
      <c r="B20" s="132">
        <f>"automatic method"</f>
        <v/>
      </c>
    </row>
    <row r="21">
      <c r="A21" t="inlineStr">
        <is>
          <t>Function rating</t>
        </is>
      </c>
      <c r="C21" s="134">
        <f>IF(NOT(ISNUMBER('Metrics'!$B$19)),"",IF('Metrics'!$B$19&lt;1,"Poor",IF(AND('Metrics'!$B$19&gt;=1,'Metrics'!$B$19&lt;=5),"Fair",IF('Metrics'!$B$19&gt;5,"Good",""))))</f>
        <v/>
      </c>
      <c r="D21" s="133">
        <f>IF('Metrics'!$C$21="Good",'Reference'!$B$6,IF('Metrics'!$C$21="Fair",'Reference'!$B$7,IF('Metrics'!$C$21="Poor",'Reference'!$B$8,"")))</f>
        <v/>
      </c>
      <c r="E21" s="135" t="inlineStr">
        <is>
          <t>All classes are required. A missing class is unknown, not zero.</t>
        </is>
      </c>
    </row>
    <row r="22">
      <c r="A22" t="inlineStr">
        <is>
          <t>Function score (0 to 15)</t>
        </is>
      </c>
      <c r="B22" s="134">
        <f>IF('Metrics'!$C$21="Good",'Reference'!$C$6,IF('Metrics'!$C$21="Fair",'Reference'!$C$7,IF('Metrics'!$C$21="Poor",'Reference'!$C$8,"")))</f>
        <v/>
      </c>
    </row>
    <row r="23">
      <c r="A23" t="inlineStr">
        <is>
          <t>Status</t>
        </is>
      </c>
      <c r="B23" s="132">
        <f>IF('Metrics'!$C$21="","not rated","complete")</f>
        <v/>
      </c>
    </row>
    <row r="25">
      <c r="A25" s="130" t="inlineStr">
        <is>
          <t>3. Reach inflow</t>
        </is>
      </c>
      <c r="B25" s="7" t="inlineStr">
        <is>
          <t>Road-density proxy for concentrated inflow pressure (road-density-inflow-pressure, threshold)</t>
        </is>
      </c>
    </row>
    <row r="26">
      <c r="A26" s="131" t="inlineStr">
        <is>
          <t>Item</t>
        </is>
      </c>
      <c r="B26" s="131" t="inlineStr">
        <is>
          <t>Value</t>
        </is>
      </c>
      <c r="C26" s="131" t="inlineStr">
        <is>
          <t>Rating</t>
        </is>
      </c>
      <c r="D26" s="131" t="inlineStr">
        <is>
          <t>Index</t>
        </is>
      </c>
      <c r="E26" s="131" t="inlineStr">
        <is>
          <t>Note</t>
        </is>
      </c>
    </row>
    <row r="27">
      <c r="A27" t="inlineStr">
        <is>
          <t>Watershed road density</t>
        </is>
      </c>
      <c r="B27" s="132">
        <f>IF('EASI Score'!$J$13="","",'EASI Score'!$J$13)</f>
        <v/>
      </c>
    </row>
    <row r="28">
      <c r="A28" t="inlineStr">
        <is>
          <t>Route that applied</t>
        </is>
      </c>
      <c r="B28" s="132">
        <f>"automatic method"</f>
        <v/>
      </c>
    </row>
    <row r="29">
      <c r="A29" t="inlineStr">
        <is>
          <t>Function rating</t>
        </is>
      </c>
      <c r="C29" s="134">
        <f>IF(NOT(ISNUMBER('EASI Score'!$J$13)),"",IF('EASI Score'!$J$13&lt;1,"Good",IF(AND('EASI Score'!$J$13&gt;=1,'EASI Score'!$J$13&lt;3),"Fair",IF('EASI Score'!$J$13&gt;=3,"Poor",""))))</f>
        <v/>
      </c>
      <c r="D29" s="133">
        <f>IF('Metrics'!$C$29="Good",'Reference'!$B$6,IF('Metrics'!$C$29="Fair",'Reference'!$B$7,IF('Metrics'!$C$29="Poor",'Reference'!$B$8,"")))</f>
        <v/>
      </c>
    </row>
    <row r="30">
      <c r="A30" t="inlineStr">
        <is>
          <t>Function score (0 to 15)</t>
        </is>
      </c>
      <c r="B30" s="134">
        <f>IF('Metrics'!$C$29="Good",'Reference'!$C$6,IF('Metrics'!$C$29="Fair",'Reference'!$C$7,IF('Metrics'!$C$29="Poor",'Reference'!$C$8,"")))</f>
        <v/>
      </c>
    </row>
    <row r="31">
      <c r="A31" t="inlineStr">
        <is>
          <t>Status</t>
        </is>
      </c>
      <c r="B31" s="132">
        <f>IF('Metrics'!$C$29="","not rated","complete")</f>
        <v/>
      </c>
    </row>
    <row r="33">
      <c r="A33" s="130" t="inlineStr">
        <is>
          <t>4. Streamflow regime</t>
        </is>
      </c>
      <c r="B33" s="7" t="inlineStr">
        <is>
          <t>Flow alteration (degree of regulation) (degree-of-regulation, ratio)</t>
        </is>
      </c>
    </row>
    <row r="34">
      <c r="A34" s="131" t="inlineStr">
        <is>
          <t>Item</t>
        </is>
      </c>
      <c r="B34" s="131" t="inlineStr">
        <is>
          <t>Value</t>
        </is>
      </c>
      <c r="C34" s="131" t="inlineStr">
        <is>
          <t>Rating</t>
        </is>
      </c>
      <c r="D34" s="131" t="inlineStr">
        <is>
          <t>Index</t>
        </is>
      </c>
      <c r="E34" s="131" t="inlineStr">
        <is>
          <t>Note</t>
        </is>
      </c>
    </row>
    <row r="35">
      <c r="A35" t="inlineStr">
        <is>
          <t>Upstream normalized storage</t>
        </is>
      </c>
      <c r="B35" s="132">
        <f>IF('EASI Score'!$J$14="","",'EASI Score'!$J$14)</f>
        <v/>
      </c>
    </row>
    <row r="36">
      <c r="A36" t="inlineStr">
        <is>
          <t>Annual runoff</t>
        </is>
      </c>
      <c r="B36" s="132">
        <f>IF('EASI Score'!$J$15="","",'EASI Score'!$J$15)</f>
        <v/>
      </c>
    </row>
    <row r="37">
      <c r="A37" t="inlineStr">
        <is>
          <t>Degree of regulation (%)</t>
        </is>
      </c>
      <c r="B37" s="132">
        <f>IF(AND(ISNUMBER('EASI Score'!$J$14),ISNUMBER('EASI Score'!$J$15),'EASI Score'!$J$15&lt;&gt;0,'EASI Score'!$J$15&gt;0),ROUND((100*'EASI Score'!$J$14)/(1000*'EASI Score'!$J$15),12),"")</f>
        <v/>
      </c>
    </row>
    <row r="38">
      <c r="A38" t="inlineStr">
        <is>
          <t>Route that applied</t>
        </is>
      </c>
      <c r="B38" s="132">
        <f>"automatic method"</f>
        <v/>
      </c>
    </row>
    <row r="39">
      <c r="A39" t="inlineStr">
        <is>
          <t>Function rating</t>
        </is>
      </c>
      <c r="C39" s="134">
        <f>IF(NOT(ISNUMBER('Metrics'!$B$37)),"",IF('Metrics'!$B$37&lt;2,"Good",IF(AND('Metrics'!$B$37&gt;=2,'Metrics'!$B$37&lt;=15),"Fair",IF('Metrics'!$B$37&gt;15,"Poor",""))))</f>
        <v/>
      </c>
      <c r="D39" s="133">
        <f>IF('Metrics'!$C$39="Good",'Reference'!$B$6,IF('Metrics'!$C$39="Fair",'Reference'!$B$7,IF('Metrics'!$C$39="Poor",'Reference'!$B$8,"")))</f>
        <v/>
      </c>
    </row>
    <row r="40">
      <c r="A40" t="inlineStr">
        <is>
          <t>Function score (0 to 15)</t>
        </is>
      </c>
      <c r="B40" s="134">
        <f>IF('Metrics'!$C$39="Good",'Reference'!$C$6,IF('Metrics'!$C$39="Fair",'Reference'!$C$7,IF('Metrics'!$C$39="Poor",'Reference'!$C$8,"")))</f>
        <v/>
      </c>
    </row>
    <row r="41">
      <c r="A41" t="inlineStr">
        <is>
          <t>Status</t>
        </is>
      </c>
      <c r="B41" s="132">
        <f>IF('Metrics'!$C$39="","not rated","complete")</f>
        <v/>
      </c>
    </row>
    <row r="43">
      <c r="A43" s="130" t="inlineStr">
        <is>
          <t>5. Low flow and baseflow dynamics</t>
        </is>
      </c>
      <c r="B43" s="7" t="inlineStr">
        <is>
          <t>Low-flow condition (erom-flow-variability, threshold)</t>
        </is>
      </c>
    </row>
    <row r="44">
      <c r="A44" s="131" t="inlineStr">
        <is>
          <t>Item</t>
        </is>
      </c>
      <c r="B44" s="131" t="inlineStr">
        <is>
          <t>Value</t>
        </is>
      </c>
      <c r="C44" s="131" t="inlineStr">
        <is>
          <t>Rating</t>
        </is>
      </c>
      <c r="D44" s="131" t="inlineStr">
        <is>
          <t>Index</t>
        </is>
      </c>
      <c r="E44" s="131" t="inlineStr">
        <is>
          <t>Note</t>
        </is>
      </c>
    </row>
    <row r="45">
      <c r="A45" t="inlineStr">
        <is>
          <t>Monthly flow variability</t>
        </is>
      </c>
      <c r="B45" s="132">
        <f>IF('EASI Score'!$J$17="","",'EASI Score'!$J$17)</f>
        <v/>
      </c>
    </row>
    <row r="46">
      <c r="A46" t="inlineStr">
        <is>
          <t>Expected NHD flow regime (context only)</t>
        </is>
      </c>
      <c r="B46" s="132">
        <f>IF('EASI Score'!$B$4="","",'EASI Score'!$B$4)</f>
        <v/>
      </c>
    </row>
    <row r="47">
      <c r="A47" s="7" t="inlineStr">
        <is>
          <t>Reference curve used (flow-variability, nars9, national fallback)</t>
        </is>
      </c>
      <c r="B47" s="132">
        <f>IFERROR(MATCH("flow-variability|"&amp;'EASI Score'!$K$3,'Reference'!$A$90:$A$123,0),MATCH("flow-variability|national",'Reference'!$A$90:$A$123,0))</f>
        <v/>
      </c>
      <c r="E47" s="136">
        <f>INDEX('Reference'!$A$90:$A$123,'Metrics'!$B$47)</f>
        <v/>
      </c>
    </row>
    <row r="48">
      <c r="A48" s="7" t="inlineStr">
        <is>
          <t>Curve index (interpolated, 0 to 1; Good at or above 0.69, Fair at or above 0.39)</t>
        </is>
      </c>
      <c r="B48" s="137">
        <f>IF(NOT(ISNUMBER('EASI Score'!$J$17)),"",MAX(0,MIN(1,IF('EASI Score'!$J$17&lt;=INDEX('Reference'!$G$90:$G$123,'Metrics'!$B$47),INDEX('Reference'!$H$90:$H$123,'Metrics'!$B$47),IF('EASI Score'!$J$17&gt;=INDEX('Reference'!$O$90:$O$123,'Metrics'!$B$47),INDEX('Reference'!$P$90:$P$123,'Metrics'!$B$47),IF('EASI Score'!$J$17&lt;=INDEX('Reference'!$I$90:$I$123,'Metrics'!$B$47),INDEX('Reference'!$H$90:$H$123,'Metrics'!$B$47)+(('EASI Score'!$J$17-INDEX('Reference'!$G$90:$G$123,'Metrics'!$B$47))/(INDEX('Reference'!$I$90:$I$123,'Metrics'!$B$47)-INDEX('Reference'!$G$90:$G$123,'Metrics'!$B$47)))*(INDEX('Reference'!$J$90:$J$123,'Metrics'!$B$47)-INDEX('Reference'!$H$90:$H$123,'Metrics'!$B$47)),IF('EASI Score'!$J$17&lt;=INDEX('Reference'!$K$90:$K$123,'Metrics'!$B$47),INDEX('Reference'!$J$90:$J$123,'Metrics'!$B$47)+(('EASI Score'!$J$17-INDEX('Reference'!$I$90:$I$123,'Metrics'!$B$47))/(INDEX('Reference'!$K$90:$K$123,'Metrics'!$B$47)-INDEX('Reference'!$I$90:$I$123,'Metrics'!$B$47)))*(INDEX('Reference'!$L$90:$L$123,'Metrics'!$B$47)-INDEX('Reference'!$J$90:$J$123,'Metrics'!$B$47)),IF('EASI Score'!$J$17&lt;=INDEX('Reference'!$M$90:$M$123,'Metrics'!$B$47),INDEX('Reference'!$L$90:$L$123,'Metrics'!$B$47)+(('EASI Score'!$J$17-INDEX('Reference'!$K$90:$K$123,'Metrics'!$B$47))/(INDEX('Reference'!$M$90:$M$123,'Metrics'!$B$47)-INDEX('Reference'!$K$90:$K$123,'Metrics'!$B$47)))*(INDEX('Reference'!$N$90:$N$123,'Metrics'!$B$47)-INDEX('Reference'!$L$90:$L$123,'Metrics'!$B$47)),INDEX('Reference'!$N$90:$N$123,'Metrics'!$B$47)+(('EASI Score'!$J$17-INDEX('Reference'!$M$90:$M$123,'Metrics'!$B$47))/(INDEX('Reference'!$O$90:$O$123,'Metrics'!$B$47)-INDEX('Reference'!$M$90:$M$123,'Metrics'!$B$47)))*(INDEX('Reference'!$P$90:$P$123,'Metrics'!$B$47)-INDEX('Reference'!$N$90:$N$123,'Metrics'!$B$47))))))))))</f>
        <v/>
      </c>
    </row>
    <row r="49">
      <c r="A49" t="inlineStr">
        <is>
          <t>Route that applied</t>
        </is>
      </c>
      <c r="B49" s="132">
        <f>"automatic method"</f>
        <v/>
      </c>
    </row>
    <row r="50">
      <c r="A50" t="inlineStr">
        <is>
          <t>Function rating</t>
        </is>
      </c>
      <c r="C50" s="134">
        <f>IF(NOT(ISNUMBER('Metrics'!$B$48)),"",IF('Metrics'!$B$48&gt;=0.69,"Good",IF('Metrics'!$B$48&gt;=0.39,"Fair","Poor")))</f>
        <v/>
      </c>
      <c r="D50" s="133">
        <f>IF('Metrics'!$C$50="Good",'Reference'!$B$6,IF('Metrics'!$C$50="Fair",'Reference'!$B$7,IF('Metrics'!$C$50="Poor",'Reference'!$B$8,"")))</f>
        <v/>
      </c>
      <c r="E50" s="135" t="inlineStr">
        <is>
          <t>Unvalidated screening proxy: monthly flow variability, lower is better, rated on the regional curve with the national fallback.</t>
        </is>
      </c>
    </row>
    <row r="51">
      <c r="A51" t="inlineStr">
        <is>
          <t>Function score (0 to 15)</t>
        </is>
      </c>
      <c r="B51" s="134">
        <f>IF('Metrics'!$C$50="Good",'Reference'!$C$6,IF('Metrics'!$C$50="Fair",'Reference'!$C$7,IF('Metrics'!$C$50="Poor",'Reference'!$C$8,"")))</f>
        <v/>
      </c>
    </row>
    <row r="52">
      <c r="A52" t="inlineStr">
        <is>
          <t>Status</t>
        </is>
      </c>
      <c r="B52" s="132">
        <f>IF('Metrics'!$C$50="","not rated","complete")</f>
        <v/>
      </c>
    </row>
    <row r="54">
      <c r="A54" s="130" t="inlineStr">
        <is>
          <t>6. High flow dynamics</t>
        </is>
      </c>
      <c r="B54" s="7" t="inlineStr">
        <is>
          <t>Floodplain engagement (bank-height ratio) (bank-height-ratio, threshold)</t>
        </is>
      </c>
    </row>
    <row r="55">
      <c r="A55" s="131" t="inlineStr">
        <is>
          <t>Item</t>
        </is>
      </c>
      <c r="B55" s="131" t="inlineStr">
        <is>
          <t>Value</t>
        </is>
      </c>
      <c r="C55" s="131" t="inlineStr">
        <is>
          <t>Rating</t>
        </is>
      </c>
      <c r="D55" s="131" t="inlineStr">
        <is>
          <t>Index</t>
        </is>
      </c>
      <c r="E55" s="131" t="inlineStr">
        <is>
          <t>Note</t>
        </is>
      </c>
    </row>
    <row r="56">
      <c r="A56" t="inlineStr">
        <is>
          <t>Bank-height ratio</t>
        </is>
      </c>
      <c r="B56" s="132">
        <f>IF('EASI Score'!$J$18="","",'EASI Score'!$J$18)</f>
        <v/>
      </c>
    </row>
    <row r="57">
      <c r="A57" t="inlineStr">
        <is>
          <t>Route that applied</t>
        </is>
      </c>
      <c r="B57" s="132">
        <f>"automatic method"</f>
        <v/>
      </c>
    </row>
    <row r="58">
      <c r="A58" t="inlineStr">
        <is>
          <t>Function rating</t>
        </is>
      </c>
      <c r="C58" s="134">
        <f>IF(NOT(ISNUMBER('EASI Score'!$J$18)),"",IF('EASI Score'!$J$18&lt;=1.3,"Good",IF(AND('EASI Score'!$J$18&gt;1.3,'EASI Score'!$J$18&lt;=1.5),"Fair",IF('EASI Score'!$J$18&gt;1.5,"Poor",""))))</f>
        <v/>
      </c>
      <c r="D58" s="133">
        <f>IF('Metrics'!$C$58="Good",'Reference'!$B$6,IF('Metrics'!$C$58="Fair",'Reference'!$B$7,IF('Metrics'!$C$58="Poor",'Reference'!$B$8,"")))</f>
        <v/>
      </c>
      <c r="E58" s="135" t="inlineStr">
        <is>
          <t>Values below 1.0 warrant a check of the cross-section geometry.</t>
        </is>
      </c>
    </row>
    <row r="59">
      <c r="A59" t="inlineStr">
        <is>
          <t>Function score (0 to 15)</t>
        </is>
      </c>
      <c r="B59" s="134">
        <f>IF('Metrics'!$C$58="Good",'Reference'!$C$6,IF('Metrics'!$C$58="Fair",'Reference'!$C$7,IF('Metrics'!$C$58="Poor",'Reference'!$C$8,"")))</f>
        <v/>
      </c>
    </row>
    <row r="60">
      <c r="A60" t="inlineStr">
        <is>
          <t>Status</t>
        </is>
      </c>
      <c r="B60" s="132">
        <f>IF('Metrics'!$C$58="","not rated","complete")</f>
        <v/>
      </c>
    </row>
    <row r="62">
      <c r="A62" s="130" t="inlineStr">
        <is>
          <t>7. Floodplain connectivity</t>
        </is>
      </c>
      <c r="B62" s="7" t="inlineStr">
        <is>
          <t>Floodplain access (entrenchment ratio) (entrenchment-ratio, threshold)</t>
        </is>
      </c>
    </row>
    <row r="63">
      <c r="A63" s="131" t="inlineStr">
        <is>
          <t>Item</t>
        </is>
      </c>
      <c r="B63" s="131" t="inlineStr">
        <is>
          <t>Value</t>
        </is>
      </c>
      <c r="C63" s="131" t="inlineStr">
        <is>
          <t>Rating</t>
        </is>
      </c>
      <c r="D63" s="131" t="inlineStr">
        <is>
          <t>Index</t>
        </is>
      </c>
      <c r="E63" s="131" t="inlineStr">
        <is>
          <t>Note</t>
        </is>
      </c>
    </row>
    <row r="64">
      <c r="A64" t="inlineStr">
        <is>
          <t>Entrenchment ratio</t>
        </is>
      </c>
      <c r="B64" s="132">
        <f>IF('EASI Score'!$J$19="","",'EASI Score'!$J$19)</f>
        <v/>
      </c>
    </row>
    <row r="65">
      <c r="A65" s="7" t="inlineStr">
        <is>
          <t>Reference curve used (entrenchment, slope_class, national fallback)</t>
        </is>
      </c>
      <c r="B65" s="132">
        <f>IFERROR(MATCH("entrenchment|"&amp;'EASI Score'!$K$4,'Reference'!$A$90:$A$123,0),MATCH("entrenchment|national",'Reference'!$A$90:$A$123,0))</f>
        <v/>
      </c>
      <c r="E65" s="136">
        <f>INDEX('Reference'!$A$90:$A$123,'Metrics'!$B$65)</f>
        <v/>
      </c>
    </row>
    <row r="66">
      <c r="A66" s="7" t="inlineStr">
        <is>
          <t>Curve index (interpolated, 0 to 1; Good at or above 0.69, Fair at or above 0.39)</t>
        </is>
      </c>
      <c r="B66" s="137">
        <f>IF(NOT(ISNUMBER('EASI Score'!$J$19)),"",MAX(0,MIN(1,IF('EASI Score'!$J$19&lt;=INDEX('Reference'!$G$90:$G$123,'Metrics'!$B$65),INDEX('Reference'!$H$90:$H$123,'Metrics'!$B$65),IF('EASI Score'!$J$19&gt;=INDEX('Reference'!$O$90:$O$123,'Metrics'!$B$65),INDEX('Reference'!$P$90:$P$123,'Metrics'!$B$65),IF('EASI Score'!$J$19&lt;=INDEX('Reference'!$I$90:$I$123,'Metrics'!$B$65),INDEX('Reference'!$H$90:$H$123,'Metrics'!$B$65)+(('EASI Score'!$J$19-INDEX('Reference'!$G$90:$G$123,'Metrics'!$B$65))/(INDEX('Reference'!$I$90:$I$123,'Metrics'!$B$65)-INDEX('Reference'!$G$90:$G$123,'Metrics'!$B$65)))*(INDEX('Reference'!$J$90:$J$123,'Metrics'!$B$65)-INDEX('Reference'!$H$90:$H$123,'Metrics'!$B$65)),IF('EASI Score'!$J$19&lt;=INDEX('Reference'!$K$90:$K$123,'Metrics'!$B$65),INDEX('Reference'!$J$90:$J$123,'Metrics'!$B$65)+(('EASI Score'!$J$19-INDEX('Reference'!$I$90:$I$123,'Metrics'!$B$65))/(INDEX('Reference'!$K$90:$K$123,'Metrics'!$B$65)-INDEX('Reference'!$I$90:$I$123,'Metrics'!$B$65)))*(INDEX('Reference'!$L$90:$L$123,'Metrics'!$B$65)-INDEX('Reference'!$J$90:$J$123,'Metrics'!$B$65)),IF('EASI Score'!$J$19&lt;=INDEX('Reference'!$M$90:$M$123,'Metrics'!$B$65),INDEX('Reference'!$L$90:$L$123,'Metrics'!$B$65)+(('EASI Score'!$J$19-INDEX('Reference'!$K$90:$K$123,'Metrics'!$B$65))/(INDEX('Reference'!$M$90:$M$123,'Metrics'!$B$65)-INDEX('Reference'!$K$90:$K$123,'Metrics'!$B$65)))*(INDEX('Reference'!$N$90:$N$123,'Metrics'!$B$65)-INDEX('Reference'!$L$90:$L$123,'Metrics'!$B$65)),INDEX('Reference'!$N$90:$N$123,'Metrics'!$B$65)+(('EASI Score'!$J$19-INDEX('Reference'!$M$90:$M$123,'Metrics'!$B$65))/(INDEX('Reference'!$O$90:$O$123,'Metrics'!$B$65)-INDEX('Reference'!$M$90:$M$123,'Metrics'!$B$65)))*(INDEX('Reference'!$P$90:$P$123,'Metrics'!$B$65)-INDEX('Reference'!$N$90:$N$123,'Metrics'!$B$65))))))))))</f>
        <v/>
      </c>
    </row>
    <row r="67">
      <c r="A67" t="inlineStr">
        <is>
          <t>Route that applied</t>
        </is>
      </c>
      <c r="B67" s="132">
        <f>"automatic method"</f>
        <v/>
      </c>
    </row>
    <row r="68">
      <c r="A68" t="inlineStr">
        <is>
          <t>Function rating</t>
        </is>
      </c>
      <c r="C68" s="134">
        <f>IF(NOT(ISNUMBER('Metrics'!$B$66)),"",IF('Metrics'!$B$66&gt;=0.69,"Good",IF('Metrics'!$B$66&gt;=0.39,"Fair","Poor")))</f>
        <v/>
      </c>
      <c r="D68" s="133">
        <f>IF('Metrics'!$C$68="Good",'Reference'!$B$6,IF('Metrics'!$C$68="Fair",'Reference'!$B$7,IF('Metrics'!$C$68="Poor",'Reference'!$B$8,"")))</f>
        <v/>
      </c>
      <c r="E68" s="135" t="inlineStr">
        <is>
          <t>Rated on the slope-class curve, national fallback when the slope is unknown.</t>
        </is>
      </c>
    </row>
    <row r="69">
      <c r="A69" t="inlineStr">
        <is>
          <t>Function score (0 to 15)</t>
        </is>
      </c>
      <c r="B69" s="134">
        <f>IF('Metrics'!$C$68="Good",'Reference'!$C$6,IF('Metrics'!$C$68="Fair",'Reference'!$C$7,IF('Metrics'!$C$68="Poor",'Reference'!$C$8,"")))</f>
        <v/>
      </c>
    </row>
    <row r="70">
      <c r="A70" t="inlineStr">
        <is>
          <t>Status</t>
        </is>
      </c>
      <c r="B70" s="132">
        <f>IF('Metrics'!$C$68="","not rated","complete")</f>
        <v/>
      </c>
    </row>
    <row r="72">
      <c r="A72" s="130" t="inlineStr">
        <is>
          <t>8. Hyporheic connectivity</t>
        </is>
      </c>
      <c r="B72" s="7" t="inlineStr">
        <is>
          <t>Hyporheic-exchange potential (channel gradient or sinuosity) (hyporheic-exchange-potential, best_index)</t>
        </is>
      </c>
    </row>
    <row r="73">
      <c r="A73" s="131" t="inlineStr">
        <is>
          <t>Item</t>
        </is>
      </c>
      <c r="B73" s="131" t="inlineStr">
        <is>
          <t>Value</t>
        </is>
      </c>
      <c r="C73" s="131" t="inlineStr">
        <is>
          <t>Rating</t>
        </is>
      </c>
      <c r="D73" s="131" t="inlineStr">
        <is>
          <t>Index</t>
        </is>
      </c>
      <c r="E73" s="131" t="inlineStr">
        <is>
          <t>Note</t>
        </is>
      </c>
    </row>
    <row r="74">
      <c r="A74" t="inlineStr">
        <is>
          <t>Channel slope</t>
        </is>
      </c>
      <c r="B74" s="132">
        <f>IF('EASI Score'!$J$20="","",'EASI Score'!$J$20)</f>
        <v/>
      </c>
      <c r="C74" s="132">
        <f>IF(NOT(ISNUMBER('EASI Score'!$J$20)),"",IF('EASI Score'!$J$20&lt;0.003,"Poor",IF(AND('EASI Score'!$J$20&gt;=0.003,'EASI Score'!$J$20&lt;0.006),"Fair",IF('EASI Score'!$J$20&gt;=0.006,"Good",""))))</f>
        <v/>
      </c>
      <c r="D74" s="133">
        <f>IF('Metrics'!$C$74="Good",'Reference'!$B$6,IF('Metrics'!$C$74="Fair",'Reference'!$B$7,IF('Metrics'!$C$74="Poor",'Reference'!$B$8,"")))</f>
        <v/>
      </c>
    </row>
    <row r="75">
      <c r="A75" t="inlineStr">
        <is>
          <t>Reach sinuosity</t>
        </is>
      </c>
      <c r="B75" s="132">
        <f>IF('EASI Score'!$J$22="","",'EASI Score'!$J$22)</f>
        <v/>
      </c>
      <c r="C75" s="132">
        <f>IF(NOT(ISNUMBER('EASI Score'!$J$22)),"",IF('EASI Score'!$J$22&lt;1.05,"Poor",IF(AND('EASI Score'!$J$22&gt;=1.05,'EASI Score'!$J$22&lt;1.2),"Fair",IF('EASI Score'!$J$22&gt;=1.2,"Good",""))))</f>
        <v/>
      </c>
      <c r="D75" s="133">
        <f>IF('Metrics'!$C$75="Good",'Reference'!$B$6,IF('Metrics'!$C$75="Fair",'Reference'!$B$7,IF('Metrics'!$C$75="Poor",'Reference'!$B$8,"")))</f>
        <v/>
      </c>
    </row>
    <row r="76">
      <c r="A76" t="inlineStr">
        <is>
          <t>Governing input</t>
        </is>
      </c>
      <c r="B76" s="132">
        <f>IF('Metrics'!$B$77="","",INDEX('Metrics'!$A$74:$A$75,MATCH('Metrics'!$B$77,'Metrics'!$D$74:$D$75,0)))</f>
        <v/>
      </c>
    </row>
    <row r="77">
      <c r="A77" t="inlineStr">
        <is>
          <t>Combined rating index (the better pathway)</t>
        </is>
      </c>
      <c r="B77" s="133">
        <f>IF(COUNT('Metrics'!$D$74:$D$75)=0,"",MAX('Metrics'!$D$74:$D$75))</f>
        <v/>
      </c>
    </row>
    <row r="78">
      <c r="A78" t="inlineStr">
        <is>
          <t>Route that applied</t>
        </is>
      </c>
      <c r="B78" s="132">
        <f>"automatic method"</f>
        <v/>
      </c>
    </row>
    <row r="79">
      <c r="A79" t="inlineStr">
        <is>
          <t>Function rating</t>
        </is>
      </c>
      <c r="C79" s="134">
        <f>IF(NOT(ISNUMBER('Metrics'!$B$77)),"",IF('Metrics'!$B$77='Reference'!$B$6,"Good",IF('Metrics'!$B$77='Reference'!$B$7,"Fair",IF('Metrics'!$B$77='Reference'!$B$8,"Poor",""))))</f>
        <v/>
      </c>
      <c r="D79" s="133">
        <f>IF('Metrics'!$C$79="Good",'Reference'!$B$6,IF('Metrics'!$C$79="Fair",'Reference'!$B$7,IF('Metrics'!$C$79="Poor",'Reference'!$B$8,"")))</f>
        <v/>
      </c>
      <c r="E79" s="135" t="inlineStr">
        <is>
          <t>One valid pathway gives a partial rating.</t>
        </is>
      </c>
    </row>
    <row r="80">
      <c r="A80" t="inlineStr">
        <is>
          <t>Function score (0 to 15)</t>
        </is>
      </c>
      <c r="B80" s="134">
        <f>IF('Metrics'!$C$79="Good",'Reference'!$C$6,IF('Metrics'!$C$79="Fair",'Reference'!$C$7,IF('Metrics'!$C$79="Poor",'Reference'!$C$8,"")))</f>
        <v/>
      </c>
    </row>
    <row r="81">
      <c r="A81" t="inlineStr">
        <is>
          <t>Status</t>
        </is>
      </c>
      <c r="B81" s="132">
        <f>IF(COUNT('Metrics'!$D$74:$D$75)=0,"not rated",IF(COUNT('Metrics'!$D$74:$D$75)&lt;2,"partial","complete"))</f>
        <v/>
      </c>
    </row>
    <row r="83">
      <c r="A83" s="130" t="inlineStr">
        <is>
          <t>9. Channel evolution</t>
        </is>
      </c>
      <c r="B83" s="7" t="inlineStr">
        <is>
          <t>Channel evolution (channel-adjustment-susceptibility, worst_index)</t>
        </is>
      </c>
    </row>
    <row r="84">
      <c r="A84" s="131" t="inlineStr">
        <is>
          <t>Item</t>
        </is>
      </c>
      <c r="B84" s="131" t="inlineStr">
        <is>
          <t>Value</t>
        </is>
      </c>
      <c r="C84" s="131" t="inlineStr">
        <is>
          <t>Rating</t>
        </is>
      </c>
      <c r="D84" s="131" t="inlineStr">
        <is>
          <t>Index</t>
        </is>
      </c>
      <c r="E84" s="131" t="inlineStr">
        <is>
          <t>Note</t>
        </is>
      </c>
    </row>
    <row r="85">
      <c r="A85" t="inlineStr">
        <is>
          <t>Bank-height ratio</t>
        </is>
      </c>
      <c r="B85" s="132">
        <f>IF('EASI Score'!$J$18="","",'EASI Score'!$J$18)</f>
        <v/>
      </c>
      <c r="C85" s="132">
        <f>IF(NOT(ISNUMBER('EASI Score'!$J$18)),"",IF('EASI Score'!$J$18&lt;=1.3,"Good",IF(AND('EASI Score'!$J$18&gt;1.3,'EASI Score'!$J$18&lt;=1.5),"Fair",IF('EASI Score'!$J$18&gt;1.5,"Poor",""))))</f>
        <v/>
      </c>
      <c r="D85" s="133">
        <f>IF('Metrics'!$C$85="Good",'Reference'!$B$6,IF('Metrics'!$C$85="Fair",'Reference'!$B$7,IF('Metrics'!$C$85="Poor",'Reference'!$B$8,"")))</f>
        <v/>
      </c>
    </row>
    <row r="86">
      <c r="A86" s="7" t="inlineStr">
        <is>
          <t>Reference curve used (entrenchment, slope_class, national fallback)</t>
        </is>
      </c>
      <c r="B86" s="132">
        <f>IFERROR(MATCH("entrenchment|"&amp;'EASI Score'!$K$4,'Reference'!$A$90:$A$123,0),MATCH("entrenchment|national",'Reference'!$A$90:$A$123,0))</f>
        <v/>
      </c>
      <c r="E86" s="136">
        <f>INDEX('Reference'!$A$90:$A$123,'Metrics'!$B$86)</f>
        <v/>
      </c>
    </row>
    <row r="87">
      <c r="A87" s="7" t="inlineStr">
        <is>
          <t>Curve index (interpolated, 0 to 1; Good at or above 0.69, Fair at or above 0.39)</t>
        </is>
      </c>
      <c r="B87" s="137">
        <f>IF(NOT(ISNUMBER('EASI Score'!$J$19)),"",MAX(0,MIN(1,IF('EASI Score'!$J$19&lt;=INDEX('Reference'!$G$90:$G$123,'Metrics'!$B$86),INDEX('Reference'!$H$90:$H$123,'Metrics'!$B$86),IF('EASI Score'!$J$19&gt;=INDEX('Reference'!$O$90:$O$123,'Metrics'!$B$86),INDEX('Reference'!$P$90:$P$123,'Metrics'!$B$86),IF('EASI Score'!$J$19&lt;=INDEX('Reference'!$I$90:$I$123,'Metrics'!$B$86),INDEX('Reference'!$H$90:$H$123,'Metrics'!$B$86)+(('EASI Score'!$J$19-INDEX('Reference'!$G$90:$G$123,'Metrics'!$B$86))/(INDEX('Reference'!$I$90:$I$123,'Metrics'!$B$86)-INDEX('Reference'!$G$90:$G$123,'Metrics'!$B$86)))*(INDEX('Reference'!$J$90:$J$123,'Metrics'!$B$86)-INDEX('Reference'!$H$90:$H$123,'Metrics'!$B$86)),IF('EASI Score'!$J$19&lt;=INDEX('Reference'!$K$90:$K$123,'Metrics'!$B$86),INDEX('Reference'!$J$90:$J$123,'Metrics'!$B$86)+(('EASI Score'!$J$19-INDEX('Reference'!$I$90:$I$123,'Metrics'!$B$86))/(INDEX('Reference'!$K$90:$K$123,'Metrics'!$B$86)-INDEX('Reference'!$I$90:$I$123,'Metrics'!$B$86)))*(INDEX('Reference'!$L$90:$L$123,'Metrics'!$B$86)-INDEX('Reference'!$J$90:$J$123,'Metrics'!$B$86)),IF('EASI Score'!$J$19&lt;=INDEX('Reference'!$M$90:$M$123,'Metrics'!$B$86),INDEX('Reference'!$L$90:$L$123,'Metrics'!$B$86)+(('EASI Score'!$J$19-INDEX('Reference'!$K$90:$K$123,'Metrics'!$B$86))/(INDEX('Reference'!$M$90:$M$123,'Metrics'!$B$86)-INDEX('Reference'!$K$90:$K$123,'Metrics'!$B$86)))*(INDEX('Reference'!$N$90:$N$123,'Metrics'!$B$86)-INDEX('Reference'!$L$90:$L$123,'Metrics'!$B$86)),INDEX('Reference'!$N$90:$N$123,'Metrics'!$B$86)+(('EASI Score'!$J$19-INDEX('Reference'!$M$90:$M$123,'Metrics'!$B$86))/(INDEX('Reference'!$O$90:$O$123,'Metrics'!$B$86)-INDEX('Reference'!$M$90:$M$123,'Metrics'!$B$86)))*(INDEX('Reference'!$P$90:$P$123,'Metrics'!$B$86)-INDEX('Reference'!$N$90:$N$123,'Metrics'!$B$86))))))))))</f>
        <v/>
      </c>
    </row>
    <row r="88">
      <c r="A88" t="inlineStr">
        <is>
          <t>Entrenchment ratio</t>
        </is>
      </c>
      <c r="B88" s="132">
        <f>IF('EASI Score'!$J$19="","",'EASI Score'!$J$19)</f>
        <v/>
      </c>
      <c r="C88" s="132">
        <f>IF(NOT(ISNUMBER('Metrics'!$B$87)),"",IF('Metrics'!$B$87&gt;=0.69,"Good",IF('Metrics'!$B$87&gt;=0.39,"Fair","Poor")))</f>
        <v/>
      </c>
      <c r="D88" s="133">
        <f>IF('Metrics'!$C$88="Good",'Reference'!$B$6,IF('Metrics'!$C$88="Fair",'Reference'!$B$7,IF('Metrics'!$C$88="Poor",'Reference'!$B$8,"")))</f>
        <v/>
      </c>
    </row>
    <row r="89">
      <c r="A89" t="inlineStr">
        <is>
          <t>Automatic proxy index (worse of BHR and ER, both required)</t>
        </is>
      </c>
      <c r="B89" s="133">
        <f>IF(COUNT('Metrics'!$D$85:$D$88)&lt;2,"",MIN('Metrics'!$D$85:$D$88))</f>
        <v/>
      </c>
    </row>
    <row r="90">
      <c r="A90" t="inlineStr">
        <is>
          <t>Route that applied</t>
        </is>
      </c>
      <c r="B90" s="132">
        <f>IF(AND(OR('EASI Score'!$J$25="Good",'EASI Score'!$J$25="Fair",'EASI Score'!$J$25="Poor"),LEN(TRIM('EASI Score'!$J$26&amp;""))&gt;0),"observed channel class",IF(OR('EASI Score'!$B$4=33600,'EASI Score'!$B$4=33601,'EASI Score'!$B$4=33603),"canal or ditch (FCODE)",IF('Metrics'!$B$89="","not rated","automatic proxy")))</f>
        <v/>
      </c>
    </row>
    <row r="91">
      <c r="A91" t="inlineStr">
        <is>
          <t>Function rating</t>
        </is>
      </c>
      <c r="C91" s="134">
        <f>IF(AND(OR('EASI Score'!$J$25="Good",'EASI Score'!$J$25="Fair",'EASI Score'!$J$25="Poor"),LEN(TRIM('EASI Score'!$J$26&amp;""))&gt;0),'EASI Score'!$J$25,IF(OR('EASI Score'!$B$4=33600,'EASI Score'!$B$4=33601,'EASI Score'!$B$4=33603),"Poor",IF(NOT(ISNUMBER('Metrics'!$B$89)),"",IF('Metrics'!$B$89='Reference'!$B$6,"Good",IF('Metrics'!$B$89='Reference'!$B$7,"Fair",IF('Metrics'!$B$89='Reference'!$B$8,"Poor",""))))))</f>
        <v/>
      </c>
      <c r="D91" s="133">
        <f>IF('Metrics'!$C$91="Good",'Reference'!$B$6,IF('Metrics'!$C$91="Fair",'Reference'!$B$7,IF('Metrics'!$C$91="Poor",'Reference'!$B$8,"")))</f>
        <v/>
      </c>
      <c r="E91" s="135" t="inlineStr">
        <is>
          <t>Observed class with a note replaces the proxy; canal and ditch feature codes rate Poor.</t>
        </is>
      </c>
    </row>
    <row r="92">
      <c r="A92" t="inlineStr">
        <is>
          <t>Function score (0 to 15)</t>
        </is>
      </c>
      <c r="B92" s="134">
        <f>IF('Metrics'!$C$91="Good",'Reference'!$C$6,IF('Metrics'!$C$91="Fair",'Reference'!$C$7,IF('Metrics'!$C$91="Poor",'Reference'!$C$8,"")))</f>
        <v/>
      </c>
    </row>
    <row r="93">
      <c r="A93" t="inlineStr">
        <is>
          <t>Status</t>
        </is>
      </c>
      <c r="B93" s="132">
        <f>IF('Metrics'!$C$91="","not rated","complete")</f>
        <v/>
      </c>
    </row>
    <row r="95">
      <c r="A95" s="130" t="inlineStr">
        <is>
          <t>10. Channel and floodplain dynamics</t>
        </is>
      </c>
      <c r="B95" s="7" t="inlineStr">
        <is>
          <t>Bank erosion and armoring (bhr-bank-instability-susceptibility, threshold)</t>
        </is>
      </c>
    </row>
    <row r="96">
      <c r="A96" s="131" t="inlineStr">
        <is>
          <t>Item</t>
        </is>
      </c>
      <c r="B96" s="131" t="inlineStr">
        <is>
          <t>Value</t>
        </is>
      </c>
      <c r="C96" s="131" t="inlineStr">
        <is>
          <t>Rating</t>
        </is>
      </c>
      <c r="D96" s="131" t="inlineStr">
        <is>
          <t>Index</t>
        </is>
      </c>
      <c r="E96" s="131" t="inlineStr">
        <is>
          <t>Note</t>
        </is>
      </c>
    </row>
    <row r="97">
      <c r="A97" t="inlineStr">
        <is>
          <t>Bank-height ratio</t>
        </is>
      </c>
      <c r="B97" s="132">
        <f>IF('EASI Score'!$J$18="","",'EASI Score'!$J$18)</f>
        <v/>
      </c>
    </row>
    <row r="98">
      <c r="A98" t="inlineStr">
        <is>
          <t>Observed eroding bank (%)</t>
        </is>
      </c>
      <c r="B98" s="132">
        <f>IF('EASI Score'!$J$28="","",'EASI Score'!$J$28)</f>
        <v/>
      </c>
      <c r="C98" s="132">
        <f>IF(NOT(ISNUMBER('EASI Score'!$J$28)),"",IF('EASI Score'!$J$28&lt;5,"Good",IF(AND('EASI Score'!$J$28&gt;=5,'EASI Score'!$J$28&lt;60),"Fair",IF('EASI Score'!$J$28&gt;=60,"Poor",""))))</f>
        <v/>
      </c>
      <c r="D98" s="133">
        <f>IF('Metrics'!$C$98="Good",'Reference'!$B$6,IF('Metrics'!$C$98="Fair",'Reference'!$B$7,IF('Metrics'!$C$98="Poor",'Reference'!$B$8,"")))</f>
        <v/>
      </c>
    </row>
    <row r="99">
      <c r="A99" t="inlineStr">
        <is>
          <t>Observed armored bank (%)</t>
        </is>
      </c>
      <c r="B99" s="132">
        <f>IF('EASI Score'!$J$29="","",'EASI Score'!$J$29)</f>
        <v/>
      </c>
      <c r="C99" s="132">
        <f>IF(NOT(ISNUMBER('EASI Score'!$J$29)),"",IF('EASI Score'!$J$29&lt;=0,"Good",IF(AND('EASI Score'!$J$29&gt;0,'EASI Score'!$J$29&lt;50),"Fair",IF('EASI Score'!$J$29&gt;=50,"Poor",""))))</f>
        <v/>
      </c>
      <c r="D99" s="133">
        <f>IF('Metrics'!$C$99="Good",'Reference'!$B$6,IF('Metrics'!$C$99="Fair",'Reference'!$B$7,IF('Metrics'!$C$99="Poor",'Reference'!$B$8,"")))</f>
        <v/>
      </c>
    </row>
    <row r="100">
      <c r="A100" t="inlineStr">
        <is>
          <t>Route that applied</t>
        </is>
      </c>
      <c r="B100" s="132">
        <f>IF(AND(ISNUMBER('EASI Score'!$J$28),ISNUMBER('EASI Score'!$J$29)),"observed bank condition",IF(IF(NOT(ISNUMBER('EASI Score'!$J$18)),"",IF('EASI Score'!$J$18&lt;=1.3,"Good",IF(AND('EASI Score'!$J$18&gt;1.3,'EASI Score'!$J$18&lt;=1.5),"Fair",IF('EASI Score'!$J$18&gt;1.5,"Poor",""))))="","not rated","automatic proxy"))</f>
        <v/>
      </c>
    </row>
    <row r="101">
      <c r="A101" t="inlineStr">
        <is>
          <t>Function rating</t>
        </is>
      </c>
      <c r="C101" s="134">
        <f>IF(AND(ISNUMBER('EASI Score'!$J$28),ISNUMBER('EASI Score'!$J$29)),IF(NOT(ISNUMBER(MIN('Metrics'!$D$98,'Metrics'!$D$99))),"",IF(MIN('Metrics'!$D$98,'Metrics'!$D$99)='Reference'!$B$6,"Good",IF(MIN('Metrics'!$D$98,'Metrics'!$D$99)='Reference'!$B$7,"Fair",IF(MIN('Metrics'!$D$98,'Metrics'!$D$99)='Reference'!$B$8,"Poor","")))),IF(NOT(ISNUMBER('EASI Score'!$J$18)),"",IF('EASI Score'!$J$18&lt;=1.3,"Good",IF(AND('EASI Score'!$J$18&gt;1.3,'EASI Score'!$J$18&lt;=1.5),"Fair",IF('EASI Score'!$J$18&gt;1.5,"Poor","")))))</f>
        <v/>
      </c>
      <c r="D101" s="133">
        <f>IF('Metrics'!$C$101="Good",'Reference'!$B$6,IF('Metrics'!$C$101="Fair",'Reference'!$B$7,IF('Metrics'!$C$101="Poor",'Reference'!$B$8,"")))</f>
        <v/>
      </c>
      <c r="E101" s="135" t="inlineStr">
        <is>
          <t>Both observed bank percentages replace the BHR proxy; the worse component governs.</t>
        </is>
      </c>
    </row>
    <row r="102">
      <c r="A102" t="inlineStr">
        <is>
          <t>Function score (0 to 15)</t>
        </is>
      </c>
      <c r="B102" s="134">
        <f>IF('Metrics'!$C$101="Good",'Reference'!$C$6,IF('Metrics'!$C$101="Fair",'Reference'!$C$7,IF('Metrics'!$C$101="Poor",'Reference'!$C$8,"")))</f>
        <v/>
      </c>
    </row>
    <row r="103">
      <c r="A103" t="inlineStr">
        <is>
          <t>Status</t>
        </is>
      </c>
      <c r="B103" s="132">
        <f>IF('Metrics'!$C$101="","not rated","complete")</f>
        <v/>
      </c>
    </row>
    <row r="105">
      <c r="A105" s="130" t="inlineStr">
        <is>
          <t>11. Sediment continuity</t>
        </is>
      </c>
      <c r="B105" s="7" t="inlineStr">
        <is>
          <t>Sediment-supply potential (sediment-supply-potential, worst_index)</t>
        </is>
      </c>
    </row>
    <row r="106">
      <c r="A106" s="131" t="inlineStr">
        <is>
          <t>Item</t>
        </is>
      </c>
      <c r="B106" s="131" t="inlineStr">
        <is>
          <t>Value</t>
        </is>
      </c>
      <c r="C106" s="131" t="inlineStr">
        <is>
          <t>Rating</t>
        </is>
      </c>
      <c r="D106" s="131" t="inlineStr">
        <is>
          <t>Index</t>
        </is>
      </c>
      <c r="E106" s="131" t="inlineStr">
        <is>
          <t>Note</t>
        </is>
      </c>
    </row>
    <row r="107">
      <c r="A107" t="inlineStr">
        <is>
          <t>Agricultural cover</t>
        </is>
      </c>
      <c r="B107" s="132">
        <f>IF('EASI Score'!$J$9="","",'EASI Score'!$J$9)</f>
        <v/>
      </c>
      <c r="C107" s="132">
        <f>IF(NOT(ISNUMBER('EASI Score'!$J$9)),"",IF('EASI Score'!$J$9&lt;30,"Good",IF(AND('EASI Score'!$J$9&gt;=30,'EASI Score'!$J$9&lt;=50),"Fair",IF('EASI Score'!$J$9&gt;50,"Poor",""))))</f>
        <v/>
      </c>
      <c r="D107" s="133">
        <f>IF('Metrics'!$C$107="Good",'Reference'!$B$6,IF('Metrics'!$C$107="Fair",'Reference'!$B$7,IF('Metrics'!$C$107="Poor",'Reference'!$B$8,"")))</f>
        <v/>
      </c>
    </row>
    <row r="108">
      <c r="A108" t="inlineStr">
        <is>
          <t>Soil erodibility K-factor</t>
        </is>
      </c>
      <c r="B108" s="132">
        <f>IF('EASI Score'!$J$31="","",'EASI Score'!$J$31)</f>
        <v/>
      </c>
      <c r="C108" s="132">
        <f>IF(NOT(ISNUMBER('EASI Score'!$J$31)),"",IF('EASI Score'!$J$31&lt;0.25,"Good",IF(AND('EASI Score'!$J$31&gt;=0.25,'EASI Score'!$J$31&lt;=0.4),"Fair",IF('EASI Score'!$J$31&gt;0.4,"Poor",""))))</f>
        <v/>
      </c>
      <c r="D108" s="133">
        <f>IF('Metrics'!$C$108="Good",'Reference'!$B$6,IF('Metrics'!$C$108="Fair",'Reference'!$B$7,IF('Metrics'!$C$108="Poor",'Reference'!$B$8,"")))</f>
        <v/>
      </c>
    </row>
    <row r="109">
      <c r="A109" t="inlineStr">
        <is>
          <t>Road density</t>
        </is>
      </c>
      <c r="B109" s="132">
        <f>IF('EASI Score'!$J$13="","",'EASI Score'!$J$13)</f>
        <v/>
      </c>
      <c r="C109" s="132">
        <f>IF(NOT(ISNUMBER('EASI Score'!$J$13)),"",IF('EASI Score'!$J$13&lt;1.24,"Good",IF(AND('EASI Score'!$J$13&gt;=1.24,'EASI Score'!$J$13&lt;1.86),"Fair",IF('EASI Score'!$J$13&gt;=1.86,"Poor",""))))</f>
        <v/>
      </c>
      <c r="D109" s="133">
        <f>IF('Metrics'!$C$109="Good",'Reference'!$B$6,IF('Metrics'!$C$109="Fair",'Reference'!$B$7,IF('Metrics'!$C$109="Poor",'Reference'!$B$8,"")))</f>
        <v/>
      </c>
    </row>
    <row r="110">
      <c r="A110" t="inlineStr">
        <is>
          <t>Governing input</t>
        </is>
      </c>
      <c r="B110" s="132">
        <f>IF('Metrics'!$B$111="","",INDEX('Metrics'!$A$107:$A$109,MATCH('Metrics'!$B$111,'Metrics'!$D$107:$D$109,0)))</f>
        <v/>
      </c>
    </row>
    <row r="111">
      <c r="A111" t="inlineStr">
        <is>
          <t>Combined rating index (the more limiting input)</t>
        </is>
      </c>
      <c r="B111" s="133">
        <f>IF(COUNT('Metrics'!$D$107:$D$109)&lt;3,"",MIN('Metrics'!$D$107:$D$109))</f>
        <v/>
      </c>
    </row>
    <row r="112">
      <c r="A112" t="inlineStr">
        <is>
          <t>Route that applied</t>
        </is>
      </c>
      <c r="B112" s="132">
        <f>"automatic method"</f>
        <v/>
      </c>
    </row>
    <row r="113">
      <c r="A113" t="inlineStr">
        <is>
          <t>Function rating</t>
        </is>
      </c>
      <c r="C113" s="134">
        <f>IF(NOT(ISNUMBER('Metrics'!$B$111)),"",IF('Metrics'!$B$111='Reference'!$B$6,"Good",IF('Metrics'!$B$111='Reference'!$B$7,"Fair",IF('Metrics'!$B$111='Reference'!$B$8,"Poor",""))))</f>
        <v/>
      </c>
      <c r="D113" s="133">
        <f>IF('Metrics'!$C$113="Good",'Reference'!$B$6,IF('Metrics'!$C$113="Fair",'Reference'!$B$7,IF('Metrics'!$C$113="Poor",'Reference'!$B$8,"")))</f>
        <v/>
      </c>
      <c r="E113" s="135" t="inlineStr">
        <is>
          <t>All three inputs are required.</t>
        </is>
      </c>
    </row>
    <row r="114">
      <c r="A114" t="inlineStr">
        <is>
          <t>Function score (0 to 15)</t>
        </is>
      </c>
      <c r="B114" s="134">
        <f>IF('Metrics'!$C$113="Good",'Reference'!$C$6,IF('Metrics'!$C$113="Fair",'Reference'!$C$7,IF('Metrics'!$C$113="Poor",'Reference'!$C$8,"")))</f>
        <v/>
      </c>
    </row>
    <row r="115">
      <c r="A115" t="inlineStr">
        <is>
          <t>Status</t>
        </is>
      </c>
      <c r="B115" s="132">
        <f>IF(COUNT('Metrics'!$D$107:$D$109)&lt;3,"not rated","complete")</f>
        <v/>
      </c>
    </row>
    <row r="117">
      <c r="A117" s="130" t="inlineStr">
        <is>
          <t>12. Bed composition and large wood</t>
        </is>
      </c>
      <c r="B117" s="7" t="inlineStr">
        <is>
          <t>Substrate condition (watershed-agriculture-share, threshold)</t>
        </is>
      </c>
    </row>
    <row r="118">
      <c r="A118" s="131" t="inlineStr">
        <is>
          <t>Item</t>
        </is>
      </c>
      <c r="B118" s="131" t="inlineStr">
        <is>
          <t>Value</t>
        </is>
      </c>
      <c r="C118" s="131" t="inlineStr">
        <is>
          <t>Rating</t>
        </is>
      </c>
      <c r="D118" s="131" t="inlineStr">
        <is>
          <t>Index</t>
        </is>
      </c>
      <c r="E118" s="131" t="inlineStr">
        <is>
          <t>Note</t>
        </is>
      </c>
    </row>
    <row r="119">
      <c r="A119" t="inlineStr">
        <is>
          <t>Watershed agricultural cover</t>
        </is>
      </c>
      <c r="B119" s="132">
        <f>IF('EASI Score'!$J$9="","",'EASI Score'!$J$9)</f>
        <v/>
      </c>
    </row>
    <row r="120">
      <c r="A120" t="inlineStr">
        <is>
          <t>Route that applied</t>
        </is>
      </c>
      <c r="B120" s="132">
        <f>"automatic method"</f>
        <v/>
      </c>
    </row>
    <row r="121">
      <c r="A121" t="inlineStr">
        <is>
          <t>Function rating</t>
        </is>
      </c>
      <c r="C121" s="134">
        <f>IF(NOT(ISNUMBER('EASI Score'!$J$9)),"",IF('EASI Score'!$J$9&lt;30,"Good",IF(AND('EASI Score'!$J$9&gt;=30,'EASI Score'!$J$9&lt;=50),"Fair",IF('EASI Score'!$J$9&gt;50,"Poor",""))))</f>
        <v/>
      </c>
      <c r="D121" s="133">
        <f>IF('Metrics'!$C$121="Good",'Reference'!$B$6,IF('Metrics'!$C$121="Fair",'Reference'!$B$7,IF('Metrics'!$C$121="Poor",'Reference'!$B$8,"")))</f>
        <v/>
      </c>
      <c r="E121" s="135" t="inlineStr">
        <is>
          <t>Pressure proxy sharing the agriculture input of Catchment hydrology; not a bed measurement.</t>
        </is>
      </c>
    </row>
    <row r="122">
      <c r="A122" t="inlineStr">
        <is>
          <t>Function score (0 to 15)</t>
        </is>
      </c>
      <c r="B122" s="134">
        <f>IF('Metrics'!$C$121="Good",'Reference'!$C$6,IF('Metrics'!$C$121="Fair",'Reference'!$C$7,IF('Metrics'!$C$121="Poor",'Reference'!$C$8,"")))</f>
        <v/>
      </c>
    </row>
    <row r="123">
      <c r="A123" t="inlineStr">
        <is>
          <t>Status</t>
        </is>
      </c>
      <c r="B123" s="132">
        <f>IF('Metrics'!$C$121="","not rated","complete")</f>
        <v/>
      </c>
    </row>
    <row r="125">
      <c r="A125" s="130" t="inlineStr">
        <is>
          <t>13. Light &amp; thermal regime</t>
        </is>
      </c>
      <c r="B125" s="7" t="inlineStr">
        <is>
          <t>Thermal-regulation vulnerability (thermal-regulation-vulnerability, worst_index)</t>
        </is>
      </c>
    </row>
    <row r="126">
      <c r="A126" s="131" t="inlineStr">
        <is>
          <t>Item</t>
        </is>
      </c>
      <c r="B126" s="131" t="inlineStr">
        <is>
          <t>Value</t>
        </is>
      </c>
      <c r="C126" s="131" t="inlineStr">
        <is>
          <t>Rating</t>
        </is>
      </c>
      <c r="D126" s="131" t="inlineStr">
        <is>
          <t>Index</t>
        </is>
      </c>
      <c r="E126" s="131" t="inlineStr">
        <is>
          <t>Note</t>
        </is>
      </c>
    </row>
    <row r="127">
      <c r="A127" s="7" t="inlineStr">
        <is>
          <t>Reference curve used (corridor-woody, nars9, national fallback)</t>
        </is>
      </c>
      <c r="B127" s="132">
        <f>IFERROR(MATCH("corridor-woody|"&amp;'EASI Score'!$K$3,'Reference'!$A$90:$A$123,0),MATCH("corridor-woody|national",'Reference'!$A$90:$A$123,0))</f>
        <v/>
      </c>
      <c r="E127" s="136">
        <f>INDEX('Reference'!$A$90:$A$123,'Metrics'!$B$127)</f>
        <v/>
      </c>
    </row>
    <row r="128">
      <c r="A128" s="7" t="inlineStr">
        <is>
          <t>Curve index (interpolated, 0 to 1; Good at or above 0.69, Fair at or above 0.39)</t>
        </is>
      </c>
      <c r="B128" s="137">
        <f>IF(NOT(ISNUMBER('EASI Score'!$J$34)),"",MAX(0,MIN(1,IF('EASI Score'!$J$34&lt;=INDEX('Reference'!$G$90:$G$123,'Metrics'!$B$127),INDEX('Reference'!$H$90:$H$123,'Metrics'!$B$127),IF('EASI Score'!$J$34&gt;=INDEX('Reference'!$O$90:$O$123,'Metrics'!$B$127),INDEX('Reference'!$P$90:$P$123,'Metrics'!$B$127),IF('EASI Score'!$J$34&lt;=INDEX('Reference'!$I$90:$I$123,'Metrics'!$B$127),INDEX('Reference'!$H$90:$H$123,'Metrics'!$B$127)+(('EASI Score'!$J$34-INDEX('Reference'!$G$90:$G$123,'Metrics'!$B$127))/(INDEX('Reference'!$I$90:$I$123,'Metrics'!$B$127)-INDEX('Reference'!$G$90:$G$123,'Metrics'!$B$127)))*(INDEX('Reference'!$J$90:$J$123,'Metrics'!$B$127)-INDEX('Reference'!$H$90:$H$123,'Metrics'!$B$127)),IF('EASI Score'!$J$34&lt;=INDEX('Reference'!$K$90:$K$123,'Metrics'!$B$127),INDEX('Reference'!$J$90:$J$123,'Metrics'!$B$127)+(('EASI Score'!$J$34-INDEX('Reference'!$I$90:$I$123,'Metrics'!$B$127))/(INDEX('Reference'!$K$90:$K$123,'Metrics'!$B$127)-INDEX('Reference'!$I$90:$I$123,'Metrics'!$B$127)))*(INDEX('Reference'!$L$90:$L$123,'Metrics'!$B$127)-INDEX('Reference'!$J$90:$J$123,'Metrics'!$B$127)),IF('EASI Score'!$J$34&lt;=INDEX('Reference'!$M$90:$M$123,'Metrics'!$B$127),INDEX('Reference'!$L$90:$L$123,'Metrics'!$B$127)+(('EASI Score'!$J$34-INDEX('Reference'!$K$90:$K$123,'Metrics'!$B$127))/(INDEX('Reference'!$M$90:$M$123,'Metrics'!$B$127)-INDEX('Reference'!$K$90:$K$123,'Metrics'!$B$127)))*(INDEX('Reference'!$N$90:$N$123,'Metrics'!$B$127)-INDEX('Reference'!$L$90:$L$123,'Metrics'!$B$127)),INDEX('Reference'!$N$90:$N$123,'Metrics'!$B$127)+(('EASI Score'!$J$34-INDEX('Reference'!$M$90:$M$123,'Metrics'!$B$127))/(INDEX('Reference'!$O$90:$O$123,'Metrics'!$B$127)-INDEX('Reference'!$M$90:$M$123,'Metrics'!$B$127)))*(INDEX('Reference'!$P$90:$P$123,'Metrics'!$B$127)-INDEX('Reference'!$N$90:$N$123,'Metrics'!$B$127))))))))))</f>
        <v/>
      </c>
    </row>
    <row r="129">
      <c r="A129" t="inlineStr">
        <is>
          <t>Woody riparian cover</t>
        </is>
      </c>
      <c r="B129" s="132">
        <f>IF('EASI Score'!$J$34="","",'EASI Score'!$J$34)</f>
        <v/>
      </c>
      <c r="C129" s="132">
        <f>IF(NOT(ISNUMBER('Metrics'!$B$128)),"",IF('Metrics'!$B$128&gt;=0.69,"Good",IF('Metrics'!$B$128&gt;=0.39,"Fair","Poor")))</f>
        <v/>
      </c>
      <c r="D129" s="133">
        <f>IF('Metrics'!$C$129="Good",'Reference'!$B$6,IF('Metrics'!$C$129="Fair",'Reference'!$B$7,IF('Metrics'!$C$129="Poor",'Reference'!$B$8,"")))</f>
        <v/>
      </c>
    </row>
    <row r="130">
      <c r="A130" t="inlineStr">
        <is>
          <t>Watershed impervious cover</t>
        </is>
      </c>
      <c r="B130" s="132">
        <f>IF('EASI Score'!$J$8="","",'EASI Score'!$J$8)</f>
        <v/>
      </c>
      <c r="C130" s="132">
        <f>IF(NOT(ISNUMBER('EASI Score'!$J$8)),"",IF('EASI Score'!$J$8&lt;10,"Good",IF(AND('EASI Score'!$J$8&gt;=10,'EASI Score'!$J$8&lt;=25),"Fair",IF('EASI Score'!$J$8&gt;25,"Poor",""))))</f>
        <v/>
      </c>
      <c r="D130" s="133">
        <f>IF('Metrics'!$C$130="Good",'Reference'!$B$6,IF('Metrics'!$C$130="Fair",'Reference'!$B$7,IF('Metrics'!$C$130="Poor",'Reference'!$B$8,"")))</f>
        <v/>
      </c>
    </row>
    <row r="131">
      <c r="A131" t="inlineStr">
        <is>
          <t>Governing input</t>
        </is>
      </c>
      <c r="B131" s="132">
        <f>IF('Metrics'!$B$132="","",INDEX('Metrics'!$A$129:$A$130,MATCH('Metrics'!$B$132,'Metrics'!$D$129:$D$130,0)))</f>
        <v/>
      </c>
    </row>
    <row r="132">
      <c r="A132" t="inlineStr">
        <is>
          <t>Combined rating index (the more limiting input)</t>
        </is>
      </c>
      <c r="B132" s="133">
        <f>IF(COUNT('Metrics'!$D$129:$D$130)&lt;2,"",MIN('Metrics'!$D$129:$D$130))</f>
        <v/>
      </c>
    </row>
    <row r="133">
      <c r="A133" t="inlineStr">
        <is>
          <t>Route that applied</t>
        </is>
      </c>
      <c r="B133" s="132">
        <f>"automatic method"</f>
        <v/>
      </c>
    </row>
    <row r="134">
      <c r="A134" t="inlineStr">
        <is>
          <t>Function rating</t>
        </is>
      </c>
      <c r="C134" s="134">
        <f>IF(NOT(ISNUMBER('Metrics'!$B$132)),"",IF('Metrics'!$B$132='Reference'!$B$6,"Good",IF('Metrics'!$B$132='Reference'!$B$7,"Fair",IF('Metrics'!$B$132='Reference'!$B$8,"Poor",""))))</f>
        <v/>
      </c>
      <c r="D134" s="133">
        <f>IF('Metrics'!$C$134="Good",'Reference'!$B$6,IF('Metrics'!$C$134="Fair",'Reference'!$B$7,IF('Metrics'!$C$134="Poor",'Reference'!$B$8,"")))</f>
        <v/>
      </c>
      <c r="E134" s="135" t="inlineStr">
        <is>
          <t>Both inputs are required.</t>
        </is>
      </c>
    </row>
    <row r="135">
      <c r="A135" t="inlineStr">
        <is>
          <t>Function score (0 to 15)</t>
        </is>
      </c>
      <c r="B135" s="134">
        <f>IF('Metrics'!$C$134="Good",'Reference'!$C$6,IF('Metrics'!$C$134="Fair",'Reference'!$C$7,IF('Metrics'!$C$134="Poor",'Reference'!$C$8,"")))</f>
        <v/>
      </c>
    </row>
    <row r="136">
      <c r="A136" t="inlineStr">
        <is>
          <t>Status</t>
        </is>
      </c>
      <c r="B136" s="132">
        <f>IF(COUNT('Metrics'!$D$129:$D$130)&lt;2,"not rated","complete")</f>
        <v/>
      </c>
    </row>
    <row r="138">
      <c r="A138" s="130" t="inlineStr">
        <is>
          <t>14. Carbon processing</t>
        </is>
      </c>
      <c r="B138" s="7" t="inlineStr">
        <is>
          <t>Organic-matter supply potential proxy (organic-matter-supply-potential, sum_capped)</t>
        </is>
      </c>
    </row>
    <row r="139">
      <c r="A139" s="131" t="inlineStr">
        <is>
          <t>Item</t>
        </is>
      </c>
      <c r="B139" s="131" t="inlineStr">
        <is>
          <t>Value</t>
        </is>
      </c>
      <c r="C139" s="131" t="inlineStr">
        <is>
          <t>Rating</t>
        </is>
      </c>
      <c r="D139" s="131" t="inlineStr">
        <is>
          <t>Index</t>
        </is>
      </c>
      <c r="E139" s="131" t="inlineStr">
        <is>
          <t>Note</t>
        </is>
      </c>
    </row>
    <row r="140">
      <c r="A140" t="inlineStr">
        <is>
          <t>Riparian forest</t>
        </is>
      </c>
      <c r="B140" s="132">
        <f>IF('EASI Score'!$J$36="","",'EASI Score'!$J$36)</f>
        <v/>
      </c>
    </row>
    <row r="141">
      <c r="A141" t="inlineStr">
        <is>
          <t>Riparian shrub</t>
        </is>
      </c>
      <c r="B141" s="132">
        <f>IF('EASI Score'!$J$37="","",'EASI Score'!$J$37)</f>
        <v/>
      </c>
    </row>
    <row r="142">
      <c r="A142" t="inlineStr">
        <is>
          <t>Riparian grassland</t>
        </is>
      </c>
      <c r="B142" s="132">
        <f>IF('EASI Score'!$J$38="","",'EASI Score'!$J$38)</f>
        <v/>
      </c>
    </row>
    <row r="143">
      <c r="A143" t="inlineStr">
        <is>
          <t>Riparian wetland</t>
        </is>
      </c>
      <c r="B143" s="132">
        <f>IF('EASI Score'!$J$39="","",'EASI Score'!$J$39)</f>
        <v/>
      </c>
    </row>
    <row r="144">
      <c r="A144" t="inlineStr">
        <is>
          <t>Combined value (sum capped at 100)</t>
        </is>
      </c>
      <c r="B144" s="132">
        <f>IF(AND(ISNUMBER('EASI Score'!$J$36),ISNUMBER('EASI Score'!$J$37),ISNUMBER('EASI Score'!$J$38),ISNUMBER('EASI Score'!$J$39)),ROUND(MIN('EASI Score'!$J$36+'EASI Score'!$J$37+'EASI Score'!$J$38+'EASI Score'!$J$39,100),12),"")</f>
        <v/>
      </c>
    </row>
    <row r="145">
      <c r="A145" s="7" t="inlineStr">
        <is>
          <t>Reference curve used (corridor-natural, nars9, national fallback)</t>
        </is>
      </c>
      <c r="B145" s="132">
        <f>IFERROR(MATCH("corridor-natural|"&amp;'EASI Score'!$K$3,'Reference'!$A$90:$A$123,0),MATCH("corridor-natural|national",'Reference'!$A$90:$A$123,0))</f>
        <v/>
      </c>
      <c r="E145" s="136">
        <f>INDEX('Reference'!$A$90:$A$123,'Metrics'!$B$145)</f>
        <v/>
      </c>
    </row>
    <row r="146">
      <c r="A146" s="7" t="inlineStr">
        <is>
          <t>Curve index (interpolated, 0 to 1; Good at or above 0.69, Fair at or above 0.39)</t>
        </is>
      </c>
      <c r="B146" s="137">
        <f>IF(NOT(ISNUMBER('Metrics'!$B$144)),"",MAX(0,MIN(1,IF('Metrics'!$B$144&lt;=INDEX('Reference'!$G$90:$G$123,'Metrics'!$B$145),INDEX('Reference'!$H$90:$H$123,'Metrics'!$B$145),IF('Metrics'!$B$144&gt;=INDEX('Reference'!$O$90:$O$123,'Metrics'!$B$145),INDEX('Reference'!$P$90:$P$123,'Metrics'!$B$145),IF('Metrics'!$B$144&lt;=INDEX('Reference'!$I$90:$I$123,'Metrics'!$B$145),INDEX('Reference'!$H$90:$H$123,'Metrics'!$B$145)+(('Metrics'!$B$144-INDEX('Reference'!$G$90:$G$123,'Metrics'!$B$145))/(INDEX('Reference'!$I$90:$I$123,'Metrics'!$B$145)-INDEX('Reference'!$G$90:$G$123,'Metrics'!$B$145)))*(INDEX('Reference'!$J$90:$J$123,'Metrics'!$B$145)-INDEX('Reference'!$H$90:$H$123,'Metrics'!$B$145)),IF('Metrics'!$B$144&lt;=INDEX('Reference'!$K$90:$K$123,'Metrics'!$B$145),INDEX('Reference'!$J$90:$J$123,'Metrics'!$B$145)+(('Metrics'!$B$144-INDEX('Reference'!$I$90:$I$123,'Metrics'!$B$145))/(INDEX('Reference'!$K$90:$K$123,'Metrics'!$B$145)-INDEX('Reference'!$I$90:$I$123,'Metrics'!$B$145)))*(INDEX('Reference'!$L$90:$L$123,'Metrics'!$B$145)-INDEX('Reference'!$J$90:$J$123,'Metrics'!$B$145)),IF('Metrics'!$B$144&lt;=INDEX('Reference'!$M$90:$M$123,'Metrics'!$B$145),INDEX('Reference'!$L$90:$L$123,'Metrics'!$B$145)+(('Metrics'!$B$144-INDEX('Reference'!$K$90:$K$123,'Metrics'!$B$145))/(INDEX('Reference'!$M$90:$M$123,'Metrics'!$B$145)-INDEX('Reference'!$K$90:$K$123,'Metrics'!$B$145)))*(INDEX('Reference'!$N$90:$N$123,'Metrics'!$B$145)-INDEX('Reference'!$L$90:$L$123,'Metrics'!$B$145)),INDEX('Reference'!$N$90:$N$123,'Metrics'!$B$145)+(('Metrics'!$B$144-INDEX('Reference'!$M$90:$M$123,'Metrics'!$B$145))/(INDEX('Reference'!$O$90:$O$123,'Metrics'!$B$145)-INDEX('Reference'!$M$90:$M$123,'Metrics'!$B$145)))*(INDEX('Reference'!$P$90:$P$123,'Metrics'!$B$145)-INDEX('Reference'!$N$90:$N$123,'Metrics'!$B$145))))))))))</f>
        <v/>
      </c>
    </row>
    <row r="147">
      <c r="A147" t="inlineStr">
        <is>
          <t>Route that applied</t>
        </is>
      </c>
      <c r="B147" s="132">
        <f>"automatic method"</f>
        <v/>
      </c>
    </row>
    <row r="148">
      <c r="A148" t="inlineStr">
        <is>
          <t>Function rating</t>
        </is>
      </c>
      <c r="C148" s="134">
        <f>IF(NOT(ISNUMBER('Metrics'!$B$146)),"",IF('Metrics'!$B$146&gt;=0.69,"Good",IF('Metrics'!$B$146&gt;=0.39,"Fair","Poor")))</f>
        <v/>
      </c>
      <c r="D148" s="133">
        <f>IF('Metrics'!$C$148="Good",'Reference'!$B$6,IF('Metrics'!$C$148="Fair",'Reference'!$B$7,IF('Metrics'!$C$148="Poor",'Reference'!$B$8,"")))</f>
        <v/>
      </c>
      <c r="E148" s="135" t="inlineStr">
        <is>
          <t>All classes are required. A missing class is unknown, not zero.</t>
        </is>
      </c>
    </row>
    <row r="149">
      <c r="A149" t="inlineStr">
        <is>
          <t>Function score (0 to 15)</t>
        </is>
      </c>
      <c r="B149" s="134">
        <f>IF('Metrics'!$C$148="Good",'Reference'!$C$6,IF('Metrics'!$C$148="Fair",'Reference'!$C$7,IF('Metrics'!$C$148="Poor",'Reference'!$C$8,"")))</f>
        <v/>
      </c>
    </row>
    <row r="150">
      <c r="A150" t="inlineStr">
        <is>
          <t>Status</t>
        </is>
      </c>
      <c r="B150" s="132">
        <f>IF('Metrics'!$C$148="","not rated","complete")</f>
        <v/>
      </c>
    </row>
    <row r="152">
      <c r="A152" s="130" t="inlineStr">
        <is>
          <t>15. Nutrient cycling</t>
        </is>
      </c>
      <c r="B152" s="7" t="inlineStr">
        <is>
          <t>Nutrient condition (regional-nutrient-condition, worst_index)</t>
        </is>
      </c>
    </row>
    <row r="153">
      <c r="A153" s="131" t="inlineStr">
        <is>
          <t>Item</t>
        </is>
      </c>
      <c r="B153" s="131" t="inlineStr">
        <is>
          <t>Value</t>
        </is>
      </c>
      <c r="C153" s="131" t="inlineStr">
        <is>
          <t>Rating</t>
        </is>
      </c>
      <c r="D153" s="131" t="inlineStr">
        <is>
          <t>Index</t>
        </is>
      </c>
      <c r="E153" s="131" t="inlineStr">
        <is>
          <t>Note</t>
        </is>
      </c>
    </row>
    <row r="154">
      <c r="A154" t="inlineStr">
        <is>
          <t>Total nitrogen (mg/L)</t>
        </is>
      </c>
      <c r="B154" s="132">
        <f>IF('EASI Score'!$J$41="","",'EASI Score'!$J$41)</f>
        <v/>
      </c>
      <c r="C154" s="132">
        <f>IF(NOT(ISNUMBER('EASI Score'!$J$41)),"",IFERROR(IF('EASI Score'!$J$41&lt;=INDEX('Reference'!$B$127:$B$135,MATCH('EASI Score'!$K$3,'Reference'!$A$127:$A$135,0)),"Good",IF('EASI Score'!$J$41&gt;=INDEX('Reference'!$C$127:$C$135,MATCH('EASI Score'!$K$3,'Reference'!$A$127:$A$135,0)),"Poor","Fair")),""))</f>
        <v/>
      </c>
      <c r="D154" s="133">
        <f>IF('Metrics'!$C$154="Good",'Reference'!$B$6,IF('Metrics'!$C$154="Fair",'Reference'!$B$7,IF('Metrics'!$C$154="Poor",'Reference'!$B$8,"")))</f>
        <v/>
      </c>
    </row>
    <row r="155">
      <c r="A155" t="inlineStr">
        <is>
          <t>Total phosphorus (mg/L)</t>
        </is>
      </c>
      <c r="B155" s="132">
        <f>IF('EASI Score'!$J$42="","",'EASI Score'!$J$42)</f>
        <v/>
      </c>
      <c r="C155" s="132">
        <f>IF(NOT(ISNUMBER('EASI Score'!$J$42)),"",IFERROR(IF('EASI Score'!$J$42&lt;=INDEX('Reference'!$D$127:$D$135,MATCH('EASI Score'!$K$3,'Reference'!$A$127:$A$135,0)),"Good",IF('EASI Score'!$J$42&gt;=INDEX('Reference'!$E$127:$E$135,MATCH('EASI Score'!$K$3,'Reference'!$A$127:$A$135,0)),"Poor","Fair")),""))</f>
        <v/>
      </c>
      <c r="D155" s="133">
        <f>IF('Metrics'!$C$155="Good",'Reference'!$B$6,IF('Metrics'!$C$155="Fair",'Reference'!$B$7,IF('Metrics'!$C$155="Poor",'Reference'!$B$8,"")))</f>
        <v/>
      </c>
    </row>
    <row r="156">
      <c r="A156" t="inlineStr">
        <is>
          <t>CHEM fallback value (lower of catchment and watershed)</t>
        </is>
      </c>
      <c r="B156" s="132">
        <f>IF(AND(ISNUMBER('EASI Score'!$J$43),ISNUMBER('EASI Score'!$J$44)),ROUND(MIN('EASI Score'!$J$43,'EASI Score'!$J$44),12),"")</f>
        <v/>
      </c>
    </row>
    <row r="157">
      <c r="A157" t="inlineStr">
        <is>
          <t>Route that applied</t>
        </is>
      </c>
      <c r="B157" s="132">
        <f>IF(COUNT('Metrics'!$D$154:$D$155)&gt;0,"WQP nutrients with regional thresholds",IF(IF(NOT(ISNUMBER('Metrics'!$B$156)),"",IF('Metrics'!$B$156&lt;0.4,"Poor",IF(AND('Metrics'!$B$156&gt;=0.4,'Metrics'!$B$156&lt;0.7),"Fair",IF('Metrics'!$B$156&gt;=0.7,"Good",""))))="","not rated","CHEM integrity fallback"))</f>
        <v/>
      </c>
    </row>
    <row r="158">
      <c r="A158" t="inlineStr">
        <is>
          <t>Function rating</t>
        </is>
      </c>
      <c r="C158" s="134">
        <f>IF(COUNT('Metrics'!$D$154:$D$155)&gt;0,IF(NOT(ISNUMBER(MIN('Metrics'!$D$154:$D$155))),"",IF(MIN('Metrics'!$D$154:$D$155)='Reference'!$B$6,"Good",IF(MIN('Metrics'!$D$154:$D$155)='Reference'!$B$7,"Fair",IF(MIN('Metrics'!$D$154:$D$155)='Reference'!$B$8,"Poor","")))),IF(NOT(ISNUMBER('Metrics'!$B$156)),"",IF('Metrics'!$B$156&lt;0.4,"Poor",IF(AND('Metrics'!$B$156&gt;=0.4,'Metrics'!$B$156&lt;0.7),"Fair",IF('Metrics'!$B$156&gt;=0.7,"Good","")))))</f>
        <v/>
      </c>
      <c r="D158" s="133">
        <f>IF('Metrics'!$C$158="Good",'Reference'!$B$6,IF('Metrics'!$C$158="Fair",'Reference'!$B$7,IF('Metrics'!$C$158="Poor",'Reference'!$B$8,"")))</f>
        <v/>
      </c>
      <c r="E158" s="135" t="inlineStr">
        <is>
          <t>One rated analyte gives a partial rating; the worse analyte governs. Without a region or observations the CHEM index decides.</t>
        </is>
      </c>
    </row>
    <row r="159">
      <c r="A159" t="inlineStr">
        <is>
          <t>Function score (0 to 15)</t>
        </is>
      </c>
      <c r="B159" s="134">
        <f>IF('Metrics'!$C$158="Good",'Reference'!$C$6,IF('Metrics'!$C$158="Fair",'Reference'!$C$7,IF('Metrics'!$C$158="Poor",'Reference'!$C$8,"")))</f>
        <v/>
      </c>
    </row>
    <row r="160">
      <c r="A160" t="inlineStr">
        <is>
          <t>Status</t>
        </is>
      </c>
      <c r="B160" s="132">
        <f>IF(COUNT('Metrics'!$D$154:$D$155)&gt;0,IF(COUNT('Metrics'!$D$154:$D$155)&lt;2,"partial","complete"),IF(IF(NOT(ISNUMBER('Metrics'!$B$156)),"",IF('Metrics'!$B$156&lt;0.4,"Poor",IF(AND('Metrics'!$B$156&gt;=0.4,'Metrics'!$B$156&lt;0.7),"Fair",IF('Metrics'!$B$156&gt;=0.7,"Good",""))))="","not rated","complete"))</f>
        <v/>
      </c>
    </row>
    <row r="162">
      <c r="A162" s="130" t="inlineStr">
        <is>
          <t>16. Water &amp; soil quality</t>
        </is>
      </c>
      <c r="B162" s="7" t="inlineStr">
        <is>
          <t>Regulatory impairment (attains-regulatory-category, categorical_lookup)</t>
        </is>
      </c>
    </row>
    <row r="163">
      <c r="A163" s="131" t="inlineStr">
        <is>
          <t>Item</t>
        </is>
      </c>
      <c r="B163" s="131" t="inlineStr">
        <is>
          <t>Value</t>
        </is>
      </c>
      <c r="C163" s="131" t="inlineStr">
        <is>
          <t>Rating</t>
        </is>
      </c>
      <c r="D163" s="131" t="inlineStr">
        <is>
          <t>Index</t>
        </is>
      </c>
      <c r="E163" s="131" t="inlineStr">
        <is>
          <t>Note</t>
        </is>
      </c>
    </row>
    <row r="164">
      <c r="A164" t="inlineStr">
        <is>
          <t>ATTAINS category</t>
        </is>
      </c>
      <c r="B164" s="132">
        <f>IF('EASI Score'!$J$45="","",'EASI Score'!$J$45)</f>
        <v/>
      </c>
      <c r="C164" s="132">
        <f>IF('EASI Score'!$J$45="","",IFERROR(IF(INDEX('Reference'!$B$139:$B$145,MATCH(SUBSTITUTE(UPPER(TRIM('EASI Score'!$J$45&amp;""))," ",""),'Reference'!$A$139:$A$145,0))="none","",INDEX('Reference'!$B$139:$B$145,MATCH(SUBSTITUTE(UPPER(TRIM('EASI Score'!$J$45&amp;""))," ",""),'Reference'!$A$139:$A$145,0))),""))</f>
        <v/>
      </c>
      <c r="D164" s="133">
        <f>IF('Metrics'!$C$164="Good",'Reference'!$B$6,IF('Metrics'!$C$164="Fair",'Reference'!$B$7,IF('Metrics'!$C$164="Poor",'Reference'!$B$8,"")))</f>
        <v/>
      </c>
    </row>
    <row r="165">
      <c r="A165" t="inlineStr">
        <is>
          <t>CHEM fallback value (lower of catchment and watershed)</t>
        </is>
      </c>
      <c r="B165" s="132">
        <f>IF(AND(ISNUMBER('EASI Score'!$J$43),ISNUMBER('EASI Score'!$J$44)),ROUND(MIN('EASI Score'!$J$43,'EASI Score'!$J$44),12),"")</f>
        <v/>
      </c>
    </row>
    <row r="166">
      <c r="A166" t="inlineStr">
        <is>
          <t>Route that applied</t>
        </is>
      </c>
      <c r="B166" s="132">
        <f>IF('Metrics'!$C$164&lt;&gt;"","ATTAINS category",IF(IF(NOT(ISNUMBER('Metrics'!$B$165)),"",IF('Metrics'!$B$165&lt;0.4,"Poor",IF(AND('Metrics'!$B$165&gt;=0.4,'Metrics'!$B$165&lt;0.7),"Fair",IF('Metrics'!$B$165&gt;=0.7,"Good",""))))="","not rated","CHEM integrity fallback"))</f>
        <v/>
      </c>
    </row>
    <row r="167">
      <c r="A167" t="inlineStr">
        <is>
          <t>Function rating</t>
        </is>
      </c>
      <c r="C167" s="134">
        <f>IF('Metrics'!$C$164&lt;&gt;"",'Metrics'!$C$164,IF(NOT(ISNUMBER('Metrics'!$B$165)),"",IF('Metrics'!$B$165&lt;0.4,"Poor",IF(AND('Metrics'!$B$165&gt;=0.4,'Metrics'!$B$165&lt;0.7),"Fair",IF('Metrics'!$B$165&gt;=0.7,"Good","")))))</f>
        <v/>
      </c>
      <c r="D167" s="133">
        <f>IF('Metrics'!$C$167="Good",'Reference'!$B$6,IF('Metrics'!$C$167="Fair",'Reference'!$B$7,IF('Metrics'!$C$167="Poor",'Reference'!$B$8,"")))</f>
        <v/>
      </c>
      <c r="E167" s="135" t="inlineStr">
        <is>
          <t>Categories 1 and 2 Good, 4A and 4B Fair, 4C and 5 Poor; category 3 and a blank fall back.</t>
        </is>
      </c>
    </row>
    <row r="168">
      <c r="A168" t="inlineStr">
        <is>
          <t>Function score (0 to 15)</t>
        </is>
      </c>
      <c r="B168" s="134">
        <f>IF('Metrics'!$C$167="Good",'Reference'!$C$6,IF('Metrics'!$C$167="Fair",'Reference'!$C$7,IF('Metrics'!$C$167="Poor",'Reference'!$C$8,"")))</f>
        <v/>
      </c>
    </row>
    <row r="169">
      <c r="A169" t="inlineStr">
        <is>
          <t>Status</t>
        </is>
      </c>
      <c r="B169" s="132">
        <f>IF('Metrics'!$C$167="","not rated","complete")</f>
        <v/>
      </c>
    </row>
    <row r="171">
      <c r="A171" s="130" t="inlineStr">
        <is>
          <t>17. Habitat provision</t>
        </is>
      </c>
      <c r="B171" s="7" t="inlineStr">
        <is>
          <t>Habitat-support potential (woody riparian corridor) (habitat-support-potential, threshold)</t>
        </is>
      </c>
    </row>
    <row r="172">
      <c r="A172" s="131" t="inlineStr">
        <is>
          <t>Item</t>
        </is>
      </c>
      <c r="B172" s="131" t="inlineStr">
        <is>
          <t>Value</t>
        </is>
      </c>
      <c r="C172" s="131" t="inlineStr">
        <is>
          <t>Rating</t>
        </is>
      </c>
      <c r="D172" s="131" t="inlineStr">
        <is>
          <t>Index</t>
        </is>
      </c>
      <c r="E172" s="131" t="inlineStr">
        <is>
          <t>Note</t>
        </is>
      </c>
    </row>
    <row r="173">
      <c r="A173" t="inlineStr">
        <is>
          <t>Woody riparian cover</t>
        </is>
      </c>
      <c r="B173" s="132">
        <f>IF('EASI Score'!$J$34="","",'EASI Score'!$J$34)</f>
        <v/>
      </c>
    </row>
    <row r="174">
      <c r="A174" t="inlineStr">
        <is>
          <t>Reach sinuosity (context only)</t>
        </is>
      </c>
      <c r="B174" s="132">
        <f>IF('EASI Score'!$J$22="","",'EASI Score'!$J$22)</f>
        <v/>
      </c>
    </row>
    <row r="175">
      <c r="A175" s="7" t="inlineStr">
        <is>
          <t>Reference curve used (corridor-woody, nars9, national fallback)</t>
        </is>
      </c>
      <c r="B175" s="132">
        <f>IFERROR(MATCH("corridor-woody|"&amp;'EASI Score'!$K$3,'Reference'!$A$90:$A$123,0),MATCH("corridor-woody|national",'Reference'!$A$90:$A$123,0))</f>
        <v/>
      </c>
      <c r="E175" s="136">
        <f>INDEX('Reference'!$A$90:$A$123,'Metrics'!$B$175)</f>
        <v/>
      </c>
    </row>
    <row r="176">
      <c r="A176" s="7" t="inlineStr">
        <is>
          <t>Curve index (interpolated, 0 to 1; Good at or above 0.69, Fair at or above 0.39)</t>
        </is>
      </c>
      <c r="B176" s="137">
        <f>IF(NOT(ISNUMBER('EASI Score'!$J$34)),"",MAX(0,MIN(1,IF('EASI Score'!$J$34&lt;=INDEX('Reference'!$G$90:$G$123,'Metrics'!$B$175),INDEX('Reference'!$H$90:$H$123,'Metrics'!$B$175),IF('EASI Score'!$J$34&gt;=INDEX('Reference'!$O$90:$O$123,'Metrics'!$B$175),INDEX('Reference'!$P$90:$P$123,'Metrics'!$B$175),IF('EASI Score'!$J$34&lt;=INDEX('Reference'!$I$90:$I$123,'Metrics'!$B$175),INDEX('Reference'!$H$90:$H$123,'Metrics'!$B$175)+(('EASI Score'!$J$34-INDEX('Reference'!$G$90:$G$123,'Metrics'!$B$175))/(INDEX('Reference'!$I$90:$I$123,'Metrics'!$B$175)-INDEX('Reference'!$G$90:$G$123,'Metrics'!$B$175)))*(INDEX('Reference'!$J$90:$J$123,'Metrics'!$B$175)-INDEX('Reference'!$H$90:$H$123,'Metrics'!$B$175)),IF('EASI Score'!$J$34&lt;=INDEX('Reference'!$K$90:$K$123,'Metrics'!$B$175),INDEX('Reference'!$J$90:$J$123,'Metrics'!$B$175)+(('EASI Score'!$J$34-INDEX('Reference'!$I$90:$I$123,'Metrics'!$B$175))/(INDEX('Reference'!$K$90:$K$123,'Metrics'!$B$175)-INDEX('Reference'!$I$90:$I$123,'Metrics'!$B$175)))*(INDEX('Reference'!$L$90:$L$123,'Metrics'!$B$175)-INDEX('Reference'!$J$90:$J$123,'Metrics'!$B$175)),IF('EASI Score'!$J$34&lt;=INDEX('Reference'!$M$90:$M$123,'Metrics'!$B$175),INDEX('Reference'!$L$90:$L$123,'Metrics'!$B$175)+(('EASI Score'!$J$34-INDEX('Reference'!$K$90:$K$123,'Metrics'!$B$175))/(INDEX('Reference'!$M$90:$M$123,'Metrics'!$B$175)-INDEX('Reference'!$K$90:$K$123,'Metrics'!$B$175)))*(INDEX('Reference'!$N$90:$N$123,'Metrics'!$B$175)-INDEX('Reference'!$L$90:$L$123,'Metrics'!$B$175)),INDEX('Reference'!$N$90:$N$123,'Metrics'!$B$175)+(('EASI Score'!$J$34-INDEX('Reference'!$M$90:$M$123,'Metrics'!$B$175))/(INDEX('Reference'!$O$90:$O$123,'Metrics'!$B$175)-INDEX('Reference'!$M$90:$M$123,'Metrics'!$B$175)))*(INDEX('Reference'!$P$90:$P$123,'Metrics'!$B$175)-INDEX('Reference'!$N$90:$N$123,'Metrics'!$B$175))))))))))</f>
        <v/>
      </c>
    </row>
    <row r="177">
      <c r="A177" t="inlineStr">
        <is>
          <t>Route that applied</t>
        </is>
      </c>
      <c r="B177" s="132">
        <f>"automatic method"</f>
        <v/>
      </c>
    </row>
    <row r="178">
      <c r="A178" t="inlineStr">
        <is>
          <t>Function rating</t>
        </is>
      </c>
      <c r="C178" s="134">
        <f>IF(NOT(ISNUMBER('Metrics'!$B$176)),"",IF('Metrics'!$B$176&gt;=0.69,"Good",IF('Metrics'!$B$176&gt;=0.39,"Fair","Poor")))</f>
        <v/>
      </c>
      <c r="D178" s="133">
        <f>IF('Metrics'!$C$178="Good",'Reference'!$B$6,IF('Metrics'!$C$178="Fair",'Reference'!$B$7,IF('Metrics'!$C$178="Poor",'Reference'!$B$8,"")))</f>
        <v/>
      </c>
      <c r="E178" s="135" t="inlineStr">
        <is>
          <t>Rated on the regional woody-corridor curve, national fallback.</t>
        </is>
      </c>
    </row>
    <row r="179">
      <c r="A179" t="inlineStr">
        <is>
          <t>Function score (0 to 15)</t>
        </is>
      </c>
      <c r="B179" s="134">
        <f>IF('Metrics'!$C$178="Good",'Reference'!$C$6,IF('Metrics'!$C$178="Fair",'Reference'!$C$7,IF('Metrics'!$C$178="Poor",'Reference'!$C$8,"")))</f>
        <v/>
      </c>
    </row>
    <row r="180">
      <c r="A180" t="inlineStr">
        <is>
          <t>Status</t>
        </is>
      </c>
      <c r="B180" s="132">
        <f>IF('Metrics'!$C$178="","not rated","complete")</f>
        <v/>
      </c>
    </row>
    <row r="182">
      <c r="A182" s="130" t="inlineStr">
        <is>
          <t>18. Population support</t>
        </is>
      </c>
      <c r="B182" s="7" t="inlineStr">
        <is>
          <t>Biological integrity (streamcat-prg-bmmi, threshold)</t>
        </is>
      </c>
    </row>
    <row r="183">
      <c r="A183" s="131" t="inlineStr">
        <is>
          <t>Item</t>
        </is>
      </c>
      <c r="B183" s="131" t="inlineStr">
        <is>
          <t>Value</t>
        </is>
      </c>
      <c r="C183" s="131" t="inlineStr">
        <is>
          <t>Rating</t>
        </is>
      </c>
      <c r="D183" s="131" t="inlineStr">
        <is>
          <t>Index</t>
        </is>
      </c>
      <c r="E183" s="131" t="inlineStr">
        <is>
          <t>Note</t>
        </is>
      </c>
    </row>
    <row r="184">
      <c r="A184" t="inlineStr">
        <is>
          <t>Predicted probability of Good BMMI condition</t>
        </is>
      </c>
      <c r="B184" s="132">
        <f>IF('EASI Score'!$J$49="","",'EASI Score'!$J$49)</f>
        <v/>
      </c>
      <c r="C184" s="132">
        <f>IF(AND(ISNUMBER('EASI Score'!$J$49),'EASI Score'!$J$49&gt;=0,'EASI Score'!$J$49&lt;=1),IF(NOT(ISNUMBER('EASI Score'!$J$49)),"",IF('EASI Score'!$J$49&lt;0.25,"Poor",IF(AND('EASI Score'!$J$49&gt;=0.25,'EASI Score'!$J$49&lt;0.5),"Fair",IF('EASI Score'!$J$49&gt;=0.5,"Good","")))),"")</f>
        <v/>
      </c>
      <c r="D184" s="133">
        <f>IF('Metrics'!$C$184="Good",'Reference'!$B$6,IF('Metrics'!$C$184="Fair",'Reference'!$B$7,IF('Metrics'!$C$184="Poor",'Reference'!$B$8,"")))</f>
        <v/>
      </c>
    </row>
    <row r="185">
      <c r="A185" t="inlineStr">
        <is>
          <t>ICI (product of six ci components)</t>
        </is>
      </c>
      <c r="B185" s="137">
        <f>IF(AND(ISNUMBER('EASI Score'!$J$50),ISNUMBER('EASI Score'!$J$43),ISNUMBER('EASI Score'!$J$51),ISNUMBER('EASI Score'!$J$52),ISNUMBER('EASI Score'!$J$53),ISNUMBER('EASI Score'!$J$54)),PRODUCT('EASI Score'!$J$50,'EASI Score'!$J$43,'EASI Score'!$J$51,'EASI Score'!$J$52,'EASI Score'!$J$53,'EASI Score'!$J$54),"")</f>
        <v/>
      </c>
    </row>
    <row r="186">
      <c r="A186" t="inlineStr">
        <is>
          <t>IWI (product of six wi components)</t>
        </is>
      </c>
      <c r="B186" s="137">
        <f>IF(AND(ISNUMBER('EASI Score'!$J$56),ISNUMBER('EASI Score'!$J$44),ISNUMBER('EASI Score'!$J$57),ISNUMBER('EASI Score'!$J$58),ISNUMBER('EASI Score'!$J$59),ISNUMBER('EASI Score'!$J$60)),PRODUCT('EASI Score'!$J$56,'EASI Score'!$J$44,'EASI Score'!$J$57,'EASI Score'!$J$58,'EASI Score'!$J$59,'EASI Score'!$J$60),"")</f>
        <v/>
      </c>
    </row>
    <row r="187">
      <c r="A187" t="inlineStr">
        <is>
          <t>Fallback value (lower of ICI and IWI)</t>
        </is>
      </c>
      <c r="B187" s="137">
        <f>IF(AND(ISNUMBER('Metrics'!$B$185),ISNUMBER('Metrics'!$B$186)),ROUND(MIN('Metrics'!$B$185,'Metrics'!$B$186),12),"")</f>
        <v/>
      </c>
    </row>
    <row r="188">
      <c r="A188" t="inlineStr">
        <is>
          <t>Route that applied</t>
        </is>
      </c>
      <c r="B188" s="132">
        <f>IF('Metrics'!$C$184&lt;&gt;"","published benthic model",IF(IF(NOT(ISNUMBER('Metrics'!$B$187)),"",IF('Metrics'!$B$187&lt;0.4,"Poor",IF(AND('Metrics'!$B$187&gt;=0.4,'Metrics'!$B$187&lt;0.7),"Fair",IF('Metrics'!$B$187&gt;=0.7,"Good",""))))="","not rated","ICI/IWI integrity fallback"))</f>
        <v/>
      </c>
    </row>
    <row r="189">
      <c r="A189" t="inlineStr">
        <is>
          <t>Function rating</t>
        </is>
      </c>
      <c r="C189" s="134">
        <f>IF('Metrics'!$C$184&lt;&gt;"",'Metrics'!$C$184,IF(NOT(ISNUMBER('Metrics'!$B$187)),"",IF('Metrics'!$B$187&lt;0.4,"Poor",IF(AND('Metrics'!$B$187&gt;=0.4,'Metrics'!$B$187&lt;0.7),"Fair",IF('Metrics'!$B$187&gt;=0.7,"Good","")))))</f>
        <v/>
      </c>
      <c r="D189" s="133">
        <f>IF('Metrics'!$C$189="Good",'Reference'!$B$6,IF('Metrics'!$C$189="Fair",'Reference'!$B$7,IF('Metrics'!$C$189="Poor",'Reference'!$B$8,"")))</f>
        <v/>
      </c>
      <c r="E189" s="135" t="inlineStr">
        <is>
          <t>The model probability governs when present; otherwise all twelve integrity components.</t>
        </is>
      </c>
    </row>
    <row r="190">
      <c r="A190" t="inlineStr">
        <is>
          <t>Function score (0 to 15)</t>
        </is>
      </c>
      <c r="B190" s="134">
        <f>IF('Metrics'!$C$189="Good",'Reference'!$C$6,IF('Metrics'!$C$189="Fair",'Reference'!$C$7,IF('Metrics'!$C$189="Poor",'Reference'!$C$8,"")))</f>
        <v/>
      </c>
    </row>
    <row r="191">
      <c r="A191" t="inlineStr">
        <is>
          <t>Status</t>
        </is>
      </c>
      <c r="B191" s="132">
        <f>IF('Metrics'!$C$189="","not rated","complete")</f>
        <v/>
      </c>
    </row>
    <row r="193">
      <c r="A193" s="130" t="inlineStr">
        <is>
          <t>19. Community dynamics</t>
        </is>
      </c>
      <c r="B193" s="7" t="inlineStr">
        <is>
          <t>Invasive-species pressure (nas-established-taxa-count, threshold)</t>
        </is>
      </c>
    </row>
    <row r="194">
      <c r="A194" s="131" t="inlineStr">
        <is>
          <t>Item</t>
        </is>
      </c>
      <c r="B194" s="131" t="inlineStr">
        <is>
          <t>Value</t>
        </is>
      </c>
      <c r="C194" s="131" t="inlineStr">
        <is>
          <t>Rating</t>
        </is>
      </c>
      <c r="D194" s="131" t="inlineStr">
        <is>
          <t>Index</t>
        </is>
      </c>
      <c r="E194" s="131" t="inlineStr">
        <is>
          <t>Note</t>
        </is>
      </c>
    </row>
    <row r="195">
      <c r="A195" t="inlineStr">
        <is>
          <t>Established NAS taxa count</t>
        </is>
      </c>
      <c r="B195" s="132">
        <f>IF('EASI Score'!$J$64="","",'EASI Score'!$J$64)</f>
        <v/>
      </c>
    </row>
    <row r="196">
      <c r="A196" t="inlineStr">
        <is>
          <t>Route that applied</t>
        </is>
      </c>
      <c r="B196" s="132">
        <f>"automatic method"</f>
        <v/>
      </c>
    </row>
    <row r="197">
      <c r="A197" t="inlineStr">
        <is>
          <t>Function rating</t>
        </is>
      </c>
      <c r="C197" s="134">
        <f>IF(NOT(ISNUMBER('EASI Score'!$J$64)),"",IF(AND('EASI Score'!$J$64&gt;=0,'EASI Score'!$J$64&lt;=0),"Good",IF(AND('EASI Score'!$J$64&gt;=1,'EASI Score'!$J$64&lt;=2),"Fair",IF('EASI Score'!$J$64&gt;=3,"Poor",""))))</f>
        <v/>
      </c>
      <c r="D197" s="133">
        <f>IF('Metrics'!$C$197="Good",'Reference'!$B$6,IF('Metrics'!$C$197="Fair",'Reference'!$B$7,IF('Metrics'!$C$197="Poor",'Reference'!$B$8,"")))</f>
        <v/>
      </c>
      <c r="E197" s="135" t="inlineStr">
        <is>
          <t>Whole counts only; a fraction or a negative count is unrated.</t>
        </is>
      </c>
    </row>
    <row r="198">
      <c r="A198" t="inlineStr">
        <is>
          <t>Function score (0 to 15)</t>
        </is>
      </c>
      <c r="B198" s="134">
        <f>IF('Metrics'!$C$197="Good",'Reference'!$C$6,IF('Metrics'!$C$197="Fair",'Reference'!$C$7,IF('Metrics'!$C$197="Poor",'Reference'!$C$8,"")))</f>
        <v/>
      </c>
    </row>
    <row r="199">
      <c r="A199" t="inlineStr">
        <is>
          <t>Status</t>
        </is>
      </c>
      <c r="B199" s="132">
        <f>IF('Metrics'!$C$197="","not rated","complete")</f>
        <v/>
      </c>
    </row>
    <row r="201">
      <c r="A201" s="130" t="inlineStr">
        <is>
          <t>20. Watershed connectivity</t>
        </is>
      </c>
      <c r="B201" s="7" t="inlineStr">
        <is>
          <t>Nearby dam-proximity proxy (nearby-dam-proximity, threshold)</t>
        </is>
      </c>
    </row>
    <row r="202">
      <c r="A202" s="131" t="inlineStr">
        <is>
          <t>Item</t>
        </is>
      </c>
      <c r="B202" s="131" t="inlineStr">
        <is>
          <t>Value</t>
        </is>
      </c>
      <c r="C202" s="131" t="inlineStr">
        <is>
          <t>Rating</t>
        </is>
      </c>
      <c r="D202" s="131" t="inlineStr">
        <is>
          <t>Index</t>
        </is>
      </c>
      <c r="E202" s="131" t="inlineStr">
        <is>
          <t>Note</t>
        </is>
      </c>
    </row>
    <row r="203">
      <c r="A203" t="inlineStr">
        <is>
          <t>Mapped NID dams within one mile</t>
        </is>
      </c>
      <c r="B203" s="132">
        <f>IF('EASI Score'!$J$65="","",'EASI Score'!$J$65)</f>
        <v/>
      </c>
    </row>
    <row r="204">
      <c r="A204" t="inlineStr">
        <is>
          <t>Route that applied</t>
        </is>
      </c>
      <c r="B204" s="132">
        <f>"automatic method"</f>
        <v/>
      </c>
    </row>
    <row r="205">
      <c r="A205" t="inlineStr">
        <is>
          <t>Function rating</t>
        </is>
      </c>
      <c r="C205" s="134">
        <f>IF(NOT(ISNUMBER('EASI Score'!$J$65)),"",IF(AND('EASI Score'!$J$65&gt;=0,'EASI Score'!$J$65&lt;=0),"Good",IF(AND('EASI Score'!$J$65&gt;=1,'EASI Score'!$J$65&lt;=1),"Fair",IF('EASI Score'!$J$65&gt;=2,"Poor",""))))</f>
        <v/>
      </c>
      <c r="D205" s="133">
        <f>IF('Metrics'!$C$205="Good",'Reference'!$B$6,IF('Metrics'!$C$205="Fair",'Reference'!$B$7,IF('Metrics'!$C$205="Poor",'Reference'!$B$8,"")))</f>
        <v/>
      </c>
      <c r="E205" s="135" t="inlineStr">
        <is>
          <t>Whole counts only.</t>
        </is>
      </c>
    </row>
    <row r="206">
      <c r="A206" t="inlineStr">
        <is>
          <t>Function score (0 to 15)</t>
        </is>
      </c>
      <c r="B206" s="134">
        <f>IF('Metrics'!$C$205="Good",'Reference'!$C$6,IF('Metrics'!$C$205="Fair",'Reference'!$C$7,IF('Metrics'!$C$205="Poor",'Reference'!$C$8,"")))</f>
        <v/>
      </c>
    </row>
    <row r="207">
      <c r="A207" t="inlineStr">
        <is>
          <t>Status</t>
        </is>
      </c>
      <c r="B207" s="132">
        <f>IF('Metrics'!$C$205="","not rated","complete")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7"/>
  <sheetViews>
    <sheetView tabSelected="0" workbookViewId="0">
      <pane ySplit="4" topLeftCell="A5" activePane="bottomLeft" state="frozen"/>
      <selection pane="bottomLeft" activeCell="A1" sqref="A1"/>
    </sheetView>
  </sheetViews>
  <sheetFormatPr baseColWidth="8" defaultRowHeight="15"/>
  <cols>
    <col width="34" customWidth="1" min="1" max="1"/>
    <col width="14" customWidth="1" min="2" max="2"/>
    <col width="44" customWidth="1" min="3" max="3"/>
    <col width="12" customWidth="1" min="4" max="4"/>
    <col width="10" customWidth="1" min="5" max="5"/>
    <col width="20" customWidth="1" min="6" max="6"/>
    <col width="10" customWidth="1" min="7" max="7"/>
    <col width="10" customWidth="1" min="8" max="8"/>
    <col width="10" customWidth="1" min="9" max="9"/>
    <col width="10" customWidth="1" min="10" max="10"/>
    <col width="8" customWidth="1" min="11" max="11"/>
    <col width="40" customWidth="1" min="12" max="12"/>
  </cols>
  <sheetData>
    <row r="1">
      <c r="A1" s="129" t="inlineStr">
        <is>
          <t>EASI calculator: results</t>
        </is>
      </c>
    </row>
    <row r="2">
      <c r="A2" s="7" t="inlineStr">
        <is>
          <t>Engine sheet (hidden). Function scores, outcome sub-indices and the Ecosystem Condition Index, computed with the STAF rollup: unrated functions leave both the numerator and the denominator. The EASI Score sheet displays these cells.</t>
        </is>
      </c>
    </row>
    <row r="4">
      <c r="A4" s="131" t="inlineStr">
        <is>
          <t>Function</t>
        </is>
      </c>
      <c r="B4" s="131" t="inlineStr">
        <is>
          <t>Discipline</t>
        </is>
      </c>
      <c r="C4" s="131" t="inlineStr">
        <is>
          <t>Metric</t>
        </is>
      </c>
      <c r="D4" s="131" t="inlineStr">
        <is>
          <t>Rating</t>
        </is>
      </c>
      <c r="E4" s="131" t="inlineStr">
        <is>
          <t>Score</t>
        </is>
      </c>
      <c r="F4" s="131" t="inlineStr">
        <is>
          <t>Class</t>
        </is>
      </c>
      <c r="G4" s="131" t="inlineStr">
        <is>
          <t>Physical</t>
        </is>
      </c>
      <c r="H4" s="131" t="inlineStr">
        <is>
          <t>Chemical</t>
        </is>
      </c>
      <c r="I4" s="131" t="inlineStr">
        <is>
          <t>Biological</t>
        </is>
      </c>
      <c r="J4" s="131" t="inlineStr">
        <is>
          <t>Score or 0</t>
        </is>
      </c>
      <c r="K4" s="131" t="inlineStr">
        <is>
          <t>Rated</t>
        </is>
      </c>
      <c r="L4" s="131" t="inlineStr">
        <is>
          <t>Route</t>
        </is>
      </c>
    </row>
    <row r="5">
      <c r="A5" t="inlineStr">
        <is>
          <t>Catchment hydrology</t>
        </is>
      </c>
      <c r="B5" t="inlineStr">
        <is>
          <t>Hydrology</t>
        </is>
      </c>
      <c r="C5" t="inlineStr">
        <is>
          <t>Watershed Land-Cover Pressure</t>
        </is>
      </c>
      <c r="D5" s="132">
        <f>'Metrics'!$C$11</f>
        <v/>
      </c>
      <c r="E5" s="132">
        <f>'Metrics'!$B$12</f>
        <v/>
      </c>
      <c r="F5" s="132">
        <f>IF(NOT(ISNUMBER('Results'!$E$5)),"Not assessed",IF('Results'!$E$5&lt;=5,"Non-Functioning",IF('Results'!$E$5&lt;=10,"Functioning-at-Risk","Functioning")))</f>
        <v/>
      </c>
      <c r="G5" t="n">
        <v>1</v>
      </c>
      <c r="H5" t="n">
        <v>0.1</v>
      </c>
      <c r="I5" t="n">
        <v>0.1</v>
      </c>
      <c r="J5" s="132">
        <f>IF(ISNUMBER('Results'!$E$5),'Results'!$E$5,0)</f>
        <v/>
      </c>
      <c r="K5" s="132">
        <f>IF(ISNUMBER('Results'!$E$5),1,0)</f>
        <v/>
      </c>
      <c r="L5" s="132">
        <f>'Metrics'!$B$10</f>
        <v/>
      </c>
    </row>
    <row r="6">
      <c r="A6" t="inlineStr">
        <is>
          <t>Surface water storage</t>
        </is>
      </c>
      <c r="B6" t="inlineStr">
        <is>
          <t>Hydrology</t>
        </is>
      </c>
      <c r="C6" t="inlineStr">
        <is>
          <t>Percent Wetlands in Watershed</t>
        </is>
      </c>
      <c r="D6" s="132">
        <f>'Metrics'!$C$21</f>
        <v/>
      </c>
      <c r="E6" s="132">
        <f>'Metrics'!$B$22</f>
        <v/>
      </c>
      <c r="F6" s="132">
        <f>IF(NOT(ISNUMBER('Results'!$E$6)),"Not assessed",IF('Results'!$E$6&lt;=5,"Non-Functioning",IF('Results'!$E$6&lt;=10,"Functioning-at-Risk","Functioning")))</f>
        <v/>
      </c>
      <c r="G6" t="n">
        <v>1</v>
      </c>
      <c r="H6" t="n">
        <v>0.1</v>
      </c>
      <c r="I6" t="n">
        <v>0.1</v>
      </c>
      <c r="J6" s="132">
        <f>IF(ISNUMBER('Results'!$E$6),'Results'!$E$6,0)</f>
        <v/>
      </c>
      <c r="K6" s="132">
        <f>IF(ISNUMBER('Results'!$E$6),1,0)</f>
        <v/>
      </c>
      <c r="L6" s="132">
        <f>'Metrics'!$B$20</f>
        <v/>
      </c>
    </row>
    <row r="7">
      <c r="A7" t="inlineStr">
        <is>
          <t>Reach inflow</t>
        </is>
      </c>
      <c r="B7" t="inlineStr">
        <is>
          <t>Hydrology</t>
        </is>
      </c>
      <c r="C7" t="inlineStr">
        <is>
          <t>Concentrated Runoff / Stormwater Inputs</t>
        </is>
      </c>
      <c r="D7" s="132">
        <f>'Metrics'!$C$29</f>
        <v/>
      </c>
      <c r="E7" s="132">
        <f>'Metrics'!$B$30</f>
        <v/>
      </c>
      <c r="F7" s="132">
        <f>IF(NOT(ISNUMBER('Results'!$E$7)),"Not assessed",IF('Results'!$E$7&lt;=5,"Non-Functioning",IF('Results'!$E$7&lt;=10,"Functioning-at-Risk","Functioning")))</f>
        <v/>
      </c>
      <c r="G7" t="n">
        <v>1</v>
      </c>
      <c r="H7" t="n">
        <v>0.1</v>
      </c>
      <c r="I7" t="n">
        <v>0.1</v>
      </c>
      <c r="J7" s="132">
        <f>IF(ISNUMBER('Results'!$E$7),'Results'!$E$7,0)</f>
        <v/>
      </c>
      <c r="K7" s="132">
        <f>IF(ISNUMBER('Results'!$E$7),1,0)</f>
        <v/>
      </c>
      <c r="L7" s="132">
        <f>'Metrics'!$B$28</f>
        <v/>
      </c>
    </row>
    <row r="8">
      <c r="A8" t="inlineStr">
        <is>
          <t>Streamflow regime</t>
        </is>
      </c>
      <c r="B8" t="inlineStr">
        <is>
          <t>Hydrology</t>
        </is>
      </c>
      <c r="C8" t="inlineStr">
        <is>
          <t>Flow Alteration (Regulation / Water Use)</t>
        </is>
      </c>
      <c r="D8" s="132">
        <f>'Metrics'!$C$39</f>
        <v/>
      </c>
      <c r="E8" s="132">
        <f>'Metrics'!$B$40</f>
        <v/>
      </c>
      <c r="F8" s="132">
        <f>IF(NOT(ISNUMBER('Results'!$E$8)),"Not assessed",IF('Results'!$E$8&lt;=5,"Non-Functioning",IF('Results'!$E$8&lt;=10,"Functioning-at-Risk","Functioning")))</f>
        <v/>
      </c>
      <c r="G8" t="n">
        <v>1</v>
      </c>
      <c r="H8" t="n">
        <v>0.1</v>
      </c>
      <c r="I8" t="n">
        <v>0.1</v>
      </c>
      <c r="J8" s="132">
        <f>IF(ISNUMBER('Results'!$E$8),'Results'!$E$8,0)</f>
        <v/>
      </c>
      <c r="K8" s="132">
        <f>IF(ISNUMBER('Results'!$E$8),1,0)</f>
        <v/>
      </c>
      <c r="L8" s="132">
        <f>'Metrics'!$B$38</f>
        <v/>
      </c>
    </row>
    <row r="9">
      <c r="A9" t="inlineStr">
        <is>
          <t>Low flow and baseflow dynamics</t>
        </is>
      </c>
      <c r="B9" t="inlineStr">
        <is>
          <t>Hydraulics</t>
        </is>
      </c>
      <c r="C9" t="inlineStr">
        <is>
          <t>Low-flow Wetted Connectivity</t>
        </is>
      </c>
      <c r="D9" s="132">
        <f>'Metrics'!$C$50</f>
        <v/>
      </c>
      <c r="E9" s="132">
        <f>'Metrics'!$B$51</f>
        <v/>
      </c>
      <c r="F9" s="132">
        <f>IF(NOT(ISNUMBER('Results'!$E$9)),"Not assessed",IF('Results'!$E$9&lt;=5,"Non-Functioning",IF('Results'!$E$9&lt;=10,"Functioning-at-Risk","Functioning")))</f>
        <v/>
      </c>
      <c r="G9" t="n">
        <v>1</v>
      </c>
      <c r="H9" t="n">
        <v>0.1</v>
      </c>
      <c r="I9" t="n">
        <v>0.1</v>
      </c>
      <c r="J9" s="132">
        <f>IF(ISNUMBER('Results'!$E$9),'Results'!$E$9,0)</f>
        <v/>
      </c>
      <c r="K9" s="132">
        <f>IF(ISNUMBER('Results'!$E$9),1,0)</f>
        <v/>
      </c>
      <c r="L9" s="132">
        <f>'Metrics'!$B$49</f>
        <v/>
      </c>
    </row>
    <row r="10">
      <c r="A10" t="inlineStr">
        <is>
          <t>High flow dynamics</t>
        </is>
      </c>
      <c r="B10" t="inlineStr">
        <is>
          <t>Hydraulics</t>
        </is>
      </c>
      <c r="C10" t="inlineStr">
        <is>
          <t>Floodplain Engagement Frequency (bankfull recurrence)</t>
        </is>
      </c>
      <c r="D10" s="132">
        <f>'Metrics'!$C$58</f>
        <v/>
      </c>
      <c r="E10" s="132">
        <f>'Metrics'!$B$59</f>
        <v/>
      </c>
      <c r="F10" s="132">
        <f>IF(NOT(ISNUMBER('Results'!$E$10)),"Not assessed",IF('Results'!$E$10&lt;=5,"Non-Functioning",IF('Results'!$E$10&lt;=10,"Functioning-at-Risk","Functioning")))</f>
        <v/>
      </c>
      <c r="G10" t="n">
        <v>1</v>
      </c>
      <c r="H10" t="n">
        <v>0.1</v>
      </c>
      <c r="I10" t="n">
        <v>0.1</v>
      </c>
      <c r="J10" s="132">
        <f>IF(ISNUMBER('Results'!$E$10),'Results'!$E$10,0)</f>
        <v/>
      </c>
      <c r="K10" s="132">
        <f>IF(ISNUMBER('Results'!$E$10),1,0)</f>
        <v/>
      </c>
      <c r="L10" s="132">
        <f>'Metrics'!$B$57</f>
        <v/>
      </c>
    </row>
    <row r="11">
      <c r="A11" t="inlineStr">
        <is>
          <t>Floodplain connectivity</t>
        </is>
      </c>
      <c r="B11" t="inlineStr">
        <is>
          <t>Hydraulics</t>
        </is>
      </c>
      <c r="C11" t="inlineStr">
        <is>
          <t>Floodplain Access / Entrenchment</t>
        </is>
      </c>
      <c r="D11" s="132">
        <f>'Metrics'!$C$68</f>
        <v/>
      </c>
      <c r="E11" s="132">
        <f>'Metrics'!$B$69</f>
        <v/>
      </c>
      <c r="F11" s="132">
        <f>IF(NOT(ISNUMBER('Results'!$E$11)),"Not assessed",IF('Results'!$E$11&lt;=5,"Non-Functioning",IF('Results'!$E$11&lt;=10,"Functioning-at-Risk","Functioning")))</f>
        <v/>
      </c>
      <c r="G11" t="n">
        <v>1</v>
      </c>
      <c r="H11" t="n">
        <v>0.1</v>
      </c>
      <c r="I11" t="n">
        <v>0.1</v>
      </c>
      <c r="J11" s="132">
        <f>IF(ISNUMBER('Results'!$E$11),'Results'!$E$11,0)</f>
        <v/>
      </c>
      <c r="K11" s="132">
        <f>IF(ISNUMBER('Results'!$E$11),1,0)</f>
        <v/>
      </c>
      <c r="L11" s="132">
        <f>'Metrics'!$B$67</f>
        <v/>
      </c>
    </row>
    <row r="12">
      <c r="A12" t="inlineStr">
        <is>
          <t>Hyporheic connectivity</t>
        </is>
      </c>
      <c r="B12" t="inlineStr">
        <is>
          <t>Hydraulics</t>
        </is>
      </c>
      <c r="C12" t="inlineStr">
        <is>
          <t>Hyporheic Exchange Indicators</t>
        </is>
      </c>
      <c r="D12" s="132">
        <f>'Metrics'!$C$79</f>
        <v/>
      </c>
      <c r="E12" s="132">
        <f>'Metrics'!$B$80</f>
        <v/>
      </c>
      <c r="F12" s="132">
        <f>IF(NOT(ISNUMBER('Results'!$E$12)),"Not assessed",IF('Results'!$E$12&lt;=5,"Non-Functioning",IF('Results'!$E$12&lt;=10,"Functioning-at-Risk","Functioning")))</f>
        <v/>
      </c>
      <c r="G12" t="n">
        <v>1</v>
      </c>
      <c r="H12" t="n">
        <v>0.1</v>
      </c>
      <c r="I12" t="n">
        <v>0.1</v>
      </c>
      <c r="J12" s="132">
        <f>IF(ISNUMBER('Results'!$E$12),'Results'!$E$12,0)</f>
        <v/>
      </c>
      <c r="K12" s="132">
        <f>IF(ISNUMBER('Results'!$E$12),1,0)</f>
        <v/>
      </c>
      <c r="L12" s="132">
        <f>'Metrics'!$B$78</f>
        <v/>
      </c>
    </row>
    <row r="13">
      <c r="A13" t="inlineStr">
        <is>
          <t>Channel evolution</t>
        </is>
      </c>
      <c r="B13" t="inlineStr">
        <is>
          <t>Geomorphology</t>
        </is>
      </c>
      <c r="C13" t="inlineStr">
        <is>
          <t>Channel Evolution Stage &amp; Trends</t>
        </is>
      </c>
      <c r="D13" s="132">
        <f>'Metrics'!$C$91</f>
        <v/>
      </c>
      <c r="E13" s="132">
        <f>'Metrics'!$B$92</f>
        <v/>
      </c>
      <c r="F13" s="132">
        <f>IF(NOT(ISNUMBER('Results'!$E$13)),"Not assessed",IF('Results'!$E$13&lt;=5,"Non-Functioning",IF('Results'!$E$13&lt;=10,"Functioning-at-Risk","Functioning")))</f>
        <v/>
      </c>
      <c r="G13" t="n">
        <v>1</v>
      </c>
      <c r="H13" t="n">
        <v>0.1</v>
      </c>
      <c r="I13" t="n">
        <v>0.1</v>
      </c>
      <c r="J13" s="132">
        <f>IF(ISNUMBER('Results'!$E$13),'Results'!$E$13,0)</f>
        <v/>
      </c>
      <c r="K13" s="132">
        <f>IF(ISNUMBER('Results'!$E$13),1,0)</f>
        <v/>
      </c>
      <c r="L13" s="132">
        <f>'Metrics'!$B$90</f>
        <v/>
      </c>
    </row>
    <row r="14">
      <c r="A14" t="inlineStr">
        <is>
          <t>Channel and floodplain dynamics</t>
        </is>
      </c>
      <c r="B14" t="inlineStr">
        <is>
          <t>Geomorphology</t>
        </is>
      </c>
      <c r="C14" t="inlineStr">
        <is>
          <t>Bank Erosion &amp; Armoring Condition</t>
        </is>
      </c>
      <c r="D14" s="132">
        <f>'Metrics'!$C$101</f>
        <v/>
      </c>
      <c r="E14" s="132">
        <f>'Metrics'!$B$102</f>
        <v/>
      </c>
      <c r="F14" s="132">
        <f>IF(NOT(ISNUMBER('Results'!$E$14)),"Not assessed",IF('Results'!$E$14&lt;=5,"Non-Functioning",IF('Results'!$E$14&lt;=10,"Functioning-at-Risk","Functioning")))</f>
        <v/>
      </c>
      <c r="G14" t="n">
        <v>1</v>
      </c>
      <c r="H14" t="n">
        <v>0.1</v>
      </c>
      <c r="I14" t="n">
        <v>0.1</v>
      </c>
      <c r="J14" s="132">
        <f>IF(ISNUMBER('Results'!$E$14),'Results'!$E$14,0)</f>
        <v/>
      </c>
      <c r="K14" s="132">
        <f>IF(ISNUMBER('Results'!$E$14),1,0)</f>
        <v/>
      </c>
      <c r="L14" s="132">
        <f>'Metrics'!$B$100</f>
        <v/>
      </c>
    </row>
    <row r="15">
      <c r="A15" t="inlineStr">
        <is>
          <t>Sediment continuity</t>
        </is>
      </c>
      <c r="B15" t="inlineStr">
        <is>
          <t>Geomorphology</t>
        </is>
      </c>
      <c r="C15" t="inlineStr">
        <is>
          <t>Sediment Supply Potential (watershed/banks)</t>
        </is>
      </c>
      <c r="D15" s="132">
        <f>'Metrics'!$C$113</f>
        <v/>
      </c>
      <c r="E15" s="132">
        <f>'Metrics'!$B$114</f>
        <v/>
      </c>
      <c r="F15" s="132">
        <f>IF(NOT(ISNUMBER('Results'!$E$15)),"Not assessed",IF('Results'!$E$15&lt;=5,"Non-Functioning",IF('Results'!$E$15&lt;=10,"Functioning-at-Risk","Functioning")))</f>
        <v/>
      </c>
      <c r="G15" t="n">
        <v>1</v>
      </c>
      <c r="H15" t="n">
        <v>0.1</v>
      </c>
      <c r="I15" t="n">
        <v>0.1</v>
      </c>
      <c r="J15" s="132">
        <f>IF(ISNUMBER('Results'!$E$15),'Results'!$E$15,0)</f>
        <v/>
      </c>
      <c r="K15" s="132">
        <f>IF(ISNUMBER('Results'!$E$15),1,0)</f>
        <v/>
      </c>
      <c r="L15" s="132">
        <f>'Metrics'!$B$112</f>
        <v/>
      </c>
    </row>
    <row r="16">
      <c r="A16" t="inlineStr">
        <is>
          <t>Bed composition and large wood</t>
        </is>
      </c>
      <c r="B16" t="inlineStr">
        <is>
          <t>Geomorphology</t>
        </is>
      </c>
      <c r="C16" t="inlineStr">
        <is>
          <t>Substrate Condition (grain size/embeddedness/fines/consolidation)</t>
        </is>
      </c>
      <c r="D16" s="132">
        <f>'Metrics'!$C$121</f>
        <v/>
      </c>
      <c r="E16" s="132">
        <f>'Metrics'!$B$122</f>
        <v/>
      </c>
      <c r="F16" s="132">
        <f>IF(NOT(ISNUMBER('Results'!$E$16)),"Not assessed",IF('Results'!$E$16&lt;=5,"Non-Functioning",IF('Results'!$E$16&lt;=10,"Functioning-at-Risk","Functioning")))</f>
        <v/>
      </c>
      <c r="G16" t="n">
        <v>1</v>
      </c>
      <c r="H16" t="n">
        <v>0.1</v>
      </c>
      <c r="I16" t="n">
        <v>0.1</v>
      </c>
      <c r="J16" s="132">
        <f>IF(ISNUMBER('Results'!$E$16),'Results'!$E$16,0)</f>
        <v/>
      </c>
      <c r="K16" s="132">
        <f>IF(ISNUMBER('Results'!$E$16),1,0)</f>
        <v/>
      </c>
      <c r="L16" s="132">
        <f>'Metrics'!$B$120</f>
        <v/>
      </c>
    </row>
    <row r="17">
      <c r="A17" t="inlineStr">
        <is>
          <t>Light &amp; thermal regime</t>
        </is>
      </c>
      <c r="B17" t="inlineStr">
        <is>
          <t>Physicochemistry</t>
        </is>
      </c>
      <c r="C17" t="inlineStr">
        <is>
          <t>Stream Temperature</t>
        </is>
      </c>
      <c r="D17" s="132">
        <f>'Metrics'!$C$134</f>
        <v/>
      </c>
      <c r="E17" s="132">
        <f>'Metrics'!$B$135</f>
        <v/>
      </c>
      <c r="F17" s="132">
        <f>IF(NOT(ISNUMBER('Results'!$E$17)),"Not assessed",IF('Results'!$E$17&lt;=5,"Non-Functioning",IF('Results'!$E$17&lt;=10,"Functioning-at-Risk","Functioning")))</f>
        <v/>
      </c>
      <c r="G17" t="n">
        <v>0</v>
      </c>
      <c r="H17" t="n">
        <v>1</v>
      </c>
      <c r="I17" t="n">
        <v>0.1</v>
      </c>
      <c r="J17" s="132">
        <f>IF(ISNUMBER('Results'!$E$17),'Results'!$E$17,0)</f>
        <v/>
      </c>
      <c r="K17" s="132">
        <f>IF(ISNUMBER('Results'!$E$17),1,0)</f>
        <v/>
      </c>
      <c r="L17" s="132">
        <f>'Metrics'!$B$133</f>
        <v/>
      </c>
    </row>
    <row r="18">
      <c r="A18" t="inlineStr">
        <is>
          <t>Carbon processing</t>
        </is>
      </c>
      <c r="B18" t="inlineStr">
        <is>
          <t>Physicochemistry</t>
        </is>
      </c>
      <c r="C18" t="inlineStr">
        <is>
          <t>Detrital Processing (CPOM retention / shredders)</t>
        </is>
      </c>
      <c r="D18" s="132">
        <f>'Metrics'!$C$148</f>
        <v/>
      </c>
      <c r="E18" s="132">
        <f>'Metrics'!$B$149</f>
        <v/>
      </c>
      <c r="F18" s="132">
        <f>IF(NOT(ISNUMBER('Results'!$E$18)),"Not assessed",IF('Results'!$E$18&lt;=5,"Non-Functioning",IF('Results'!$E$18&lt;=10,"Functioning-at-Risk","Functioning")))</f>
        <v/>
      </c>
      <c r="G18" t="n">
        <v>0</v>
      </c>
      <c r="H18" t="n">
        <v>1</v>
      </c>
      <c r="I18" t="n">
        <v>0.1</v>
      </c>
      <c r="J18" s="132">
        <f>IF(ISNUMBER('Results'!$E$18),'Results'!$E$18,0)</f>
        <v/>
      </c>
      <c r="K18" s="132">
        <f>IF(ISNUMBER('Results'!$E$18),1,0)</f>
        <v/>
      </c>
      <c r="L18" s="132">
        <f>'Metrics'!$B$147</f>
        <v/>
      </c>
    </row>
    <row r="19">
      <c r="A19" t="inlineStr">
        <is>
          <t>Nutrient cycling</t>
        </is>
      </c>
      <c r="B19" t="inlineStr">
        <is>
          <t>Physicochemistry</t>
        </is>
      </c>
      <c r="C19" t="inlineStr">
        <is>
          <t>Nitrogen &amp; Phosphorus Concentrations</t>
        </is>
      </c>
      <c r="D19" s="132">
        <f>'Metrics'!$C$158</f>
        <v/>
      </c>
      <c r="E19" s="132">
        <f>'Metrics'!$B$159</f>
        <v/>
      </c>
      <c r="F19" s="132">
        <f>IF(NOT(ISNUMBER('Results'!$E$19)),"Not assessed",IF('Results'!$E$19&lt;=5,"Non-Functioning",IF('Results'!$E$19&lt;=10,"Functioning-at-Risk","Functioning")))</f>
        <v/>
      </c>
      <c r="G19" t="n">
        <v>0.1</v>
      </c>
      <c r="H19" t="n">
        <v>1</v>
      </c>
      <c r="I19" t="n">
        <v>0.1</v>
      </c>
      <c r="J19" s="132">
        <f>IF(ISNUMBER('Results'!$E$19),'Results'!$E$19,0)</f>
        <v/>
      </c>
      <c r="K19" s="132">
        <f>IF(ISNUMBER('Results'!$E$19),1,0)</f>
        <v/>
      </c>
      <c r="L19" s="132">
        <f>'Metrics'!$B$157</f>
        <v/>
      </c>
    </row>
    <row r="20">
      <c r="A20" t="inlineStr">
        <is>
          <t>Water &amp; soil quality</t>
        </is>
      </c>
      <c r="B20" t="inlineStr">
        <is>
          <t>Physicochemistry</t>
        </is>
      </c>
      <c r="C20" t="inlineStr">
        <is>
          <t>Regulatory Impairment Status (305b/303d/TMDL)</t>
        </is>
      </c>
      <c r="D20" s="132">
        <f>'Metrics'!$C$167</f>
        <v/>
      </c>
      <c r="E20" s="132">
        <f>'Metrics'!$B$168</f>
        <v/>
      </c>
      <c r="F20" s="132">
        <f>IF(NOT(ISNUMBER('Results'!$E$20)),"Not assessed",IF('Results'!$E$20&lt;=5,"Non-Functioning",IF('Results'!$E$20&lt;=10,"Functioning-at-Risk","Functioning")))</f>
        <v/>
      </c>
      <c r="G20" t="n">
        <v>0.1</v>
      </c>
      <c r="H20" t="n">
        <v>1</v>
      </c>
      <c r="I20" t="n">
        <v>0.1</v>
      </c>
      <c r="J20" s="132">
        <f>IF(ISNUMBER('Results'!$E$20),'Results'!$E$20,0)</f>
        <v/>
      </c>
      <c r="K20" s="132">
        <f>IF(ISNUMBER('Results'!$E$20),1,0)</f>
        <v/>
      </c>
      <c r="L20" s="132">
        <f>'Metrics'!$B$166</f>
        <v/>
      </c>
    </row>
    <row r="21">
      <c r="A21" t="inlineStr">
        <is>
          <t>Habitat provision</t>
        </is>
      </c>
      <c r="B21" t="inlineStr">
        <is>
          <t>Biology</t>
        </is>
      </c>
      <c r="C21" t="inlineStr">
        <is>
          <t>In-stream Habitat Complexity &amp; Cover</t>
        </is>
      </c>
      <c r="D21" s="132">
        <f>'Metrics'!$C$178</f>
        <v/>
      </c>
      <c r="E21" s="132">
        <f>'Metrics'!$B$179</f>
        <v/>
      </c>
      <c r="F21" s="132">
        <f>IF(NOT(ISNUMBER('Results'!$E$21)),"Not assessed",IF('Results'!$E$21&lt;=5,"Non-Functioning",IF('Results'!$E$21&lt;=10,"Functioning-at-Risk","Functioning")))</f>
        <v/>
      </c>
      <c r="G21" t="n">
        <v>0</v>
      </c>
      <c r="H21" t="n">
        <v>0</v>
      </c>
      <c r="I21" t="n">
        <v>1</v>
      </c>
      <c r="J21" s="132">
        <f>IF(ISNUMBER('Results'!$E$21),'Results'!$E$21,0)</f>
        <v/>
      </c>
      <c r="K21" s="132">
        <f>IF(ISNUMBER('Results'!$E$21),1,0)</f>
        <v/>
      </c>
      <c r="L21" s="132">
        <f>'Metrics'!$B$177</f>
        <v/>
      </c>
    </row>
    <row r="22">
      <c r="A22" t="inlineStr">
        <is>
          <t>Population support</t>
        </is>
      </c>
      <c r="B22" t="inlineStr">
        <is>
          <t>Biology</t>
        </is>
      </c>
      <c r="C22" t="inlineStr">
        <is>
          <t>Biological Integrity (IBI / community condition)</t>
        </is>
      </c>
      <c r="D22" s="132">
        <f>'Metrics'!$C$189</f>
        <v/>
      </c>
      <c r="E22" s="132">
        <f>'Metrics'!$B$190</f>
        <v/>
      </c>
      <c r="F22" s="132">
        <f>IF(NOT(ISNUMBER('Results'!$E$22)),"Not assessed",IF('Results'!$E$22&lt;=5,"Non-Functioning",IF('Results'!$E$22&lt;=10,"Functioning-at-Risk","Functioning")))</f>
        <v/>
      </c>
      <c r="G22" t="n">
        <v>0.1</v>
      </c>
      <c r="H22" t="n">
        <v>0.1</v>
      </c>
      <c r="I22" t="n">
        <v>1</v>
      </c>
      <c r="J22" s="132">
        <f>IF(ISNUMBER('Results'!$E$22),'Results'!$E$22,0)</f>
        <v/>
      </c>
      <c r="K22" s="132">
        <f>IF(ISNUMBER('Results'!$E$22),1,0)</f>
        <v/>
      </c>
      <c r="L22" s="132">
        <f>'Metrics'!$B$188</f>
        <v/>
      </c>
    </row>
    <row r="23">
      <c r="A23" t="inlineStr">
        <is>
          <t>Community dynamics</t>
        </is>
      </c>
      <c r="B23" t="inlineStr">
        <is>
          <t>Biology</t>
        </is>
      </c>
      <c r="C23" t="inlineStr">
        <is>
          <t>Invasive / Non-native Species Presence</t>
        </is>
      </c>
      <c r="D23" s="132">
        <f>'Metrics'!$C$197</f>
        <v/>
      </c>
      <c r="E23" s="132">
        <f>'Metrics'!$B$198</f>
        <v/>
      </c>
      <c r="F23" s="132">
        <f>IF(NOT(ISNUMBER('Results'!$E$23)),"Not assessed",IF('Results'!$E$23&lt;=5,"Non-Functioning",IF('Results'!$E$23&lt;=10,"Functioning-at-Risk","Functioning")))</f>
        <v/>
      </c>
      <c r="G23" t="n">
        <v>0.1</v>
      </c>
      <c r="H23" t="n">
        <v>0.1</v>
      </c>
      <c r="I23" t="n">
        <v>1</v>
      </c>
      <c r="J23" s="132">
        <f>IF(ISNUMBER('Results'!$E$23),'Results'!$E$23,0)</f>
        <v/>
      </c>
      <c r="K23" s="132">
        <f>IF(ISNUMBER('Results'!$E$23),1,0)</f>
        <v/>
      </c>
      <c r="L23" s="132">
        <f>'Metrics'!$B$196</f>
        <v/>
      </c>
    </row>
    <row r="24">
      <c r="A24" t="inlineStr">
        <is>
          <t>Watershed connectivity</t>
        </is>
      </c>
      <c r="B24" t="inlineStr">
        <is>
          <t>Biology</t>
        </is>
      </c>
      <c r="C24" t="inlineStr">
        <is>
          <t>Fish Passage &amp; Barrier Effects (longitudinal connectivity)</t>
        </is>
      </c>
      <c r="D24" s="132">
        <f>'Metrics'!$C$205</f>
        <v/>
      </c>
      <c r="E24" s="132">
        <f>'Metrics'!$B$206</f>
        <v/>
      </c>
      <c r="F24" s="132">
        <f>IF(NOT(ISNUMBER('Results'!$E$24)),"Not assessed",IF('Results'!$E$24&lt;=5,"Non-Functioning",IF('Results'!$E$24&lt;=10,"Functioning-at-Risk","Functioning")))</f>
        <v/>
      </c>
      <c r="G24" t="n">
        <v>0.1</v>
      </c>
      <c r="H24" t="n">
        <v>0</v>
      </c>
      <c r="I24" t="n">
        <v>1</v>
      </c>
      <c r="J24" s="132">
        <f>IF(ISNUMBER('Results'!$E$24),'Results'!$E$24,0)</f>
        <v/>
      </c>
      <c r="K24" s="132">
        <f>IF(ISNUMBER('Results'!$E$24),1,0)</f>
        <v/>
      </c>
      <c r="L24" s="132">
        <f>'Metrics'!$B$204</f>
        <v/>
      </c>
    </row>
    <row r="26">
      <c r="A26" s="131" t="inlineStr">
        <is>
          <t>Outcome</t>
        </is>
      </c>
      <c r="B26" s="131" t="inlineStr">
        <is>
          <t>Weighted score</t>
        </is>
      </c>
      <c r="C26" s="131" t="inlineStr">
        <is>
          <t>Weighted maximum</t>
        </is>
      </c>
      <c r="D26" s="131" t="inlineStr">
        <is>
          <t>Sub-index</t>
        </is>
      </c>
      <c r="E26" s="131" t="inlineStr">
        <is>
          <t>Displayed</t>
        </is>
      </c>
      <c r="F26" s="131" t="inlineStr">
        <is>
          <t>Class</t>
        </is>
      </c>
      <c r="G26" s="131" t="inlineStr">
        <is>
          <t>Coverage</t>
        </is>
      </c>
    </row>
    <row r="27">
      <c r="A27" t="inlineStr">
        <is>
          <t>Physical</t>
        </is>
      </c>
      <c r="B27" s="132">
        <f>SUMPRODUCT('Results'!$J$5:$J$24,'Results'!$G$5:$G$24,'Results'!$K$5:$K$24)</f>
        <v/>
      </c>
      <c r="C27" s="132">
        <f>SUMPRODUCT('Results'!$G$5:$G$24,'Results'!$K$5:$K$24)*15</f>
        <v/>
      </c>
      <c r="D27" s="138">
        <f>IF('Results'!$C$27=0,"",'Results'!$B$27/'Results'!$C$27)</f>
        <v/>
      </c>
      <c r="E27" s="139">
        <f>IF('Results'!$D$27="","",ROUND('Results'!$D$27,2))</f>
        <v/>
      </c>
      <c r="F27" s="132">
        <f>IF('Results'!$E$27="","Not assessed",IF('Results'!$E$27&lt;=0.39,"Non-Functioning",IF('Results'!$E$27&lt;=0.69,"Functioning-at-Risk","Functioning")))</f>
        <v/>
      </c>
      <c r="G27" s="139">
        <f>IF(SUMPRODUCT('Results'!$G$5:$G$24)=0,"",SUMPRODUCT('Results'!$G$5:$G$24,'Results'!$K$5:$K$24)/SUMPRODUCT('Results'!$G$5:$G$24))</f>
        <v/>
      </c>
    </row>
    <row r="28">
      <c r="A28" t="inlineStr">
        <is>
          <t>Chemical</t>
        </is>
      </c>
      <c r="B28" s="132">
        <f>SUMPRODUCT('Results'!$J$5:$J$24,'Results'!$H$5:$H$24,'Results'!$K$5:$K$24)</f>
        <v/>
      </c>
      <c r="C28" s="132">
        <f>SUMPRODUCT('Results'!$H$5:$H$24,'Results'!$K$5:$K$24)*15</f>
        <v/>
      </c>
      <c r="D28" s="138">
        <f>IF('Results'!$C$28=0,"",'Results'!$B$28/'Results'!$C$28)</f>
        <v/>
      </c>
      <c r="E28" s="139">
        <f>IF('Results'!$D$28="","",ROUND('Results'!$D$28,2))</f>
        <v/>
      </c>
      <c r="F28" s="132">
        <f>IF('Results'!$E$28="","Not assessed",IF('Results'!$E$28&lt;=0.39,"Non-Functioning",IF('Results'!$E$28&lt;=0.69,"Functioning-at-Risk","Functioning")))</f>
        <v/>
      </c>
      <c r="G28" s="139">
        <f>IF(SUMPRODUCT('Results'!$H$5:$H$24)=0,"",SUMPRODUCT('Results'!$H$5:$H$24,'Results'!$K$5:$K$24)/SUMPRODUCT('Results'!$H$5:$H$24))</f>
        <v/>
      </c>
    </row>
    <row r="29">
      <c r="A29" t="inlineStr">
        <is>
          <t>Biological</t>
        </is>
      </c>
      <c r="B29" s="132">
        <f>SUMPRODUCT('Results'!$J$5:$J$24,'Results'!$I$5:$I$24,'Results'!$K$5:$K$24)</f>
        <v/>
      </c>
      <c r="C29" s="132">
        <f>SUMPRODUCT('Results'!$I$5:$I$24,'Results'!$K$5:$K$24)*15</f>
        <v/>
      </c>
      <c r="D29" s="138">
        <f>IF('Results'!$C$29=0,"",'Results'!$B$29/'Results'!$C$29)</f>
        <v/>
      </c>
      <c r="E29" s="139">
        <f>IF('Results'!$D$29="","",ROUND('Results'!$D$29,2))</f>
        <v/>
      </c>
      <c r="F29" s="132">
        <f>IF('Results'!$E$29="","Not assessed",IF('Results'!$E$29&lt;=0.39,"Non-Functioning",IF('Results'!$E$29&lt;=0.69,"Functioning-at-Risk","Functioning")))</f>
        <v/>
      </c>
      <c r="G29" s="139">
        <f>IF(SUMPRODUCT('Results'!$I$5:$I$24)=0,"",SUMPRODUCT('Results'!$I$5:$I$24,'Results'!$K$5:$K$24)/SUMPRODUCT('Results'!$I$5:$I$24))</f>
        <v/>
      </c>
    </row>
    <row r="30">
      <c r="A30" s="140" t="inlineStr">
        <is>
          <t>Ecosystem Condition Index</t>
        </is>
      </c>
      <c r="D30" s="141">
        <f>IF(COUNT('Results'!$D$27,'Results'!$D$28,'Results'!$D$29)=0,"",AVERAGE('Results'!$D$27,'Results'!$D$28,'Results'!$D$29))</f>
        <v/>
      </c>
      <c r="E30" s="142">
        <f>IF('Results'!$D$30="","",ROUND('Results'!$D$30,2))</f>
        <v/>
      </c>
      <c r="F30" s="134">
        <f>IF('Results'!$E$30="","Not assessed",IF('Results'!$E$30&lt;=0.39,"Non-Functioning",IF('Results'!$E$30&lt;=0.69,"Functioning-at-Risk","Functioning")))</f>
        <v/>
      </c>
    </row>
    <row r="32">
      <c r="A32" s="131" t="inlineStr">
        <is>
          <t>Coverage</t>
        </is>
      </c>
      <c r="B32" s="131" t="inlineStr">
        <is>
          <t>Value</t>
        </is>
      </c>
      <c r="C32" s="131" t="inlineStr"/>
      <c r="D32" s="131" t="inlineStr"/>
      <c r="E32" s="131" t="inlineStr"/>
      <c r="F32" s="131" t="inlineStr"/>
      <c r="G32" s="131" t="inlineStr"/>
    </row>
    <row r="33">
      <c r="A33" t="inlineStr">
        <is>
          <t>Functions rated</t>
        </is>
      </c>
      <c r="B33" s="132">
        <f>SUM('Results'!$K$5:$K$24)</f>
        <v/>
      </c>
    </row>
    <row r="34">
      <c r="A34" t="inlineStr">
        <is>
          <t>Functions selected</t>
        </is>
      </c>
      <c r="B34" s="132" t="n">
        <v>20</v>
      </c>
    </row>
    <row r="35">
      <c r="A35" t="inlineStr">
        <is>
          <t>Overall coverage</t>
        </is>
      </c>
      <c r="B35" s="139">
        <f>'Results'!$B$33/'Results'!$B$34</f>
        <v/>
      </c>
    </row>
    <row r="36">
      <c r="A36" t="inlineStr">
        <is>
          <t>Provisional (coverage below 0.70 overall or for an outcome)</t>
        </is>
      </c>
      <c r="B36" s="132">
        <f>IF(OR(AND(ISNUMBER('Results'!$B$35),'Results'!$B$35&lt;0.7),AND(ISNUMBER('Results'!$G$27),'Results'!$G$27&lt;0.7),AND(ISNUMBER('Results'!$G$28),'Results'!$G$28&lt;0.7),AND(ISNUMBER('Results'!$G$29),'Results'!$G$29&lt;0.7)),"yes","no")</f>
        <v/>
      </c>
    </row>
    <row r="37">
      <c r="A37" t="inlineStr">
        <is>
          <t>Status</t>
        </is>
      </c>
      <c r="B37" s="132">
        <f>IF('Results'!$B$35=1,"Complete screening coverage","Partial screening coverage")</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181"/>
  <sheetViews>
    <sheetView showGridLines="0" tabSelected="0" workbookViewId="0">
      <selection activeCell="A1" sqref="A1"/>
    </sheetView>
  </sheetViews>
  <sheetFormatPr baseColWidth="8" defaultRowHeight="15"/>
  <cols>
    <col width="34" customWidth="1" min="1" max="1"/>
    <col width="16" customWidth="1" min="2" max="2"/>
    <col width="16" customWidth="1" min="3" max="3"/>
    <col width="14" customWidth="1" min="4" max="4"/>
    <col width="12" customWidth="1" min="5" max="5"/>
    <col width="12" customWidth="1" min="6" max="6"/>
  </cols>
  <sheetData>
    <row r="1">
      <c r="A1" s="129" t="inlineStr">
        <is>
          <t>Reference tables generated from the EASI scoring definitions</t>
        </is>
      </c>
    </row>
    <row r="2">
      <c r="A2" s="7" t="inlineStr">
        <is>
          <t>Read only. These values are the application's own catalog, reference curves, regional thresholds, lookups and weights. The Metrics sheet reads them by cell reference.</t>
        </is>
      </c>
    </row>
    <row r="4">
      <c r="A4" s="130" t="inlineStr">
        <is>
          <t>Rating anchors and function scores</t>
        </is>
      </c>
    </row>
    <row r="5">
      <c r="A5" s="131" t="inlineStr">
        <is>
          <t>Rating</t>
        </is>
      </c>
      <c r="B5" s="131" t="inlineStr">
        <is>
          <t>Index anchor</t>
        </is>
      </c>
      <c r="C5" s="131" t="inlineStr">
        <is>
          <t>Function score</t>
        </is>
      </c>
      <c r="D5" s="131" t="inlineStr">
        <is>
          <t>Score class</t>
        </is>
      </c>
    </row>
    <row r="6">
      <c r="A6" t="inlineStr">
        <is>
          <t>Good</t>
        </is>
      </c>
      <c r="B6" s="143" t="n">
        <v>0.85</v>
      </c>
      <c r="C6" t="n">
        <v>13</v>
      </c>
      <c r="D6" t="inlineStr">
        <is>
          <t>Functioning</t>
        </is>
      </c>
    </row>
    <row r="7">
      <c r="A7" t="inlineStr">
        <is>
          <t>Fair</t>
        </is>
      </c>
      <c r="B7" s="143" t="n">
        <v>0.545</v>
      </c>
      <c r="C7" t="n">
        <v>8</v>
      </c>
      <c r="D7" t="inlineStr">
        <is>
          <t>Functioning-at-Risk</t>
        </is>
      </c>
    </row>
    <row r="8">
      <c r="A8" t="inlineStr">
        <is>
          <t>Poor</t>
        </is>
      </c>
      <c r="B8" s="143" t="n">
        <v>0.195</v>
      </c>
      <c r="C8" t="n">
        <v>3</v>
      </c>
      <c r="D8" t="inlineStr">
        <is>
          <t>Non-Functioning</t>
        </is>
      </c>
    </row>
    <row r="10">
      <c r="A10" s="130" t="inlineStr">
        <is>
          <t>Condition classes</t>
        </is>
      </c>
    </row>
    <row r="11">
      <c r="A11" s="131" t="inlineStr">
        <is>
          <t>Index at or below</t>
        </is>
      </c>
      <c r="B11" s="131" t="inlineStr">
        <is>
          <t>Class</t>
        </is>
      </c>
      <c r="C11" s="131" t="inlineStr">
        <is>
          <t>Function score at or below</t>
        </is>
      </c>
    </row>
    <row r="12">
      <c r="A12" t="n">
        <v>0.39</v>
      </c>
      <c r="B12" t="inlineStr">
        <is>
          <t>Non-Functioning</t>
        </is>
      </c>
      <c r="C12" t="n">
        <v>5</v>
      </c>
    </row>
    <row r="13">
      <c r="A13" t="n">
        <v>0.6899999999999999</v>
      </c>
      <c r="B13" t="inlineStr">
        <is>
          <t>Functioning-at-Risk</t>
        </is>
      </c>
      <c r="C13" t="n">
        <v>10</v>
      </c>
    </row>
    <row r="14">
      <c r="A14" t="n">
        <v>1</v>
      </c>
      <c r="B14" t="inlineStr">
        <is>
          <t>Functioning</t>
        </is>
      </c>
      <c r="C14" t="n">
        <v>15</v>
      </c>
    </row>
    <row r="16">
      <c r="A16" s="130" t="inlineStr">
        <is>
          <t>Fixed bands per input (informational; the Metrics formulas carry the same tests)</t>
        </is>
      </c>
    </row>
    <row r="17">
      <c r="A17" s="131" t="inlineStr">
        <is>
          <t>Method</t>
        </is>
      </c>
      <c r="B17" s="131" t="inlineStr">
        <is>
          <t>Input</t>
        </is>
      </c>
      <c r="C17" s="131" t="inlineStr">
        <is>
          <t>Rating</t>
        </is>
      </c>
      <c r="D17" s="131" t="inlineStr">
        <is>
          <t>Min</t>
        </is>
      </c>
      <c r="E17" s="131" t="inlineStr">
        <is>
          <t>Min inclusive</t>
        </is>
      </c>
      <c r="F17" s="131" t="inlineStr">
        <is>
          <t>Max</t>
        </is>
      </c>
      <c r="G17" s="131" t="inlineStr">
        <is>
          <t>Max inclusive</t>
        </is>
      </c>
      <c r="H17" s="131" t="inlineStr">
        <is>
          <t>Label</t>
        </is>
      </c>
    </row>
    <row r="18">
      <c r="A18" t="inlineStr">
        <is>
          <t>catchment-land-cover-pressure</t>
        </is>
      </c>
      <c r="B18" t="inlineStr">
        <is>
          <t>impervious</t>
        </is>
      </c>
      <c r="C18" t="inlineStr">
        <is>
          <t>Good</t>
        </is>
      </c>
      <c r="E18" t="inlineStr">
        <is>
          <t>FALSE</t>
        </is>
      </c>
      <c r="F18" t="n">
        <v>10</v>
      </c>
      <c r="G18" t="inlineStr">
        <is>
          <t>FALSE</t>
        </is>
      </c>
      <c r="H18" t="inlineStr">
        <is>
          <t>&lt;10%</t>
        </is>
      </c>
    </row>
    <row r="19">
      <c r="A19" t="inlineStr">
        <is>
          <t>catchment-land-cover-pressure</t>
        </is>
      </c>
      <c r="B19" t="inlineStr">
        <is>
          <t>impervious</t>
        </is>
      </c>
      <c r="C19" t="inlineStr">
        <is>
          <t>Fair</t>
        </is>
      </c>
      <c r="D19" t="n">
        <v>10</v>
      </c>
      <c r="E19" t="inlineStr">
        <is>
          <t>TRUE</t>
        </is>
      </c>
      <c r="F19" t="n">
        <v>25</v>
      </c>
      <c r="G19" t="inlineStr">
        <is>
          <t>TRUE</t>
        </is>
      </c>
      <c r="H19" t="inlineStr">
        <is>
          <t>10-25%</t>
        </is>
      </c>
    </row>
    <row r="20">
      <c r="A20" t="inlineStr">
        <is>
          <t>catchment-land-cover-pressure</t>
        </is>
      </c>
      <c r="B20" t="inlineStr">
        <is>
          <t>impervious</t>
        </is>
      </c>
      <c r="C20" t="inlineStr">
        <is>
          <t>Poor</t>
        </is>
      </c>
      <c r="D20" t="n">
        <v>25</v>
      </c>
      <c r="E20" t="inlineStr">
        <is>
          <t>FALSE</t>
        </is>
      </c>
      <c r="G20" t="inlineStr">
        <is>
          <t>FALSE</t>
        </is>
      </c>
      <c r="H20" t="inlineStr">
        <is>
          <t>&gt;25%</t>
        </is>
      </c>
    </row>
    <row r="21">
      <c r="A21" t="inlineStr">
        <is>
          <t>catchment-land-cover-pressure</t>
        </is>
      </c>
      <c r="B21" t="inlineStr">
        <is>
          <t>agriculture</t>
        </is>
      </c>
      <c r="C21" t="inlineStr">
        <is>
          <t>Good</t>
        </is>
      </c>
      <c r="E21" t="inlineStr">
        <is>
          <t>FALSE</t>
        </is>
      </c>
      <c r="F21" t="n">
        <v>30</v>
      </c>
      <c r="G21" t="inlineStr">
        <is>
          <t>FALSE</t>
        </is>
      </c>
      <c r="H21" t="inlineStr">
        <is>
          <t>&lt;30%</t>
        </is>
      </c>
    </row>
    <row r="22">
      <c r="A22" t="inlineStr">
        <is>
          <t>catchment-land-cover-pressure</t>
        </is>
      </c>
      <c r="B22" t="inlineStr">
        <is>
          <t>agriculture</t>
        </is>
      </c>
      <c r="C22" t="inlineStr">
        <is>
          <t>Fair</t>
        </is>
      </c>
      <c r="D22" t="n">
        <v>30</v>
      </c>
      <c r="E22" t="inlineStr">
        <is>
          <t>TRUE</t>
        </is>
      </c>
      <c r="F22" t="n">
        <v>50</v>
      </c>
      <c r="G22" t="inlineStr">
        <is>
          <t>TRUE</t>
        </is>
      </c>
      <c r="H22" t="inlineStr">
        <is>
          <t>30-50%</t>
        </is>
      </c>
    </row>
    <row r="23">
      <c r="A23" t="inlineStr">
        <is>
          <t>catchment-land-cover-pressure</t>
        </is>
      </c>
      <c r="B23" t="inlineStr">
        <is>
          <t>agriculture</t>
        </is>
      </c>
      <c r="C23" t="inlineStr">
        <is>
          <t>Poor</t>
        </is>
      </c>
      <c r="D23" t="n">
        <v>50</v>
      </c>
      <c r="E23" t="inlineStr">
        <is>
          <t>FALSE</t>
        </is>
      </c>
      <c r="G23" t="inlineStr">
        <is>
          <t>FALSE</t>
        </is>
      </c>
      <c r="H23" t="inlineStr">
        <is>
          <t>&gt;50%</t>
        </is>
      </c>
    </row>
    <row r="24">
      <c r="A24" t="inlineStr">
        <is>
          <t>watershed-wetland-extent</t>
        </is>
      </c>
      <c r="B24" t="inlineStr">
        <is>
          <t>(combined)</t>
        </is>
      </c>
      <c r="C24" t="inlineStr">
        <is>
          <t>Poor</t>
        </is>
      </c>
      <c r="E24" t="inlineStr">
        <is>
          <t>FALSE</t>
        </is>
      </c>
      <c r="F24" t="n">
        <v>1</v>
      </c>
      <c r="G24" t="inlineStr">
        <is>
          <t>FALSE</t>
        </is>
      </c>
      <c r="H24" t="inlineStr">
        <is>
          <t>&lt;1%</t>
        </is>
      </c>
    </row>
    <row r="25">
      <c r="A25" t="inlineStr">
        <is>
          <t>watershed-wetland-extent</t>
        </is>
      </c>
      <c r="B25" t="inlineStr">
        <is>
          <t>(combined)</t>
        </is>
      </c>
      <c r="C25" t="inlineStr">
        <is>
          <t>Fair</t>
        </is>
      </c>
      <c r="D25" t="n">
        <v>1</v>
      </c>
      <c r="E25" t="inlineStr">
        <is>
          <t>TRUE</t>
        </is>
      </c>
      <c r="F25" t="n">
        <v>5</v>
      </c>
      <c r="G25" t="inlineStr">
        <is>
          <t>TRUE</t>
        </is>
      </c>
      <c r="H25" t="inlineStr">
        <is>
          <t>1-5%</t>
        </is>
      </c>
    </row>
    <row r="26">
      <c r="A26" t="inlineStr">
        <is>
          <t>watershed-wetland-extent</t>
        </is>
      </c>
      <c r="B26" t="inlineStr">
        <is>
          <t>(combined)</t>
        </is>
      </c>
      <c r="C26" t="inlineStr">
        <is>
          <t>Good</t>
        </is>
      </c>
      <c r="D26" t="n">
        <v>5</v>
      </c>
      <c r="E26" t="inlineStr">
        <is>
          <t>FALSE</t>
        </is>
      </c>
      <c r="G26" t="inlineStr">
        <is>
          <t>FALSE</t>
        </is>
      </c>
      <c r="H26" t="inlineStr">
        <is>
          <t>&gt;5%</t>
        </is>
      </c>
    </row>
    <row r="27">
      <c r="A27" t="inlineStr">
        <is>
          <t>road-density-inflow-pressure</t>
        </is>
      </c>
      <c r="B27" t="inlineStr">
        <is>
          <t>(combined)</t>
        </is>
      </c>
      <c r="C27" t="inlineStr">
        <is>
          <t>Good</t>
        </is>
      </c>
      <c r="E27" t="inlineStr">
        <is>
          <t>FALSE</t>
        </is>
      </c>
      <c r="F27" t="n">
        <v>1</v>
      </c>
      <c r="G27" t="inlineStr">
        <is>
          <t>FALSE</t>
        </is>
      </c>
      <c r="H27" t="inlineStr">
        <is>
          <t>&lt;1 km/km²</t>
        </is>
      </c>
    </row>
    <row r="28">
      <c r="A28" t="inlineStr">
        <is>
          <t>road-density-inflow-pressure</t>
        </is>
      </c>
      <c r="B28" t="inlineStr">
        <is>
          <t>(combined)</t>
        </is>
      </c>
      <c r="C28" t="inlineStr">
        <is>
          <t>Fair</t>
        </is>
      </c>
      <c r="D28" t="n">
        <v>1</v>
      </c>
      <c r="E28" t="inlineStr">
        <is>
          <t>TRUE</t>
        </is>
      </c>
      <c r="F28" t="n">
        <v>3</v>
      </c>
      <c r="G28" t="inlineStr">
        <is>
          <t>FALSE</t>
        </is>
      </c>
      <c r="H28" t="inlineStr">
        <is>
          <t>1-&lt;3 km/km²</t>
        </is>
      </c>
    </row>
    <row r="29">
      <c r="A29" t="inlineStr">
        <is>
          <t>road-density-inflow-pressure</t>
        </is>
      </c>
      <c r="B29" t="inlineStr">
        <is>
          <t>(combined)</t>
        </is>
      </c>
      <c r="C29" t="inlineStr">
        <is>
          <t>Poor</t>
        </is>
      </c>
      <c r="D29" t="n">
        <v>3</v>
      </c>
      <c r="E29" t="inlineStr">
        <is>
          <t>TRUE</t>
        </is>
      </c>
      <c r="G29" t="inlineStr">
        <is>
          <t>FALSE</t>
        </is>
      </c>
      <c r="H29" t="inlineStr">
        <is>
          <t>≥3 km/km²</t>
        </is>
      </c>
    </row>
    <row r="30">
      <c r="A30" t="inlineStr">
        <is>
          <t>degree-of-regulation</t>
        </is>
      </c>
      <c r="B30" t="inlineStr">
        <is>
          <t>(combined)</t>
        </is>
      </c>
      <c r="C30" t="inlineStr">
        <is>
          <t>Good</t>
        </is>
      </c>
      <c r="E30" t="inlineStr">
        <is>
          <t>FALSE</t>
        </is>
      </c>
      <c r="F30" t="n">
        <v>2</v>
      </c>
      <c r="G30" t="inlineStr">
        <is>
          <t>FALSE</t>
        </is>
      </c>
      <c r="H30" t="inlineStr">
        <is>
          <t>&lt;2%</t>
        </is>
      </c>
    </row>
    <row r="31">
      <c r="A31" t="inlineStr">
        <is>
          <t>degree-of-regulation</t>
        </is>
      </c>
      <c r="B31" t="inlineStr">
        <is>
          <t>(combined)</t>
        </is>
      </c>
      <c r="C31" t="inlineStr">
        <is>
          <t>Fair</t>
        </is>
      </c>
      <c r="D31" t="n">
        <v>2</v>
      </c>
      <c r="E31" t="inlineStr">
        <is>
          <t>TRUE</t>
        </is>
      </c>
      <c r="F31" t="n">
        <v>15</v>
      </c>
      <c r="G31" t="inlineStr">
        <is>
          <t>TRUE</t>
        </is>
      </c>
      <c r="H31" t="inlineStr">
        <is>
          <t>2-15%</t>
        </is>
      </c>
    </row>
    <row r="32">
      <c r="A32" t="inlineStr">
        <is>
          <t>degree-of-regulation</t>
        </is>
      </c>
      <c r="B32" t="inlineStr">
        <is>
          <t>(combined)</t>
        </is>
      </c>
      <c r="C32" t="inlineStr">
        <is>
          <t>Poor</t>
        </is>
      </c>
      <c r="D32" t="n">
        <v>15</v>
      </c>
      <c r="E32" t="inlineStr">
        <is>
          <t>FALSE</t>
        </is>
      </c>
      <c r="G32" t="inlineStr">
        <is>
          <t>FALSE</t>
        </is>
      </c>
      <c r="H32" t="inlineStr">
        <is>
          <t>&gt;15%</t>
        </is>
      </c>
    </row>
    <row r="33">
      <c r="A33" t="inlineStr">
        <is>
          <t>bank-height-ratio</t>
        </is>
      </c>
      <c r="B33" t="inlineStr">
        <is>
          <t>(combined)</t>
        </is>
      </c>
      <c r="C33" t="inlineStr">
        <is>
          <t>Good</t>
        </is>
      </c>
      <c r="E33" t="inlineStr">
        <is>
          <t>FALSE</t>
        </is>
      </c>
      <c r="F33" t="n">
        <v>1.3</v>
      </c>
      <c r="G33" t="inlineStr">
        <is>
          <t>TRUE</t>
        </is>
      </c>
      <c r="H33" t="inlineStr">
        <is>
          <t>≤1.3</t>
        </is>
      </c>
    </row>
    <row r="34">
      <c r="A34" t="inlineStr">
        <is>
          <t>bank-height-ratio</t>
        </is>
      </c>
      <c r="B34" t="inlineStr">
        <is>
          <t>(combined)</t>
        </is>
      </c>
      <c r="C34" t="inlineStr">
        <is>
          <t>Fair</t>
        </is>
      </c>
      <c r="D34" t="n">
        <v>1.3</v>
      </c>
      <c r="E34" t="inlineStr">
        <is>
          <t>FALSE</t>
        </is>
      </c>
      <c r="F34" t="n">
        <v>1.5</v>
      </c>
      <c r="G34" t="inlineStr">
        <is>
          <t>TRUE</t>
        </is>
      </c>
      <c r="H34" t="inlineStr">
        <is>
          <t>&gt;1.3-≤1.5</t>
        </is>
      </c>
    </row>
    <row r="35">
      <c r="A35" t="inlineStr">
        <is>
          <t>bank-height-ratio</t>
        </is>
      </c>
      <c r="B35" t="inlineStr">
        <is>
          <t>(combined)</t>
        </is>
      </c>
      <c r="C35" t="inlineStr">
        <is>
          <t>Poor</t>
        </is>
      </c>
      <c r="D35" t="n">
        <v>1.5</v>
      </c>
      <c r="E35" t="inlineStr">
        <is>
          <t>FALSE</t>
        </is>
      </c>
      <c r="G35" t="inlineStr">
        <is>
          <t>FALSE</t>
        </is>
      </c>
      <c r="H35" t="inlineStr">
        <is>
          <t>&gt;1.5</t>
        </is>
      </c>
    </row>
    <row r="36">
      <c r="A36" t="inlineStr">
        <is>
          <t>hyporheic-exchange-potential</t>
        </is>
      </c>
      <c r="B36" t="inlineStr">
        <is>
          <t>slope</t>
        </is>
      </c>
      <c r="C36" t="inlineStr">
        <is>
          <t>Poor</t>
        </is>
      </c>
      <c r="E36" t="inlineStr">
        <is>
          <t>FALSE</t>
        </is>
      </c>
      <c r="F36" t="n">
        <v>0.003</v>
      </c>
      <c r="G36" t="inlineStr">
        <is>
          <t>FALSE</t>
        </is>
      </c>
      <c r="H36" t="inlineStr">
        <is>
          <t>&lt;0.003 m/m</t>
        </is>
      </c>
    </row>
    <row r="37">
      <c r="A37" t="inlineStr">
        <is>
          <t>hyporheic-exchange-potential</t>
        </is>
      </c>
      <c r="B37" t="inlineStr">
        <is>
          <t>slope</t>
        </is>
      </c>
      <c r="C37" t="inlineStr">
        <is>
          <t>Fair</t>
        </is>
      </c>
      <c r="D37" t="n">
        <v>0.003</v>
      </c>
      <c r="E37" t="inlineStr">
        <is>
          <t>TRUE</t>
        </is>
      </c>
      <c r="F37" t="n">
        <v>0.006</v>
      </c>
      <c r="G37" t="inlineStr">
        <is>
          <t>FALSE</t>
        </is>
      </c>
      <c r="H37" t="inlineStr">
        <is>
          <t>0.003-&lt;0.006 m/m</t>
        </is>
      </c>
    </row>
    <row r="38">
      <c r="A38" t="inlineStr">
        <is>
          <t>hyporheic-exchange-potential</t>
        </is>
      </c>
      <c r="B38" t="inlineStr">
        <is>
          <t>slope</t>
        </is>
      </c>
      <c r="C38" t="inlineStr">
        <is>
          <t>Good</t>
        </is>
      </c>
      <c r="D38" t="n">
        <v>0.006</v>
      </c>
      <c r="E38" t="inlineStr">
        <is>
          <t>TRUE</t>
        </is>
      </c>
      <c r="G38" t="inlineStr">
        <is>
          <t>FALSE</t>
        </is>
      </c>
      <c r="H38" t="inlineStr">
        <is>
          <t>≥0.006 m/m</t>
        </is>
      </c>
    </row>
    <row r="39">
      <c r="A39" t="inlineStr">
        <is>
          <t>hyporheic-exchange-potential</t>
        </is>
      </c>
      <c r="B39" t="inlineStr">
        <is>
          <t>sinuosity</t>
        </is>
      </c>
      <c r="C39" t="inlineStr">
        <is>
          <t>Poor</t>
        </is>
      </c>
      <c r="E39" t="inlineStr">
        <is>
          <t>FALSE</t>
        </is>
      </c>
      <c r="F39" t="n">
        <v>1.05</v>
      </c>
      <c r="G39" t="inlineStr">
        <is>
          <t>FALSE</t>
        </is>
      </c>
      <c r="H39" t="inlineStr">
        <is>
          <t>&lt;1.05</t>
        </is>
      </c>
    </row>
    <row r="40">
      <c r="A40" t="inlineStr">
        <is>
          <t>hyporheic-exchange-potential</t>
        </is>
      </c>
      <c r="B40" t="inlineStr">
        <is>
          <t>sinuosity</t>
        </is>
      </c>
      <c r="C40" t="inlineStr">
        <is>
          <t>Fair</t>
        </is>
      </c>
      <c r="D40" t="n">
        <v>1.05</v>
      </c>
      <c r="E40" t="inlineStr">
        <is>
          <t>TRUE</t>
        </is>
      </c>
      <c r="F40" t="n">
        <v>1.2</v>
      </c>
      <c r="G40" t="inlineStr">
        <is>
          <t>FALSE</t>
        </is>
      </c>
      <c r="H40" t="inlineStr">
        <is>
          <t>1.05-&lt;1.2</t>
        </is>
      </c>
    </row>
    <row r="41">
      <c r="A41" t="inlineStr">
        <is>
          <t>hyporheic-exchange-potential</t>
        </is>
      </c>
      <c r="B41" t="inlineStr">
        <is>
          <t>sinuosity</t>
        </is>
      </c>
      <c r="C41" t="inlineStr">
        <is>
          <t>Good</t>
        </is>
      </c>
      <c r="D41" t="n">
        <v>1.2</v>
      </c>
      <c r="E41" t="inlineStr">
        <is>
          <t>TRUE</t>
        </is>
      </c>
      <c r="G41" t="inlineStr">
        <is>
          <t>FALSE</t>
        </is>
      </c>
      <c r="H41" t="inlineStr">
        <is>
          <t>≥1.2</t>
        </is>
      </c>
    </row>
    <row r="42">
      <c r="A42" t="inlineStr">
        <is>
          <t>channel-adjustment-susceptibility</t>
        </is>
      </c>
      <c r="B42" t="inlineStr">
        <is>
          <t>bhr</t>
        </is>
      </c>
      <c r="C42" t="inlineStr">
        <is>
          <t>Good</t>
        </is>
      </c>
      <c r="E42" t="inlineStr">
        <is>
          <t>FALSE</t>
        </is>
      </c>
      <c r="F42" t="n">
        <v>1.3</v>
      </c>
      <c r="G42" t="inlineStr">
        <is>
          <t>TRUE</t>
        </is>
      </c>
      <c r="H42" t="inlineStr">
        <is>
          <t>≤1.3</t>
        </is>
      </c>
    </row>
    <row r="43">
      <c r="A43" t="inlineStr">
        <is>
          <t>channel-adjustment-susceptibility</t>
        </is>
      </c>
      <c r="B43" t="inlineStr">
        <is>
          <t>bhr</t>
        </is>
      </c>
      <c r="C43" t="inlineStr">
        <is>
          <t>Fair</t>
        </is>
      </c>
      <c r="D43" t="n">
        <v>1.3</v>
      </c>
      <c r="E43" t="inlineStr">
        <is>
          <t>FALSE</t>
        </is>
      </c>
      <c r="F43" t="n">
        <v>1.5</v>
      </c>
      <c r="G43" t="inlineStr">
        <is>
          <t>TRUE</t>
        </is>
      </c>
      <c r="H43" t="inlineStr">
        <is>
          <t>&gt;1.3-≤1.5</t>
        </is>
      </c>
    </row>
    <row r="44">
      <c r="A44" t="inlineStr">
        <is>
          <t>channel-adjustment-susceptibility</t>
        </is>
      </c>
      <c r="B44" t="inlineStr">
        <is>
          <t>bhr</t>
        </is>
      </c>
      <c r="C44" t="inlineStr">
        <is>
          <t>Poor</t>
        </is>
      </c>
      <c r="D44" t="n">
        <v>1.5</v>
      </c>
      <c r="E44" t="inlineStr">
        <is>
          <t>FALSE</t>
        </is>
      </c>
      <c r="G44" t="inlineStr">
        <is>
          <t>FALSE</t>
        </is>
      </c>
      <c r="H44" t="inlineStr">
        <is>
          <t>&gt;1.5</t>
        </is>
      </c>
    </row>
    <row r="45">
      <c r="A45" t="inlineStr">
        <is>
          <t>bhr-bank-instability-susceptibility</t>
        </is>
      </c>
      <c r="B45" t="inlineStr">
        <is>
          <t>(combined)</t>
        </is>
      </c>
      <c r="C45" t="inlineStr">
        <is>
          <t>Good</t>
        </is>
      </c>
      <c r="E45" t="inlineStr">
        <is>
          <t>FALSE</t>
        </is>
      </c>
      <c r="F45" t="n">
        <v>1.3</v>
      </c>
      <c r="G45" t="inlineStr">
        <is>
          <t>TRUE</t>
        </is>
      </c>
      <c r="H45" t="inlineStr">
        <is>
          <t>≤1.3</t>
        </is>
      </c>
    </row>
    <row r="46">
      <c r="A46" t="inlineStr">
        <is>
          <t>bhr-bank-instability-susceptibility</t>
        </is>
      </c>
      <c r="B46" t="inlineStr">
        <is>
          <t>(combined)</t>
        </is>
      </c>
      <c r="C46" t="inlineStr">
        <is>
          <t>Fair</t>
        </is>
      </c>
      <c r="D46" t="n">
        <v>1.3</v>
      </c>
      <c r="E46" t="inlineStr">
        <is>
          <t>FALSE</t>
        </is>
      </c>
      <c r="F46" t="n">
        <v>1.5</v>
      </c>
      <c r="G46" t="inlineStr">
        <is>
          <t>TRUE</t>
        </is>
      </c>
      <c r="H46" t="inlineStr">
        <is>
          <t>&gt;1.3-≤1.5</t>
        </is>
      </c>
    </row>
    <row r="47">
      <c r="A47" t="inlineStr">
        <is>
          <t>bhr-bank-instability-susceptibility</t>
        </is>
      </c>
      <c r="B47" t="inlineStr">
        <is>
          <t>(combined)</t>
        </is>
      </c>
      <c r="C47" t="inlineStr">
        <is>
          <t>Poor</t>
        </is>
      </c>
      <c r="D47" t="n">
        <v>1.5</v>
      </c>
      <c r="E47" t="inlineStr">
        <is>
          <t>FALSE</t>
        </is>
      </c>
      <c r="G47" t="inlineStr">
        <is>
          <t>FALSE</t>
        </is>
      </c>
      <c r="H47" t="inlineStr">
        <is>
          <t>&gt;1.5</t>
        </is>
      </c>
    </row>
    <row r="48">
      <c r="A48" t="inlineStr">
        <is>
          <t>observed-bank-condition</t>
        </is>
      </c>
      <c r="B48" t="inlineStr">
        <is>
          <t>erodingBankPct</t>
        </is>
      </c>
      <c r="C48" t="inlineStr">
        <is>
          <t>Good</t>
        </is>
      </c>
      <c r="E48" t="inlineStr">
        <is>
          <t>FALSE</t>
        </is>
      </c>
      <c r="F48" t="n">
        <v>5</v>
      </c>
      <c r="G48" t="inlineStr">
        <is>
          <t>FALSE</t>
        </is>
      </c>
      <c r="H48" t="inlineStr">
        <is>
          <t>&lt;5%</t>
        </is>
      </c>
    </row>
    <row r="49">
      <c r="A49" t="inlineStr">
        <is>
          <t>observed-bank-condition</t>
        </is>
      </c>
      <c r="B49" t="inlineStr">
        <is>
          <t>erodingBankPct</t>
        </is>
      </c>
      <c r="C49" t="inlineStr">
        <is>
          <t>Fair</t>
        </is>
      </c>
      <c r="D49" t="n">
        <v>5</v>
      </c>
      <c r="E49" t="inlineStr">
        <is>
          <t>TRUE</t>
        </is>
      </c>
      <c r="F49" t="n">
        <v>60</v>
      </c>
      <c r="G49" t="inlineStr">
        <is>
          <t>FALSE</t>
        </is>
      </c>
      <c r="H49" t="inlineStr">
        <is>
          <t>5-&lt;60%</t>
        </is>
      </c>
    </row>
    <row r="50">
      <c r="A50" t="inlineStr">
        <is>
          <t>observed-bank-condition</t>
        </is>
      </c>
      <c r="B50" t="inlineStr">
        <is>
          <t>erodingBankPct</t>
        </is>
      </c>
      <c r="C50" t="inlineStr">
        <is>
          <t>Poor</t>
        </is>
      </c>
      <c r="D50" t="n">
        <v>60</v>
      </c>
      <c r="E50" t="inlineStr">
        <is>
          <t>TRUE</t>
        </is>
      </c>
      <c r="G50" t="inlineStr">
        <is>
          <t>FALSE</t>
        </is>
      </c>
      <c r="H50" t="inlineStr">
        <is>
          <t>≥60%</t>
        </is>
      </c>
    </row>
    <row r="51">
      <c r="A51" t="inlineStr">
        <is>
          <t>observed-bank-condition</t>
        </is>
      </c>
      <c r="B51" t="inlineStr">
        <is>
          <t>armoredBankPct</t>
        </is>
      </c>
      <c r="C51" t="inlineStr">
        <is>
          <t>Good</t>
        </is>
      </c>
      <c r="E51" t="inlineStr">
        <is>
          <t>FALSE</t>
        </is>
      </c>
      <c r="F51" t="n">
        <v>0</v>
      </c>
      <c r="G51" t="inlineStr">
        <is>
          <t>TRUE</t>
        </is>
      </c>
      <c r="H51" t="inlineStr">
        <is>
          <t>0%</t>
        </is>
      </c>
    </row>
    <row r="52">
      <c r="A52" t="inlineStr">
        <is>
          <t>observed-bank-condition</t>
        </is>
      </c>
      <c r="B52" t="inlineStr">
        <is>
          <t>armoredBankPct</t>
        </is>
      </c>
      <c r="C52" t="inlineStr">
        <is>
          <t>Fair</t>
        </is>
      </c>
      <c r="D52" t="n">
        <v>0</v>
      </c>
      <c r="E52" t="inlineStr">
        <is>
          <t>FALSE</t>
        </is>
      </c>
      <c r="F52" t="n">
        <v>50</v>
      </c>
      <c r="G52" t="inlineStr">
        <is>
          <t>FALSE</t>
        </is>
      </c>
      <c r="H52" t="inlineStr">
        <is>
          <t>&gt;0-&lt;50%</t>
        </is>
      </c>
    </row>
    <row r="53">
      <c r="A53" t="inlineStr">
        <is>
          <t>observed-bank-condition</t>
        </is>
      </c>
      <c r="B53" t="inlineStr">
        <is>
          <t>armoredBankPct</t>
        </is>
      </c>
      <c r="C53" t="inlineStr">
        <is>
          <t>Poor</t>
        </is>
      </c>
      <c r="D53" t="n">
        <v>50</v>
      </c>
      <c r="E53" t="inlineStr">
        <is>
          <t>TRUE</t>
        </is>
      </c>
      <c r="G53" t="inlineStr">
        <is>
          <t>FALSE</t>
        </is>
      </c>
      <c r="H53" t="inlineStr">
        <is>
          <t>≥50%</t>
        </is>
      </c>
    </row>
    <row r="54">
      <c r="A54" t="inlineStr">
        <is>
          <t>sediment-supply-potential</t>
        </is>
      </c>
      <c r="B54" t="inlineStr">
        <is>
          <t>agriculture</t>
        </is>
      </c>
      <c r="C54" t="inlineStr">
        <is>
          <t>Good</t>
        </is>
      </c>
      <c r="E54" t="inlineStr">
        <is>
          <t>FALSE</t>
        </is>
      </c>
      <c r="F54" t="n">
        <v>30</v>
      </c>
      <c r="G54" t="inlineStr">
        <is>
          <t>FALSE</t>
        </is>
      </c>
      <c r="H54" t="inlineStr">
        <is>
          <t>&lt;30%</t>
        </is>
      </c>
    </row>
    <row r="55">
      <c r="A55" t="inlineStr">
        <is>
          <t>sediment-supply-potential</t>
        </is>
      </c>
      <c r="B55" t="inlineStr">
        <is>
          <t>agriculture</t>
        </is>
      </c>
      <c r="C55" t="inlineStr">
        <is>
          <t>Fair</t>
        </is>
      </c>
      <c r="D55" t="n">
        <v>30</v>
      </c>
      <c r="E55" t="inlineStr">
        <is>
          <t>TRUE</t>
        </is>
      </c>
      <c r="F55" t="n">
        <v>50</v>
      </c>
      <c r="G55" t="inlineStr">
        <is>
          <t>TRUE</t>
        </is>
      </c>
      <c r="H55" t="inlineStr">
        <is>
          <t>30-50%</t>
        </is>
      </c>
    </row>
    <row r="56">
      <c r="A56" t="inlineStr">
        <is>
          <t>sediment-supply-potential</t>
        </is>
      </c>
      <c r="B56" t="inlineStr">
        <is>
          <t>agriculture</t>
        </is>
      </c>
      <c r="C56" t="inlineStr">
        <is>
          <t>Poor</t>
        </is>
      </c>
      <c r="D56" t="n">
        <v>50</v>
      </c>
      <c r="E56" t="inlineStr">
        <is>
          <t>FALSE</t>
        </is>
      </c>
      <c r="G56" t="inlineStr">
        <is>
          <t>FALSE</t>
        </is>
      </c>
      <c r="H56" t="inlineStr">
        <is>
          <t>&gt;50%</t>
        </is>
      </c>
    </row>
    <row r="57">
      <c r="A57" t="inlineStr">
        <is>
          <t>sediment-supply-potential</t>
        </is>
      </c>
      <c r="B57" t="inlineStr">
        <is>
          <t>kFactor</t>
        </is>
      </c>
      <c r="C57" t="inlineStr">
        <is>
          <t>Good</t>
        </is>
      </c>
      <c r="E57" t="inlineStr">
        <is>
          <t>FALSE</t>
        </is>
      </c>
      <c r="F57" t="n">
        <v>0.25</v>
      </c>
      <c r="G57" t="inlineStr">
        <is>
          <t>FALSE</t>
        </is>
      </c>
      <c r="H57" t="inlineStr">
        <is>
          <t>&lt;0.25</t>
        </is>
      </c>
    </row>
    <row r="58">
      <c r="A58" t="inlineStr">
        <is>
          <t>sediment-supply-potential</t>
        </is>
      </c>
      <c r="B58" t="inlineStr">
        <is>
          <t>kFactor</t>
        </is>
      </c>
      <c r="C58" t="inlineStr">
        <is>
          <t>Fair</t>
        </is>
      </c>
      <c r="D58" t="n">
        <v>0.25</v>
      </c>
      <c r="E58" t="inlineStr">
        <is>
          <t>TRUE</t>
        </is>
      </c>
      <c r="F58" t="n">
        <v>0.4</v>
      </c>
      <c r="G58" t="inlineStr">
        <is>
          <t>TRUE</t>
        </is>
      </c>
      <c r="H58" t="inlineStr">
        <is>
          <t>0.25-0.40</t>
        </is>
      </c>
    </row>
    <row r="59">
      <c r="A59" t="inlineStr">
        <is>
          <t>sediment-supply-potential</t>
        </is>
      </c>
      <c r="B59" t="inlineStr">
        <is>
          <t>kFactor</t>
        </is>
      </c>
      <c r="C59" t="inlineStr">
        <is>
          <t>Poor</t>
        </is>
      </c>
      <c r="D59" t="n">
        <v>0.4</v>
      </c>
      <c r="E59" t="inlineStr">
        <is>
          <t>FALSE</t>
        </is>
      </c>
      <c r="G59" t="inlineStr">
        <is>
          <t>FALSE</t>
        </is>
      </c>
      <c r="H59" t="inlineStr">
        <is>
          <t>&gt;0.40</t>
        </is>
      </c>
    </row>
    <row r="60">
      <c r="A60" t="inlineStr">
        <is>
          <t>sediment-supply-potential</t>
        </is>
      </c>
      <c r="B60" t="inlineStr">
        <is>
          <t>roadDensity</t>
        </is>
      </c>
      <c r="C60" t="inlineStr">
        <is>
          <t>Good</t>
        </is>
      </c>
      <c r="E60" t="inlineStr">
        <is>
          <t>FALSE</t>
        </is>
      </c>
      <c r="F60" t="n">
        <v>1.24</v>
      </c>
      <c r="G60" t="inlineStr">
        <is>
          <t>FALSE</t>
        </is>
      </c>
      <c r="H60" t="inlineStr">
        <is>
          <t>&lt;1.24 km/km²</t>
        </is>
      </c>
    </row>
    <row r="61">
      <c r="A61" t="inlineStr">
        <is>
          <t>sediment-supply-potential</t>
        </is>
      </c>
      <c r="B61" t="inlineStr">
        <is>
          <t>roadDensity</t>
        </is>
      </c>
      <c r="C61" t="inlineStr">
        <is>
          <t>Fair</t>
        </is>
      </c>
      <c r="D61" t="n">
        <v>1.24</v>
      </c>
      <c r="E61" t="inlineStr">
        <is>
          <t>TRUE</t>
        </is>
      </c>
      <c r="F61" t="n">
        <v>1.86</v>
      </c>
      <c r="G61" t="inlineStr">
        <is>
          <t>FALSE</t>
        </is>
      </c>
      <c r="H61" t="inlineStr">
        <is>
          <t>1.24-&lt;1.86 km/km²</t>
        </is>
      </c>
    </row>
    <row r="62">
      <c r="A62" t="inlineStr">
        <is>
          <t>sediment-supply-potential</t>
        </is>
      </c>
      <c r="B62" t="inlineStr">
        <is>
          <t>roadDensity</t>
        </is>
      </c>
      <c r="C62" t="inlineStr">
        <is>
          <t>Poor</t>
        </is>
      </c>
      <c r="D62" t="n">
        <v>1.86</v>
      </c>
      <c r="E62" t="inlineStr">
        <is>
          <t>TRUE</t>
        </is>
      </c>
      <c r="G62" t="inlineStr">
        <is>
          <t>FALSE</t>
        </is>
      </c>
      <c r="H62" t="inlineStr">
        <is>
          <t>≥1.86 km/km²</t>
        </is>
      </c>
    </row>
    <row r="63">
      <c r="A63" t="inlineStr">
        <is>
          <t>watershed-agriculture-share</t>
        </is>
      </c>
      <c r="B63" t="inlineStr">
        <is>
          <t>(combined)</t>
        </is>
      </c>
      <c r="C63" t="inlineStr">
        <is>
          <t>Good</t>
        </is>
      </c>
      <c r="E63" t="inlineStr">
        <is>
          <t>FALSE</t>
        </is>
      </c>
      <c r="F63" t="n">
        <v>30</v>
      </c>
      <c r="G63" t="inlineStr">
        <is>
          <t>FALSE</t>
        </is>
      </c>
      <c r="H63" t="inlineStr">
        <is>
          <t>&lt;30%</t>
        </is>
      </c>
    </row>
    <row r="64">
      <c r="A64" t="inlineStr">
        <is>
          <t>watershed-agriculture-share</t>
        </is>
      </c>
      <c r="B64" t="inlineStr">
        <is>
          <t>(combined)</t>
        </is>
      </c>
      <c r="C64" t="inlineStr">
        <is>
          <t>Fair</t>
        </is>
      </c>
      <c r="D64" t="n">
        <v>30</v>
      </c>
      <c r="E64" t="inlineStr">
        <is>
          <t>TRUE</t>
        </is>
      </c>
      <c r="F64" t="n">
        <v>50</v>
      </c>
      <c r="G64" t="inlineStr">
        <is>
          <t>TRUE</t>
        </is>
      </c>
      <c r="H64" t="inlineStr">
        <is>
          <t>30-50%</t>
        </is>
      </c>
    </row>
    <row r="65">
      <c r="A65" t="inlineStr">
        <is>
          <t>watershed-agriculture-share</t>
        </is>
      </c>
      <c r="B65" t="inlineStr">
        <is>
          <t>(combined)</t>
        </is>
      </c>
      <c r="C65" t="inlineStr">
        <is>
          <t>Poor</t>
        </is>
      </c>
      <c r="D65" t="n">
        <v>50</v>
      </c>
      <c r="E65" t="inlineStr">
        <is>
          <t>FALSE</t>
        </is>
      </c>
      <c r="G65" t="inlineStr">
        <is>
          <t>FALSE</t>
        </is>
      </c>
      <c r="H65" t="inlineStr">
        <is>
          <t>&gt;50%</t>
        </is>
      </c>
    </row>
    <row r="66">
      <c r="A66" t="inlineStr">
        <is>
          <t>thermal-regulation-vulnerability</t>
        </is>
      </c>
      <c r="B66" t="inlineStr">
        <is>
          <t>impervious</t>
        </is>
      </c>
      <c r="C66" t="inlineStr">
        <is>
          <t>Good</t>
        </is>
      </c>
      <c r="E66" t="inlineStr">
        <is>
          <t>FALSE</t>
        </is>
      </c>
      <c r="F66" t="n">
        <v>10</v>
      </c>
      <c r="G66" t="inlineStr">
        <is>
          <t>FALSE</t>
        </is>
      </c>
      <c r="H66" t="inlineStr">
        <is>
          <t>&lt;10%</t>
        </is>
      </c>
    </row>
    <row r="67">
      <c r="A67" t="inlineStr">
        <is>
          <t>thermal-regulation-vulnerability</t>
        </is>
      </c>
      <c r="B67" t="inlineStr">
        <is>
          <t>impervious</t>
        </is>
      </c>
      <c r="C67" t="inlineStr">
        <is>
          <t>Fair</t>
        </is>
      </c>
      <c r="D67" t="n">
        <v>10</v>
      </c>
      <c r="E67" t="inlineStr">
        <is>
          <t>TRUE</t>
        </is>
      </c>
      <c r="F67" t="n">
        <v>25</v>
      </c>
      <c r="G67" t="inlineStr">
        <is>
          <t>TRUE</t>
        </is>
      </c>
      <c r="H67" t="inlineStr">
        <is>
          <t>10-25%</t>
        </is>
      </c>
    </row>
    <row r="68">
      <c r="A68" t="inlineStr">
        <is>
          <t>thermal-regulation-vulnerability</t>
        </is>
      </c>
      <c r="B68" t="inlineStr">
        <is>
          <t>impervious</t>
        </is>
      </c>
      <c r="C68" t="inlineStr">
        <is>
          <t>Poor</t>
        </is>
      </c>
      <c r="D68" t="n">
        <v>25</v>
      </c>
      <c r="E68" t="inlineStr">
        <is>
          <t>FALSE</t>
        </is>
      </c>
      <c r="G68" t="inlineStr">
        <is>
          <t>FALSE</t>
        </is>
      </c>
      <c r="H68" t="inlineStr">
        <is>
          <t>&gt;25%</t>
        </is>
      </c>
    </row>
    <row r="69">
      <c r="A69" t="inlineStr">
        <is>
          <t>streamcat-chem-integrity-nutrient</t>
        </is>
      </c>
      <c r="B69" t="inlineStr">
        <is>
          <t>(combined)</t>
        </is>
      </c>
      <c r="C69" t="inlineStr">
        <is>
          <t>Poor</t>
        </is>
      </c>
      <c r="E69" t="inlineStr">
        <is>
          <t>FALSE</t>
        </is>
      </c>
      <c r="F69" t="n">
        <v>0.4</v>
      </c>
      <c r="G69" t="inlineStr">
        <is>
          <t>FALSE</t>
        </is>
      </c>
      <c r="H69" t="inlineStr">
        <is>
          <t>&lt;0.40</t>
        </is>
      </c>
    </row>
    <row r="70">
      <c r="A70" t="inlineStr">
        <is>
          <t>streamcat-chem-integrity-nutrient</t>
        </is>
      </c>
      <c r="B70" t="inlineStr">
        <is>
          <t>(combined)</t>
        </is>
      </c>
      <c r="C70" t="inlineStr">
        <is>
          <t>Fair</t>
        </is>
      </c>
      <c r="D70" t="n">
        <v>0.4</v>
      </c>
      <c r="E70" t="inlineStr">
        <is>
          <t>TRUE</t>
        </is>
      </c>
      <c r="F70" t="n">
        <v>0.7</v>
      </c>
      <c r="G70" t="inlineStr">
        <is>
          <t>FALSE</t>
        </is>
      </c>
      <c r="H70" t="inlineStr">
        <is>
          <t>0.40-&lt;0.70</t>
        </is>
      </c>
    </row>
    <row r="71">
      <c r="A71" t="inlineStr">
        <is>
          <t>streamcat-chem-integrity-nutrient</t>
        </is>
      </c>
      <c r="B71" t="inlineStr">
        <is>
          <t>(combined)</t>
        </is>
      </c>
      <c r="C71" t="inlineStr">
        <is>
          <t>Good</t>
        </is>
      </c>
      <c r="D71" t="n">
        <v>0.7</v>
      </c>
      <c r="E71" t="inlineStr">
        <is>
          <t>TRUE</t>
        </is>
      </c>
      <c r="G71" t="inlineStr">
        <is>
          <t>FALSE</t>
        </is>
      </c>
      <c r="H71" t="inlineStr">
        <is>
          <t>≥0.70</t>
        </is>
      </c>
    </row>
    <row r="72">
      <c r="A72" t="inlineStr">
        <is>
          <t>streamcat-chem-integrity-regulatory</t>
        </is>
      </c>
      <c r="B72" t="inlineStr">
        <is>
          <t>(combined)</t>
        </is>
      </c>
      <c r="C72" t="inlineStr">
        <is>
          <t>Poor</t>
        </is>
      </c>
      <c r="E72" t="inlineStr">
        <is>
          <t>FALSE</t>
        </is>
      </c>
      <c r="F72" t="n">
        <v>0.4</v>
      </c>
      <c r="G72" t="inlineStr">
        <is>
          <t>FALSE</t>
        </is>
      </c>
      <c r="H72" t="inlineStr">
        <is>
          <t>&lt;0.40</t>
        </is>
      </c>
    </row>
    <row r="73">
      <c r="A73" t="inlineStr">
        <is>
          <t>streamcat-chem-integrity-regulatory</t>
        </is>
      </c>
      <c r="B73" t="inlineStr">
        <is>
          <t>(combined)</t>
        </is>
      </c>
      <c r="C73" t="inlineStr">
        <is>
          <t>Fair</t>
        </is>
      </c>
      <c r="D73" t="n">
        <v>0.4</v>
      </c>
      <c r="E73" t="inlineStr">
        <is>
          <t>TRUE</t>
        </is>
      </c>
      <c r="F73" t="n">
        <v>0.7</v>
      </c>
      <c r="G73" t="inlineStr">
        <is>
          <t>FALSE</t>
        </is>
      </c>
      <c r="H73" t="inlineStr">
        <is>
          <t>0.40-&lt;0.70</t>
        </is>
      </c>
    </row>
    <row r="74">
      <c r="A74" t="inlineStr">
        <is>
          <t>streamcat-chem-integrity-regulatory</t>
        </is>
      </c>
      <c r="B74" t="inlineStr">
        <is>
          <t>(combined)</t>
        </is>
      </c>
      <c r="C74" t="inlineStr">
        <is>
          <t>Good</t>
        </is>
      </c>
      <c r="D74" t="n">
        <v>0.7</v>
      </c>
      <c r="E74" t="inlineStr">
        <is>
          <t>TRUE</t>
        </is>
      </c>
      <c r="G74" t="inlineStr">
        <is>
          <t>FALSE</t>
        </is>
      </c>
      <c r="H74" t="inlineStr">
        <is>
          <t>≥0.70</t>
        </is>
      </c>
    </row>
    <row r="75">
      <c r="A75" t="inlineStr">
        <is>
          <t>streamcat-prg-bmmi</t>
        </is>
      </c>
      <c r="B75" t="inlineStr">
        <is>
          <t>(combined)</t>
        </is>
      </c>
      <c r="C75" t="inlineStr">
        <is>
          <t>Poor</t>
        </is>
      </c>
      <c r="E75" t="inlineStr">
        <is>
          <t>FALSE</t>
        </is>
      </c>
      <c r="F75" t="n">
        <v>0.25</v>
      </c>
      <c r="G75" t="inlineStr">
        <is>
          <t>FALSE</t>
        </is>
      </c>
      <c r="H75" t="inlineStr">
        <is>
          <t>&lt;0.25</t>
        </is>
      </c>
    </row>
    <row r="76">
      <c r="A76" t="inlineStr">
        <is>
          <t>streamcat-prg-bmmi</t>
        </is>
      </c>
      <c r="B76" t="inlineStr">
        <is>
          <t>(combined)</t>
        </is>
      </c>
      <c r="C76" t="inlineStr">
        <is>
          <t>Fair</t>
        </is>
      </c>
      <c r="D76" t="n">
        <v>0.25</v>
      </c>
      <c r="E76" t="inlineStr">
        <is>
          <t>TRUE</t>
        </is>
      </c>
      <c r="F76" t="n">
        <v>0.5</v>
      </c>
      <c r="G76" t="inlineStr">
        <is>
          <t>FALSE</t>
        </is>
      </c>
      <c r="H76" t="inlineStr">
        <is>
          <t>0.25 to &lt;0.50</t>
        </is>
      </c>
    </row>
    <row r="77">
      <c r="A77" t="inlineStr">
        <is>
          <t>streamcat-prg-bmmi</t>
        </is>
      </c>
      <c r="B77" t="inlineStr">
        <is>
          <t>(combined)</t>
        </is>
      </c>
      <c r="C77" t="inlineStr">
        <is>
          <t>Good</t>
        </is>
      </c>
      <c r="D77" t="n">
        <v>0.5</v>
      </c>
      <c r="E77" t="inlineStr">
        <is>
          <t>TRUE</t>
        </is>
      </c>
      <c r="G77" t="inlineStr">
        <is>
          <t>FALSE</t>
        </is>
      </c>
      <c r="H77" t="inlineStr">
        <is>
          <t>&gt;=0.50</t>
        </is>
      </c>
    </row>
    <row r="78">
      <c r="A78" t="inlineStr">
        <is>
          <t>streamcat-integrity-products</t>
        </is>
      </c>
      <c r="B78" t="inlineStr">
        <is>
          <t>(combined)</t>
        </is>
      </c>
      <c r="C78" t="inlineStr">
        <is>
          <t>Poor</t>
        </is>
      </c>
      <c r="E78" t="inlineStr">
        <is>
          <t>FALSE</t>
        </is>
      </c>
      <c r="F78" t="n">
        <v>0.4</v>
      </c>
      <c r="G78" t="inlineStr">
        <is>
          <t>FALSE</t>
        </is>
      </c>
      <c r="H78" t="inlineStr">
        <is>
          <t>&lt;0.40</t>
        </is>
      </c>
    </row>
    <row r="79">
      <c r="A79" t="inlineStr">
        <is>
          <t>streamcat-integrity-products</t>
        </is>
      </c>
      <c r="B79" t="inlineStr">
        <is>
          <t>(combined)</t>
        </is>
      </c>
      <c r="C79" t="inlineStr">
        <is>
          <t>Fair</t>
        </is>
      </c>
      <c r="D79" t="n">
        <v>0.4</v>
      </c>
      <c r="E79" t="inlineStr">
        <is>
          <t>TRUE</t>
        </is>
      </c>
      <c r="F79" t="n">
        <v>0.7</v>
      </c>
      <c r="G79" t="inlineStr">
        <is>
          <t>FALSE</t>
        </is>
      </c>
      <c r="H79" t="inlineStr">
        <is>
          <t>0.40-&lt;0.70</t>
        </is>
      </c>
    </row>
    <row r="80">
      <c r="A80" t="inlineStr">
        <is>
          <t>streamcat-integrity-products</t>
        </is>
      </c>
      <c r="B80" t="inlineStr">
        <is>
          <t>(combined)</t>
        </is>
      </c>
      <c r="C80" t="inlineStr">
        <is>
          <t>Good</t>
        </is>
      </c>
      <c r="D80" t="n">
        <v>0.7</v>
      </c>
      <c r="E80" t="inlineStr">
        <is>
          <t>TRUE</t>
        </is>
      </c>
      <c r="G80" t="inlineStr">
        <is>
          <t>FALSE</t>
        </is>
      </c>
      <c r="H80" t="inlineStr">
        <is>
          <t>≥0.70</t>
        </is>
      </c>
    </row>
    <row r="81">
      <c r="A81" t="inlineStr">
        <is>
          <t>nas-established-taxa-count</t>
        </is>
      </c>
      <c r="B81" t="inlineStr">
        <is>
          <t>(combined)</t>
        </is>
      </c>
      <c r="C81" t="inlineStr">
        <is>
          <t>Good</t>
        </is>
      </c>
      <c r="D81" t="n">
        <v>0</v>
      </c>
      <c r="E81" t="inlineStr">
        <is>
          <t>TRUE</t>
        </is>
      </c>
      <c r="F81" t="n">
        <v>0</v>
      </c>
      <c r="G81" t="inlineStr">
        <is>
          <t>TRUE</t>
        </is>
      </c>
      <c r="H81" t="inlineStr">
        <is>
          <t>0 recorded</t>
        </is>
      </c>
    </row>
    <row r="82">
      <c r="A82" t="inlineStr">
        <is>
          <t>nas-established-taxa-count</t>
        </is>
      </c>
      <c r="B82" t="inlineStr">
        <is>
          <t>(combined)</t>
        </is>
      </c>
      <c r="C82" t="inlineStr">
        <is>
          <t>Fair</t>
        </is>
      </c>
      <c r="D82" t="n">
        <v>1</v>
      </c>
      <c r="E82" t="inlineStr">
        <is>
          <t>TRUE</t>
        </is>
      </c>
      <c r="F82" t="n">
        <v>2</v>
      </c>
      <c r="G82" t="inlineStr">
        <is>
          <t>TRUE</t>
        </is>
      </c>
      <c r="H82" t="inlineStr">
        <is>
          <t>1-2 recorded</t>
        </is>
      </c>
    </row>
    <row r="83">
      <c r="A83" t="inlineStr">
        <is>
          <t>nas-established-taxa-count</t>
        </is>
      </c>
      <c r="B83" t="inlineStr">
        <is>
          <t>(combined)</t>
        </is>
      </c>
      <c r="C83" t="inlineStr">
        <is>
          <t>Poor</t>
        </is>
      </c>
      <c r="D83" t="n">
        <v>3</v>
      </c>
      <c r="E83" t="inlineStr">
        <is>
          <t>TRUE</t>
        </is>
      </c>
      <c r="G83" t="inlineStr">
        <is>
          <t>FALSE</t>
        </is>
      </c>
      <c r="H83" t="inlineStr">
        <is>
          <t>≥3 recorded</t>
        </is>
      </c>
    </row>
    <row r="84">
      <c r="A84" t="inlineStr">
        <is>
          <t>nearby-dam-proximity</t>
        </is>
      </c>
      <c r="B84" t="inlineStr">
        <is>
          <t>(combined)</t>
        </is>
      </c>
      <c r="C84" t="inlineStr">
        <is>
          <t>Good</t>
        </is>
      </c>
      <c r="D84" t="n">
        <v>0</v>
      </c>
      <c r="E84" t="inlineStr">
        <is>
          <t>TRUE</t>
        </is>
      </c>
      <c r="F84" t="n">
        <v>0</v>
      </c>
      <c r="G84" t="inlineStr">
        <is>
          <t>TRUE</t>
        </is>
      </c>
      <c r="H84" t="inlineStr">
        <is>
          <t>0 mapped dams</t>
        </is>
      </c>
    </row>
    <row r="85">
      <c r="A85" t="inlineStr">
        <is>
          <t>nearby-dam-proximity</t>
        </is>
      </c>
      <c r="B85" t="inlineStr">
        <is>
          <t>(combined)</t>
        </is>
      </c>
      <c r="C85" t="inlineStr">
        <is>
          <t>Fair</t>
        </is>
      </c>
      <c r="D85" t="n">
        <v>1</v>
      </c>
      <c r="E85" t="inlineStr">
        <is>
          <t>TRUE</t>
        </is>
      </c>
      <c r="F85" t="n">
        <v>1</v>
      </c>
      <c r="G85" t="inlineStr">
        <is>
          <t>TRUE</t>
        </is>
      </c>
      <c r="H85" t="inlineStr">
        <is>
          <t>1 mapped dam</t>
        </is>
      </c>
    </row>
    <row r="86">
      <c r="A86" t="inlineStr">
        <is>
          <t>nearby-dam-proximity</t>
        </is>
      </c>
      <c r="B86" t="inlineStr">
        <is>
          <t>(combined)</t>
        </is>
      </c>
      <c r="C86" t="inlineStr">
        <is>
          <t>Poor</t>
        </is>
      </c>
      <c r="D86" t="n">
        <v>2</v>
      </c>
      <c r="E86" t="inlineStr">
        <is>
          <t>TRUE</t>
        </is>
      </c>
      <c r="G86" t="inlineStr">
        <is>
          <t>FALSE</t>
        </is>
      </c>
      <c r="H86" t="inlineStr">
        <is>
          <t>≥2 mapped dams</t>
        </is>
      </c>
    </row>
    <row r="88">
      <c r="A88" s="130" t="inlineStr">
        <is>
          <t>Reference curves (frozen), one row per curve, knots padded to five</t>
        </is>
      </c>
    </row>
    <row r="89">
      <c r="A89" s="131" t="inlineStr">
        <is>
          <t>Key</t>
        </is>
      </c>
      <c r="B89" s="131" t="inlineStr">
        <is>
          <t>Set</t>
        </is>
      </c>
      <c r="C89" s="131" t="inlineStr">
        <is>
          <t>Stratum</t>
        </is>
      </c>
      <c r="D89" s="131" t="inlineStr">
        <is>
          <t>Higher is better</t>
        </is>
      </c>
      <c r="E89" s="131" t="inlineStr">
        <is>
          <t>n</t>
        </is>
      </c>
      <c r="F89" s="131" t="inlineStr">
        <is>
          <t>Members</t>
        </is>
      </c>
      <c r="G89" s="131" t="inlineStr">
        <is>
          <t>x1</t>
        </is>
      </c>
      <c r="H89" s="131" t="inlineStr">
        <is>
          <t>y1</t>
        </is>
      </c>
      <c r="I89" s="131" t="inlineStr">
        <is>
          <t>x2</t>
        </is>
      </c>
      <c r="J89" s="131" t="inlineStr">
        <is>
          <t>y2</t>
        </is>
      </c>
      <c r="K89" s="131" t="inlineStr">
        <is>
          <t>x3</t>
        </is>
      </c>
      <c r="L89" s="131" t="inlineStr">
        <is>
          <t>y3</t>
        </is>
      </c>
      <c r="M89" s="131" t="inlineStr">
        <is>
          <t>x4</t>
        </is>
      </c>
      <c r="N89" s="131" t="inlineStr">
        <is>
          <t>y4</t>
        </is>
      </c>
      <c r="O89" s="131" t="inlineStr">
        <is>
          <t>x5</t>
        </is>
      </c>
      <c r="P89" s="131" t="inlineStr">
        <is>
          <t>y5</t>
        </is>
      </c>
      <c r="Q89" s="131" t="inlineStr">
        <is>
          <t>x39</t>
        </is>
      </c>
      <c r="R89" s="131" t="inlineStr">
        <is>
          <t>x69</t>
        </is>
      </c>
      <c r="S89" s="131" t="inlineStr">
        <is>
          <t>q25</t>
        </is>
      </c>
      <c r="T89" s="131" t="inlineStr">
        <is>
          <t>q50</t>
        </is>
      </c>
      <c r="U89" s="131" t="inlineStr">
        <is>
          <t>q75</t>
        </is>
      </c>
      <c r="V89" s="131" t="inlineStr">
        <is>
          <t>Tier</t>
        </is>
      </c>
    </row>
    <row r="90">
      <c r="A90" t="inlineStr">
        <is>
          <t>corridor-natural|CPL</t>
        </is>
      </c>
      <c r="B90" t="inlineStr">
        <is>
          <t>corridor-natural</t>
        </is>
      </c>
      <c r="C90" t="inlineStr">
        <is>
          <t>CPL</t>
        </is>
      </c>
      <c r="D90" t="inlineStr">
        <is>
          <t>TRUE</t>
        </is>
      </c>
      <c r="E90" t="n">
        <v>6106</v>
      </c>
      <c r="F90" t="n">
        <v>6130</v>
      </c>
      <c r="G90" t="n">
        <v>0</v>
      </c>
      <c r="H90" t="n">
        <v>0</v>
      </c>
      <c r="I90" t="n">
        <v>39.775713</v>
      </c>
      <c r="J90" t="n">
        <v>0.3</v>
      </c>
      <c r="K90" t="n">
        <v>92.80999799999999</v>
      </c>
      <c r="L90" t="n">
        <v>0.7</v>
      </c>
      <c r="M90" t="n">
        <v>99.220001</v>
      </c>
      <c r="N90" t="n">
        <v>1</v>
      </c>
      <c r="O90" t="n">
        <v>100</v>
      </c>
      <c r="P90" t="n">
        <v>1</v>
      </c>
      <c r="Q90" t="n">
        <v>51.708427</v>
      </c>
      <c r="R90" t="n">
        <v>91.48414</v>
      </c>
      <c r="S90" t="n">
        <v>92.80999799999999</v>
      </c>
      <c r="T90" t="n">
        <v>96.949997</v>
      </c>
      <c r="U90" t="n">
        <v>99.220001</v>
      </c>
      <c r="V90" t="inlineStr">
        <is>
          <t>complete</t>
        </is>
      </c>
    </row>
    <row r="91">
      <c r="A91" t="inlineStr">
        <is>
          <t>corridor-natural|NAP</t>
        </is>
      </c>
      <c r="B91" t="inlineStr">
        <is>
          <t>corridor-natural</t>
        </is>
      </c>
      <c r="C91" t="inlineStr">
        <is>
          <t>NAP</t>
        </is>
      </c>
      <c r="D91" t="inlineStr">
        <is>
          <t>TRUE</t>
        </is>
      </c>
      <c r="E91" t="n">
        <v>3002</v>
      </c>
      <c r="F91" t="n">
        <v>3005</v>
      </c>
      <c r="G91" t="n">
        <v>0</v>
      </c>
      <c r="H91" t="n">
        <v>0</v>
      </c>
      <c r="I91" t="n">
        <v>38.549999</v>
      </c>
      <c r="J91" t="n">
        <v>0.3</v>
      </c>
      <c r="K91" t="n">
        <v>89.949997</v>
      </c>
      <c r="L91" t="n">
        <v>0.7</v>
      </c>
      <c r="M91" t="n">
        <v>98.457499</v>
      </c>
      <c r="N91" t="n">
        <v>1</v>
      </c>
      <c r="O91" t="n">
        <v>100</v>
      </c>
      <c r="P91" t="n">
        <v>1</v>
      </c>
      <c r="Q91" t="n">
        <v>50.114998</v>
      </c>
      <c r="R91" t="n">
        <v>88.664997</v>
      </c>
      <c r="S91" t="n">
        <v>89.949997</v>
      </c>
      <c r="T91" t="n">
        <v>95.24499900000001</v>
      </c>
      <c r="U91" t="n">
        <v>98.457499</v>
      </c>
      <c r="V91" t="inlineStr">
        <is>
          <t>complete</t>
        </is>
      </c>
    </row>
    <row r="92">
      <c r="A92" t="inlineStr">
        <is>
          <t>corridor-natural|NPL</t>
        </is>
      </c>
      <c r="B92" t="inlineStr">
        <is>
          <t>corridor-natural</t>
        </is>
      </c>
      <c r="C92" t="inlineStr">
        <is>
          <t>NPL</t>
        </is>
      </c>
      <c r="D92" t="inlineStr">
        <is>
          <t>TRUE</t>
        </is>
      </c>
      <c r="E92" t="n">
        <v>4318</v>
      </c>
      <c r="F92" t="n">
        <v>4319</v>
      </c>
      <c r="G92" t="n">
        <v>0</v>
      </c>
      <c r="H92" t="n">
        <v>0</v>
      </c>
      <c r="I92" t="n">
        <v>41.7225</v>
      </c>
      <c r="J92" t="n">
        <v>0.3</v>
      </c>
      <c r="K92" t="n">
        <v>97.35249899999999</v>
      </c>
      <c r="L92" t="n">
        <v>0.7</v>
      </c>
      <c r="M92" t="n">
        <v>100</v>
      </c>
      <c r="N92" t="n">
        <v>1</v>
      </c>
      <c r="O92" t="n">
        <v>100</v>
      </c>
      <c r="P92" t="n">
        <v>1</v>
      </c>
      <c r="Q92" t="n">
        <v>54.239249</v>
      </c>
      <c r="R92" t="n">
        <v>95.961749</v>
      </c>
      <c r="S92" t="n">
        <v>97.35249899999999</v>
      </c>
      <c r="T92" t="n">
        <v>99.58000199999999</v>
      </c>
      <c r="U92" t="n">
        <v>100</v>
      </c>
      <c r="V92" t="inlineStr">
        <is>
          <t>complete</t>
        </is>
      </c>
    </row>
    <row r="93">
      <c r="A93" t="inlineStr">
        <is>
          <t>corridor-natural|SAP</t>
        </is>
      </c>
      <c r="B93" t="inlineStr">
        <is>
          <t>corridor-natural</t>
        </is>
      </c>
      <c r="C93" t="inlineStr">
        <is>
          <t>SAP</t>
        </is>
      </c>
      <c r="D93" t="inlineStr">
        <is>
          <t>TRUE</t>
        </is>
      </c>
      <c r="E93" t="n">
        <v>6246</v>
      </c>
      <c r="F93" t="n">
        <v>6246</v>
      </c>
      <c r="G93" t="n">
        <v>0</v>
      </c>
      <c r="H93" t="n">
        <v>0</v>
      </c>
      <c r="I93" t="n">
        <v>37.654286</v>
      </c>
      <c r="J93" t="n">
        <v>0.3</v>
      </c>
      <c r="K93" t="n">
        <v>87.860001</v>
      </c>
      <c r="L93" t="n">
        <v>0.7</v>
      </c>
      <c r="M93" t="n">
        <v>99.099998</v>
      </c>
      <c r="N93" t="n">
        <v>1</v>
      </c>
      <c r="O93" t="n">
        <v>100</v>
      </c>
      <c r="P93" t="n">
        <v>1</v>
      </c>
      <c r="Q93" t="n">
        <v>48.950572</v>
      </c>
      <c r="R93" t="n">
        <v>86.60485799999999</v>
      </c>
      <c r="S93" t="n">
        <v>87.860001</v>
      </c>
      <c r="T93" t="n">
        <v>95.19000200000001</v>
      </c>
      <c r="U93" t="n">
        <v>99.099998</v>
      </c>
      <c r="V93" t="inlineStr">
        <is>
          <t>complete</t>
        </is>
      </c>
    </row>
    <row r="94">
      <c r="A94" t="inlineStr">
        <is>
          <t>corridor-natural|SPL</t>
        </is>
      </c>
      <c r="B94" t="inlineStr">
        <is>
          <t>corridor-natural</t>
        </is>
      </c>
      <c r="C94" t="inlineStr">
        <is>
          <t>SPL</t>
        </is>
      </c>
      <c r="D94" t="inlineStr">
        <is>
          <t>TRUE</t>
        </is>
      </c>
      <c r="E94" t="n">
        <v>5959</v>
      </c>
      <c r="F94" t="n">
        <v>5960</v>
      </c>
      <c r="G94" t="n">
        <v>0</v>
      </c>
      <c r="H94" t="n">
        <v>0</v>
      </c>
      <c r="I94" t="n">
        <v>41.138571</v>
      </c>
      <c r="J94" t="n">
        <v>0.3</v>
      </c>
      <c r="K94" t="n">
        <v>95.989998</v>
      </c>
      <c r="L94" t="n">
        <v>0.7</v>
      </c>
      <c r="M94" t="n">
        <v>99.949997</v>
      </c>
      <c r="N94" t="n">
        <v>1</v>
      </c>
      <c r="O94" t="n">
        <v>100</v>
      </c>
      <c r="P94" t="n">
        <v>1</v>
      </c>
      <c r="Q94" t="n">
        <v>53.480142</v>
      </c>
      <c r="R94" t="n">
        <v>94.618712</v>
      </c>
      <c r="S94" t="n">
        <v>95.989998</v>
      </c>
      <c r="T94" t="n">
        <v>98.639999</v>
      </c>
      <c r="U94" t="n">
        <v>99.949997</v>
      </c>
      <c r="V94" t="inlineStr">
        <is>
          <t>complete</t>
        </is>
      </c>
    </row>
    <row r="95">
      <c r="A95" t="inlineStr">
        <is>
          <t>corridor-natural|TPL</t>
        </is>
      </c>
      <c r="B95" t="inlineStr">
        <is>
          <t>corridor-natural</t>
        </is>
      </c>
      <c r="C95" t="inlineStr">
        <is>
          <t>TPL</t>
        </is>
      </c>
      <c r="D95" t="inlineStr">
        <is>
          <t>TRUE</t>
        </is>
      </c>
      <c r="E95" t="n">
        <v>870</v>
      </c>
      <c r="F95" t="n">
        <v>874</v>
      </c>
      <c r="G95" t="n">
        <v>0</v>
      </c>
      <c r="H95" t="n">
        <v>0</v>
      </c>
      <c r="I95" t="n">
        <v>38.562858</v>
      </c>
      <c r="J95" t="n">
        <v>0.3</v>
      </c>
      <c r="K95" t="n">
        <v>89.980001</v>
      </c>
      <c r="L95" t="n">
        <v>0.7</v>
      </c>
      <c r="M95" t="n">
        <v>98.800003</v>
      </c>
      <c r="N95" t="n">
        <v>1</v>
      </c>
      <c r="O95" t="n">
        <v>100</v>
      </c>
      <c r="P95" t="n">
        <v>1</v>
      </c>
      <c r="Q95" t="n">
        <v>50.131715</v>
      </c>
      <c r="R95" t="n">
        <v>88.69457300000001</v>
      </c>
      <c r="S95" t="n">
        <v>89.980001</v>
      </c>
      <c r="T95" t="n">
        <v>95.25</v>
      </c>
      <c r="U95" t="n">
        <v>98.800003</v>
      </c>
      <c r="V95" t="inlineStr">
        <is>
          <t>complete</t>
        </is>
      </c>
    </row>
    <row r="96">
      <c r="A96" t="inlineStr">
        <is>
          <t>corridor-natural|UMW</t>
        </is>
      </c>
      <c r="B96" t="inlineStr">
        <is>
          <t>corridor-natural</t>
        </is>
      </c>
      <c r="C96" t="inlineStr">
        <is>
          <t>UMW</t>
        </is>
      </c>
      <c r="D96" t="inlineStr">
        <is>
          <t>TRUE</t>
        </is>
      </c>
      <c r="E96" t="n">
        <v>2431</v>
      </c>
      <c r="F96" t="n">
        <v>2432</v>
      </c>
      <c r="G96" t="n">
        <v>0</v>
      </c>
      <c r="H96" t="n">
        <v>0</v>
      </c>
      <c r="I96" t="n">
        <v>39.462856</v>
      </c>
      <c r="J96" t="n">
        <v>0.3</v>
      </c>
      <c r="K96" t="n">
        <v>92.079998</v>
      </c>
      <c r="L96" t="n">
        <v>0.7</v>
      </c>
      <c r="M96" t="n">
        <v>98.514999</v>
      </c>
      <c r="N96" t="n">
        <v>1</v>
      </c>
      <c r="O96" t="n">
        <v>100</v>
      </c>
      <c r="P96" t="n">
        <v>1</v>
      </c>
      <c r="Q96" t="n">
        <v>51.301713</v>
      </c>
      <c r="R96" t="n">
        <v>90.76456899999999</v>
      </c>
      <c r="S96" t="n">
        <v>92.079998</v>
      </c>
      <c r="T96" t="n">
        <v>96.19000200000001</v>
      </c>
      <c r="U96" t="n">
        <v>98.514999</v>
      </c>
      <c r="V96" t="inlineStr">
        <is>
          <t>complete</t>
        </is>
      </c>
    </row>
    <row r="97">
      <c r="A97" t="inlineStr">
        <is>
          <t>corridor-natural|WMT</t>
        </is>
      </c>
      <c r="B97" t="inlineStr">
        <is>
          <t>corridor-natural</t>
        </is>
      </c>
      <c r="C97" t="inlineStr">
        <is>
          <t>WMT</t>
        </is>
      </c>
      <c r="D97" t="inlineStr">
        <is>
          <t>TRUE</t>
        </is>
      </c>
      <c r="E97" t="n">
        <v>12592</v>
      </c>
      <c r="F97" t="n">
        <v>12592</v>
      </c>
      <c r="G97" t="n">
        <v>0</v>
      </c>
      <c r="H97" t="n">
        <v>0</v>
      </c>
      <c r="I97" t="n">
        <v>41.807144</v>
      </c>
      <c r="J97" t="n">
        <v>0.3</v>
      </c>
      <c r="K97" t="n">
        <v>97.550003</v>
      </c>
      <c r="L97" t="n">
        <v>0.7</v>
      </c>
      <c r="M97" t="n">
        <v>100</v>
      </c>
      <c r="N97" t="n">
        <v>1</v>
      </c>
      <c r="O97" t="n">
        <v>100</v>
      </c>
      <c r="P97" t="n">
        <v>1</v>
      </c>
      <c r="Q97" t="n">
        <v>54.349287</v>
      </c>
      <c r="R97" t="n">
        <v>96.156432</v>
      </c>
      <c r="S97" t="n">
        <v>97.550003</v>
      </c>
      <c r="T97" t="n">
        <v>99.900002</v>
      </c>
      <c r="U97" t="n">
        <v>100</v>
      </c>
      <c r="V97" t="inlineStr">
        <is>
          <t>complete</t>
        </is>
      </c>
    </row>
    <row r="98">
      <c r="A98" t="inlineStr">
        <is>
          <t>corridor-natural|XER</t>
        </is>
      </c>
      <c r="B98" t="inlineStr">
        <is>
          <t>corridor-natural</t>
        </is>
      </c>
      <c r="C98" t="inlineStr">
        <is>
          <t>XER</t>
        </is>
      </c>
      <c r="D98" t="inlineStr">
        <is>
          <t>TRUE</t>
        </is>
      </c>
      <c r="E98" t="n">
        <v>14653</v>
      </c>
      <c r="F98" t="n">
        <v>14654</v>
      </c>
      <c r="G98" t="n">
        <v>0</v>
      </c>
      <c r="H98" t="n">
        <v>0</v>
      </c>
      <c r="I98" t="n">
        <v>41.952857</v>
      </c>
      <c r="J98" t="n">
        <v>0.3</v>
      </c>
      <c r="K98" t="n">
        <v>97.889999</v>
      </c>
      <c r="L98" t="n">
        <v>0.7</v>
      </c>
      <c r="M98" t="n">
        <v>100</v>
      </c>
      <c r="N98" t="n">
        <v>1</v>
      </c>
      <c r="O98" t="n">
        <v>100</v>
      </c>
      <c r="P98" t="n">
        <v>1</v>
      </c>
      <c r="Q98" t="n">
        <v>54.538714</v>
      </c>
      <c r="R98" t="n">
        <v>96.49157099999999</v>
      </c>
      <c r="S98" t="n">
        <v>97.889999</v>
      </c>
      <c r="T98" t="n">
        <v>99.879997</v>
      </c>
      <c r="U98" t="n">
        <v>100</v>
      </c>
      <c r="V98" t="inlineStr">
        <is>
          <t>complete</t>
        </is>
      </c>
    </row>
    <row r="99">
      <c r="A99" t="inlineStr">
        <is>
          <t>corridor-natural|national</t>
        </is>
      </c>
      <c r="B99" t="inlineStr">
        <is>
          <t>corridor-natural</t>
        </is>
      </c>
      <c r="C99" t="inlineStr">
        <is>
          <t>national</t>
        </is>
      </c>
      <c r="D99" t="inlineStr">
        <is>
          <t>TRUE</t>
        </is>
      </c>
      <c r="E99" t="n">
        <v>53175</v>
      </c>
      <c r="F99" t="n">
        <v>53210</v>
      </c>
      <c r="G99" t="n">
        <v>0</v>
      </c>
      <c r="H99" t="n">
        <v>0</v>
      </c>
      <c r="I99" t="n">
        <v>40.675716</v>
      </c>
      <c r="J99" t="n">
        <v>0.3</v>
      </c>
      <c r="K99" t="n">
        <v>94.910004</v>
      </c>
      <c r="L99" t="n">
        <v>0.7</v>
      </c>
      <c r="M99" t="n">
        <v>100</v>
      </c>
      <c r="N99" t="n">
        <v>1</v>
      </c>
      <c r="O99" t="n">
        <v>100</v>
      </c>
      <c r="P99" t="n">
        <v>1</v>
      </c>
      <c r="Q99" t="n">
        <v>52.878431</v>
      </c>
      <c r="R99" t="n">
        <v>93.554146</v>
      </c>
      <c r="S99" t="n">
        <v>94.910004</v>
      </c>
      <c r="T99" t="n">
        <v>98.870003</v>
      </c>
      <c r="U99" t="n">
        <v>100</v>
      </c>
      <c r="V99" t="inlineStr">
        <is>
          <t>complete</t>
        </is>
      </c>
    </row>
    <row r="100">
      <c r="A100" t="inlineStr">
        <is>
          <t>corridor-woody|CPL</t>
        </is>
      </c>
      <c r="B100" t="inlineStr">
        <is>
          <t>corridor-woody</t>
        </is>
      </c>
      <c r="C100" t="inlineStr">
        <is>
          <t>CPL</t>
        </is>
      </c>
      <c r="D100" t="inlineStr">
        <is>
          <t>TRUE</t>
        </is>
      </c>
      <c r="E100" t="n">
        <v>6106</v>
      </c>
      <c r="F100" t="n">
        <v>6130</v>
      </c>
      <c r="G100" t="n">
        <v>0</v>
      </c>
      <c r="H100" t="n">
        <v>0</v>
      </c>
      <c r="I100" t="n">
        <v>35.38607</v>
      </c>
      <c r="J100" t="n">
        <v>0.3</v>
      </c>
      <c r="K100" t="n">
        <v>82.567497</v>
      </c>
      <c r="L100" t="n">
        <v>0.7</v>
      </c>
      <c r="M100" t="n">
        <v>97.227503</v>
      </c>
      <c r="N100" t="n">
        <v>1</v>
      </c>
      <c r="O100" t="n">
        <v>100</v>
      </c>
      <c r="P100" t="n">
        <v>1</v>
      </c>
      <c r="Q100" t="n">
        <v>46.001891</v>
      </c>
      <c r="R100" t="n">
        <v>81.387962</v>
      </c>
      <c r="S100" t="n">
        <v>82.567497</v>
      </c>
      <c r="T100" t="n">
        <v>92.5</v>
      </c>
      <c r="U100" t="n">
        <v>97.227503</v>
      </c>
      <c r="V100" t="inlineStr">
        <is>
          <t>complete</t>
        </is>
      </c>
    </row>
    <row r="101">
      <c r="A101" t="inlineStr">
        <is>
          <t>corridor-woody|NAP</t>
        </is>
      </c>
      <c r="B101" t="inlineStr">
        <is>
          <t>corridor-woody</t>
        </is>
      </c>
      <c r="C101" t="inlineStr">
        <is>
          <t>NAP</t>
        </is>
      </c>
      <c r="D101" t="inlineStr">
        <is>
          <t>TRUE</t>
        </is>
      </c>
      <c r="E101" t="n">
        <v>3002</v>
      </c>
      <c r="F101" t="n">
        <v>3005</v>
      </c>
      <c r="G101" t="n">
        <v>0</v>
      </c>
      <c r="H101" t="n">
        <v>0</v>
      </c>
      <c r="I101" t="n">
        <v>36.962142</v>
      </c>
      <c r="J101" t="n">
        <v>0.3</v>
      </c>
      <c r="K101" t="n">
        <v>86.24499900000001</v>
      </c>
      <c r="L101" t="n">
        <v>0.7</v>
      </c>
      <c r="M101" t="n">
        <v>96.64750100000001</v>
      </c>
      <c r="N101" t="n">
        <v>1</v>
      </c>
      <c r="O101" t="n">
        <v>99.768252</v>
      </c>
      <c r="P101" t="n">
        <v>1</v>
      </c>
      <c r="Q101" t="n">
        <v>48.050785</v>
      </c>
      <c r="R101" t="n">
        <v>85.012928</v>
      </c>
      <c r="S101" t="n">
        <v>86.24499900000001</v>
      </c>
      <c r="T101" t="n">
        <v>92.514999</v>
      </c>
      <c r="U101" t="n">
        <v>96.64750100000001</v>
      </c>
      <c r="V101" t="inlineStr">
        <is>
          <t>complete</t>
        </is>
      </c>
    </row>
    <row r="102">
      <c r="A102" t="inlineStr">
        <is>
          <t>corridor-woody|NPL</t>
        </is>
      </c>
      <c r="B102" t="inlineStr">
        <is>
          <t>corridor-woody</t>
        </is>
      </c>
      <c r="C102" t="inlineStr">
        <is>
          <t>NPL</t>
        </is>
      </c>
      <c r="D102" t="inlineStr">
        <is>
          <t>TRUE</t>
        </is>
      </c>
      <c r="E102" t="n">
        <v>4318</v>
      </c>
      <c r="F102" t="n">
        <v>4319</v>
      </c>
      <c r="G102" t="n">
        <v>0</v>
      </c>
      <c r="H102" t="n">
        <v>0</v>
      </c>
      <c r="I102" t="n">
        <v>0.620357</v>
      </c>
      <c r="J102" t="n">
        <v>0.3</v>
      </c>
      <c r="K102" t="n">
        <v>1.4475</v>
      </c>
      <c r="L102" t="n">
        <v>0.7</v>
      </c>
      <c r="M102" t="n">
        <v>63.462501</v>
      </c>
      <c r="N102" t="n">
        <v>1</v>
      </c>
      <c r="O102" t="n">
        <v>82.067001</v>
      </c>
      <c r="P102" t="n">
        <v>1</v>
      </c>
      <c r="Q102" t="n">
        <v>0.806464</v>
      </c>
      <c r="R102" t="n">
        <v>1.426821</v>
      </c>
      <c r="S102" t="n">
        <v>1.4475</v>
      </c>
      <c r="T102" t="n">
        <v>28.26</v>
      </c>
      <c r="U102" t="n">
        <v>63.462501</v>
      </c>
      <c r="V102" t="inlineStr">
        <is>
          <t>complete</t>
        </is>
      </c>
    </row>
    <row r="103">
      <c r="A103" t="inlineStr">
        <is>
          <t>corridor-woody|SAP</t>
        </is>
      </c>
      <c r="B103" t="inlineStr">
        <is>
          <t>corridor-woody</t>
        </is>
      </c>
      <c r="C103" t="inlineStr">
        <is>
          <t>SAP</t>
        </is>
      </c>
      <c r="D103" t="inlineStr">
        <is>
          <t>TRUE</t>
        </is>
      </c>
      <c r="E103" t="n">
        <v>6246</v>
      </c>
      <c r="F103" t="n">
        <v>6246</v>
      </c>
      <c r="G103" t="n">
        <v>0</v>
      </c>
      <c r="H103" t="n">
        <v>0</v>
      </c>
      <c r="I103" t="n">
        <v>36.327858</v>
      </c>
      <c r="J103" t="n">
        <v>0.3</v>
      </c>
      <c r="K103" t="n">
        <v>84.765001</v>
      </c>
      <c r="L103" t="n">
        <v>0.7</v>
      </c>
      <c r="M103" t="n">
        <v>98.197498</v>
      </c>
      <c r="N103" t="n">
        <v>1</v>
      </c>
      <c r="O103" t="n">
        <v>100</v>
      </c>
      <c r="P103" t="n">
        <v>1</v>
      </c>
      <c r="Q103" t="n">
        <v>47.226215</v>
      </c>
      <c r="R103" t="n">
        <v>83.554073</v>
      </c>
      <c r="S103" t="n">
        <v>84.765001</v>
      </c>
      <c r="T103" t="n">
        <v>92.949997</v>
      </c>
      <c r="U103" t="n">
        <v>98.197498</v>
      </c>
      <c r="V103" t="inlineStr">
        <is>
          <t>complete</t>
        </is>
      </c>
    </row>
    <row r="104">
      <c r="A104" t="inlineStr">
        <is>
          <t>corridor-woody|SPL</t>
        </is>
      </c>
      <c r="B104" t="inlineStr">
        <is>
          <t>corridor-woody</t>
        </is>
      </c>
      <c r="C104" t="inlineStr">
        <is>
          <t>SPL</t>
        </is>
      </c>
      <c r="D104" t="inlineStr">
        <is>
          <t>TRUE</t>
        </is>
      </c>
      <c r="E104" t="n">
        <v>5959</v>
      </c>
      <c r="F104" t="n">
        <v>5960</v>
      </c>
      <c r="G104" t="n">
        <v>0</v>
      </c>
      <c r="H104" t="n">
        <v>0</v>
      </c>
      <c r="I104" t="n">
        <v>1.68</v>
      </c>
      <c r="J104" t="n">
        <v>0.3</v>
      </c>
      <c r="K104" t="n">
        <v>3.92</v>
      </c>
      <c r="L104" t="n">
        <v>0.7</v>
      </c>
      <c r="M104" t="n">
        <v>91.924999</v>
      </c>
      <c r="N104" t="n">
        <v>1</v>
      </c>
      <c r="O104" t="n">
        <v>100</v>
      </c>
      <c r="P104" t="n">
        <v>1</v>
      </c>
      <c r="Q104" t="n">
        <v>2.184</v>
      </c>
      <c r="R104" t="n">
        <v>3.864</v>
      </c>
      <c r="S104" t="n">
        <v>3.92</v>
      </c>
      <c r="T104" t="n">
        <v>49.380001</v>
      </c>
      <c r="U104" t="n">
        <v>91.924999</v>
      </c>
      <c r="V104" t="inlineStr">
        <is>
          <t>complete</t>
        </is>
      </c>
    </row>
    <row r="105">
      <c r="A105" t="inlineStr">
        <is>
          <t>corridor-woody|TPL</t>
        </is>
      </c>
      <c r="B105" t="inlineStr">
        <is>
          <t>corridor-woody</t>
        </is>
      </c>
      <c r="C105" t="inlineStr">
        <is>
          <t>TPL</t>
        </is>
      </c>
      <c r="D105" t="inlineStr">
        <is>
          <t>TRUE</t>
        </is>
      </c>
      <c r="E105" t="n">
        <v>870</v>
      </c>
      <c r="F105" t="n">
        <v>874</v>
      </c>
      <c r="G105" t="n">
        <v>0</v>
      </c>
      <c r="H105" t="n">
        <v>0</v>
      </c>
      <c r="I105" t="n">
        <v>1.8075</v>
      </c>
      <c r="J105" t="n">
        <v>0.3</v>
      </c>
      <c r="K105" t="n">
        <v>4.2175</v>
      </c>
      <c r="L105" t="n">
        <v>0.7</v>
      </c>
      <c r="M105" t="n">
        <v>90.220001</v>
      </c>
      <c r="N105" t="n">
        <v>1</v>
      </c>
      <c r="O105" t="n">
        <v>100</v>
      </c>
      <c r="P105" t="n">
        <v>1</v>
      </c>
      <c r="Q105" t="n">
        <v>2.34975</v>
      </c>
      <c r="R105" t="n">
        <v>4.15725</v>
      </c>
      <c r="S105" t="n">
        <v>4.2175</v>
      </c>
      <c r="T105" t="n">
        <v>49.17</v>
      </c>
      <c r="U105" t="n">
        <v>90.220001</v>
      </c>
      <c r="V105" t="inlineStr">
        <is>
          <t>complete</t>
        </is>
      </c>
    </row>
    <row r="106">
      <c r="A106" t="inlineStr">
        <is>
          <t>corridor-woody|UMW</t>
        </is>
      </c>
      <c r="B106" t="inlineStr">
        <is>
          <t>corridor-woody</t>
        </is>
      </c>
      <c r="C106" t="inlineStr">
        <is>
          <t>UMW</t>
        </is>
      </c>
      <c r="D106" t="inlineStr">
        <is>
          <t>TRUE</t>
        </is>
      </c>
      <c r="E106" t="n">
        <v>2431</v>
      </c>
      <c r="F106" t="n">
        <v>2432</v>
      </c>
      <c r="G106" t="n">
        <v>0</v>
      </c>
      <c r="H106" t="n">
        <v>0</v>
      </c>
      <c r="I106" t="n">
        <v>33.004285</v>
      </c>
      <c r="J106" t="n">
        <v>0.3</v>
      </c>
      <c r="K106" t="n">
        <v>77.009998</v>
      </c>
      <c r="L106" t="n">
        <v>0.7</v>
      </c>
      <c r="M106" t="n">
        <v>94.639999</v>
      </c>
      <c r="N106" t="n">
        <v>1</v>
      </c>
      <c r="O106" t="n">
        <v>99.929</v>
      </c>
      <c r="P106" t="n">
        <v>1</v>
      </c>
      <c r="Q106" t="n">
        <v>42.90557</v>
      </c>
      <c r="R106" t="n">
        <v>75.90985499999999</v>
      </c>
      <c r="S106" t="n">
        <v>77.009998</v>
      </c>
      <c r="T106" t="n">
        <v>88.66999800000001</v>
      </c>
      <c r="U106" t="n">
        <v>94.639999</v>
      </c>
      <c r="V106" t="inlineStr">
        <is>
          <t>complete</t>
        </is>
      </c>
    </row>
    <row r="107">
      <c r="A107" t="inlineStr">
        <is>
          <t>corridor-woody|WMT</t>
        </is>
      </c>
      <c r="B107" t="inlineStr">
        <is>
          <t>corridor-woody</t>
        </is>
      </c>
      <c r="C107" t="inlineStr">
        <is>
          <t>WMT</t>
        </is>
      </c>
      <c r="D107" t="inlineStr">
        <is>
          <t>TRUE</t>
        </is>
      </c>
      <c r="E107" t="n">
        <v>12592</v>
      </c>
      <c r="F107" t="n">
        <v>12592</v>
      </c>
      <c r="G107" t="n">
        <v>0</v>
      </c>
      <c r="H107" t="n">
        <v>0</v>
      </c>
      <c r="I107" t="n">
        <v>36.603216</v>
      </c>
      <c r="J107" t="n">
        <v>0.3</v>
      </c>
      <c r="K107" t="n">
        <v>85.40750300000001</v>
      </c>
      <c r="L107" t="n">
        <v>0.7</v>
      </c>
      <c r="M107" t="n">
        <v>99.599998</v>
      </c>
      <c r="N107" t="n">
        <v>1</v>
      </c>
      <c r="O107" t="n">
        <v>100</v>
      </c>
      <c r="P107" t="n">
        <v>1</v>
      </c>
      <c r="Q107" t="n">
        <v>47.58418</v>
      </c>
      <c r="R107" t="n">
        <v>84.18739600000001</v>
      </c>
      <c r="S107" t="n">
        <v>85.40750300000001</v>
      </c>
      <c r="T107" t="n">
        <v>95.865002</v>
      </c>
      <c r="U107" t="n">
        <v>99.599998</v>
      </c>
      <c r="V107" t="inlineStr">
        <is>
          <t>complete</t>
        </is>
      </c>
    </row>
    <row r="108">
      <c r="A108" t="inlineStr">
        <is>
          <t>corridor-woody|XER</t>
        </is>
      </c>
      <c r="B108" t="inlineStr">
        <is>
          <t>corridor-woody</t>
        </is>
      </c>
      <c r="C108" t="inlineStr">
        <is>
          <t>XER</t>
        </is>
      </c>
      <c r="D108" t="inlineStr">
        <is>
          <t>TRUE</t>
        </is>
      </c>
      <c r="E108" t="n">
        <v>14653</v>
      </c>
      <c r="F108" t="n">
        <v>14654</v>
      </c>
      <c r="G108" t="n">
        <v>0</v>
      </c>
      <c r="H108" t="n">
        <v>0</v>
      </c>
      <c r="I108" t="n">
        <v>32.708571</v>
      </c>
      <c r="J108" t="n">
        <v>0.3</v>
      </c>
      <c r="K108" t="n">
        <v>76.31999999999999</v>
      </c>
      <c r="L108" t="n">
        <v>0.7</v>
      </c>
      <c r="M108" t="n">
        <v>99.489998</v>
      </c>
      <c r="N108" t="n">
        <v>1</v>
      </c>
      <c r="O108" t="n">
        <v>100</v>
      </c>
      <c r="P108" t="n">
        <v>1</v>
      </c>
      <c r="Q108" t="n">
        <v>42.521143</v>
      </c>
      <c r="R108" t="n">
        <v>75.229714</v>
      </c>
      <c r="S108" t="n">
        <v>76.31999999999999</v>
      </c>
      <c r="T108" t="n">
        <v>94.839996</v>
      </c>
      <c r="U108" t="n">
        <v>99.489998</v>
      </c>
      <c r="V108" t="inlineStr">
        <is>
          <t>complete</t>
        </is>
      </c>
    </row>
    <row r="109">
      <c r="A109" t="inlineStr">
        <is>
          <t>corridor-woody|national</t>
        </is>
      </c>
      <c r="B109" t="inlineStr">
        <is>
          <t>corridor-woody</t>
        </is>
      </c>
      <c r="C109" t="inlineStr">
        <is>
          <t>national</t>
        </is>
      </c>
      <c r="D109" t="inlineStr">
        <is>
          <t>TRUE</t>
        </is>
      </c>
      <c r="E109" t="n">
        <v>53175</v>
      </c>
      <c r="F109" t="n">
        <v>53210</v>
      </c>
      <c r="G109" t="n">
        <v>0</v>
      </c>
      <c r="H109" t="n">
        <v>0</v>
      </c>
      <c r="I109" t="n">
        <v>29.695715</v>
      </c>
      <c r="J109" t="n">
        <v>0.3</v>
      </c>
      <c r="K109" t="n">
        <v>69.290001</v>
      </c>
      <c r="L109" t="n">
        <v>0.7</v>
      </c>
      <c r="M109" t="n">
        <v>98.16999800000001</v>
      </c>
      <c r="N109" t="n">
        <v>1</v>
      </c>
      <c r="O109" t="n">
        <v>100</v>
      </c>
      <c r="P109" t="n">
        <v>1</v>
      </c>
      <c r="Q109" t="n">
        <v>38.604429</v>
      </c>
      <c r="R109" t="n">
        <v>68.300144</v>
      </c>
      <c r="S109" t="n">
        <v>69.290001</v>
      </c>
      <c r="T109" t="n">
        <v>91.150002</v>
      </c>
      <c r="U109" t="n">
        <v>98.16999800000001</v>
      </c>
      <c r="V109" t="inlineStr">
        <is>
          <t>complete</t>
        </is>
      </c>
    </row>
    <row r="110">
      <c r="A110" t="inlineStr">
        <is>
          <t>entrenchment|0.5_to_2</t>
        </is>
      </c>
      <c r="B110" t="inlineStr">
        <is>
          <t>entrenchment</t>
        </is>
      </c>
      <c r="C110" t="inlineStr">
        <is>
          <t>0.5_to_2</t>
        </is>
      </c>
      <c r="D110" t="inlineStr">
        <is>
          <t>TRUE</t>
        </is>
      </c>
      <c r="E110" t="n">
        <v>9416</v>
      </c>
      <c r="F110" t="n">
        <v>17925</v>
      </c>
      <c r="G110" t="n">
        <v>0</v>
      </c>
      <c r="H110" t="n">
        <v>0</v>
      </c>
      <c r="I110" t="n">
        <v>0.621429</v>
      </c>
      <c r="J110" t="n">
        <v>0.3</v>
      </c>
      <c r="K110" t="n">
        <v>1.45</v>
      </c>
      <c r="L110" t="n">
        <v>0.7</v>
      </c>
      <c r="M110" t="n">
        <v>2.39</v>
      </c>
      <c r="N110" t="n">
        <v>1</v>
      </c>
      <c r="O110" t="n">
        <v>2.672</v>
      </c>
      <c r="P110" t="n">
        <v>1</v>
      </c>
      <c r="Q110" t="n">
        <v>0.807857</v>
      </c>
      <c r="R110" t="n">
        <v>1.429286</v>
      </c>
      <c r="S110" t="n">
        <v>1.45</v>
      </c>
      <c r="T110" t="n">
        <v>1.7</v>
      </c>
      <c r="U110" t="n">
        <v>2.39</v>
      </c>
      <c r="V110" t="inlineStr">
        <is>
          <t>complete</t>
        </is>
      </c>
    </row>
    <row r="111">
      <c r="A111" t="inlineStr">
        <is>
          <t>entrenchment|ge_2</t>
        </is>
      </c>
      <c r="B111" t="inlineStr">
        <is>
          <t>entrenchment</t>
        </is>
      </c>
      <c r="C111" t="inlineStr">
        <is>
          <t>ge_2</t>
        </is>
      </c>
      <c r="D111" t="inlineStr">
        <is>
          <t>TRUE</t>
        </is>
      </c>
      <c r="E111" t="n">
        <v>12473</v>
      </c>
      <c r="F111" t="n">
        <v>22316</v>
      </c>
      <c r="G111" t="n">
        <v>0</v>
      </c>
      <c r="H111" t="n">
        <v>0</v>
      </c>
      <c r="I111" t="n">
        <v>0.63</v>
      </c>
      <c r="J111" t="n">
        <v>0.3</v>
      </c>
      <c r="K111" t="n">
        <v>1.47</v>
      </c>
      <c r="L111" t="n">
        <v>0.7</v>
      </c>
      <c r="M111" t="n">
        <v>1.91</v>
      </c>
      <c r="N111" t="n">
        <v>1</v>
      </c>
      <c r="O111" t="n">
        <v>2.042</v>
      </c>
      <c r="P111" t="n">
        <v>1</v>
      </c>
      <c r="Q111" t="n">
        <v>0.819</v>
      </c>
      <c r="R111" t="n">
        <v>1.449</v>
      </c>
      <c r="S111" t="n">
        <v>1.47</v>
      </c>
      <c r="T111" t="n">
        <v>1.6</v>
      </c>
      <c r="U111" t="n">
        <v>1.91</v>
      </c>
      <c r="V111" t="inlineStr">
        <is>
          <t>complete</t>
        </is>
      </c>
    </row>
    <row r="112">
      <c r="A112" t="inlineStr">
        <is>
          <t>entrenchment|lt_0.5</t>
        </is>
      </c>
      <c r="B112" t="inlineStr">
        <is>
          <t>entrenchment</t>
        </is>
      </c>
      <c r="C112" t="inlineStr">
        <is>
          <t>lt_0.5</t>
        </is>
      </c>
      <c r="D112" t="inlineStr">
        <is>
          <t>TRUE</t>
        </is>
      </c>
      <c r="E112" t="n">
        <v>6136</v>
      </c>
      <c r="F112" t="n">
        <v>12426</v>
      </c>
      <c r="G112" t="n">
        <v>0</v>
      </c>
      <c r="H112" t="n">
        <v>0</v>
      </c>
      <c r="I112" t="n">
        <v>0.497143</v>
      </c>
      <c r="J112" t="n">
        <v>0.3</v>
      </c>
      <c r="K112" t="n">
        <v>1.16</v>
      </c>
      <c r="L112" t="n">
        <v>0.7</v>
      </c>
      <c r="M112" t="n">
        <v>2.5325</v>
      </c>
      <c r="N112" t="n">
        <v>1</v>
      </c>
      <c r="O112" t="n">
        <v>2.94425</v>
      </c>
      <c r="P112" t="n">
        <v>1</v>
      </c>
      <c r="Q112" t="n">
        <v>0.646286</v>
      </c>
      <c r="R112" t="n">
        <v>1.143429</v>
      </c>
      <c r="S112" t="n">
        <v>1.16</v>
      </c>
      <c r="T112" t="n">
        <v>1.58</v>
      </c>
      <c r="U112" t="n">
        <v>2.5325</v>
      </c>
      <c r="V112" t="inlineStr">
        <is>
          <t>complete</t>
        </is>
      </c>
    </row>
    <row r="113">
      <c r="A113" t="inlineStr">
        <is>
          <t>entrenchment|national</t>
        </is>
      </c>
      <c r="B113" t="inlineStr">
        <is>
          <t>entrenchment</t>
        </is>
      </c>
      <c r="C113" t="inlineStr">
        <is>
          <t>national</t>
        </is>
      </c>
      <c r="D113" t="inlineStr">
        <is>
          <t>TRUE</t>
        </is>
      </c>
      <c r="E113" t="n">
        <v>28287</v>
      </c>
      <c r="F113" t="n">
        <v>53210</v>
      </c>
      <c r="G113" t="n">
        <v>0</v>
      </c>
      <c r="H113" t="n">
        <v>0</v>
      </c>
      <c r="I113" t="n">
        <v>0.612857</v>
      </c>
      <c r="J113" t="n">
        <v>0.3</v>
      </c>
      <c r="K113" t="n">
        <v>1.43</v>
      </c>
      <c r="L113" t="n">
        <v>0.7</v>
      </c>
      <c r="M113" t="n">
        <v>2.09</v>
      </c>
      <c r="N113" t="n">
        <v>1</v>
      </c>
      <c r="O113" t="n">
        <v>2.288</v>
      </c>
      <c r="P113" t="n">
        <v>1</v>
      </c>
      <c r="Q113" t="n">
        <v>0.796714</v>
      </c>
      <c r="R113" t="n">
        <v>1.409571</v>
      </c>
      <c r="S113" t="n">
        <v>1.43</v>
      </c>
      <c r="T113" t="n">
        <v>1.62</v>
      </c>
      <c r="U113" t="n">
        <v>2.09</v>
      </c>
      <c r="V113" t="inlineStr">
        <is>
          <t>complete</t>
        </is>
      </c>
    </row>
    <row r="114">
      <c r="A114" t="inlineStr">
        <is>
          <t>flow-variability|CPL</t>
        </is>
      </c>
      <c r="B114" t="inlineStr">
        <is>
          <t>flow-variability</t>
        </is>
      </c>
      <c r="C114" t="inlineStr">
        <is>
          <t>CPL</t>
        </is>
      </c>
      <c r="D114" t="inlineStr">
        <is>
          <t>FALSE</t>
        </is>
      </c>
      <c r="E114" t="n">
        <v>6129</v>
      </c>
      <c r="F114" t="n">
        <v>6130</v>
      </c>
      <c r="G114" t="n">
        <v>0.390855</v>
      </c>
      <c r="H114" t="n">
        <v>1</v>
      </c>
      <c r="I114" t="n">
        <v>0.48476</v>
      </c>
      <c r="J114" t="n">
        <v>1</v>
      </c>
      <c r="K114" t="n">
        <v>0.797778</v>
      </c>
      <c r="L114" t="n">
        <v>0.7</v>
      </c>
      <c r="M114" t="n">
        <v>1.215135</v>
      </c>
      <c r="N114" t="n">
        <v>0.3</v>
      </c>
      <c r="O114" t="n">
        <v>1.528152</v>
      </c>
      <c r="P114" t="n">
        <v>0</v>
      </c>
      <c r="Q114" t="n">
        <v>1.121229</v>
      </c>
      <c r="R114" t="n">
        <v>0.808212</v>
      </c>
      <c r="S114" t="n">
        <v>0.48476</v>
      </c>
      <c r="T114" t="n">
        <v>0.570686</v>
      </c>
      <c r="U114" t="n">
        <v>0.797778</v>
      </c>
      <c r="V114" t="inlineStr">
        <is>
          <t>complete</t>
        </is>
      </c>
    </row>
    <row r="115">
      <c r="A115" t="inlineStr">
        <is>
          <t>flow-variability|NAP</t>
        </is>
      </c>
      <c r="B115" t="inlineStr">
        <is>
          <t>flow-variability</t>
        </is>
      </c>
      <c r="C115" t="inlineStr">
        <is>
          <t>NAP</t>
        </is>
      </c>
      <c r="D115" t="inlineStr">
        <is>
          <t>FALSE</t>
        </is>
      </c>
      <c r="E115" t="n">
        <v>3005</v>
      </c>
      <c r="F115" t="n">
        <v>3005</v>
      </c>
      <c r="G115" t="n">
        <v>0.293031</v>
      </c>
      <c r="H115" t="n">
        <v>1</v>
      </c>
      <c r="I115" t="n">
        <v>0.43709</v>
      </c>
      <c r="J115" t="n">
        <v>1</v>
      </c>
      <c r="K115" t="n">
        <v>0.917287</v>
      </c>
      <c r="L115" t="n">
        <v>0.7</v>
      </c>
      <c r="M115" t="n">
        <v>1.55755</v>
      </c>
      <c r="N115" t="n">
        <v>0.3</v>
      </c>
      <c r="O115" t="n">
        <v>2.037747</v>
      </c>
      <c r="P115" t="n">
        <v>0</v>
      </c>
      <c r="Q115" t="n">
        <v>1.413491</v>
      </c>
      <c r="R115" t="n">
        <v>0.933294</v>
      </c>
      <c r="S115" t="n">
        <v>0.43709</v>
      </c>
      <c r="T115" t="n">
        <v>0.5185999999999999</v>
      </c>
      <c r="U115" t="n">
        <v>0.917287</v>
      </c>
      <c r="V115" t="inlineStr">
        <is>
          <t>complete</t>
        </is>
      </c>
    </row>
    <row r="116">
      <c r="A116" t="inlineStr">
        <is>
          <t>flow-variability|NPL</t>
        </is>
      </c>
      <c r="B116" t="inlineStr">
        <is>
          <t>flow-variability</t>
        </is>
      </c>
      <c r="C116" t="inlineStr">
        <is>
          <t>NPL</t>
        </is>
      </c>
      <c r="D116" t="inlineStr">
        <is>
          <t>FALSE</t>
        </is>
      </c>
      <c r="E116" t="n">
        <v>4319</v>
      </c>
      <c r="F116" t="n">
        <v>4319</v>
      </c>
      <c r="G116" t="n">
        <v>1.295511</v>
      </c>
      <c r="H116" t="n">
        <v>1</v>
      </c>
      <c r="I116" t="n">
        <v>1.420847</v>
      </c>
      <c r="J116" t="n">
        <v>1</v>
      </c>
      <c r="K116" t="n">
        <v>1.838634</v>
      </c>
      <c r="L116" t="n">
        <v>0.7</v>
      </c>
      <c r="M116" t="n">
        <v>2.395684</v>
      </c>
      <c r="N116" t="n">
        <v>0.3</v>
      </c>
      <c r="O116" t="n">
        <v>2.81347</v>
      </c>
      <c r="P116" t="n">
        <v>0</v>
      </c>
      <c r="Q116" t="n">
        <v>2.270347</v>
      </c>
      <c r="R116" t="n">
        <v>1.85256</v>
      </c>
      <c r="S116" t="n">
        <v>1.420847</v>
      </c>
      <c r="T116" t="n">
        <v>1.65361</v>
      </c>
      <c r="U116" t="n">
        <v>1.838634</v>
      </c>
      <c r="V116" t="inlineStr">
        <is>
          <t>complete</t>
        </is>
      </c>
    </row>
    <row r="117">
      <c r="A117" t="inlineStr">
        <is>
          <t>flow-variability|SAP</t>
        </is>
      </c>
      <c r="B117" t="inlineStr">
        <is>
          <t>flow-variability</t>
        </is>
      </c>
      <c r="C117" t="inlineStr">
        <is>
          <t>SAP</t>
        </is>
      </c>
      <c r="D117" t="inlineStr">
        <is>
          <t>FALSE</t>
        </is>
      </c>
      <c r="E117" t="n">
        <v>6246</v>
      </c>
      <c r="F117" t="n">
        <v>6246</v>
      </c>
      <c r="G117" t="n">
        <v>0.352293</v>
      </c>
      <c r="H117" t="n">
        <v>1</v>
      </c>
      <c r="I117" t="n">
        <v>0.5165999999999999</v>
      </c>
      <c r="J117" t="n">
        <v>1</v>
      </c>
      <c r="K117" t="n">
        <v>1.064292</v>
      </c>
      <c r="L117" t="n">
        <v>0.7</v>
      </c>
      <c r="M117" t="n">
        <v>1.794548</v>
      </c>
      <c r="N117" t="n">
        <v>0.3</v>
      </c>
      <c r="O117" t="n">
        <v>2.342239</v>
      </c>
      <c r="P117" t="n">
        <v>0</v>
      </c>
      <c r="Q117" t="n">
        <v>1.63024</v>
      </c>
      <c r="R117" t="n">
        <v>1.082549</v>
      </c>
      <c r="S117" t="n">
        <v>0.5165999999999999</v>
      </c>
      <c r="T117" t="n">
        <v>0.799475</v>
      </c>
      <c r="U117" t="n">
        <v>1.064292</v>
      </c>
      <c r="V117" t="inlineStr">
        <is>
          <t>complete</t>
        </is>
      </c>
    </row>
    <row r="118">
      <c r="A118" t="inlineStr">
        <is>
          <t>flow-variability|SPL</t>
        </is>
      </c>
      <c r="B118" t="inlineStr">
        <is>
          <t>flow-variability</t>
        </is>
      </c>
      <c r="C118" t="inlineStr">
        <is>
          <t>SPL</t>
        </is>
      </c>
      <c r="D118" t="inlineStr">
        <is>
          <t>FALSE</t>
        </is>
      </c>
      <c r="E118" t="n">
        <v>5955</v>
      </c>
      <c r="F118" t="n">
        <v>5960</v>
      </c>
      <c r="G118" t="n">
        <v>0.483146</v>
      </c>
      <c r="H118" t="n">
        <v>1</v>
      </c>
      <c r="I118" t="n">
        <v>0.550742</v>
      </c>
      <c r="J118" t="n">
        <v>1</v>
      </c>
      <c r="K118" t="n">
        <v>0.776062</v>
      </c>
      <c r="L118" t="n">
        <v>0.7</v>
      </c>
      <c r="M118" t="n">
        <v>1.076488</v>
      </c>
      <c r="N118" t="n">
        <v>0.3</v>
      </c>
      <c r="O118" t="n">
        <v>1.301808</v>
      </c>
      <c r="P118" t="n">
        <v>0</v>
      </c>
      <c r="Q118" t="n">
        <v>1.008892</v>
      </c>
      <c r="R118" t="n">
        <v>0.783572</v>
      </c>
      <c r="S118" t="n">
        <v>0.550742</v>
      </c>
      <c r="T118" t="n">
        <v>0.66752</v>
      </c>
      <c r="U118" t="n">
        <v>0.776062</v>
      </c>
      <c r="V118" t="inlineStr">
        <is>
          <t>complete</t>
        </is>
      </c>
    </row>
    <row r="119">
      <c r="A119" t="inlineStr">
        <is>
          <t>flow-variability|TPL</t>
        </is>
      </c>
      <c r="B119" t="inlineStr">
        <is>
          <t>flow-variability</t>
        </is>
      </c>
      <c r="C119" t="inlineStr">
        <is>
          <t>TPL</t>
        </is>
      </c>
      <c r="D119" t="inlineStr">
        <is>
          <t>FALSE</t>
        </is>
      </c>
      <c r="E119" t="n">
        <v>874</v>
      </c>
      <c r="F119" t="n">
        <v>874</v>
      </c>
      <c r="G119" t="n">
        <v>0.399244</v>
      </c>
      <c r="H119" t="n">
        <v>1</v>
      </c>
      <c r="I119" t="n">
        <v>0.795748</v>
      </c>
      <c r="J119" t="n">
        <v>1</v>
      </c>
      <c r="K119" t="n">
        <v>2.11743</v>
      </c>
      <c r="L119" t="n">
        <v>0.7</v>
      </c>
      <c r="M119" t="n">
        <v>3.879673</v>
      </c>
      <c r="N119" t="n">
        <v>0.3</v>
      </c>
      <c r="O119" t="n">
        <v>5.201354</v>
      </c>
      <c r="P119" t="n">
        <v>0</v>
      </c>
      <c r="Q119" t="n">
        <v>3.483168</v>
      </c>
      <c r="R119" t="n">
        <v>2.161486</v>
      </c>
      <c r="S119" t="n">
        <v>0.795748</v>
      </c>
      <c r="T119" t="n">
        <v>1.071896</v>
      </c>
      <c r="U119" t="n">
        <v>2.11743</v>
      </c>
      <c r="V119" t="inlineStr">
        <is>
          <t>complete</t>
        </is>
      </c>
    </row>
    <row r="120">
      <c r="A120" t="inlineStr">
        <is>
          <t>flow-variability|UMW</t>
        </is>
      </c>
      <c r="B120" t="inlineStr">
        <is>
          <t>flow-variability</t>
        </is>
      </c>
      <c r="C120" t="inlineStr">
        <is>
          <t>UMW</t>
        </is>
      </c>
      <c r="D120" t="inlineStr">
        <is>
          <t>FALSE</t>
        </is>
      </c>
      <c r="E120" t="n">
        <v>2432</v>
      </c>
      <c r="F120" t="n">
        <v>2432</v>
      </c>
      <c r="G120" t="n">
        <v>0.35689</v>
      </c>
      <c r="H120" t="n">
        <v>1</v>
      </c>
      <c r="I120" t="n">
        <v>0.641498</v>
      </c>
      <c r="J120" t="n">
        <v>1</v>
      </c>
      <c r="K120" t="n">
        <v>1.590192</v>
      </c>
      <c r="L120" t="n">
        <v>0.7</v>
      </c>
      <c r="M120" t="n">
        <v>2.855118</v>
      </c>
      <c r="N120" t="n">
        <v>0.3</v>
      </c>
      <c r="O120" t="n">
        <v>3.803812</v>
      </c>
      <c r="P120" t="n">
        <v>0</v>
      </c>
      <c r="Q120" t="n">
        <v>2.57051</v>
      </c>
      <c r="R120" t="n">
        <v>1.621816</v>
      </c>
      <c r="S120" t="n">
        <v>0.641498</v>
      </c>
      <c r="T120" t="n">
        <v>0.927893</v>
      </c>
      <c r="U120" t="n">
        <v>1.590192</v>
      </c>
      <c r="V120" t="inlineStr">
        <is>
          <t>complete</t>
        </is>
      </c>
    </row>
    <row r="121">
      <c r="A121" t="inlineStr">
        <is>
          <t>flow-variability|WMT</t>
        </is>
      </c>
      <c r="B121" t="inlineStr">
        <is>
          <t>flow-variability</t>
        </is>
      </c>
      <c r="C121" t="inlineStr">
        <is>
          <t>WMT</t>
        </is>
      </c>
      <c r="D121" t="inlineStr">
        <is>
          <t>FALSE</t>
        </is>
      </c>
      <c r="E121" t="n">
        <v>12591</v>
      </c>
      <c r="F121" t="n">
        <v>12592</v>
      </c>
      <c r="G121" t="n">
        <v>0.597791</v>
      </c>
      <c r="H121" t="n">
        <v>1</v>
      </c>
      <c r="I121" t="n">
        <v>0.761547</v>
      </c>
      <c r="J121" t="n">
        <v>1</v>
      </c>
      <c r="K121" t="n">
        <v>1.3074</v>
      </c>
      <c r="L121" t="n">
        <v>0.7</v>
      </c>
      <c r="M121" t="n">
        <v>2.035204</v>
      </c>
      <c r="N121" t="n">
        <v>0.3</v>
      </c>
      <c r="O121" t="n">
        <v>2.581056</v>
      </c>
      <c r="P121" t="n">
        <v>0</v>
      </c>
      <c r="Q121" t="n">
        <v>1.871448</v>
      </c>
      <c r="R121" t="n">
        <v>1.325595</v>
      </c>
      <c r="S121" t="n">
        <v>0.761547</v>
      </c>
      <c r="T121" t="n">
        <v>1.045299</v>
      </c>
      <c r="U121" t="n">
        <v>1.3074</v>
      </c>
      <c r="V121" t="inlineStr">
        <is>
          <t>complete</t>
        </is>
      </c>
    </row>
    <row r="122">
      <c r="A122" t="inlineStr">
        <is>
          <t>flow-variability|XER</t>
        </is>
      </c>
      <c r="B122" t="inlineStr">
        <is>
          <t>flow-variability</t>
        </is>
      </c>
      <c r="C122" t="inlineStr">
        <is>
          <t>XER</t>
        </is>
      </c>
      <c r="D122" t="inlineStr">
        <is>
          <t>FALSE</t>
        </is>
      </c>
      <c r="E122" t="n">
        <v>14645</v>
      </c>
      <c r="F122" t="n">
        <v>14654</v>
      </c>
      <c r="G122" t="n">
        <v>0.8921559999999999</v>
      </c>
      <c r="H122" t="n">
        <v>1</v>
      </c>
      <c r="I122" t="n">
        <v>1.115726</v>
      </c>
      <c r="J122" t="n">
        <v>1</v>
      </c>
      <c r="K122" t="n">
        <v>1.860961</v>
      </c>
      <c r="L122" t="n">
        <v>0.7</v>
      </c>
      <c r="M122" t="n">
        <v>2.854607</v>
      </c>
      <c r="N122" t="n">
        <v>0.3</v>
      </c>
      <c r="O122" t="n">
        <v>3.599841</v>
      </c>
      <c r="P122" t="n">
        <v>0</v>
      </c>
      <c r="Q122" t="n">
        <v>2.631037</v>
      </c>
      <c r="R122" t="n">
        <v>1.885802</v>
      </c>
      <c r="S122" t="n">
        <v>1.115726</v>
      </c>
      <c r="T122" t="n">
        <v>1.421819</v>
      </c>
      <c r="U122" t="n">
        <v>1.860961</v>
      </c>
      <c r="V122" t="inlineStr">
        <is>
          <t>complete</t>
        </is>
      </c>
    </row>
    <row r="123">
      <c r="A123" t="inlineStr">
        <is>
          <t>flow-variability|national</t>
        </is>
      </c>
      <c r="B123" t="inlineStr">
        <is>
          <t>flow-variability</t>
        </is>
      </c>
      <c r="C123" t="inlineStr">
        <is>
          <t>national</t>
        </is>
      </c>
      <c r="D123" t="inlineStr">
        <is>
          <t>FALSE</t>
        </is>
      </c>
      <c r="E123" t="n">
        <v>53197</v>
      </c>
      <c r="F123" t="n">
        <v>53210</v>
      </c>
      <c r="G123" t="n">
        <v>0.38078</v>
      </c>
      <c r="H123" t="n">
        <v>1</v>
      </c>
      <c r="I123" t="n">
        <v>0.630809</v>
      </c>
      <c r="J123" t="n">
        <v>1</v>
      </c>
      <c r="K123" t="n">
        <v>1.464239</v>
      </c>
      <c r="L123" t="n">
        <v>0.7</v>
      </c>
      <c r="M123" t="n">
        <v>2.575479</v>
      </c>
      <c r="N123" t="n">
        <v>0.3</v>
      </c>
      <c r="O123" t="n">
        <v>3.408909</v>
      </c>
      <c r="P123" t="n">
        <v>0</v>
      </c>
      <c r="Q123" t="n">
        <v>2.32545</v>
      </c>
      <c r="R123" t="n">
        <v>1.49202</v>
      </c>
      <c r="S123" t="n">
        <v>0.630809</v>
      </c>
      <c r="T123" t="n">
        <v>1.00673</v>
      </c>
      <c r="U123" t="n">
        <v>1.464239</v>
      </c>
      <c r="V123" t="inlineStr">
        <is>
          <t>complete</t>
        </is>
      </c>
    </row>
    <row r="125">
      <c r="A125" s="130" t="inlineStr">
        <is>
          <t>Nutrient regional thresholds by NARS-9 region (mg/L): Good at or below the first value, Poor at or above the second, Fair between</t>
        </is>
      </c>
    </row>
    <row r="126">
      <c r="A126" s="131" t="inlineStr">
        <is>
          <t>Region</t>
        </is>
      </c>
      <c r="B126" s="131" t="inlineStr">
        <is>
          <t>TN good/fair</t>
        </is>
      </c>
      <c r="C126" s="131" t="inlineStr">
        <is>
          <t>TN fair/poor</t>
        </is>
      </c>
      <c r="D126" s="131" t="inlineStr">
        <is>
          <t>TP good/fair</t>
        </is>
      </c>
      <c r="E126" s="131" t="inlineStr">
        <is>
          <t>TP fair/poor</t>
        </is>
      </c>
    </row>
    <row r="127">
      <c r="A127" t="inlineStr">
        <is>
          <t>CPL</t>
        </is>
      </c>
      <c r="B127" t="n">
        <v>0.624</v>
      </c>
      <c r="C127" t="n">
        <v>1.081</v>
      </c>
      <c r="D127" t="n">
        <v>0.0559</v>
      </c>
      <c r="E127" t="n">
        <v>0.103</v>
      </c>
    </row>
    <row r="128">
      <c r="A128" t="inlineStr">
        <is>
          <t>NAP</t>
        </is>
      </c>
      <c r="B128" t="n">
        <v>0.345</v>
      </c>
      <c r="C128" t="n">
        <v>0.482</v>
      </c>
      <c r="D128" t="n">
        <v>0.0171</v>
      </c>
      <c r="E128" t="n">
        <v>0.0326</v>
      </c>
    </row>
    <row r="129">
      <c r="A129" t="inlineStr">
        <is>
          <t>NPL</t>
        </is>
      </c>
      <c r="B129" t="n">
        <v>0.575</v>
      </c>
      <c r="C129" t="n">
        <v>0.9370000000000001</v>
      </c>
      <c r="D129" t="n">
        <v>0.064</v>
      </c>
      <c r="E129" t="n">
        <v>0.107</v>
      </c>
    </row>
    <row r="130">
      <c r="A130" t="inlineStr">
        <is>
          <t>SAP</t>
        </is>
      </c>
      <c r="B130" t="n">
        <v>0.24</v>
      </c>
      <c r="C130" t="n">
        <v>0.456</v>
      </c>
      <c r="D130" t="n">
        <v>0.0148</v>
      </c>
      <c r="E130" t="n">
        <v>0.0244</v>
      </c>
    </row>
    <row r="131">
      <c r="A131" t="inlineStr">
        <is>
          <t>SPL</t>
        </is>
      </c>
      <c r="B131" t="n">
        <v>0.581</v>
      </c>
      <c r="C131" t="n">
        <v>1.069</v>
      </c>
      <c r="D131" t="n">
        <v>0.0558</v>
      </c>
      <c r="E131" t="n">
        <v>0.127</v>
      </c>
    </row>
    <row r="132">
      <c r="A132" t="inlineStr">
        <is>
          <t>TPL</t>
        </is>
      </c>
      <c r="B132" t="n">
        <v>0.7</v>
      </c>
      <c r="C132" t="n">
        <v>1.274</v>
      </c>
      <c r="D132" t="n">
        <v>0.0886</v>
      </c>
      <c r="E132" t="n">
        <v>0.143</v>
      </c>
    </row>
    <row r="133">
      <c r="A133" t="inlineStr">
        <is>
          <t>UMW</t>
        </is>
      </c>
      <c r="B133" t="n">
        <v>0.583</v>
      </c>
      <c r="C133" t="n">
        <v>1.024</v>
      </c>
      <c r="D133" t="n">
        <v>0.0363</v>
      </c>
      <c r="E133" t="n">
        <v>0.0499</v>
      </c>
    </row>
    <row r="134">
      <c r="A134" t="inlineStr">
        <is>
          <t>WMT</t>
        </is>
      </c>
      <c r="B134" t="n">
        <v>0.139</v>
      </c>
      <c r="C134" t="n">
        <v>0.249</v>
      </c>
      <c r="D134" t="n">
        <v>0.0177</v>
      </c>
      <c r="E134" t="n">
        <v>0.041</v>
      </c>
    </row>
    <row r="135">
      <c r="A135" t="inlineStr">
        <is>
          <t>XER</t>
        </is>
      </c>
      <c r="B135" t="n">
        <v>0.285</v>
      </c>
      <c r="C135" t="n">
        <v>0.529</v>
      </c>
      <c r="D135" t="n">
        <v>0.052</v>
      </c>
      <c r="E135" t="n">
        <v>0.0959</v>
      </c>
    </row>
    <row r="137">
      <c r="A137" s="130" t="inlineStr">
        <is>
          <t>ATTAINS category lookup (category 3 is inconclusive and falls back to the CHEM index)</t>
        </is>
      </c>
    </row>
    <row r="138">
      <c r="A138" s="131" t="inlineStr">
        <is>
          <t>Category</t>
        </is>
      </c>
      <c r="B138" s="131" t="inlineStr">
        <is>
          <t>Rating</t>
        </is>
      </c>
      <c r="C138" s="131" t="inlineStr">
        <is>
          <t>Label</t>
        </is>
      </c>
    </row>
    <row r="139">
      <c r="A139" t="inlineStr">
        <is>
          <t>1</t>
        </is>
      </c>
      <c r="B139" t="inlineStr">
        <is>
          <t>Good</t>
        </is>
      </c>
      <c r="C139" t="inlineStr">
        <is>
          <t>Category 1</t>
        </is>
      </c>
    </row>
    <row r="140">
      <c r="A140" t="inlineStr">
        <is>
          <t>2</t>
        </is>
      </c>
      <c r="B140" t="inlineStr">
        <is>
          <t>Good</t>
        </is>
      </c>
      <c r="C140" t="inlineStr">
        <is>
          <t>Category 2</t>
        </is>
      </c>
    </row>
    <row r="141">
      <c r="A141" t="inlineStr">
        <is>
          <t>3</t>
        </is>
      </c>
      <c r="B141" t="inlineStr">
        <is>
          <t>none</t>
        </is>
      </c>
      <c r="C141" t="inlineStr">
        <is>
          <t>Category 3 (insufficient evidence)</t>
        </is>
      </c>
    </row>
    <row r="142">
      <c r="A142" t="inlineStr">
        <is>
          <t>4A</t>
        </is>
      </c>
      <c r="B142" t="inlineStr">
        <is>
          <t>Fair</t>
        </is>
      </c>
      <c r="C142" t="inlineStr">
        <is>
          <t>Category 4a</t>
        </is>
      </c>
    </row>
    <row r="143">
      <c r="A143" t="inlineStr">
        <is>
          <t>4B</t>
        </is>
      </c>
      <c r="B143" t="inlineStr">
        <is>
          <t>Fair</t>
        </is>
      </c>
      <c r="C143" t="inlineStr">
        <is>
          <t>Category 4b</t>
        </is>
      </c>
    </row>
    <row r="144">
      <c r="A144" t="inlineStr">
        <is>
          <t>4C</t>
        </is>
      </c>
      <c r="B144" t="inlineStr">
        <is>
          <t>Poor</t>
        </is>
      </c>
      <c r="C144" t="inlineStr">
        <is>
          <t>Category 4c</t>
        </is>
      </c>
    </row>
    <row r="145">
      <c r="A145" t="inlineStr">
        <is>
          <t>5</t>
        </is>
      </c>
      <c r="B145" t="inlineStr">
        <is>
          <t>Poor</t>
        </is>
      </c>
      <c r="C145" t="inlineStr">
        <is>
          <t>Category 5</t>
        </is>
      </c>
    </row>
    <row r="147">
      <c r="A147" s="130" t="inlineStr">
        <is>
          <t>Canal and ditch feature codes (Channel evolution rates Poor)</t>
        </is>
      </c>
    </row>
    <row r="148">
      <c r="A148" s="131" t="inlineStr">
        <is>
          <t>FCODE</t>
        </is>
      </c>
      <c r="B148" s="131" t="inlineStr">
        <is>
          <t>Rating</t>
        </is>
      </c>
    </row>
    <row r="149">
      <c r="A149" t="n">
        <v>33600</v>
      </c>
      <c r="B149" t="inlineStr">
        <is>
          <t>Poor</t>
        </is>
      </c>
    </row>
    <row r="150">
      <c r="A150" t="n">
        <v>33601</v>
      </c>
      <c r="B150" t="inlineStr">
        <is>
          <t>Poor</t>
        </is>
      </c>
    </row>
    <row r="151">
      <c r="A151" t="n">
        <v>33603</v>
      </c>
      <c r="B151" t="inlineStr">
        <is>
          <t>Poor</t>
        </is>
      </c>
    </row>
    <row r="153">
      <c r="A153" s="130" t="inlineStr">
        <is>
          <t>Function to outcome mapping and weights (D direct, i indirect)</t>
        </is>
      </c>
    </row>
    <row r="154">
      <c r="A154" s="131" t="inlineStr">
        <is>
          <t>Function</t>
        </is>
      </c>
      <c r="B154" s="131" t="inlineStr">
        <is>
          <t>Physical</t>
        </is>
      </c>
      <c r="C154" s="131" t="inlineStr">
        <is>
          <t>Chemical</t>
        </is>
      </c>
      <c r="D154" s="131" t="inlineStr">
        <is>
          <t>Biological</t>
        </is>
      </c>
      <c r="E154" s="131" t="inlineStr">
        <is>
          <t>Weight D</t>
        </is>
      </c>
      <c r="F154" s="131" t="inlineStr">
        <is>
          <t>Weight i</t>
        </is>
      </c>
    </row>
    <row r="155">
      <c r="A155" t="inlineStr">
        <is>
          <t>Catchment hydrology</t>
        </is>
      </c>
      <c r="B155" t="inlineStr">
        <is>
          <t>D</t>
        </is>
      </c>
      <c r="C155" t="inlineStr">
        <is>
          <t>i</t>
        </is>
      </c>
      <c r="D155" t="inlineStr">
        <is>
          <t>i</t>
        </is>
      </c>
      <c r="E155" t="n">
        <v>1</v>
      </c>
      <c r="F155" t="n">
        <v>0.1</v>
      </c>
    </row>
    <row r="156">
      <c r="A156" t="inlineStr">
        <is>
          <t>Surface water storage</t>
        </is>
      </c>
      <c r="B156" t="inlineStr">
        <is>
          <t>D</t>
        </is>
      </c>
      <c r="C156" t="inlineStr">
        <is>
          <t>i</t>
        </is>
      </c>
      <c r="D156" t="inlineStr">
        <is>
          <t>i</t>
        </is>
      </c>
      <c r="E156" t="n">
        <v>1</v>
      </c>
      <c r="F156" t="n">
        <v>0.1</v>
      </c>
    </row>
    <row r="157">
      <c r="A157" t="inlineStr">
        <is>
          <t>Reach inflow</t>
        </is>
      </c>
      <c r="B157" t="inlineStr">
        <is>
          <t>D</t>
        </is>
      </c>
      <c r="C157" t="inlineStr">
        <is>
          <t>i</t>
        </is>
      </c>
      <c r="D157" t="inlineStr">
        <is>
          <t>i</t>
        </is>
      </c>
      <c r="E157" t="n">
        <v>1</v>
      </c>
      <c r="F157" t="n">
        <v>0.1</v>
      </c>
    </row>
    <row r="158">
      <c r="A158" t="inlineStr">
        <is>
          <t>Streamflow regime</t>
        </is>
      </c>
      <c r="B158" t="inlineStr">
        <is>
          <t>D</t>
        </is>
      </c>
      <c r="C158" t="inlineStr">
        <is>
          <t>i</t>
        </is>
      </c>
      <c r="D158" t="inlineStr">
        <is>
          <t>i</t>
        </is>
      </c>
      <c r="E158" t="n">
        <v>1</v>
      </c>
      <c r="F158" t="n">
        <v>0.1</v>
      </c>
    </row>
    <row r="159">
      <c r="A159" t="inlineStr">
        <is>
          <t>Low flow and baseflow dynamics</t>
        </is>
      </c>
      <c r="B159" t="inlineStr">
        <is>
          <t>D</t>
        </is>
      </c>
      <c r="C159" t="inlineStr">
        <is>
          <t>i</t>
        </is>
      </c>
      <c r="D159" t="inlineStr">
        <is>
          <t>i</t>
        </is>
      </c>
      <c r="E159" t="n">
        <v>1</v>
      </c>
      <c r="F159" t="n">
        <v>0.1</v>
      </c>
    </row>
    <row r="160">
      <c r="A160" t="inlineStr">
        <is>
          <t>High flow dynamics</t>
        </is>
      </c>
      <c r="B160" t="inlineStr">
        <is>
          <t>D</t>
        </is>
      </c>
      <c r="C160" t="inlineStr">
        <is>
          <t>i</t>
        </is>
      </c>
      <c r="D160" t="inlineStr">
        <is>
          <t>i</t>
        </is>
      </c>
      <c r="E160" t="n">
        <v>1</v>
      </c>
      <c r="F160" t="n">
        <v>0.1</v>
      </c>
    </row>
    <row r="161">
      <c r="A161" t="inlineStr">
        <is>
          <t>Floodplain connectivity</t>
        </is>
      </c>
      <c r="B161" t="inlineStr">
        <is>
          <t>D</t>
        </is>
      </c>
      <c r="C161" t="inlineStr">
        <is>
          <t>i</t>
        </is>
      </c>
      <c r="D161" t="inlineStr">
        <is>
          <t>i</t>
        </is>
      </c>
      <c r="E161" t="n">
        <v>1</v>
      </c>
      <c r="F161" t="n">
        <v>0.1</v>
      </c>
    </row>
    <row r="162">
      <c r="A162" t="inlineStr">
        <is>
          <t>Hyporheic connectivity</t>
        </is>
      </c>
      <c r="B162" t="inlineStr">
        <is>
          <t>D</t>
        </is>
      </c>
      <c r="C162" t="inlineStr">
        <is>
          <t>i</t>
        </is>
      </c>
      <c r="D162" t="inlineStr">
        <is>
          <t>i</t>
        </is>
      </c>
      <c r="E162" t="n">
        <v>1</v>
      </c>
      <c r="F162" t="n">
        <v>0.1</v>
      </c>
    </row>
    <row r="163">
      <c r="A163" t="inlineStr">
        <is>
          <t>Channel evolution</t>
        </is>
      </c>
      <c r="B163" t="inlineStr">
        <is>
          <t>D</t>
        </is>
      </c>
      <c r="C163" t="inlineStr">
        <is>
          <t>i</t>
        </is>
      </c>
      <c r="D163" t="inlineStr">
        <is>
          <t>i</t>
        </is>
      </c>
      <c r="E163" t="n">
        <v>1</v>
      </c>
      <c r="F163" t="n">
        <v>0.1</v>
      </c>
    </row>
    <row r="164">
      <c r="A164" t="inlineStr">
        <is>
          <t>Channel and floodplain dynamics</t>
        </is>
      </c>
      <c r="B164" t="inlineStr">
        <is>
          <t>D</t>
        </is>
      </c>
      <c r="C164" t="inlineStr">
        <is>
          <t>i</t>
        </is>
      </c>
      <c r="D164" t="inlineStr">
        <is>
          <t>i</t>
        </is>
      </c>
      <c r="E164" t="n">
        <v>1</v>
      </c>
      <c r="F164" t="n">
        <v>0.1</v>
      </c>
    </row>
    <row r="165">
      <c r="A165" t="inlineStr">
        <is>
          <t>Sediment continuity</t>
        </is>
      </c>
      <c r="B165" t="inlineStr">
        <is>
          <t>D</t>
        </is>
      </c>
      <c r="C165" t="inlineStr">
        <is>
          <t>i</t>
        </is>
      </c>
      <c r="D165" t="inlineStr">
        <is>
          <t>i</t>
        </is>
      </c>
      <c r="E165" t="n">
        <v>1</v>
      </c>
      <c r="F165" t="n">
        <v>0.1</v>
      </c>
    </row>
    <row r="166">
      <c r="A166" t="inlineStr">
        <is>
          <t>Bed composition and large wood</t>
        </is>
      </c>
      <c r="B166" t="inlineStr">
        <is>
          <t>D</t>
        </is>
      </c>
      <c r="C166" t="inlineStr">
        <is>
          <t>i</t>
        </is>
      </c>
      <c r="D166" t="inlineStr">
        <is>
          <t>i</t>
        </is>
      </c>
      <c r="E166" t="n">
        <v>1</v>
      </c>
      <c r="F166" t="n">
        <v>0.1</v>
      </c>
    </row>
    <row r="167">
      <c r="A167" t="inlineStr">
        <is>
          <t>Light &amp; thermal regime</t>
        </is>
      </c>
      <c r="B167" t="inlineStr">
        <is>
          <t>-</t>
        </is>
      </c>
      <c r="C167" t="inlineStr">
        <is>
          <t>D</t>
        </is>
      </c>
      <c r="D167" t="inlineStr">
        <is>
          <t>i</t>
        </is>
      </c>
      <c r="E167" t="n">
        <v>1</v>
      </c>
      <c r="F167" t="n">
        <v>0.1</v>
      </c>
    </row>
    <row r="168">
      <c r="A168" t="inlineStr">
        <is>
          <t>Carbon processing</t>
        </is>
      </c>
      <c r="B168" t="inlineStr">
        <is>
          <t>-</t>
        </is>
      </c>
      <c r="C168" t="inlineStr">
        <is>
          <t>D</t>
        </is>
      </c>
      <c r="D168" t="inlineStr">
        <is>
          <t>i</t>
        </is>
      </c>
      <c r="E168" t="n">
        <v>1</v>
      </c>
      <c r="F168" t="n">
        <v>0.1</v>
      </c>
    </row>
    <row r="169">
      <c r="A169" t="inlineStr">
        <is>
          <t>Nutrient cycling</t>
        </is>
      </c>
      <c r="B169" t="inlineStr">
        <is>
          <t>i</t>
        </is>
      </c>
      <c r="C169" t="inlineStr">
        <is>
          <t>D</t>
        </is>
      </c>
      <c r="D169" t="inlineStr">
        <is>
          <t>i</t>
        </is>
      </c>
      <c r="E169" t="n">
        <v>1</v>
      </c>
      <c r="F169" t="n">
        <v>0.1</v>
      </c>
    </row>
    <row r="170">
      <c r="A170" t="inlineStr">
        <is>
          <t>Water &amp; soil quality</t>
        </is>
      </c>
      <c r="B170" t="inlineStr">
        <is>
          <t>i</t>
        </is>
      </c>
      <c r="C170" t="inlineStr">
        <is>
          <t>D</t>
        </is>
      </c>
      <c r="D170" t="inlineStr">
        <is>
          <t>i</t>
        </is>
      </c>
      <c r="E170" t="n">
        <v>1</v>
      </c>
      <c r="F170" t="n">
        <v>0.1</v>
      </c>
    </row>
    <row r="171">
      <c r="A171" t="inlineStr">
        <is>
          <t>Habitat provision</t>
        </is>
      </c>
      <c r="B171" t="inlineStr">
        <is>
          <t>-</t>
        </is>
      </c>
      <c r="C171" t="inlineStr">
        <is>
          <t>-</t>
        </is>
      </c>
      <c r="D171" t="inlineStr">
        <is>
          <t>D</t>
        </is>
      </c>
      <c r="E171" t="n">
        <v>1</v>
      </c>
      <c r="F171" t="n">
        <v>0.1</v>
      </c>
    </row>
    <row r="172">
      <c r="A172" t="inlineStr">
        <is>
          <t>Population support</t>
        </is>
      </c>
      <c r="B172" t="inlineStr">
        <is>
          <t>i</t>
        </is>
      </c>
      <c r="C172" t="inlineStr">
        <is>
          <t>i</t>
        </is>
      </c>
      <c r="D172" t="inlineStr">
        <is>
          <t>D</t>
        </is>
      </c>
      <c r="E172" t="n">
        <v>1</v>
      </c>
      <c r="F172" t="n">
        <v>0.1</v>
      </c>
    </row>
    <row r="173">
      <c r="A173" t="inlineStr">
        <is>
          <t>Community dynamics</t>
        </is>
      </c>
      <c r="B173" t="inlineStr">
        <is>
          <t>i</t>
        </is>
      </c>
      <c r="C173" t="inlineStr">
        <is>
          <t>i</t>
        </is>
      </c>
      <c r="D173" t="inlineStr">
        <is>
          <t>D</t>
        </is>
      </c>
      <c r="E173" t="n">
        <v>1</v>
      </c>
      <c r="F173" t="n">
        <v>0.1</v>
      </c>
    </row>
    <row r="174">
      <c r="A174" t="inlineStr">
        <is>
          <t>Watershed connectivity</t>
        </is>
      </c>
      <c r="B174" t="inlineStr">
        <is>
          <t>i</t>
        </is>
      </c>
      <c r="C174" t="inlineStr">
        <is>
          <t>-</t>
        </is>
      </c>
      <c r="D174" t="inlineStr">
        <is>
          <t>D</t>
        </is>
      </c>
      <c r="E174" t="n">
        <v>1</v>
      </c>
      <c r="F174" t="n">
        <v>0.1</v>
      </c>
    </row>
    <row r="176">
      <c r="A176" s="130" t="inlineStr">
        <is>
          <t>Slope classes for the entrenchment curves</t>
        </is>
      </c>
    </row>
    <row r="177">
      <c r="A177" s="131" t="inlineStr">
        <is>
          <t>Class</t>
        </is>
      </c>
      <c r="B177" s="131" t="inlineStr">
        <is>
          <t>Channel slope</t>
        </is>
      </c>
    </row>
    <row r="178">
      <c r="A178" t="inlineStr">
        <is>
          <t>lt_0.5</t>
        </is>
      </c>
      <c r="B178" t="inlineStr">
        <is>
          <t>below 0.005 m/m</t>
        </is>
      </c>
    </row>
    <row r="179">
      <c r="A179" t="inlineStr">
        <is>
          <t>0.5_to_2</t>
        </is>
      </c>
      <c r="B179" t="inlineStr">
        <is>
          <t>0.005 to below 0.02 m/m</t>
        </is>
      </c>
    </row>
    <row r="180">
      <c r="A180" t="inlineStr">
        <is>
          <t>ge_2</t>
        </is>
      </c>
      <c r="B180" t="inlineStr">
        <is>
          <t>0.02 m/m and above</t>
        </is>
      </c>
    </row>
    <row r="181">
      <c r="A181" t="inlineStr">
        <is>
          <t>national</t>
        </is>
      </c>
      <c r="B181" t="inlineStr">
        <is>
          <t>slope unknown or negative</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22"/>
  <sheetViews>
    <sheetView showGridLines="0" tabSelected="0" workbookViewId="0">
      <selection activeCell="A1" sqref="A1"/>
    </sheetView>
  </sheetViews>
  <sheetFormatPr baseColWidth="8" defaultRowHeight="15"/>
  <cols>
    <col width="28" customWidth="1" min="1" max="1"/>
    <col width="110" customWidth="1" min="2" max="2"/>
  </cols>
  <sheetData>
    <row r="1">
      <c r="A1" s="129" t="inlineStr">
        <is>
          <t>Metadata and version information</t>
        </is>
      </c>
    </row>
    <row r="2">
      <c r="A2" s="131" t="inlineStr">
        <is>
          <t>Item</t>
        </is>
      </c>
      <c r="B2" s="131" t="inlineStr">
        <is>
          <t>Value</t>
        </is>
      </c>
    </row>
    <row r="3">
      <c r="A3" s="11" t="inlineStr">
        <is>
          <t>Calculator version</t>
        </is>
      </c>
      <c r="B3" s="11" t="inlineStr">
        <is>
          <t>1.1.0</t>
        </is>
      </c>
    </row>
    <row r="4">
      <c r="A4" s="11" t="inlineStr">
        <is>
          <t>Calculator date</t>
        </is>
      </c>
      <c r="B4" s="11" t="inlineStr">
        <is>
          <t>2026-09-17</t>
        </is>
      </c>
    </row>
    <row r="5">
      <c r="A5" s="11" t="inlineStr">
        <is>
          <t>Scoring method digest</t>
        </is>
      </c>
      <c r="B5" s="11" t="inlineStr">
        <is>
          <t>b2e3033116e3</t>
        </is>
      </c>
    </row>
    <row r="6">
      <c r="A6" s="11" t="inlineStr">
        <is>
          <t>Scoring identity</t>
        </is>
      </c>
      <c r="B6" s="11" t="inlineStr">
        <is>
          <t>alternative-2 (Alternative 2: NARS-9 references)</t>
        </is>
      </c>
    </row>
    <row r="7">
      <c r="A7" s="11" t="inlineStr">
        <is>
          <t>Criteria set</t>
        </is>
      </c>
      <c r="B7" s="11" t="inlineStr">
        <is>
          <t>regional</t>
        </is>
      </c>
    </row>
    <row r="8">
      <c r="A8" s="11" t="inlineStr">
        <is>
          <t>Reference curves</t>
        </is>
      </c>
      <c r="B8" s="11" t="inlineStr">
        <is>
          <t>34 curves</t>
        </is>
      </c>
    </row>
    <row r="9">
      <c r="A9" s="11" t="inlineStr">
        <is>
          <t>Catalog sha256</t>
        </is>
      </c>
      <c r="B9" s="11" t="inlineStr">
        <is>
          <t>78c1e2921198905ee6e53f18147e2aa33f9a6ffd87ff3e7a23844238b3fb73f3</t>
        </is>
      </c>
    </row>
    <row r="10">
      <c r="A10" s="11" t="inlineStr">
        <is>
          <t>Curves sha256</t>
        </is>
      </c>
      <c r="B10" s="11" t="inlineStr">
        <is>
          <t>a824e2c254dea1c22af62d2a6f5fd3d0862ff0574190111655aa5b34dbce4887</t>
        </is>
      </c>
    </row>
    <row r="11">
      <c r="A11" s="11" t="inlineStr">
        <is>
          <t>NARS-9 geography sha256</t>
        </is>
      </c>
      <c r="B11" s="11" t="inlineStr">
        <is>
          <t>f08b5be1ec4149da224f7fc5185c755f0d612d9115c53a172081c67009ab0300</t>
        </is>
      </c>
    </row>
    <row r="12">
      <c r="A12" s="11" t="inlineStr">
        <is>
          <t>Rating anchors</t>
        </is>
      </c>
      <c r="B12" s="11" t="inlineStr">
        <is>
          <t>Good 0.85, Fair 0.545, Poor 0.195</t>
        </is>
      </c>
    </row>
    <row r="13">
      <c r="A13" s="11" t="inlineStr">
        <is>
          <t>Function scores</t>
        </is>
      </c>
      <c r="B13" s="11" t="inlineStr">
        <is>
          <t>Good 13, Fair 8, Poor 3</t>
        </is>
      </c>
    </row>
    <row r="14">
      <c r="A14" s="11" t="inlineStr">
        <is>
          <t>Outcome weights</t>
        </is>
      </c>
      <c r="B14" s="11" t="inlineStr">
        <is>
          <t>direct 1.0, indirect 0.1</t>
        </is>
      </c>
    </row>
    <row r="15">
      <c r="A15" s="11" t="inlineStr">
        <is>
          <t>Condition classes</t>
        </is>
      </c>
      <c r="B15" s="11" t="inlineStr">
        <is>
          <t>index at or below 0.39 Non-Functioning, at or below 0.69 Functioning-at-Risk, else Functioning</t>
        </is>
      </c>
    </row>
    <row r="16">
      <c r="A16" s="11" t="inlineStr">
        <is>
          <t>Coverage threshold</t>
        </is>
      </c>
      <c r="B16" s="11" t="inlineStr">
        <is>
          <t>0.7</t>
        </is>
      </c>
    </row>
    <row r="17">
      <c r="A17" s="11" t="inlineStr">
        <is>
          <t>Worksheet layout</t>
        </is>
      </c>
      <c r="B17" s="11" t="inlineStr">
        <is>
          <t>EASI Score worksheet modelled on the SFARI calculator (entries, summary table, legends and charts on one sheet); Metrics and Results carry the formulas</t>
        </is>
      </c>
    </row>
    <row r="18">
      <c r="A18" s="11" t="inlineStr">
        <is>
          <t>Generator</t>
        </is>
      </c>
      <c r="B18" s="11" t="inlineStr">
        <is>
          <t>apps/easi/scripts/build_calculator.py</t>
        </is>
      </c>
    </row>
    <row r="19">
      <c r="A19" s="11" t="inlineStr">
        <is>
          <t>Generator sha256</t>
        </is>
      </c>
      <c r="B19" s="11" t="inlineStr">
        <is>
          <t>e4aa3a06fbb59aad14e13a5cb59b01b74d361dd6546dcc83f82628deb6182f6a</t>
        </is>
      </c>
    </row>
    <row r="20">
      <c r="A20" s="11" t="inlineStr">
        <is>
          <t>Generated from</t>
        </is>
      </c>
      <c r="B20" s="11" t="inlineStr">
        <is>
          <t>apps/easi/data/screening-methods.json, reference-curves.json, cwa-mapping.json, easi-metrics.json, scoring-identity.json</t>
        </is>
      </c>
    </row>
    <row r="21">
      <c r="A21" s="11" t="inlineStr">
        <is>
          <t>Application</t>
        </is>
      </c>
      <c r="B21" s="11" t="inlineStr">
        <is>
          <t>EASI (apps/easi), STAF, USACE-WRISES/staf</t>
        </is>
      </c>
    </row>
    <row r="22">
      <c r="A22" s="11" t="inlineStr">
        <is>
          <t>Formula vocabulary</t>
        </is>
      </c>
      <c r="B22" s="11" t="inlineStr">
        <is>
          <t>IF AND OR NOT MIN MAX ROUND INDEX MATCH IFERROR ISNUMBER COUNT SUM SUMPRODUCT AVERAGE STDEV.P PRODUCT UPPER TRIM SUBSTITUTE LEN NA</t>
        </is>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7"/>
  <sheetViews>
    <sheetView tabSelected="0" workbookViewId="0">
      <selection activeCell="A1" sqref="A1"/>
    </sheetView>
  </sheetViews>
  <sheetFormatPr baseColWidth="8" defaultRowHeight="15"/>
  <cols>
    <col width="34" customWidth="1" min="1" max="1"/>
  </cols>
  <sheetData>
    <row r="1">
      <c r="A1" s="7" t="inlineStr">
        <is>
          <t>Chart series (hidden). One column per class so each bar takes the class colour.</t>
        </is>
      </c>
    </row>
    <row r="2">
      <c r="A2" s="140" t="inlineStr">
        <is>
          <t>Function</t>
        </is>
      </c>
      <c r="B2" s="140" t="inlineStr">
        <is>
          <t>Score</t>
        </is>
      </c>
      <c r="C2" s="140" t="inlineStr">
        <is>
          <t>Non-Functioning (0-5)</t>
        </is>
      </c>
      <c r="D2" s="140" t="inlineStr">
        <is>
          <t>Functioning At-Risk (6-10)</t>
        </is>
      </c>
      <c r="E2" s="140" t="inlineStr">
        <is>
          <t>Functioning (11-15)</t>
        </is>
      </c>
    </row>
    <row r="3">
      <c r="A3" t="inlineStr">
        <is>
          <t>Catchment hydrology</t>
        </is>
      </c>
      <c r="B3">
        <f>IF('EASI Score'!$H$8="","",'EASI Score'!$H$8)</f>
        <v/>
      </c>
      <c r="C3">
        <f>IF(ISNUMBER('ChartData'!$B$3),IF('ChartData'!$B$3&lt;=5,'ChartData'!$B$3,NA()),NA())</f>
        <v/>
      </c>
      <c r="D3">
        <f>IF(ISNUMBER('ChartData'!$B$3),IF(AND('ChartData'!$B$3&gt;5,'ChartData'!$B$3&lt;=10),'ChartData'!$B$3,NA()),NA())</f>
        <v/>
      </c>
      <c r="E3">
        <f>IF(ISNUMBER('ChartData'!$B$3),IF('ChartData'!$B$3&gt;10,'ChartData'!$B$3,NA()),NA())</f>
        <v/>
      </c>
    </row>
    <row r="4">
      <c r="A4" t="inlineStr">
        <is>
          <t>Surface water storage</t>
        </is>
      </c>
      <c r="B4">
        <f>IF('EASI Score'!$H$10="","",'EASI Score'!$H$10)</f>
        <v/>
      </c>
      <c r="C4">
        <f>IF(ISNUMBER('ChartData'!$B$4),IF('ChartData'!$B$4&lt;=5,'ChartData'!$B$4,NA()),NA())</f>
        <v/>
      </c>
      <c r="D4">
        <f>IF(ISNUMBER('ChartData'!$B$4),IF(AND('ChartData'!$B$4&gt;5,'ChartData'!$B$4&lt;=10),'ChartData'!$B$4,NA()),NA())</f>
        <v/>
      </c>
      <c r="E4">
        <f>IF(ISNUMBER('ChartData'!$B$4),IF('ChartData'!$B$4&gt;10,'ChartData'!$B$4,NA()),NA())</f>
        <v/>
      </c>
    </row>
    <row r="5">
      <c r="A5" t="inlineStr">
        <is>
          <t>Reach inflow</t>
        </is>
      </c>
      <c r="B5">
        <f>IF('EASI Score'!$H$13="","",'EASI Score'!$H$13)</f>
        <v/>
      </c>
      <c r="C5">
        <f>IF(ISNUMBER('ChartData'!$B$5),IF('ChartData'!$B$5&lt;=5,'ChartData'!$B$5,NA()),NA())</f>
        <v/>
      </c>
      <c r="D5">
        <f>IF(ISNUMBER('ChartData'!$B$5),IF(AND('ChartData'!$B$5&gt;5,'ChartData'!$B$5&lt;=10),'ChartData'!$B$5,NA()),NA())</f>
        <v/>
      </c>
      <c r="E5">
        <f>IF(ISNUMBER('ChartData'!$B$5),IF('ChartData'!$B$5&gt;10,'ChartData'!$B$5,NA()),NA())</f>
        <v/>
      </c>
    </row>
    <row r="6">
      <c r="A6" t="inlineStr">
        <is>
          <t>Streamflow regime</t>
        </is>
      </c>
      <c r="B6">
        <f>IF('EASI Score'!$H$14="","",'EASI Score'!$H$14)</f>
        <v/>
      </c>
      <c r="C6">
        <f>IF(ISNUMBER('ChartData'!$B$6),IF('ChartData'!$B$6&lt;=5,'ChartData'!$B$6,NA()),NA())</f>
        <v/>
      </c>
      <c r="D6">
        <f>IF(ISNUMBER('ChartData'!$B$6),IF(AND('ChartData'!$B$6&gt;5,'ChartData'!$B$6&lt;=10),'ChartData'!$B$6,NA()),NA())</f>
        <v/>
      </c>
      <c r="E6">
        <f>IF(ISNUMBER('ChartData'!$B$6),IF('ChartData'!$B$6&gt;10,'ChartData'!$B$6,NA()),NA())</f>
        <v/>
      </c>
    </row>
    <row r="7">
      <c r="A7" t="inlineStr">
        <is>
          <t>Low flow and baseflow dynamics</t>
        </is>
      </c>
      <c r="B7">
        <f>IF('EASI Score'!$H$17="","",'EASI Score'!$H$17)</f>
        <v/>
      </c>
      <c r="C7">
        <f>IF(ISNUMBER('ChartData'!$B$7),IF('ChartData'!$B$7&lt;=5,'ChartData'!$B$7,NA()),NA())</f>
        <v/>
      </c>
      <c r="D7">
        <f>IF(ISNUMBER('ChartData'!$B$7),IF(AND('ChartData'!$B$7&gt;5,'ChartData'!$B$7&lt;=10),'ChartData'!$B$7,NA()),NA())</f>
        <v/>
      </c>
      <c r="E7">
        <f>IF(ISNUMBER('ChartData'!$B$7),IF('ChartData'!$B$7&gt;10,'ChartData'!$B$7,NA()),NA())</f>
        <v/>
      </c>
    </row>
    <row r="8">
      <c r="A8" t="inlineStr">
        <is>
          <t>High flow dynamics</t>
        </is>
      </c>
      <c r="B8">
        <f>IF('EASI Score'!$H$18="","",'EASI Score'!$H$18)</f>
        <v/>
      </c>
      <c r="C8">
        <f>IF(ISNUMBER('ChartData'!$B$8),IF('ChartData'!$B$8&lt;=5,'ChartData'!$B$8,NA()),NA())</f>
        <v/>
      </c>
      <c r="D8">
        <f>IF(ISNUMBER('ChartData'!$B$8),IF(AND('ChartData'!$B$8&gt;5,'ChartData'!$B$8&lt;=10),'ChartData'!$B$8,NA()),NA())</f>
        <v/>
      </c>
      <c r="E8">
        <f>IF(ISNUMBER('ChartData'!$B$8),IF('ChartData'!$B$8&gt;10,'ChartData'!$B$8,NA()),NA())</f>
        <v/>
      </c>
    </row>
    <row r="9">
      <c r="A9" t="inlineStr">
        <is>
          <t>Floodplain connectivity</t>
        </is>
      </c>
      <c r="B9">
        <f>IF('EASI Score'!$H$19="","",'EASI Score'!$H$19)</f>
        <v/>
      </c>
      <c r="C9">
        <f>IF(ISNUMBER('ChartData'!$B$9),IF('ChartData'!$B$9&lt;=5,'ChartData'!$B$9,NA()),NA())</f>
        <v/>
      </c>
      <c r="D9">
        <f>IF(ISNUMBER('ChartData'!$B$9),IF(AND('ChartData'!$B$9&gt;5,'ChartData'!$B$9&lt;=10),'ChartData'!$B$9,NA()),NA())</f>
        <v/>
      </c>
      <c r="E9">
        <f>IF(ISNUMBER('ChartData'!$B$9),IF('ChartData'!$B$9&gt;10,'ChartData'!$B$9,NA()),NA())</f>
        <v/>
      </c>
    </row>
    <row r="10">
      <c r="A10" t="inlineStr">
        <is>
          <t>Hyporheic connectivity</t>
        </is>
      </c>
      <c r="B10">
        <f>IF('EASI Score'!$H$21="","",'EASI Score'!$H$21)</f>
        <v/>
      </c>
      <c r="C10">
        <f>IF(ISNUMBER('ChartData'!$B$10),IF('ChartData'!$B$10&lt;=5,'ChartData'!$B$10,NA()),NA())</f>
        <v/>
      </c>
      <c r="D10">
        <f>IF(ISNUMBER('ChartData'!$B$10),IF(AND('ChartData'!$B$10&gt;5,'ChartData'!$B$10&lt;=10),'ChartData'!$B$10,NA()),NA())</f>
        <v/>
      </c>
      <c r="E10">
        <f>IF(ISNUMBER('ChartData'!$B$10),IF('ChartData'!$B$10&gt;10,'ChartData'!$B$10,NA()),NA())</f>
        <v/>
      </c>
    </row>
    <row r="11">
      <c r="A11" t="inlineStr">
        <is>
          <t>Channel evolution</t>
        </is>
      </c>
      <c r="B11">
        <f>IF('EASI Score'!$H$23="","",'EASI Score'!$H$23)</f>
        <v/>
      </c>
      <c r="C11">
        <f>IF(ISNUMBER('ChartData'!$B$11),IF('ChartData'!$B$11&lt;=5,'ChartData'!$B$11,NA()),NA())</f>
        <v/>
      </c>
      <c r="D11">
        <f>IF(ISNUMBER('ChartData'!$B$11),IF(AND('ChartData'!$B$11&gt;5,'ChartData'!$B$11&lt;=10),'ChartData'!$B$11,NA()),NA())</f>
        <v/>
      </c>
      <c r="E11">
        <f>IF(ISNUMBER('ChartData'!$B$11),IF('ChartData'!$B$11&gt;10,'ChartData'!$B$11,NA()),NA())</f>
        <v/>
      </c>
    </row>
    <row r="12">
      <c r="A12" t="inlineStr">
        <is>
          <t>Channel and floodplain dynamics</t>
        </is>
      </c>
      <c r="B12">
        <f>IF('EASI Score'!$H$27="","",'EASI Score'!$H$27)</f>
        <v/>
      </c>
      <c r="C12">
        <f>IF(ISNUMBER('ChartData'!$B$12),IF('ChartData'!$B$12&lt;=5,'ChartData'!$B$12,NA()),NA())</f>
        <v/>
      </c>
      <c r="D12">
        <f>IF(ISNUMBER('ChartData'!$B$12),IF(AND('ChartData'!$B$12&gt;5,'ChartData'!$B$12&lt;=10),'ChartData'!$B$12,NA()),NA())</f>
        <v/>
      </c>
      <c r="E12">
        <f>IF(ISNUMBER('ChartData'!$B$12),IF('ChartData'!$B$12&gt;10,'ChartData'!$B$12,NA()),NA())</f>
        <v/>
      </c>
    </row>
    <row r="13">
      <c r="A13" t="inlineStr">
        <is>
          <t>Sediment continuity</t>
        </is>
      </c>
      <c r="B13">
        <f>IF('EASI Score'!$H$30="","",'EASI Score'!$H$30)</f>
        <v/>
      </c>
      <c r="C13">
        <f>IF(ISNUMBER('ChartData'!$B$13),IF('ChartData'!$B$13&lt;=5,'ChartData'!$B$13,NA()),NA())</f>
        <v/>
      </c>
      <c r="D13">
        <f>IF(ISNUMBER('ChartData'!$B$13),IF(AND('ChartData'!$B$13&gt;5,'ChartData'!$B$13&lt;=10),'ChartData'!$B$13,NA()),NA())</f>
        <v/>
      </c>
      <c r="E13">
        <f>IF(ISNUMBER('ChartData'!$B$13),IF('ChartData'!$B$13&gt;10,'ChartData'!$B$13,NA()),NA())</f>
        <v/>
      </c>
    </row>
    <row r="14">
      <c r="A14" t="inlineStr">
        <is>
          <t>Bed composition and large wood</t>
        </is>
      </c>
      <c r="B14">
        <f>IF('EASI Score'!$H$33="","",'EASI Score'!$H$33)</f>
        <v/>
      </c>
      <c r="C14">
        <f>IF(ISNUMBER('ChartData'!$B$14),IF('ChartData'!$B$14&lt;=5,'ChartData'!$B$14,NA()),NA())</f>
        <v/>
      </c>
      <c r="D14">
        <f>IF(ISNUMBER('ChartData'!$B$14),IF(AND('ChartData'!$B$14&gt;5,'ChartData'!$B$14&lt;=10),'ChartData'!$B$14,NA()),NA())</f>
        <v/>
      </c>
      <c r="E14">
        <f>IF(ISNUMBER('ChartData'!$B$14),IF('ChartData'!$B$14&gt;10,'ChartData'!$B$14,NA()),NA())</f>
        <v/>
      </c>
    </row>
    <row r="15">
      <c r="A15" t="inlineStr">
        <is>
          <t>Light &amp; thermal regime</t>
        </is>
      </c>
      <c r="B15">
        <f>IF('EASI Score'!$H$34="","",'EASI Score'!$H$34)</f>
        <v/>
      </c>
      <c r="C15">
        <f>IF(ISNUMBER('ChartData'!$B$15),IF('ChartData'!$B$15&lt;=5,'ChartData'!$B$15,NA()),NA())</f>
        <v/>
      </c>
      <c r="D15">
        <f>IF(ISNUMBER('ChartData'!$B$15),IF(AND('ChartData'!$B$15&gt;5,'ChartData'!$B$15&lt;=10),'ChartData'!$B$15,NA()),NA())</f>
        <v/>
      </c>
      <c r="E15">
        <f>IF(ISNUMBER('ChartData'!$B$15),IF('ChartData'!$B$15&gt;10,'ChartData'!$B$15,NA()),NA())</f>
        <v/>
      </c>
    </row>
    <row r="16">
      <c r="A16" t="inlineStr">
        <is>
          <t>Carbon processing</t>
        </is>
      </c>
      <c r="B16">
        <f>IF('EASI Score'!$H$36="","",'EASI Score'!$H$36)</f>
        <v/>
      </c>
      <c r="C16">
        <f>IF(ISNUMBER('ChartData'!$B$16),IF('ChartData'!$B$16&lt;=5,'ChartData'!$B$16,NA()),NA())</f>
        <v/>
      </c>
      <c r="D16">
        <f>IF(ISNUMBER('ChartData'!$B$16),IF(AND('ChartData'!$B$16&gt;5,'ChartData'!$B$16&lt;=10),'ChartData'!$B$16,NA()),NA())</f>
        <v/>
      </c>
      <c r="E16">
        <f>IF(ISNUMBER('ChartData'!$B$16),IF('ChartData'!$B$16&gt;10,'ChartData'!$B$16,NA()),NA())</f>
        <v/>
      </c>
    </row>
    <row r="17">
      <c r="A17" t="inlineStr">
        <is>
          <t>Nutrient cycling</t>
        </is>
      </c>
      <c r="B17">
        <f>IF('EASI Score'!$H$41="","",'EASI Score'!$H$41)</f>
        <v/>
      </c>
      <c r="C17">
        <f>IF(ISNUMBER('ChartData'!$B$17),IF('ChartData'!$B$17&lt;=5,'ChartData'!$B$17,NA()),NA())</f>
        <v/>
      </c>
      <c r="D17">
        <f>IF(ISNUMBER('ChartData'!$B$17),IF(AND('ChartData'!$B$17&gt;5,'ChartData'!$B$17&lt;=10),'ChartData'!$B$17,NA()),NA())</f>
        <v/>
      </c>
      <c r="E17">
        <f>IF(ISNUMBER('ChartData'!$B$17),IF('ChartData'!$B$17&gt;10,'ChartData'!$B$17,NA()),NA())</f>
        <v/>
      </c>
    </row>
    <row r="18">
      <c r="A18" t="inlineStr">
        <is>
          <t>Water &amp; soil quality</t>
        </is>
      </c>
      <c r="B18">
        <f>IF('EASI Score'!$H$45="","",'EASI Score'!$H$45)</f>
        <v/>
      </c>
      <c r="C18">
        <f>IF(ISNUMBER('ChartData'!$B$18),IF('ChartData'!$B$18&lt;=5,'ChartData'!$B$18,NA()),NA())</f>
        <v/>
      </c>
      <c r="D18">
        <f>IF(ISNUMBER('ChartData'!$B$18),IF(AND('ChartData'!$B$18&gt;5,'ChartData'!$B$18&lt;=10),'ChartData'!$B$18,NA()),NA())</f>
        <v/>
      </c>
      <c r="E18">
        <f>IF(ISNUMBER('ChartData'!$B$18),IF('ChartData'!$B$18&gt;10,'ChartData'!$B$18,NA()),NA())</f>
        <v/>
      </c>
    </row>
    <row r="19">
      <c r="A19" t="inlineStr">
        <is>
          <t>Habitat provision</t>
        </is>
      </c>
      <c r="B19">
        <f>IF('EASI Score'!$H$48="","",'EASI Score'!$H$48)</f>
        <v/>
      </c>
      <c r="C19">
        <f>IF(ISNUMBER('ChartData'!$B$19),IF('ChartData'!$B$19&lt;=5,'ChartData'!$B$19,NA()),NA())</f>
        <v/>
      </c>
      <c r="D19">
        <f>IF(ISNUMBER('ChartData'!$B$19),IF(AND('ChartData'!$B$19&gt;5,'ChartData'!$B$19&lt;=10),'ChartData'!$B$19,NA()),NA())</f>
        <v/>
      </c>
      <c r="E19">
        <f>IF(ISNUMBER('ChartData'!$B$19),IF('ChartData'!$B$19&gt;10,'ChartData'!$B$19,NA()),NA())</f>
        <v/>
      </c>
    </row>
    <row r="20">
      <c r="A20" t="inlineStr">
        <is>
          <t>Population support</t>
        </is>
      </c>
      <c r="B20">
        <f>IF('EASI Score'!$H$49="","",'EASI Score'!$H$49)</f>
        <v/>
      </c>
      <c r="C20">
        <f>IF(ISNUMBER('ChartData'!$B$20),IF('ChartData'!$B$20&lt;=5,'ChartData'!$B$20,NA()),NA())</f>
        <v/>
      </c>
      <c r="D20">
        <f>IF(ISNUMBER('ChartData'!$B$20),IF(AND('ChartData'!$B$20&gt;5,'ChartData'!$B$20&lt;=10),'ChartData'!$B$20,NA()),NA())</f>
        <v/>
      </c>
      <c r="E20">
        <f>IF(ISNUMBER('ChartData'!$B$20),IF('ChartData'!$B$20&gt;10,'ChartData'!$B$20,NA()),NA())</f>
        <v/>
      </c>
    </row>
    <row r="21">
      <c r="A21" t="inlineStr">
        <is>
          <t>Community dynamics</t>
        </is>
      </c>
      <c r="B21">
        <f>IF('EASI Score'!$H$64="","",'EASI Score'!$H$64)</f>
        <v/>
      </c>
      <c r="C21">
        <f>IF(ISNUMBER('ChartData'!$B$21),IF('ChartData'!$B$21&lt;=5,'ChartData'!$B$21,NA()),NA())</f>
        <v/>
      </c>
      <c r="D21">
        <f>IF(ISNUMBER('ChartData'!$B$21),IF(AND('ChartData'!$B$21&gt;5,'ChartData'!$B$21&lt;=10),'ChartData'!$B$21,NA()),NA())</f>
        <v/>
      </c>
      <c r="E21">
        <f>IF(ISNUMBER('ChartData'!$B$21),IF('ChartData'!$B$21&gt;10,'ChartData'!$B$21,NA()),NA())</f>
        <v/>
      </c>
    </row>
    <row r="22">
      <c r="A22" t="inlineStr">
        <is>
          <t>Watershed connectivity</t>
        </is>
      </c>
      <c r="B22">
        <f>IF('EASI Score'!$H$65="","",'EASI Score'!$H$65)</f>
        <v/>
      </c>
      <c r="C22">
        <f>IF(ISNUMBER('ChartData'!$B$22),IF('ChartData'!$B$22&lt;=5,'ChartData'!$B$22,NA()),NA())</f>
        <v/>
      </c>
      <c r="D22">
        <f>IF(ISNUMBER('ChartData'!$B$22),IF(AND('ChartData'!$B$22&gt;5,'ChartData'!$B$22&lt;=10),'ChartData'!$B$22,NA()),NA())</f>
        <v/>
      </c>
      <c r="E22">
        <f>IF(ISNUMBER('ChartData'!$B$22),IF('ChartData'!$B$22&gt;10,'ChartData'!$B$22,NA()),NA())</f>
        <v/>
      </c>
    </row>
    <row r="24">
      <c r="A24" s="140" t="inlineStr">
        <is>
          <t>Outcome</t>
        </is>
      </c>
      <c r="B24" s="140" t="inlineStr">
        <is>
          <t>Score</t>
        </is>
      </c>
      <c r="C24" s="140" t="inlineStr">
        <is>
          <t>Non-Functioning (0.00-0.39)</t>
        </is>
      </c>
      <c r="D24" s="140" t="inlineStr">
        <is>
          <t>Functioning At-Risk (0.40-0.69)</t>
        </is>
      </c>
      <c r="E24" s="140" t="inlineStr">
        <is>
          <t>Functioning (0.70-1.00)</t>
        </is>
      </c>
    </row>
    <row r="25">
      <c r="A25" t="inlineStr">
        <is>
          <t>Physical</t>
        </is>
      </c>
      <c r="B25">
        <f>IF('Results'!$E$27="","",'Results'!$E$27)</f>
        <v/>
      </c>
      <c r="C25">
        <f>IF(ISNUMBER('ChartData'!$B$25),IF('ChartData'!$B$25&lt;=0.39,'ChartData'!$B$25,NA()),NA())</f>
        <v/>
      </c>
      <c r="D25">
        <f>IF(ISNUMBER('ChartData'!$B$25),IF(AND('ChartData'!$B$25&gt;0.39,'ChartData'!$B$25&lt;=0.69),'ChartData'!$B$25,NA()),NA())</f>
        <v/>
      </c>
      <c r="E25">
        <f>IF(ISNUMBER('ChartData'!$B$25),IF('ChartData'!$B$25&gt;0.69,'ChartData'!$B$25,NA()),NA())</f>
        <v/>
      </c>
    </row>
    <row r="26">
      <c r="A26" t="inlineStr">
        <is>
          <t>Chemical</t>
        </is>
      </c>
      <c r="B26">
        <f>IF('Results'!$E$28="","",'Results'!$E$28)</f>
        <v/>
      </c>
      <c r="C26">
        <f>IF(ISNUMBER('ChartData'!$B$26),IF('ChartData'!$B$26&lt;=0.39,'ChartData'!$B$26,NA()),NA())</f>
        <v/>
      </c>
      <c r="D26">
        <f>IF(ISNUMBER('ChartData'!$B$26),IF(AND('ChartData'!$B$26&gt;0.39,'ChartData'!$B$26&lt;=0.69),'ChartData'!$B$26,NA()),NA())</f>
        <v/>
      </c>
      <c r="E26">
        <f>IF(ISNUMBER('ChartData'!$B$26),IF('ChartData'!$B$26&gt;0.69,'ChartData'!$B$26,NA()),NA())</f>
        <v/>
      </c>
    </row>
    <row r="27">
      <c r="A27" t="inlineStr">
        <is>
          <t>Biological</t>
        </is>
      </c>
      <c r="B27">
        <f>IF('Results'!$E$29="","",'Results'!$E$29)</f>
        <v/>
      </c>
      <c r="C27">
        <f>IF(ISNUMBER('ChartData'!$B$27),IF('ChartData'!$B$27&lt;=0.39,'ChartData'!$B$27,NA()),NA())</f>
        <v/>
      </c>
      <c r="D27">
        <f>IF(ISNUMBER('ChartData'!$B$27),IF(AND('ChartData'!$B$27&gt;0.39,'ChartData'!$B$27&lt;=0.69),'ChartData'!$B$27,NA()),NA())</f>
        <v/>
      </c>
      <c r="E27">
        <f>IF(ISNUMBER('ChartData'!$B$27),IF('ChartData'!$B$27&gt;0.69,'ChartData'!$B$27,NA()),NA())</f>
        <v/>
      </c>
    </row>
  </sheetData>
  <sheetProtection selectLockedCells="0" selectUnlockedCells="0" sheet="1" objects="0" insertRows="1" insertHyperlinks="1" autoFilter="1" scenarios="0" formatColumns="1" deleteColumns="1" insertColumns="1" pivotTables="1" deleteRows="1" formatCells="1" formatRows="1" sort="1" password="CA0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EASI</dc:creator>
  <dc:title xmlns:dc="http://purl.org/dc/elements/1.1/">EASI calculator</dc:title>
  <dcterms:created xmlns:dcterms="http://purl.org/dc/terms/" xmlns:xsi="http://www.w3.org/2001/XMLSchema-instance" xsi:type="dcterms:W3CDTF">2026-09-17T00:00:00Z</dcterms:created>
  <dcterms:modified xmlns:dcterms="http://purl.org/dc/terms/" xmlns:xsi="http://www.w3.org/2001/XMLSchema-instance" xsi:type="dcterms:W3CDTF">2026-09-17T00:00:00Z</dcterms:modified>
  <cp:lastModifiedBy>EASI</cp:lastModifiedBy>
</cp:coreProperties>
</file>