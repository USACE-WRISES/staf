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.xml" ContentType="application/vnd.openxmlformats-officedocument.drawingml.chartshapes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ml.chartshapes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1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3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xr:revisionPtr revIDLastSave="0" documentId="13_ncr:1_{FB60031A-110A-4AC5-A9CB-E5487FB34A1A}" xr6:coauthVersionLast="47" xr6:coauthVersionMax="47" xr10:uidLastSave="{00000000-0000-0000-0000-000000000000}"/>
  <bookViews>
    <workbookView xWindow="28680" yWindow="-2070" windowWidth="38640" windowHeight="21120" tabRatio="479" xr2:uid="{AA844D8B-4DC0-4502-BDB2-641660958C8F}"/>
  </bookViews>
  <sheets>
    <sheet name="Reference_Curves" sheetId="1" r:id="rId1"/>
    <sheet name="Pull Down Notes" sheetId="3" state="hidden" r:id="rId2"/>
  </sheets>
  <definedNames>
    <definedName name="BEHI.NBS">'Pull Down Notes'!$B$22:$B$58</definedName>
    <definedName name="Condition">'Pull Down Notes'!$B$124:$B$127</definedName>
    <definedName name="Ecoregion">'Pull Down Notes'!$B$64:$B$79</definedName>
    <definedName name="FishIBI">'Pull Down Notes'!$B$144:$B$147</definedName>
    <definedName name="FishTarget">'Pull Down Notes'!$B$149:$B$154</definedName>
    <definedName name="FlowType">'Pull Down Notes'!$B$17:$B$20</definedName>
    <definedName name="RefVegCover">'Pull Down Notes'!$B$140:$B$142</definedName>
    <definedName name="RiverBasin">'Pull Down Notes'!$B$92:$B$116</definedName>
    <definedName name="RP">'Pull Down Notes'!$B$60:$B$62</definedName>
    <definedName name="StreamOrder">'Pull Down Notes'!$B$134:$B$138</definedName>
    <definedName name="StreamTemp">'Pull Down Notes'!$B$118:$B$122</definedName>
    <definedName name="StreamType">'Pull Down Notes'!$B$1:$B$15</definedName>
    <definedName name="ValleyType">'Pull Down Notes'!$B$129:$B$132</definedName>
    <definedName name="YesNo">'Pull Down Notes'!$B$81:$B$83</definedName>
  </definedNames>
  <calcPr calcId="191029"/>
</workbook>
</file>

<file path=xl/calcChain.xml><?xml version="1.0" encoding="utf-8"?>
<calcChain xmlns="http://schemas.openxmlformats.org/spreadsheetml/2006/main">
  <c r="AP100" i="1" l="1"/>
  <c r="AO100" i="1"/>
  <c r="AN100" i="1"/>
  <c r="AM100" i="1"/>
  <c r="AP99" i="1"/>
  <c r="AO99" i="1"/>
  <c r="AN99" i="1"/>
  <c r="AM99" i="1"/>
  <c r="AR96" i="1"/>
  <c r="AQ96" i="1"/>
  <c r="AP96" i="1"/>
  <c r="AO96" i="1"/>
  <c r="AN96" i="1"/>
  <c r="AM96" i="1"/>
  <c r="AR95" i="1"/>
  <c r="AQ95" i="1"/>
  <c r="AP95" i="1"/>
  <c r="AO95" i="1"/>
  <c r="AN95" i="1"/>
  <c r="AM95" i="1"/>
  <c r="AR54" i="1" l="1"/>
  <c r="AO54" i="1"/>
  <c r="AE18" i="1"/>
  <c r="AE19" i="1"/>
  <c r="U50" i="1" l="1"/>
  <c r="AH85" i="1" l="1"/>
  <c r="AG85" i="1"/>
  <c r="AH50" i="1"/>
  <c r="AG50" i="1"/>
  <c r="AF21" i="1"/>
  <c r="AG21" i="1"/>
  <c r="AH21" i="1"/>
  <c r="AE21" i="1"/>
  <c r="AE22" i="1" s="1"/>
  <c r="AO58" i="1" l="1"/>
  <c r="AO57" i="1"/>
  <c r="AN58" i="1"/>
  <c r="AN57" i="1"/>
  <c r="AM58" i="1"/>
  <c r="AM57" i="1"/>
  <c r="AR53" i="1"/>
  <c r="AQ54" i="1"/>
  <c r="AP54" i="1"/>
  <c r="AP53" i="1"/>
  <c r="AQ53" i="1"/>
  <c r="AN54" i="1"/>
  <c r="AM54" i="1"/>
  <c r="AO53" i="1"/>
  <c r="AN53" i="1"/>
  <c r="AM53" i="1"/>
  <c r="AO16" i="1"/>
  <c r="AN16" i="1"/>
  <c r="AM16" i="1"/>
  <c r="AO15" i="1"/>
  <c r="AN15" i="1"/>
  <c r="AM15" i="1"/>
  <c r="AF118" i="1"/>
  <c r="AF117" i="1"/>
  <c r="AE118" i="1"/>
  <c r="AE117" i="1"/>
  <c r="AD118" i="1"/>
  <c r="AD117" i="1"/>
  <c r="AD84" i="1" a="1"/>
  <c r="AD84" i="1" s="1"/>
  <c r="AD83" i="1" a="1"/>
  <c r="AD83" i="1" s="1"/>
  <c r="AH86" i="1" l="1"/>
  <c r="AG86" i="1"/>
  <c r="AD51" i="1"/>
  <c r="AD50" i="1"/>
  <c r="AH19" i="1"/>
  <c r="AH18" i="1"/>
  <c r="AG19" i="1"/>
  <c r="AG18" i="1"/>
  <c r="AF19" i="1"/>
  <c r="AF18" i="1"/>
  <c r="AD19" i="1"/>
  <c r="AD18" i="1"/>
  <c r="AG22" i="1" l="1"/>
  <c r="AH22" i="1"/>
  <c r="AH51" i="1"/>
  <c r="AG51" i="1"/>
  <c r="AF22" i="1"/>
  <c r="V85" i="1"/>
  <c r="V84" i="1"/>
  <c r="U85" i="1"/>
  <c r="U84" i="1"/>
  <c r="V583" i="1" l="1"/>
  <c r="U583" i="1"/>
  <c r="V582" i="1"/>
  <c r="U582" i="1"/>
  <c r="V548" i="1"/>
  <c r="U548" i="1"/>
  <c r="V547" i="1"/>
  <c r="U547" i="1"/>
  <c r="V513" i="1"/>
  <c r="V512" i="1"/>
  <c r="U513" i="1"/>
  <c r="U512" i="1"/>
  <c r="V479" i="1"/>
  <c r="V478" i="1"/>
  <c r="U479" i="1"/>
  <c r="U478" i="1"/>
  <c r="V443" i="1"/>
  <c r="V442" i="1"/>
  <c r="U443" i="1"/>
  <c r="U442" i="1"/>
  <c r="V407" i="1"/>
  <c r="V406" i="1"/>
  <c r="U407" i="1"/>
  <c r="U406" i="1"/>
  <c r="V370" i="1"/>
  <c r="V369" i="1"/>
  <c r="U370" i="1"/>
  <c r="U369" i="1"/>
  <c r="V333" i="1"/>
  <c r="V332" i="1"/>
  <c r="U333" i="1"/>
  <c r="U332" i="1"/>
  <c r="V297" i="1"/>
  <c r="V296" i="1"/>
  <c r="U297" i="1"/>
  <c r="U296" i="1"/>
  <c r="V262" i="1"/>
  <c r="V261" i="1"/>
  <c r="U261" i="1"/>
  <c r="U228" i="1"/>
  <c r="U227" i="1"/>
  <c r="Y192" i="1" l="1"/>
  <c r="Y191" i="1"/>
  <c r="X192" i="1"/>
  <c r="X191" i="1"/>
  <c r="W192" i="1"/>
  <c r="W191" i="1"/>
  <c r="V192" i="1"/>
  <c r="V191" i="1"/>
  <c r="U191" i="1"/>
  <c r="W156" i="1" l="1"/>
  <c r="W155" i="1"/>
  <c r="V156" i="1"/>
  <c r="V155" i="1"/>
  <c r="U156" i="1"/>
  <c r="U155" i="1"/>
  <c r="U120" i="1"/>
  <c r="U119" i="1"/>
  <c r="V50" i="1"/>
  <c r="V49" i="1"/>
  <c r="U49" i="1"/>
  <c r="V16" i="1"/>
  <c r="V15" i="1"/>
  <c r="U15" i="1"/>
  <c r="M152" i="1" l="1"/>
  <c r="M151" i="1"/>
  <c r="L152" i="1"/>
  <c r="L151" i="1"/>
  <c r="M118" i="1"/>
  <c r="M117" i="1"/>
  <c r="L118" i="1"/>
  <c r="L117" i="1"/>
  <c r="M83" i="1"/>
  <c r="M82" i="1"/>
  <c r="L83" i="1"/>
  <c r="L82" i="1"/>
  <c r="M50" i="1"/>
  <c r="M49" i="1"/>
  <c r="L50" i="1"/>
  <c r="L49" i="1"/>
  <c r="O15" i="1" l="1"/>
  <c r="L16" i="1"/>
  <c r="L15" i="1"/>
  <c r="D50" i="1"/>
  <c r="D49" i="1"/>
  <c r="C50" i="1"/>
  <c r="C49" i="1"/>
  <c r="E16" i="1"/>
  <c r="E15" i="1"/>
  <c r="D16" i="1"/>
  <c r="D15" i="1"/>
  <c r="C16" i="1"/>
  <c r="C15" i="1"/>
  <c r="O16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<sst xmlns="http://schemas.openxmlformats.org/spreadsheetml/2006/main" count="453" uniqueCount="214">
  <si>
    <t>C</t>
  </si>
  <si>
    <t>E</t>
  </si>
  <si>
    <t>B</t>
  </si>
  <si>
    <t>Bc</t>
  </si>
  <si>
    <t>Field Value</t>
  </si>
  <si>
    <t>Index Value</t>
  </si>
  <si>
    <t>A</t>
  </si>
  <si>
    <t>LWD Index</t>
  </si>
  <si>
    <t>Perennial</t>
  </si>
  <si>
    <t>Flow Type:</t>
  </si>
  <si>
    <t>Ephemeral</t>
  </si>
  <si>
    <t>L/VL</t>
  </si>
  <si>
    <t>L/L</t>
  </si>
  <si>
    <t>L/M</t>
  </si>
  <si>
    <t>L/H</t>
  </si>
  <si>
    <t>L/VH</t>
  </si>
  <si>
    <t>M/VL</t>
  </si>
  <si>
    <t>M/L</t>
  </si>
  <si>
    <t>M/M</t>
  </si>
  <si>
    <t>M/H</t>
  </si>
  <si>
    <t>L/Ex</t>
  </si>
  <si>
    <t>H/L</t>
  </si>
  <si>
    <t>H/M</t>
  </si>
  <si>
    <t>H/H</t>
  </si>
  <si>
    <t>VH/VL</t>
  </si>
  <si>
    <t>Ex/VL</t>
  </si>
  <si>
    <t>H/Ex</t>
  </si>
  <si>
    <t>Ex/M</t>
  </si>
  <si>
    <t>Ex/H</t>
  </si>
  <si>
    <t>Ex/VH</t>
  </si>
  <si>
    <t>VH/VH</t>
  </si>
  <si>
    <t>Ex/Ex</t>
  </si>
  <si>
    <t>Restoration Potential:</t>
  </si>
  <si>
    <t>Intermittent</t>
  </si>
  <si>
    <t>Yes</t>
  </si>
  <si>
    <t>No</t>
  </si>
  <si>
    <t>TMDL</t>
  </si>
  <si>
    <t>Grant</t>
  </si>
  <si>
    <t>Other</t>
  </si>
  <si>
    <t>River Basin:</t>
  </si>
  <si>
    <t>HYDRAULICS</t>
  </si>
  <si>
    <t>HYDROLOGY</t>
  </si>
  <si>
    <t>GEOMORPHOLOGY</t>
  </si>
  <si>
    <t>PHYSICOCHEMICAL</t>
  </si>
  <si>
    <t>BIOLOGY</t>
  </si>
  <si>
    <t>Stream Temperature:</t>
  </si>
  <si>
    <t>Coldwater</t>
  </si>
  <si>
    <t>Warmwater</t>
  </si>
  <si>
    <t>F</t>
  </si>
  <si>
    <t>G</t>
  </si>
  <si>
    <t>Gc</t>
  </si>
  <si>
    <t>M/Ex</t>
  </si>
  <si>
    <t>M/VH</t>
  </si>
  <si>
    <t>H/VL</t>
  </si>
  <si>
    <t>H/VH</t>
  </si>
  <si>
    <t>VH/L</t>
  </si>
  <si>
    <t>VH/M</t>
  </si>
  <si>
    <t>VH/H</t>
  </si>
  <si>
    <t>VH/Ex</t>
  </si>
  <si>
    <t>Ex/L</t>
  </si>
  <si>
    <t>a</t>
  </si>
  <si>
    <t>b</t>
  </si>
  <si>
    <t>NF</t>
  </si>
  <si>
    <t>NF &amp; FAR</t>
  </si>
  <si>
    <t>Poor</t>
  </si>
  <si>
    <t>Fair</t>
  </si>
  <si>
    <t>Good</t>
  </si>
  <si>
    <t>Coefficients - Y = a * X + b</t>
  </si>
  <si>
    <t>Stream Type:</t>
  </si>
  <si>
    <t>Dominant BEHI/NBS:</t>
  </si>
  <si>
    <t>Yes/No:</t>
  </si>
  <si>
    <t>Programmatic Goals:</t>
  </si>
  <si>
    <t>Catchment Condition:</t>
  </si>
  <si>
    <t>Valley Type:</t>
  </si>
  <si>
    <t>Colluvial</t>
  </si>
  <si>
    <t>Unconfined Alluvial</t>
  </si>
  <si>
    <t>Confined Alluvial</t>
  </si>
  <si>
    <t>Mitigation - Credits</t>
  </si>
  <si>
    <t>Mitigation - Debits</t>
  </si>
  <si>
    <t xml:space="preserve">Coefficients - Y = a * X + b </t>
  </si>
  <si>
    <t>Coefficients - Y = a  * X + b</t>
  </si>
  <si>
    <t>Land Use Coefficient</t>
  </si>
  <si>
    <t xml:space="preserve">Coefficients - Y = a * X+ b </t>
  </si>
  <si>
    <t>Rising Limb</t>
  </si>
  <si>
    <t>Falling Limb</t>
  </si>
  <si>
    <t>Ba</t>
  </si>
  <si>
    <t>Cb</t>
  </si>
  <si>
    <t>Fb</t>
  </si>
  <si>
    <t>D</t>
  </si>
  <si>
    <t>DA</t>
  </si>
  <si>
    <t>Eb</t>
  </si>
  <si>
    <t>Full</t>
  </si>
  <si>
    <t>Partial</t>
  </si>
  <si>
    <t>Strahler Stream Order</t>
  </si>
  <si>
    <t>First</t>
  </si>
  <si>
    <t>Second</t>
  </si>
  <si>
    <t>Third</t>
  </si>
  <si>
    <t>Fourth or greater</t>
  </si>
  <si>
    <t>Pool Spacing Ratio for Bc Stream Types</t>
  </si>
  <si>
    <t>Pool Spacing Ratio for C and E Stream Types</t>
  </si>
  <si>
    <t>Rising limb</t>
  </si>
  <si>
    <t>FAR</t>
  </si>
  <si>
    <t>Pool Spacing Ratio for A and B Stream Types</t>
  </si>
  <si>
    <t>Width/Depth Ratio State (O/E)</t>
  </si>
  <si>
    <t>Ecoregion:</t>
  </si>
  <si>
    <t>Field  Value</t>
  </si>
  <si>
    <t xml:space="preserve">This sheet provides the formulas used to calculate index values from the field values entered on the Quantification Tool worksheet.  Formulas are fit to known delineations between Functioning (F), Functioning-At-Risk (FAR) and Not Functioning (NF). </t>
  </si>
  <si>
    <t>VL/VL</t>
  </si>
  <si>
    <t>VL/L</t>
  </si>
  <si>
    <t>VL/M</t>
  </si>
  <si>
    <t>VL/H</t>
  </si>
  <si>
    <t>VL/VH</t>
  </si>
  <si>
    <t>VL/Ex</t>
  </si>
  <si>
    <t>FAR &amp; F</t>
  </si>
  <si>
    <t>NF, FAR &amp; F</t>
  </si>
  <si>
    <t xml:space="preserve">Pool Depth Ratio </t>
  </si>
  <si>
    <t>Fall Limb</t>
  </si>
  <si>
    <t>Confined Alluvial &amp; Colluvial</t>
  </si>
  <si>
    <t>Confined and Colluvial</t>
  </si>
  <si>
    <t>Woody sites</t>
  </si>
  <si>
    <t>Herbaceous sites</t>
  </si>
  <si>
    <t xml:space="preserve">NF </t>
  </si>
  <si>
    <t>Median Particle Size (d50)</t>
  </si>
  <si>
    <t>Hilsenhoff Biotic Index (HBI)</t>
  </si>
  <si>
    <t>Benthic Algal Biomass</t>
  </si>
  <si>
    <t>Diatom Phosphorus Index (DPI)</t>
  </si>
  <si>
    <t>mIBI</t>
  </si>
  <si>
    <t>fIBI</t>
  </si>
  <si>
    <t>Superior Coastal Plain</t>
  </si>
  <si>
    <t>Northwest Lowlands</t>
  </si>
  <si>
    <t>North Central Forest</t>
  </si>
  <si>
    <t>Northern Highland</t>
  </si>
  <si>
    <t>Northeast Sands</t>
  </si>
  <si>
    <t>Western Prairie</t>
  </si>
  <si>
    <t>Forest Transition</t>
  </si>
  <si>
    <t>Northern Michigan Coastal</t>
  </si>
  <si>
    <t>Western Coulee &amp; Ridges</t>
  </si>
  <si>
    <t>Central Sand Plains</t>
  </si>
  <si>
    <t>Central Sand Hills</t>
  </si>
  <si>
    <t>Central Lake Michigan Coastal</t>
  </si>
  <si>
    <t>Southeast Glacial Plains</t>
  </si>
  <si>
    <t>Southern Lake Michigan Coastal</t>
  </si>
  <si>
    <t>Southwest Savanna</t>
  </si>
  <si>
    <t>Lake Superior</t>
  </si>
  <si>
    <t>St. Croix</t>
  </si>
  <si>
    <t>Upper Chippewa</t>
  </si>
  <si>
    <t>Lower Chippewa</t>
  </si>
  <si>
    <t>Upper Wisconsin</t>
  </si>
  <si>
    <t>Lower Wisconsin</t>
  </si>
  <si>
    <t>Black River</t>
  </si>
  <si>
    <t>Buffalo - Trempealeau</t>
  </si>
  <si>
    <t>Bad Axe - La Crosse</t>
  </si>
  <si>
    <t>Green Bay</t>
  </si>
  <si>
    <t>Wolf River</t>
  </si>
  <si>
    <t>Upper Fox</t>
  </si>
  <si>
    <t>Lower Fox</t>
  </si>
  <si>
    <t>Twin - Door - Kewaunee</t>
  </si>
  <si>
    <t>Manitowoc</t>
  </si>
  <si>
    <t>Sheboygan</t>
  </si>
  <si>
    <t>Milwaukee</t>
  </si>
  <si>
    <t>Upper Rock</t>
  </si>
  <si>
    <t>Lower Rock</t>
  </si>
  <si>
    <t>Grant - Platte</t>
  </si>
  <si>
    <t>Sugar - Pecatonica</t>
  </si>
  <si>
    <t>Fox Illinois</t>
  </si>
  <si>
    <t>Southeast</t>
  </si>
  <si>
    <t>Reference Vegetation Cover</t>
  </si>
  <si>
    <t>Herbaceous</t>
  </si>
  <si>
    <t>Woody</t>
  </si>
  <si>
    <t>Cold Transition</t>
  </si>
  <si>
    <t>Warm Transition</t>
  </si>
  <si>
    <t>FishIBI</t>
  </si>
  <si>
    <t>Coolwater</t>
  </si>
  <si>
    <t>Cold</t>
  </si>
  <si>
    <t>Warm</t>
  </si>
  <si>
    <t>Cold (F)</t>
  </si>
  <si>
    <t>Field Value (Mean Score)</t>
  </si>
  <si>
    <t>Index (y)</t>
  </si>
  <si>
    <t>Fish Abundance</t>
  </si>
  <si>
    <t xml:space="preserve">Coefficients - Y = a *ln(X) + b </t>
  </si>
  <si>
    <t>Cold (NF &amp; FAR)</t>
  </si>
  <si>
    <t>Fish Target Community</t>
  </si>
  <si>
    <t>Concentrated Flow Point Index</t>
  </si>
  <si>
    <t>Central Wisconsin</t>
  </si>
  <si>
    <t>Entrenchment Ratio (ER) C Stream Types</t>
  </si>
  <si>
    <t>Entrenchment Ratio (ER) E Stream Types</t>
  </si>
  <si>
    <t>Entrenchment Ratio (ER) B Stream Types</t>
  </si>
  <si>
    <t>Percent Riffle for A and B Stream Types</t>
  </si>
  <si>
    <t>Percent Riffle for C and E Stream Types</t>
  </si>
  <si>
    <t>Woody Reference Vegetation Cover</t>
  </si>
  <si>
    <t>Herbaceous Reference Vegetation Cover</t>
  </si>
  <si>
    <t>Cold Transition (NF, FAR &amp; F)</t>
  </si>
  <si>
    <t>Warm Transition (NF, FAR &amp; F)</t>
  </si>
  <si>
    <t>Warm (NF, FAR &amp; F)</t>
  </si>
  <si>
    <t xml:space="preserve">Bank Height Ratio (BHR) </t>
  </si>
  <si>
    <t>LWD Frequency</t>
  </si>
  <si>
    <t>Percent Streambank Erosion</t>
  </si>
  <si>
    <t>Percent Streambank Armoring</t>
  </si>
  <si>
    <t>Effective Vegetated Riparian Area</t>
  </si>
  <si>
    <t>Canopy Cover</t>
  </si>
  <si>
    <t>Herbaceous Cover</t>
  </si>
  <si>
    <t>Woody Stem Basal Area</t>
  </si>
  <si>
    <t>Percent Fines &lt;2mm</t>
  </si>
  <si>
    <t>Summer Mean Temperature</t>
  </si>
  <si>
    <t>Adult Smallmouth Bass (Native)</t>
  </si>
  <si>
    <t>Adult and Yearling Brown Trout</t>
  </si>
  <si>
    <t>Adult and Yearling Brook Trout (Native)</t>
  </si>
  <si>
    <t>Lake Superior Trout Young of Year</t>
  </si>
  <si>
    <t>Lake Michigan Trout Young of Year</t>
  </si>
  <si>
    <t>Lake Superior Trout YoY</t>
  </si>
  <si>
    <t>Lake Michigan Trout YoY</t>
  </si>
  <si>
    <t>NF/FAR</t>
  </si>
  <si>
    <t>Calculated minimum and maximum values from the regression equation(s)</t>
  </si>
  <si>
    <t>Percent Fines &lt;6.35mm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</si>
</sst>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5" fillId="2" borderId="0" applyNumberFormat="0" applyBorder="0" applyAlignment="0" applyProtection="0"/>
  </cellStyleXfs>
  <cellXfs count="1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/>
    <xf numFmtId="0" fontId="0" fillId="0" borderId="14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2" applyFont="1" applyFill="1" applyBorder="1" applyAlignment="1">
      <alignment horizontal="right" vertical="center"/>
    </xf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/>
    </xf>
    <xf numFmtId="0" fontId="0" fillId="0" borderId="12" xfId="0" applyBorder="1"/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/>
    </xf>
    <xf numFmtId="1" fontId="0" fillId="0" borderId="12" xfId="0" applyNumberFormat="1" applyBorder="1"/>
    <xf numFmtId="165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/>
    <xf numFmtId="1" fontId="0" fillId="0" borderId="12" xfId="2" applyNumberFormat="1" applyFont="1" applyFill="1" applyBorder="1" applyAlignment="1">
      <alignment horizontal="right" vertical="center"/>
    </xf>
    <xf numFmtId="0" fontId="3" fillId="0" borderId="12" xfId="0" applyFont="1" applyBorder="1" applyAlignment="1">
      <alignment vertical="center"/>
    </xf>
    <xf numFmtId="164" fontId="0" fillId="0" borderId="3" xfId="0" applyNumberFormat="1" applyBorder="1" applyAlignment="1">
      <alignment vertical="center" wrapText="1"/>
    </xf>
    <xf numFmtId="0" fontId="0" fillId="0" borderId="11" xfId="0" applyBorder="1"/>
    <xf numFmtId="0" fontId="0" fillId="0" borderId="4" xfId="0" applyBorder="1" applyAlignment="1">
      <alignment vertical="center"/>
    </xf>
    <xf numFmtId="164" fontId="0" fillId="0" borderId="14" xfId="0" applyNumberFormat="1" applyBorder="1" applyAlignment="1">
      <alignment vertical="center" wrapText="1"/>
    </xf>
    <xf numFmtId="1" fontId="0" fillId="0" borderId="3" xfId="0" applyNumberFormat="1" applyBorder="1" applyAlignment="1">
      <alignment vertical="center" wrapText="1"/>
    </xf>
    <xf numFmtId="1" fontId="0" fillId="0" borderId="14" xfId="0" applyNumberFormat="1" applyBorder="1" applyAlignment="1">
      <alignment vertical="center" wrapText="1"/>
    </xf>
    <xf numFmtId="164" fontId="0" fillId="0" borderId="2" xfId="2" applyNumberFormat="1" applyFont="1" applyFill="1" applyBorder="1" applyAlignment="1">
      <alignment horizontal="right" vertical="center"/>
    </xf>
    <xf numFmtId="164" fontId="0" fillId="0" borderId="3" xfId="2" applyNumberFormat="1" applyFont="1" applyFill="1" applyBorder="1" applyAlignment="1">
      <alignment horizontal="right" vertical="center"/>
    </xf>
    <xf numFmtId="2" fontId="0" fillId="0" borderId="5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166" fontId="0" fillId="0" borderId="0" xfId="0" applyNumberFormat="1"/>
    <xf numFmtId="0" fontId="4" fillId="0" borderId="0" xfId="0" applyFont="1"/>
    <xf numFmtId="2" fontId="0" fillId="0" borderId="0" xfId="0" applyNumberFormat="1" applyAlignment="1">
      <alignment vertical="center"/>
    </xf>
    <xf numFmtId="0" fontId="0" fillId="0" borderId="11" xfId="0" applyBorder="1" applyAlignment="1">
      <alignment vertical="center" textRotation="90"/>
    </xf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/>
    </xf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9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0" fillId="0" borderId="13" xfId="0" applyBorder="1"/>
    <xf numFmtId="2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4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166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8" fillId="0" borderId="12" xfId="0" applyFont="1" applyBorder="1" applyAlignment="1">
      <alignment wrapText="1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wrapText="1"/>
    </xf>
    <xf numFmtId="1" fontId="0" fillId="0" borderId="2" xfId="2" applyNumberFormat="1" applyFont="1" applyFill="1" applyBorder="1" applyAlignment="1">
      <alignment horizontal="right" vertical="center"/>
    </xf>
    <xf numFmtId="1" fontId="0" fillId="0" borderId="3" xfId="2" applyNumberFormat="1" applyFont="1" applyFill="1" applyBorder="1" applyAlignment="1">
      <alignment horizontal="right" vertical="center"/>
    </xf>
    <xf numFmtId="2" fontId="0" fillId="0" borderId="5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 wrapText="1"/>
    </xf>
    <xf numFmtId="164" fontId="0" fillId="0" borderId="3" xfId="0" applyNumberFormat="1" applyBorder="1" applyAlignment="1">
      <alignment horizontal="right" vertical="center" wrapText="1"/>
    </xf>
    <xf numFmtId="2" fontId="0" fillId="0" borderId="2" xfId="0" applyNumberFormat="1" applyBorder="1" applyAlignment="1">
      <alignment horizontal="right" vertical="center" wrapText="1"/>
    </xf>
    <xf numFmtId="2" fontId="0" fillId="0" borderId="3" xfId="0" applyNumberForma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2" fontId="4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1" fontId="4" fillId="0" borderId="2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0" fontId="0" fillId="0" borderId="1" xfId="0" applyBorder="1" applyAlignment="1">
      <alignment wrapText="1"/>
    </xf>
    <xf numFmtId="167" fontId="0" fillId="0" borderId="0" xfId="0" applyNumberFormat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3">
    <cellStyle name="40% - Accent1" xfId="2" builtinId="31"/>
    <cellStyle name="Normal" xfId="0" builtinId="0"/>
    <cellStyle name="Normal 2" xfId="1" xr:uid="{00000000-0005-0000-0000-000002000000}"/>
  </cellStyles>
  <dxfs count="105"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Bank Height Ratio (BHR)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BHR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accent1"/>
                </a:solidFill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23"/>
            <c:dispRSqr val="0"/>
            <c:dispEq val="1"/>
            <c:trendlineLbl>
              <c:layout>
                <c:manualLayout>
                  <c:x val="-0.1849960281554924"/>
                  <c:y val="-0.38487333608291491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Reference_Curves!$L$10:$Q$10</c:f>
              <c:numCache>
                <c:formatCode>General</c:formatCode>
                <c:ptCount val="6"/>
                <c:pt idx="2" formatCode="0.0">
                  <c:v>1.5</c:v>
                </c:pt>
                <c:pt idx="5" formatCode="0.0">
                  <c:v>1</c:v>
                </c:pt>
              </c:numCache>
            </c:numRef>
          </c:xVal>
          <c:yVal>
            <c:numRef>
              <c:f>Reference_Curves!$L$11:$Q$11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E3-4BFE-895C-67448B7E7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254728"/>
        <c:axId val="419247280"/>
      </c:scatterChart>
      <c:valAx>
        <c:axId val="419254728"/>
        <c:scaling>
          <c:orientation val="minMax"/>
          <c:max val="1.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(ft/ft)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47280"/>
        <c:crosses val="autoZero"/>
        <c:crossBetween val="midCat"/>
      </c:valAx>
      <c:valAx>
        <c:axId val="4192472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</a:t>
                </a:r>
                <a:r>
                  <a:rPr lang="en-US" sz="1100" baseline="0"/>
                  <a:t> Value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2.5144911728220403E-2"/>
              <c:y val="0.39551781801951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547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ER</a:t>
            </a:r>
            <a:r>
              <a:rPr lang="en-US" sz="1600" baseline="0"/>
              <a:t> for C Stream Types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NF &amp;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438949289207051"/>
                  <c:y val="0.22285709233315426"/>
                </c:manualLayout>
              </c:layout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Reference_Curves!$L$44:$P$44</c:f>
              <c:numCache>
                <c:formatCode>0.0</c:formatCode>
                <c:ptCount val="5"/>
                <c:pt idx="0">
                  <c:v>1</c:v>
                </c:pt>
                <c:pt idx="4">
                  <c:v>2.2000000000000002</c:v>
                </c:pt>
              </c:numCache>
            </c:numRef>
          </c:xVal>
          <c:yVal>
            <c:numRef>
              <c:f>Reference_Curves!$L$45:$P$45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A-4BDA-8E2E-1D9F09529777}"/>
            </c:ext>
          </c:extLst>
        </c:ser>
        <c:ser>
          <c:idx val="1"/>
          <c:order val="1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7489510655696645E-2"/>
                  <c:y val="9.4293684444917064E-2"/>
                </c:manualLayout>
              </c:layout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Reference_Curves!$P$44:$Q$44</c:f>
              <c:numCache>
                <c:formatCode>0.0</c:formatCode>
                <c:ptCount val="2"/>
                <c:pt idx="0">
                  <c:v>2.2000000000000002</c:v>
                </c:pt>
                <c:pt idx="1">
                  <c:v>5</c:v>
                </c:pt>
              </c:numCache>
            </c:numRef>
          </c:xVal>
          <c:yVal>
            <c:numRef>
              <c:f>Reference_Curves!$P$45:$Q$45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7-4035-A17D-E0D766088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6976"/>
        <c:axId val="363177368"/>
      </c:scatterChart>
      <c:valAx>
        <c:axId val="36317697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(ft/ft)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7368"/>
        <c:crosses val="autoZero"/>
        <c:crossBetween val="midCat"/>
      </c:valAx>
      <c:valAx>
        <c:axId val="3631773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ER for B Stream</a:t>
            </a:r>
            <a:r>
              <a:rPr lang="en-US" sz="1600" baseline="0"/>
              <a:t> Types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NF &amp;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384481093439481"/>
                  <c:y val="0.195932447433658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Reference_Curves!$L$112:$P$112</c:f>
              <c:numCache>
                <c:formatCode>0.0</c:formatCode>
                <c:ptCount val="5"/>
                <c:pt idx="0">
                  <c:v>1</c:v>
                </c:pt>
                <c:pt idx="4">
                  <c:v>1.4</c:v>
                </c:pt>
              </c:numCache>
            </c:numRef>
          </c:xVal>
          <c:yVal>
            <c:numRef>
              <c:f>Reference_Curves!$L$113:$P$113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1-473E-8345-F7FDAF1C4433}"/>
            </c:ext>
          </c:extLst>
        </c:ser>
        <c:ser>
          <c:idx val="1"/>
          <c:order val="1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6423067619852742E-2"/>
                  <c:y val="0.10320991642685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Reference_Curves!$P$112:$Q$112</c:f>
              <c:numCache>
                <c:formatCode>0.0</c:formatCode>
                <c:ptCount val="2"/>
                <c:pt idx="0">
                  <c:v>1.4</c:v>
                </c:pt>
                <c:pt idx="1">
                  <c:v>2.2000000000000002</c:v>
                </c:pt>
              </c:numCache>
            </c:numRef>
          </c:xVal>
          <c:yVal>
            <c:numRef>
              <c:f>Reference_Curves!$P$113:$Q$113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0-4FA8-8C0D-00C8C3EA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6192"/>
        <c:axId val="363178936"/>
      </c:scatterChart>
      <c:valAx>
        <c:axId val="363176192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(ft/ft)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8936"/>
        <c:crosses val="autoZero"/>
        <c:crossBetween val="midCat"/>
      </c:valAx>
      <c:valAx>
        <c:axId val="3631789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LWD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Reference_Curves!$U$14</c:f>
              <c:strCache>
                <c:ptCount val="1"/>
                <c:pt idx="0">
                  <c:v>NF &amp; FAR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7.104224047317878E-2"/>
                  <c:y val="0.32613579711086266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Reference_Curves!$U$10:$Y$10</c:f>
              <c:numCache>
                <c:formatCode>General</c:formatCode>
                <c:ptCount val="5"/>
                <c:pt idx="0">
                  <c:v>0</c:v>
                </c:pt>
                <c:pt idx="4">
                  <c:v>1350</c:v>
                </c:pt>
              </c:numCache>
            </c:numRef>
          </c:xVal>
          <c:yVal>
            <c:numRef>
              <c:f>Reference_Curves!$U$11:$Y$11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C-4895-B98E-45CEF21B931D}"/>
            </c:ext>
          </c:extLst>
        </c:ser>
        <c:ser>
          <c:idx val="1"/>
          <c:order val="1"/>
          <c:tx>
            <c:strRef>
              <c:f>Reference_Curves!$V$14</c:f>
              <c:strCache>
                <c:ptCount val="1"/>
                <c:pt idx="0">
                  <c:v>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51564265577026E-3"/>
                  <c:y val="0.142765667214831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Reference_Curves!$Y$10:$Z$10</c:f>
              <c:numCache>
                <c:formatCode>General</c:formatCode>
                <c:ptCount val="2"/>
                <c:pt idx="0">
                  <c:v>1350</c:v>
                </c:pt>
                <c:pt idx="1">
                  <c:v>2825</c:v>
                </c:pt>
              </c:numCache>
            </c:numRef>
          </c:xVal>
          <c:yVal>
            <c:numRef>
              <c:f>Reference_Curves!$Y$11:$Z$11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77-4E45-B140-67A5ECEFF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9720"/>
        <c:axId val="363174232"/>
      </c:scatterChart>
      <c:valAx>
        <c:axId val="36317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Field Value (Unitless)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4232"/>
        <c:crosses val="autoZero"/>
        <c:crossBetween val="midCat"/>
      </c:valAx>
      <c:valAx>
        <c:axId val="3631742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9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Riffle for B, C and E Streams &lt; 3% slope and Percent Riffle &gt;=60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456070937341359"/>
                  <c:y val="-0.177667509625849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'Performance Stds'!#REF!</c:f>
            </c:numRef>
          </c:xVal>
          <c:yVal>
            <c:numRef>
              <c:f>'Performance Stds'!#REF!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E-4783-8506-AA46E4409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4624"/>
        <c:axId val="363175408"/>
      </c:scatterChart>
      <c:valAx>
        <c:axId val="363174624"/>
        <c:scaling>
          <c:orientation val="minMax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5408"/>
        <c:crosses val="autoZero"/>
        <c:crossBetween val="midCat"/>
      </c:valAx>
      <c:valAx>
        <c:axId val="3631754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Riffle for A</a:t>
            </a:r>
            <a:r>
              <a:rPr lang="en-US" baseline="0"/>
              <a:t> and B</a:t>
            </a:r>
            <a:r>
              <a:rPr lang="en-US"/>
              <a:t> Streams and Percent Riffle &gt;70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7622122197586678"/>
                  <c:y val="-7.6397433403473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'Performance Stds'!#REF!</c:f>
            </c:numRef>
          </c:xVal>
          <c:yVal>
            <c:numRef>
              <c:f>'Performance Stds'!#REF!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4-4278-B36B-2D355F1E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166504"/>
        <c:axId val="385171992"/>
      </c:scatterChart>
      <c:valAx>
        <c:axId val="385166504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71992"/>
        <c:crosses val="autoZero"/>
        <c:crossBetween val="midCat"/>
      </c:valAx>
      <c:valAx>
        <c:axId val="385171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Leaf Litter Processing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Rising Limb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1"/>
            <c:trendlineLbl>
              <c:layout>
                <c:manualLayout>
                  <c:x val="-7.5650150537781471E-2"/>
                  <c:y val="0.26770958950890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C-4C52-8BEE-D1EFCE617BFC}"/>
            </c:ext>
          </c:extLst>
        </c:ser>
        <c:ser>
          <c:idx val="1"/>
          <c:order val="1"/>
          <c:tx>
            <c:v>Falling Limb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1"/>
            <c:trendlineLbl>
              <c:layout>
                <c:manualLayout>
                  <c:x val="-7.6513541561592263E-2"/>
                  <c:y val="-0.506971198390284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0C-4C52-8BEE-D1EFCE617BFC}"/>
            </c:ext>
          </c:extLst>
        </c:ser>
        <c:ser>
          <c:idx val="2"/>
          <c:order val="2"/>
          <c:tx>
            <c:v>crest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'Reference Curves'!#REF!</c:f>
            </c:numRef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79BA-4502-AC4E-B1569BF17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784792"/>
        <c:axId val="385790280"/>
      </c:scatterChart>
      <c:valAx>
        <c:axId val="385784792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</a:t>
                </a:r>
                <a:r>
                  <a:rPr lang="en-US" sz="1100" b="0" i="0" u="none" strike="noStrike" baseline="0">
                    <a:effectLst/>
                  </a:rPr>
                  <a:t>Ratio</a:t>
                </a:r>
                <a:r>
                  <a:rPr lang="en-US" sz="1100"/>
                  <a:t>)</a:t>
                </a:r>
              </a:p>
            </c:rich>
          </c:tx>
          <c:layout>
            <c:manualLayout>
              <c:xMode val="edge"/>
              <c:yMode val="edge"/>
              <c:x val="0.40311496595148039"/>
              <c:y val="0.92784474417183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90280"/>
        <c:crosses val="autoZero"/>
        <c:crossBetween val="midCat"/>
      </c:valAx>
      <c:valAx>
        <c:axId val="3857902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84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Summer Mean Temperature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1457545079593"/>
          <c:y val="0.12644675708439862"/>
          <c:w val="0.71323789071820565"/>
          <c:h val="0.72794073194443321"/>
        </c:manualLayout>
      </c:layout>
      <c:scatterChart>
        <c:scatterStyle val="lineMarker"/>
        <c:varyColors val="0"/>
        <c:ser>
          <c:idx val="1"/>
          <c:order val="0"/>
          <c:tx>
            <c:v>Cold (F)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4-4C29-B33C-A907EDB93EDF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702048607560416E-2"/>
                  <c:y val="-8.2696951703358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Reference_Curves!$AH$10:$AI$10</c:f>
              <c:numCache>
                <c:formatCode>0.0</c:formatCode>
                <c:ptCount val="2"/>
                <c:pt idx="0">
                  <c:v>17</c:v>
                </c:pt>
                <c:pt idx="1">
                  <c:v>12.5</c:v>
                </c:pt>
              </c:numCache>
            </c:numRef>
          </c:xVal>
          <c:yVal>
            <c:numRef>
              <c:f>Reference_Curves!$AH$14:$AI$14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BB-4BF0-A7BC-3C0C495EAB96}"/>
            </c:ext>
          </c:extLst>
        </c:ser>
        <c:ser>
          <c:idx val="4"/>
          <c:order val="1"/>
          <c:tx>
            <c:v>Cold (FAR &amp; NF)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4.6240687305391173E-2"/>
                  <c:y val="-0.281227417598432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Reference_Curves!$AD$10:$AH$10</c:f>
              <c:numCache>
                <c:formatCode>0.0</c:formatCode>
                <c:ptCount val="5"/>
                <c:pt idx="2">
                  <c:v>18.7</c:v>
                </c:pt>
                <c:pt idx="4">
                  <c:v>17</c:v>
                </c:pt>
              </c:numCache>
            </c:numRef>
          </c:xVal>
          <c:yVal>
            <c:numRef>
              <c:f>Reference_Curves!$AD$14:$AH$14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BB-4BF0-A7BC-3C0C495EAB96}"/>
            </c:ext>
          </c:extLst>
        </c:ser>
        <c:ser>
          <c:idx val="0"/>
          <c:order val="2"/>
          <c:tx>
            <c:v>Cold Transition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1"/>
            <c:trendlineLbl>
              <c:layout>
                <c:manualLayout>
                  <c:x val="0.20080666053106999"/>
                  <c:y val="-0.585074474814858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Reference_Curves!$AD$11:$AI$11</c:f>
              <c:numCache>
                <c:formatCode>General</c:formatCode>
                <c:ptCount val="6"/>
                <c:pt idx="4">
                  <c:v>18.7</c:v>
                </c:pt>
                <c:pt idx="5">
                  <c:v>17</c:v>
                </c:pt>
              </c:numCache>
            </c:numRef>
          </c:xVal>
          <c:yVal>
            <c:numRef>
              <c:f>Reference_Curves!$AD$14:$AI$14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BB-4BF0-A7BC-3C0C495EAB96}"/>
            </c:ext>
          </c:extLst>
        </c:ser>
        <c:ser>
          <c:idx val="2"/>
          <c:order val="3"/>
          <c:tx>
            <c:v>Warm Transition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1"/>
            <c:trendlineLbl>
              <c:layout>
                <c:manualLayout>
                  <c:x val="0.24246650986808468"/>
                  <c:y val="-0.5131966763335531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accent3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3">
                            <a:lumMod val="50000"/>
                          </a:schemeClr>
                        </a:solidFill>
                      </a:rPr>
                      <a:t>y = -0.1667x + 4.1167</a:t>
                    </a:r>
                    <a:endParaRPr lang="en-US" sz="1100">
                      <a:solidFill>
                        <a:schemeClr val="accent3">
                          <a:lumMod val="50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Reference_Curves!$AD$12:$AI$12</c:f>
              <c:numCache>
                <c:formatCode>General</c:formatCode>
                <c:ptCount val="6"/>
                <c:pt idx="4">
                  <c:v>20.5</c:v>
                </c:pt>
                <c:pt idx="5">
                  <c:v>18.7</c:v>
                </c:pt>
              </c:numCache>
            </c:numRef>
          </c:xVal>
          <c:yVal>
            <c:numRef>
              <c:f>Reference_Curves!$AD$14:$AI$14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BB-4BF0-A7BC-3C0C495EAB96}"/>
            </c:ext>
          </c:extLst>
        </c:ser>
        <c:ser>
          <c:idx val="3"/>
          <c:order val="4"/>
          <c:tx>
            <c:v>Warm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6"/>
            <c:dispRSqr val="0"/>
            <c:dispEq val="1"/>
            <c:trendlineLbl>
              <c:layout>
                <c:manualLayout>
                  <c:x val="0.1512702389474043"/>
                  <c:y val="-0.441318877852248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Reference_Curves!$AD$13:$AI$13</c:f>
              <c:numCache>
                <c:formatCode>General</c:formatCode>
                <c:ptCount val="6"/>
                <c:pt idx="4">
                  <c:v>23</c:v>
                </c:pt>
                <c:pt idx="5">
                  <c:v>20.5</c:v>
                </c:pt>
              </c:numCache>
            </c:numRef>
          </c:xVal>
          <c:yVal>
            <c:numRef>
              <c:f>Reference_Curves!$AD$14:$AI$14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BB-4BF0-A7BC-3C0C495EA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0768"/>
        <c:axId val="386332336"/>
      </c:scatterChart>
      <c:valAx>
        <c:axId val="386330768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(⁰C)</a:t>
                </a:r>
              </a:p>
            </c:rich>
          </c:tx>
          <c:layout>
            <c:manualLayout>
              <c:xMode val="edge"/>
              <c:yMode val="edge"/>
              <c:x val="0.36772839356787868"/>
              <c:y val="0.92181068121860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2336"/>
        <c:crosses val="autoZero"/>
        <c:crossBetween val="midCat"/>
      </c:valAx>
      <c:valAx>
        <c:axId val="3863323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3274499778436784"/>
          <c:y val="0.13899221358150812"/>
          <c:w val="0.15998304559756119"/>
          <c:h val="0.39509182091294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Riparian</a:t>
            </a:r>
            <a:r>
              <a:rPr lang="en-US" baseline="0"/>
              <a:t> Vegetation Density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2154362696391308"/>
                  <c:y val="8.692740728762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'Performance Stds'!#REF!</c:f>
            </c:numRef>
          </c:xVal>
          <c:yVal>
            <c:numRef>
              <c:f>'Performance Stds'!#REF!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7-4708-8D6A-0B0F5C65B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3120"/>
        <c:axId val="386332728"/>
      </c:scatterChart>
      <c:valAx>
        <c:axId val="386333120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2728"/>
        <c:crosses val="autoZero"/>
        <c:crossBetween val="midCat"/>
      </c:valAx>
      <c:valAx>
        <c:axId val="386332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Hilsenhoff</a:t>
            </a:r>
            <a:r>
              <a:rPr lang="en-US" sz="1600" baseline="0"/>
              <a:t> Biotic Index (HBI)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8591560386377934E-2"/>
                  <c:y val="-9.603131687030520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3">
                            <a:lumMod val="50000"/>
                          </a:schemeClr>
                        </a:solidFill>
                      </a:rPr>
                      <a:t>y = -0.3x + 2.05</a:t>
                    </a:r>
                    <a:endParaRPr lang="en-US" sz="1100">
                      <a:solidFill>
                        <a:schemeClr val="accent3">
                          <a:lumMod val="50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Reference_Curves!$AH$112:$AI$112</c:f>
              <c:numCache>
                <c:formatCode>0.00</c:formatCode>
                <c:ptCount val="2"/>
                <c:pt idx="0">
                  <c:v>4.5</c:v>
                </c:pt>
                <c:pt idx="1">
                  <c:v>3.5</c:v>
                </c:pt>
              </c:numCache>
            </c:numRef>
          </c:xVal>
          <c:yVal>
            <c:numRef>
              <c:f>Reference_Curves!$AH$113:$AI$113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E-43E0-A7CF-22D8DE561819}"/>
            </c:ext>
          </c:extLst>
        </c:ser>
        <c:ser>
          <c:idx val="1"/>
          <c:order val="1"/>
          <c:tx>
            <c:v>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1397657836008205E-2"/>
                  <c:y val="-0.1488982090825020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2"/>
                        </a:solidFill>
                      </a:rPr>
                      <a:t>y = -0.2x + 1.6</a:t>
                    </a:r>
                    <a:endParaRPr lang="en-US" sz="110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Reference_Curves!$AF$112:$AH$112</c:f>
              <c:numCache>
                <c:formatCode>0.00</c:formatCode>
                <c:ptCount val="3"/>
                <c:pt idx="0">
                  <c:v>6.5</c:v>
                </c:pt>
                <c:pt idx="2">
                  <c:v>4.5</c:v>
                </c:pt>
              </c:numCache>
            </c:numRef>
          </c:xVal>
          <c:yVal>
            <c:numRef>
              <c:f>Reference_Curves!$AF$113:$AH$113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88-418D-B3B5-A940C65D8740}"/>
            </c:ext>
          </c:extLst>
        </c:ser>
        <c:ser>
          <c:idx val="2"/>
          <c:order val="2"/>
          <c:tx>
            <c:v>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538899987971328"/>
                  <c:y val="-6.6192274146293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Reference_Curves!$AD$112:$AF$112</c:f>
              <c:numCache>
                <c:formatCode>0.00</c:formatCode>
                <c:ptCount val="3"/>
                <c:pt idx="0">
                  <c:v>10</c:v>
                </c:pt>
                <c:pt idx="2">
                  <c:v>6.5</c:v>
                </c:pt>
              </c:numCache>
            </c:numRef>
          </c:xVal>
          <c:yVal>
            <c:numRef>
              <c:f>Reference_Curves!$AD$113:$AF$113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49-4174-87CC-18EDB4379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1552"/>
        <c:axId val="386337824"/>
      </c:scatterChart>
      <c:valAx>
        <c:axId val="3863315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(Unitless</a:t>
                </a:r>
                <a:r>
                  <a:rPr lang="en-US" sz="1100" baseline="0"/>
                  <a:t>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7824"/>
        <c:crosses val="autoZero"/>
        <c:crossBetween val="midCat"/>
      </c:valAx>
      <c:valAx>
        <c:axId val="3863378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Diatom Phosphorus Index (DPI)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50"/>
            <c:backward val="150"/>
            <c:dispRSqr val="0"/>
            <c:dispEq val="1"/>
            <c:trendlineLbl>
              <c:layout>
                <c:manualLayout>
                  <c:x val="-2.9842323479946649E-2"/>
                  <c:y val="-0.350570474272093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Reference_Curves!$AD$79:$AI$79</c:f>
              <c:numCache>
                <c:formatCode>General</c:formatCode>
                <c:ptCount val="6"/>
                <c:pt idx="2">
                  <c:v>150</c:v>
                </c:pt>
                <c:pt idx="4">
                  <c:v>75</c:v>
                </c:pt>
              </c:numCache>
            </c:numRef>
          </c:xVal>
          <c:yVal>
            <c:numRef>
              <c:f>Reference_Curves!$AD$80:$AI$80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21-442A-8C3D-0EEC97AD8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1944"/>
        <c:axId val="387079080"/>
      </c:scatterChart>
      <c:valAx>
        <c:axId val="386331944"/>
        <c:scaling>
          <c:orientation val="minMax"/>
          <c:max val="4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(µg/L)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9080"/>
        <c:crosses val="autoZero"/>
        <c:crossBetween val="midCat"/>
      </c:valAx>
      <c:valAx>
        <c:axId val="3870790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Mountains &amp; DA ≤</a:t>
            </a:r>
            <a:r>
              <a:rPr lang="en-US" baseline="0"/>
              <a:t> </a:t>
            </a:r>
            <a:r>
              <a:rPr lang="en-US"/>
              <a:t>5 Sq. Mi.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6765952302443584E-4"/>
                  <c:y val="0.2928110798178360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349-462F-AF75-ED5FB8B6F41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562851092144495"/>
                  <c:y val="2.2232766989799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07A-4045-959E-32150721935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642198163025781"/>
                  <c:y val="0.193102426077369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07A-4045-959E-321507219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080648"/>
        <c:axId val="387080256"/>
      </c:scatterChart>
      <c:valAx>
        <c:axId val="387080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layout>
            <c:manualLayout>
              <c:xMode val="edge"/>
              <c:yMode val="edge"/>
              <c:x val="0.39253730904856216"/>
              <c:y val="0.928672221892005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80256"/>
        <c:crosses val="autoZero"/>
        <c:crossBetween val="midCat"/>
      </c:valAx>
      <c:valAx>
        <c:axId val="3870802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80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Mountains &amp; 5 &lt; DA &lt; 10</a:t>
            </a:r>
            <a:r>
              <a:rPr lang="en-US" baseline="0"/>
              <a:t> </a:t>
            </a:r>
            <a:r>
              <a:rPr lang="en-US"/>
              <a:t>Sq. Mi.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08366644219025"/>
                  <c:y val="0.417063910740670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468-47AD-93B0-A3B33F0454A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447566935525069"/>
                  <c:y val="3.4519587848722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B84-4A5E-B26A-4447C020B45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201525916166997"/>
                  <c:y val="0.133874206499632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B84-4A5E-B26A-4447C020B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081432"/>
        <c:axId val="387077120"/>
      </c:scatterChart>
      <c:valAx>
        <c:axId val="38708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7120"/>
        <c:crosses val="autoZero"/>
        <c:crossBetween val="midCat"/>
      </c:valAx>
      <c:valAx>
        <c:axId val="3870771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81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Benthic Algal Biomass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Reference_Curves!$AC$45</c:f>
              <c:strCache>
                <c:ptCount val="1"/>
                <c:pt idx="0">
                  <c:v>Benthic Algal Biomass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100"/>
            <c:dispRSqr val="0"/>
            <c:dispEq val="1"/>
            <c:trendlineLbl>
              <c:layout>
                <c:manualLayout>
                  <c:x val="-0.34634895661850545"/>
                  <c:y val="-0.41809221243031808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Reference_Curves!$AD$46:$AI$46</c:f>
              <c:numCache>
                <c:formatCode>General</c:formatCode>
                <c:ptCount val="6"/>
                <c:pt idx="2">
                  <c:v>2</c:v>
                </c:pt>
                <c:pt idx="4" formatCode="0">
                  <c:v>1</c:v>
                </c:pt>
              </c:numCache>
            </c:numRef>
          </c:xVal>
          <c:yVal>
            <c:numRef>
              <c:f>Reference_Curves!$AD$47:$AI$47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A-49E1-B4FD-F489DFFCE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077512"/>
        <c:axId val="387081824"/>
      </c:scatterChart>
      <c:valAx>
        <c:axId val="387077512"/>
        <c:scaling>
          <c:orientation val="minMax"/>
          <c:max val="3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</a:t>
                </a:r>
                <a:r>
                  <a:rPr lang="en-US" sz="1100" baseline="0"/>
                  <a:t> (</a:t>
                </a:r>
                <a:r>
                  <a:rPr lang="en-US" sz="1100"/>
                  <a:t>Unitless)</a:t>
                </a:r>
              </a:p>
            </c:rich>
          </c:tx>
          <c:layout>
            <c:manualLayout>
              <c:xMode val="edge"/>
              <c:yMode val="edge"/>
              <c:x val="0.3704769661882551"/>
              <c:y val="0.93795166919586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81824"/>
        <c:crosses val="autoZero"/>
        <c:crossBetween val="midCat"/>
      </c:valAx>
      <c:valAx>
        <c:axId val="3870818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7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Mountains &amp; DA ≥ 10</a:t>
            </a:r>
            <a:r>
              <a:rPr lang="en-US" baseline="0"/>
              <a:t> </a:t>
            </a:r>
            <a:r>
              <a:rPr lang="en-US"/>
              <a:t>Sq. Mi.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572812731352154E-2"/>
                  <c:y val="0.215894048687098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8A0-4F6D-9C6B-FDE1FA9E0BE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755688271040481"/>
                  <c:y val="0.24541345841902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8A0-4F6D-9C6B-FDE1FA9E0BE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466146032898242"/>
                  <c:y val="0.10051527917466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78A0-4F6D-9C6B-FDE1FA9E0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23824"/>
        <c:axId val="387524608"/>
      </c:scatterChart>
      <c:valAx>
        <c:axId val="38752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</a:t>
                </a:r>
                <a:r>
                  <a:rPr lang="en-US" sz="1100" baseline="0"/>
                  <a:t> (%)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0.33399119899302526"/>
              <c:y val="0.92718533213216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4608"/>
        <c:crosses val="autoZero"/>
        <c:crossBetween val="midCat"/>
      </c:valAx>
      <c:valAx>
        <c:axId val="3875246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Piedmont &amp; DA ≤ 5 </a:t>
            </a:r>
            <a:r>
              <a:rPr lang="en-US" sz="1400" b="0" i="0" u="none" strike="noStrike" baseline="0">
                <a:effectLst/>
              </a:rPr>
              <a:t>Sq. Mi.</a:t>
            </a:r>
            <a:endParaRPr lang="en-US"/>
          </a:p>
        </c:rich>
      </c:tx>
      <c:layout>
        <c:manualLayout>
          <c:xMode val="edge"/>
          <c:yMode val="edge"/>
          <c:x val="0.23511562831878594"/>
          <c:y val="1.7986188872922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962377625615112E-2"/>
                  <c:y val="0.310759226906222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A27-4023-B7F5-66C35F44F4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9085374818811958E-2"/>
                  <c:y val="7.46726608040817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A27-4023-B7F5-66C35F44F4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572006239258992E-2"/>
                  <c:y val="5.0691075640185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EA27-4023-B7F5-66C35F44F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24216"/>
        <c:axId val="387525000"/>
      </c:scatterChart>
      <c:valAx>
        <c:axId val="387524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layout>
            <c:manualLayout>
              <c:xMode val="edge"/>
              <c:yMode val="edge"/>
              <c:x val="0.33482121428702211"/>
              <c:y val="0.930922886539756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5000"/>
        <c:crosses val="autoZero"/>
        <c:crossBetween val="midCat"/>
      </c:valAx>
      <c:valAx>
        <c:axId val="3875250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4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Piedmont &amp; 5 &lt; DA &lt; 10</a:t>
            </a:r>
            <a:r>
              <a:rPr lang="en-US" baseline="0"/>
              <a:t> </a:t>
            </a:r>
            <a:r>
              <a:rPr lang="en-US" sz="1400" b="0" i="0" u="none" strike="noStrike" baseline="0">
                <a:effectLst/>
              </a:rPr>
              <a:t>Sq. Mi.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3299077249344965E-2"/>
                  <c:y val="0.205935895916813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F2AB-4468-821D-6CCCA4BEBF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1710141233825241E-2"/>
                  <c:y val="5.5113754486865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F2AB-4468-821D-6CCCA4BEBFC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377893371407552E-2"/>
                  <c:y val="6.15455423566129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2AB-4468-821D-6CCCA4BEB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92128"/>
        <c:axId val="387588600"/>
      </c:scatterChart>
      <c:valAx>
        <c:axId val="38759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88600"/>
        <c:crosses val="autoZero"/>
        <c:crossBetween val="midCat"/>
      </c:valAx>
      <c:valAx>
        <c:axId val="3875886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Piedmont &amp; DA ≥10</a:t>
            </a:r>
            <a:r>
              <a:rPr lang="en-US" baseline="0"/>
              <a:t> </a:t>
            </a:r>
            <a:r>
              <a:rPr lang="en-US"/>
              <a:t>Sq. Mi.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3674822821824627E-2"/>
                  <c:y val="0.2776736786373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943D-4844-BBFE-6B923BF7EC4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8757518901838167E-2"/>
                  <c:y val="3.43420915121494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943D-4844-BBFE-6B923BF7EC4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399617153402975E-2"/>
                  <c:y val="0.190284989397793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943D-4844-BBFE-6B923BF7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93696"/>
        <c:axId val="387591736"/>
      </c:scatterChart>
      <c:valAx>
        <c:axId val="38759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1736"/>
        <c:crosses val="autoZero"/>
        <c:crossBetween val="midCat"/>
      </c:valAx>
      <c:valAx>
        <c:axId val="387591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Coastal &amp; DA ≤5 Sq. Mi.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4373442476634239E-2"/>
                  <c:y val="0.26153885500986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BB78-4E06-BDC0-827238EE1C9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1206630754652713E-2"/>
                  <c:y val="3.48861157101306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BB78-4E06-BDC0-827238EE1C9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7565640047975957E-2"/>
                  <c:y val="3.203467739275368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BB78-4E06-BDC0-827238EE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90560"/>
        <c:axId val="387594088"/>
      </c:scatterChart>
      <c:valAx>
        <c:axId val="38759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4088"/>
        <c:crosses val="autoZero"/>
        <c:crossBetween val="midCat"/>
      </c:valAx>
      <c:valAx>
        <c:axId val="3875940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Coastal &amp; 5 &lt; DA &lt; 10</a:t>
            </a:r>
            <a:r>
              <a:rPr lang="en-US" baseline="0"/>
              <a:t> </a:t>
            </a:r>
            <a:r>
              <a:rPr lang="en-US"/>
              <a:t>Sq. Mi.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5034286386277144E-2"/>
                  <c:y val="9.96808560301375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7D5-40CC-907B-3BAF421497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6816022252139746E-2"/>
                  <c:y val="7.572619635370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C7D5-40CC-907B-3BAF421497D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8789971720687407E-2"/>
                  <c:y val="9.251239606530063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C7D5-40CC-907B-3BAF42149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89776"/>
        <c:axId val="387593304"/>
      </c:scatterChart>
      <c:valAx>
        <c:axId val="38758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3304"/>
        <c:crosses val="autoZero"/>
        <c:crossBetween val="midCat"/>
      </c:valAx>
      <c:valAx>
        <c:axId val="3875933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8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Shredders - Coastal &amp; DA ≥ 10</a:t>
            </a:r>
            <a:r>
              <a:rPr lang="en-US" baseline="0"/>
              <a:t> </a:t>
            </a:r>
            <a:r>
              <a:rPr lang="en-US"/>
              <a:t>Sq. Mi.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9077129959617954E-2"/>
                  <c:y val="0.342445797110926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103E-41F5-B9BD-E4456F6C681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2215654693128E-2"/>
                  <c:y val="5.24329961700975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103E-41F5-B9BD-E4456F6C681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4260070958061601E-2"/>
                  <c:y val="1.2885796041802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'Reference Curves'!#REF!</c:f>
            </c:numRef>
          </c:xVal>
          <c:yVal>
            <c:numRef>
              <c:f>'Reference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'Reference Curves'!#REF!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103E-41F5-B9BD-E4456F6C6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95656"/>
        <c:axId val="387588992"/>
      </c:scatterChart>
      <c:valAx>
        <c:axId val="38759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88992"/>
        <c:crosses val="autoZero"/>
        <c:crossBetween val="midCat"/>
      </c:valAx>
      <c:valAx>
        <c:axId val="3875889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5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Land</a:t>
            </a:r>
            <a:r>
              <a:rPr lang="en-US" sz="1600" baseline="0"/>
              <a:t> Use Coefficient</a:t>
            </a:r>
            <a:endParaRPr lang="en-US" sz="1600"/>
          </a:p>
        </c:rich>
      </c:tx>
      <c:layout>
        <c:manualLayout>
          <c:xMode val="edge"/>
          <c:yMode val="edge"/>
          <c:x val="0.36536342777522796"/>
          <c:y val="2.68542280607652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</c:marker>
          <c:trendline>
            <c:spPr>
              <a:ln w="19050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1"/>
            <c:trendlineLbl>
              <c:layout>
                <c:manualLayout>
                  <c:x val="-0.20486643702883225"/>
                  <c:y val="-6.8879567832534877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100">
                      <a:solidFill>
                        <a:schemeClr val="accent1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Reference_Curves!$C$10:$E$10</c:f>
              <c:numCache>
                <c:formatCode>General</c:formatCode>
                <c:ptCount val="3"/>
                <c:pt idx="0" formatCode="0">
                  <c:v>98</c:v>
                </c:pt>
                <c:pt idx="2">
                  <c:v>75</c:v>
                </c:pt>
              </c:numCache>
            </c:numRef>
          </c:xVal>
          <c:yVal>
            <c:numRef>
              <c:f>Reference_Curves!$C$11:$E$11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E9-4B56-A4B2-706A2BE6B4F9}"/>
            </c:ext>
          </c:extLst>
        </c:ser>
        <c:ser>
          <c:idx val="1"/>
          <c:order val="1"/>
          <c:tx>
            <c:v>FAR</c:v>
          </c:tx>
          <c:spPr>
            <a:ln w="19050">
              <a:noFill/>
            </a:ln>
          </c:spPr>
          <c:marker>
            <c:symbol val="circle"/>
            <c:size val="5"/>
          </c:marker>
          <c:trendline>
            <c:spPr>
              <a:ln w="19050">
                <a:solidFill>
                  <a:schemeClr val="accent2"/>
                </a:solidFill>
                <a:prstDash val="sysDot"/>
              </a:ln>
            </c:spPr>
            <c:trendlineType val="linear"/>
            <c:dispRSqr val="0"/>
            <c:dispEq val="1"/>
            <c:trendlineLbl>
              <c:layout>
                <c:manualLayout>
                  <c:x val="-4.9643631673665513E-2"/>
                  <c:y val="-0.10912425848380981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accent2"/>
                        </a:solidFill>
                      </a:defRPr>
                    </a:pPr>
                    <a:r>
                      <a:rPr lang="en-US" sz="1100" baseline="0">
                        <a:solidFill>
                          <a:schemeClr val="accent2"/>
                        </a:solidFill>
                      </a:rPr>
                      <a:t>y = -0.0571x + 4.5857</a:t>
                    </a:r>
                    <a:endParaRPr lang="en-US" sz="110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Reference_Curves!$E$10:$G$10</c:f>
              <c:numCache>
                <c:formatCode>General</c:formatCode>
                <c:ptCount val="3"/>
                <c:pt idx="0">
                  <c:v>75</c:v>
                </c:pt>
                <c:pt idx="2">
                  <c:v>68</c:v>
                </c:pt>
              </c:numCache>
            </c:numRef>
          </c:xVal>
          <c:yVal>
            <c:numRef>
              <c:f>Reference_Curves!$E$11:$G$11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E9-4B56-A4B2-706A2BE6B4F9}"/>
            </c:ext>
          </c:extLst>
        </c:ser>
        <c:ser>
          <c:idx val="2"/>
          <c:order val="2"/>
          <c:tx>
            <c:v>F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</c:spPr>
          </c:marker>
          <c:trendline>
            <c:spPr>
              <a:ln w="19050">
                <a:solidFill>
                  <a:schemeClr val="accent3">
                    <a:lumMod val="75000"/>
                  </a:schemeClr>
                </a:solidFill>
                <a:prstDash val="sysDot"/>
              </a:ln>
            </c:spPr>
            <c:trendlineType val="linear"/>
            <c:dispRSqr val="0"/>
            <c:dispEq val="1"/>
            <c:trendlineLbl>
              <c:layout>
                <c:manualLayout>
                  <c:x val="-0.10524894151581415"/>
                  <c:y val="-0.10623043934973767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accent3">
                            <a:lumMod val="75000"/>
                          </a:schemeClr>
                        </a:solidFill>
                      </a:defRPr>
                    </a:pPr>
                    <a:r>
                      <a:rPr lang="en-US" sz="1100" baseline="0">
                        <a:solidFill>
                          <a:schemeClr val="accent3">
                            <a:lumMod val="75000"/>
                          </a:schemeClr>
                        </a:solidFill>
                      </a:rPr>
                      <a:t>y = -0.0231x + 2.2692</a:t>
                    </a:r>
                    <a:endParaRPr lang="en-US" sz="1100">
                      <a:solidFill>
                        <a:schemeClr val="accent3">
                          <a:lumMod val="75000"/>
                        </a:schemeClr>
                      </a:solidFill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Reference_Curves!$G$10:$H$10</c:f>
              <c:numCache>
                <c:formatCode>0</c:formatCode>
                <c:ptCount val="2"/>
                <c:pt idx="0" formatCode="General">
                  <c:v>68</c:v>
                </c:pt>
                <c:pt idx="1">
                  <c:v>55</c:v>
                </c:pt>
              </c:numCache>
            </c:numRef>
          </c:xVal>
          <c:yVal>
            <c:numRef>
              <c:f>Reference_Curves!$G$11:$H$11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E9-4B56-A4B2-706A2BE6B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217136"/>
        <c:axId val="443220664"/>
      </c:scatterChart>
      <c:valAx>
        <c:axId val="443217136"/>
        <c:scaling>
          <c:orientation val="minMax"/>
          <c:max val="10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(Unitless</a:t>
                </a:r>
                <a:r>
                  <a:rPr lang="en-US" sz="1100" baseline="0"/>
                  <a:t>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20664"/>
        <c:crosses val="autoZero"/>
        <c:crossBetween val="midCat"/>
        <c:majorUnit val="10"/>
      </c:valAx>
      <c:valAx>
        <c:axId val="443220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Index Value</a:t>
                </a:r>
                <a:endParaRPr lang="en-US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1.7603141675663153E-2"/>
              <c:y val="0.397233004245693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17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Concentrated Flow Point Index</a:t>
            </a:r>
          </a:p>
        </c:rich>
      </c:tx>
      <c:layout>
        <c:manualLayout>
          <c:xMode val="edge"/>
          <c:yMode val="edge"/>
          <c:x val="0.28461487594378554"/>
          <c:y val="2.09183603389939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NF</c:v>
          </c:tx>
          <c:spPr>
            <a:ln w="25400">
              <a:noFill/>
            </a:ln>
          </c:spPr>
          <c:marker>
            <c:symbol val="circle"/>
            <c:size val="5"/>
          </c:marker>
          <c:trendline>
            <c:spPr>
              <a:ln w="19050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1"/>
            <c:trendlineLbl>
              <c:layout>
                <c:manualLayout>
                  <c:x val="-0.16651347812594691"/>
                  <c:y val="-5.618667304803983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r>
                      <a:rPr lang="en-US" sz="1100" baseline="0">
                        <a:solidFill>
                          <a:schemeClr val="accent1"/>
                        </a:solidFill>
                      </a:rPr>
                      <a:t>y = -0.75x + 0.75</a:t>
                    </a:r>
                    <a:endParaRPr lang="en-US" sz="11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Reference_Curves!$C$44:$E$44</c:f>
              <c:numCache>
                <c:formatCode>General</c:formatCode>
                <c:ptCount val="3"/>
                <c:pt idx="0" formatCode="0.0">
                  <c:v>1</c:v>
                </c:pt>
                <c:pt idx="2">
                  <c:v>0.6</c:v>
                </c:pt>
              </c:numCache>
            </c:numRef>
          </c:xVal>
          <c:yVal>
            <c:numRef>
              <c:f>Reference_Curves!$C$45:$E$45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E2-4448-B1CE-37CAD72BE831}"/>
            </c:ext>
          </c:extLst>
        </c:ser>
        <c:ser>
          <c:idx val="1"/>
          <c:order val="1"/>
          <c:tx>
            <c:v>FAR &amp; F</c:v>
          </c:tx>
          <c:spPr>
            <a:ln w="19050">
              <a:noFill/>
            </a:ln>
          </c:spPr>
          <c:marker>
            <c:symbol val="circle"/>
            <c:size val="5"/>
          </c:marker>
          <c:trendline>
            <c:spPr>
              <a:ln w="19050">
                <a:solidFill>
                  <a:schemeClr val="accent2"/>
                </a:solidFill>
                <a:prstDash val="sysDot"/>
              </a:ln>
            </c:spPr>
            <c:trendlineType val="linear"/>
            <c:dispRSqr val="0"/>
            <c:dispEq val="1"/>
            <c:trendlineLbl>
              <c:layout>
                <c:manualLayout>
                  <c:x val="-0.21326177070173"/>
                  <c:y val="-0.2068430815161596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100">
                      <a:solidFill>
                        <a:schemeClr val="accent2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Reference_Curves!$E$44:$H$44</c:f>
              <c:numCache>
                <c:formatCode>General</c:formatCode>
                <c:ptCount val="4"/>
                <c:pt idx="0">
                  <c:v>0.6</c:v>
                </c:pt>
                <c:pt idx="3" formatCode="0.0">
                  <c:v>0</c:v>
                </c:pt>
              </c:numCache>
            </c:numRef>
          </c:xVal>
          <c:yVal>
            <c:numRef>
              <c:f>Reference_Curves!$E$45:$H$45</c:f>
              <c:numCache>
                <c:formatCode>0.00</c:formatCode>
                <c:ptCount val="4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E2-4448-B1CE-37CAD72BE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217136"/>
        <c:axId val="443220664"/>
      </c:scatterChart>
      <c:valAx>
        <c:axId val="4432171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(Unitless)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20664"/>
        <c:crosses val="autoZero"/>
        <c:crossBetween val="midCat"/>
      </c:valAx>
      <c:valAx>
        <c:axId val="443220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Index Value</a:t>
                </a:r>
                <a:endParaRPr lang="en-US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17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LWD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Reference_Curves!$U$48</c:f>
              <c:strCache>
                <c:ptCount val="1"/>
                <c:pt idx="0">
                  <c:v>NF &amp; FAR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1.7749791697579127E-2"/>
                  <c:y val="0.2415647247769647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Reference_Curves!$U$44:$Y$44</c:f>
              <c:numCache>
                <c:formatCode>General</c:formatCode>
                <c:ptCount val="5"/>
                <c:pt idx="0">
                  <c:v>0</c:v>
                </c:pt>
                <c:pt idx="4">
                  <c:v>90</c:v>
                </c:pt>
              </c:numCache>
            </c:numRef>
          </c:xVal>
          <c:yVal>
            <c:numRef>
              <c:f>Reference_Curves!$U$45:$Y$45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C-40ED-B2D8-6F5885A10BE3}"/>
            </c:ext>
          </c:extLst>
        </c:ser>
        <c:ser>
          <c:idx val="1"/>
          <c:order val="1"/>
          <c:tx>
            <c:strRef>
              <c:f>Reference_Curves!$V$48</c:f>
              <c:strCache>
                <c:ptCount val="1"/>
                <c:pt idx="0">
                  <c:v>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8240301096869187E-2"/>
                  <c:y val="0.1511915510678012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Reference_Curves!$X$44:$Z$44</c:f>
              <c:numCache>
                <c:formatCode>General</c:formatCode>
                <c:ptCount val="3"/>
                <c:pt idx="1">
                  <c:v>90</c:v>
                </c:pt>
                <c:pt idx="2">
                  <c:v>171</c:v>
                </c:pt>
              </c:numCache>
            </c:numRef>
          </c:xVal>
          <c:yVal>
            <c:numRef>
              <c:f>Reference_Curves!$X$45:$Z$45</c:f>
              <c:numCache>
                <c:formatCode>0.00</c:formatCode>
                <c:ptCount val="3"/>
                <c:pt idx="0">
                  <c:v>0.69</c:v>
                </c:pt>
                <c:pt idx="1">
                  <c:v>0.7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2C-40ED-B2D8-6F5885A10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04160"/>
        <c:axId val="388312392"/>
      </c:scatterChart>
      <c:valAx>
        <c:axId val="38830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(#/100m)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312392"/>
        <c:crosses val="autoZero"/>
        <c:crossBetween val="midCat"/>
      </c:valAx>
      <c:valAx>
        <c:axId val="3883123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30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Riparian</a:t>
            </a:r>
            <a:r>
              <a:rPr lang="en-US" baseline="0"/>
              <a:t> Vegetation Density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2154362696391308"/>
                  <c:y val="8.692740728762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'Performance Stds'!#REF!</c:f>
            </c:numRef>
          </c:xVal>
          <c:yVal>
            <c:numRef>
              <c:f>'Performance Stds'!#REF!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13-479D-9800-68A4B4AA2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62440"/>
        <c:axId val="442560480"/>
      </c:scatterChart>
      <c:valAx>
        <c:axId val="442562440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60480"/>
        <c:crosses val="autoZero"/>
        <c:crossBetween val="midCat"/>
      </c:valAx>
      <c:valAx>
        <c:axId val="4425604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62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/>
              <a:t>Percent Streambank Armoring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8084387367101"/>
          <c:y val="0.11383995627777838"/>
          <c:w val="0.78710276152185865"/>
          <c:h val="0.7375753846737490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19"/>
            <c:dispRSqr val="0"/>
            <c:dispEq val="1"/>
            <c:trendlineLbl>
              <c:layout>
                <c:manualLayout>
                  <c:x val="-0.1285786980847089"/>
                  <c:y val="-0.3431048387554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Reference_Curves!$U$114:$Z$114</c:f>
              <c:numCache>
                <c:formatCode>General</c:formatCode>
                <c:ptCount val="6"/>
                <c:pt idx="0">
                  <c:v>50</c:v>
                </c:pt>
                <c:pt idx="5">
                  <c:v>0</c:v>
                </c:pt>
              </c:numCache>
            </c:numRef>
          </c:xVal>
          <c:yVal>
            <c:numRef>
              <c:f>Reference_Curves!$U$115:$Z$115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9-4B45-8D05-D0B91E44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886568"/>
        <c:axId val="443820440"/>
      </c:scatterChart>
      <c:valAx>
        <c:axId val="44388656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20440"/>
        <c:crosses val="autoZero"/>
        <c:crossBetween val="midCat"/>
      </c:valAx>
      <c:valAx>
        <c:axId val="4438204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86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ER</a:t>
            </a:r>
            <a:r>
              <a:rPr lang="en-US" sz="1600" baseline="0"/>
              <a:t> for E Stream Types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NF &amp;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221251249677627"/>
                  <c:y val="0.20512716106804921"/>
                </c:manualLayout>
              </c:layout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Reference_Curves!$L$77:$P$77</c:f>
              <c:numCache>
                <c:formatCode>0.0</c:formatCode>
                <c:ptCount val="5"/>
                <c:pt idx="0">
                  <c:v>1</c:v>
                </c:pt>
                <c:pt idx="4">
                  <c:v>2.2000000000000002</c:v>
                </c:pt>
              </c:numCache>
            </c:numRef>
          </c:xVal>
          <c:yVal>
            <c:numRef>
              <c:f>Reference_Curves!$L$78:$P$78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7-47A4-91CB-7F9BB9D3E538}"/>
            </c:ext>
          </c:extLst>
        </c:ser>
        <c:ser>
          <c:idx val="1"/>
          <c:order val="1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063796492374526"/>
                  <c:y val="0.10611363862165377"/>
                </c:manualLayout>
              </c:layout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Reference_Curves!$P$77:$Q$77</c:f>
              <c:numCache>
                <c:formatCode>0.0</c:formatCode>
                <c:ptCount val="2"/>
                <c:pt idx="0">
                  <c:v>2.2000000000000002</c:v>
                </c:pt>
                <c:pt idx="1">
                  <c:v>9</c:v>
                </c:pt>
              </c:numCache>
            </c:numRef>
          </c:xVal>
          <c:yVal>
            <c:numRef>
              <c:f>Reference_Curves!$P$78:$Q$78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C7-47A4-91CB-7F9BB9D3E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6976"/>
        <c:axId val="363177368"/>
      </c:scatterChart>
      <c:valAx>
        <c:axId val="36317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(ft/ft)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7368"/>
        <c:crosses val="autoZero"/>
        <c:crossBetween val="midCat"/>
      </c:valAx>
      <c:valAx>
        <c:axId val="3631773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Width/Depth Ratio State</a:t>
            </a:r>
          </a:p>
        </c:rich>
      </c:tx>
      <c:layout>
        <c:manualLayout>
          <c:xMode val="edge"/>
          <c:yMode val="edge"/>
          <c:x val="0.37203083377301915"/>
          <c:y val="1.9905265267327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Falling Limb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254756113777823E-2"/>
                  <c:y val="-0.615947050650951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Reference_Curves!$L$145:$Q$145</c:f>
              <c:numCache>
                <c:formatCode>0.0</c:formatCode>
                <c:ptCount val="6"/>
                <c:pt idx="0">
                  <c:v>1.8</c:v>
                </c:pt>
                <c:pt idx="5">
                  <c:v>1</c:v>
                </c:pt>
              </c:numCache>
            </c:numRef>
          </c:xVal>
          <c:yVal>
            <c:numRef>
              <c:f>Reference_Curves!$L$147:$Q$147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77-4671-ACE8-ACCE51B15316}"/>
            </c:ext>
          </c:extLst>
        </c:ser>
        <c:ser>
          <c:idx val="0"/>
          <c:order val="1"/>
          <c:tx>
            <c:v>Rising Limb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232758953504834E-2"/>
                  <c:y val="6.9583120155928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Reference_Curves!$L$146:$Q$146</c:f>
              <c:numCache>
                <c:formatCode>0.0</c:formatCode>
                <c:ptCount val="6"/>
                <c:pt idx="0">
                  <c:v>0.2</c:v>
                </c:pt>
                <c:pt idx="5">
                  <c:v>1</c:v>
                </c:pt>
              </c:numCache>
            </c:numRef>
          </c:xVal>
          <c:yVal>
            <c:numRef>
              <c:f>Reference_Curves!$L$147:$Q$147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ED-4EB2-ADC7-F0329CCF0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6192"/>
        <c:axId val="363178936"/>
      </c:scatterChart>
      <c:valAx>
        <c:axId val="36317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(Unitless)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8936"/>
        <c:crosses val="autoZero"/>
        <c:crossBetween val="midCat"/>
      </c:valAx>
      <c:valAx>
        <c:axId val="3631789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Effective Vegetated Riparian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891463921619724E-2"/>
          <c:y val="0.10566951566951567"/>
          <c:w val="0.58617945806419591"/>
          <c:h val="0.77573143100702158"/>
        </c:manualLayout>
      </c:layout>
      <c:scatterChart>
        <c:scatterStyle val="lineMarker"/>
        <c:varyColors val="0"/>
        <c:ser>
          <c:idx val="1"/>
          <c:order val="0"/>
          <c:tx>
            <c:v>Unconfined Alluvial Valleys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615958005249343"/>
                  <c:y val="0.2533048433048433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1"/>
                        </a:solidFill>
                      </a:rPr>
                      <a:t>y = 0.01x</a:t>
                    </a:r>
                    <a:endParaRPr lang="en-US" sz="11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Reference_Curves!$U$149:$Z$149</c:f>
              <c:numCache>
                <c:formatCode>General</c:formatCode>
                <c:ptCount val="6"/>
                <c:pt idx="0">
                  <c:v>0</c:v>
                </c:pt>
                <c:pt idx="2">
                  <c:v>30</c:v>
                </c:pt>
                <c:pt idx="5">
                  <c:v>100</c:v>
                </c:pt>
              </c:numCache>
            </c:numRef>
          </c:xVal>
          <c:yVal>
            <c:numRef>
              <c:f>Reference_Curves!$U$151:$Z$151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37-4008-A6CF-BF9201E5883D}"/>
            </c:ext>
          </c:extLst>
        </c:ser>
        <c:ser>
          <c:idx val="2"/>
          <c:order val="1"/>
          <c:tx>
            <c:v>Confined Alluvial &amp; Colluvial Valleys - FAR &amp;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9010906969962088E-2"/>
                  <c:y val="0.313133903133903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Reference_Curves!$W$150:$Z$150</c:f>
              <c:numCache>
                <c:formatCode>General</c:formatCode>
                <c:ptCount val="4"/>
                <c:pt idx="0">
                  <c:v>60</c:v>
                </c:pt>
                <c:pt idx="3">
                  <c:v>100</c:v>
                </c:pt>
              </c:numCache>
            </c:numRef>
          </c:xVal>
          <c:yVal>
            <c:numRef>
              <c:f>Reference_Curves!$W$151:$Z$151</c:f>
              <c:numCache>
                <c:formatCode>0.00</c:formatCode>
                <c:ptCount val="4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37-4008-A6CF-BF9201E5883D}"/>
            </c:ext>
          </c:extLst>
        </c:ser>
        <c:ser>
          <c:idx val="0"/>
          <c:order val="2"/>
          <c:tx>
            <c:v>Confined Alluvial &amp; Colluvial Valleys - 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88104940747594E-4"/>
                  <c:y val="0.119744669489956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Reference_Curves!$U$150:$W$150</c:f>
              <c:numCache>
                <c:formatCode>General</c:formatCode>
                <c:ptCount val="3"/>
                <c:pt idx="0">
                  <c:v>0</c:v>
                </c:pt>
                <c:pt idx="2">
                  <c:v>60</c:v>
                </c:pt>
              </c:numCache>
            </c:numRef>
          </c:xVal>
          <c:yVal>
            <c:numRef>
              <c:f>Reference_Curves!$U$151:$W$151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7-4008-A6CF-BF9201E58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30096"/>
        <c:axId val="387529312"/>
      </c:scatterChart>
      <c:valAx>
        <c:axId val="38753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9312"/>
        <c:crosses val="autoZero"/>
        <c:crossBetween val="midCat"/>
      </c:valAx>
      <c:valAx>
        <c:axId val="387529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layout>
            <c:manualLayout>
              <c:xMode val="edge"/>
              <c:yMode val="edge"/>
              <c:x val="1.3246601125543879E-2"/>
              <c:y val="0.41211560900726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3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7938847083678633"/>
          <c:y val="0.11347493945210649"/>
          <c:w val="0.25666768851326344"/>
          <c:h val="0.31310291706149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Canopy Cover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891463921619724E-2"/>
          <c:y val="0.10566951566951567"/>
          <c:w val="0.64817366073707405"/>
          <c:h val="0.79526193167400994"/>
        </c:manualLayout>
      </c:layout>
      <c:scatterChart>
        <c:scatterStyle val="lineMarker"/>
        <c:varyColors val="0"/>
        <c:ser>
          <c:idx val="2"/>
          <c:order val="0"/>
          <c:tx>
            <c:v>Woody Sites - NF &amp;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858157557587654E-2"/>
                  <c:y val="0.1501943383094720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1"/>
                        </a:solidFill>
                      </a:rPr>
                      <a:t>y = 0.014x</a:t>
                    </a:r>
                    <a:endParaRPr lang="en-US" sz="11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Reference_Curves!$U$185:$Y$185</c:f>
              <c:numCache>
                <c:formatCode>General</c:formatCode>
                <c:ptCount val="5"/>
                <c:pt idx="0">
                  <c:v>0</c:v>
                </c:pt>
                <c:pt idx="4">
                  <c:v>50</c:v>
                </c:pt>
              </c:numCache>
            </c:numRef>
          </c:xVal>
          <c:yVal>
            <c:numRef>
              <c:f>Reference_Curves!$U$187:$Y$187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F5-48C0-9BFB-1F90C60A0646}"/>
            </c:ext>
          </c:extLst>
        </c:ser>
        <c:ser>
          <c:idx val="0"/>
          <c:order val="1"/>
          <c:tx>
            <c:v>Woody Sites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4663715305913815E-2"/>
                  <c:y val="0.120326328496843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Reference_Curves!$Y$185:$Z$185</c:f>
              <c:numCache>
                <c:formatCode>General</c:formatCode>
                <c:ptCount val="2"/>
                <c:pt idx="0">
                  <c:v>50</c:v>
                </c:pt>
                <c:pt idx="1">
                  <c:v>87</c:v>
                </c:pt>
              </c:numCache>
            </c:numRef>
          </c:xVal>
          <c:yVal>
            <c:numRef>
              <c:f>Reference_Curves!$Y$187:$Z$187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F5-48C0-9BFB-1F90C60A0646}"/>
            </c:ext>
          </c:extLst>
        </c:ser>
        <c:ser>
          <c:idx val="1"/>
          <c:order val="2"/>
          <c:tx>
            <c:v>Herbaceous Sites - 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1935608048993872E-2"/>
                  <c:y val="-6.0930749040985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Reference_Curves!$U$186:$W$186</c:f>
              <c:numCache>
                <c:formatCode>General</c:formatCode>
                <c:ptCount val="3"/>
                <c:pt idx="0">
                  <c:v>70</c:v>
                </c:pt>
                <c:pt idx="2">
                  <c:v>35</c:v>
                </c:pt>
              </c:numCache>
            </c:numRef>
          </c:xVal>
          <c:yVal>
            <c:numRef>
              <c:f>Reference_Curves!$U$187:$W$187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F5-48C0-9BFB-1F90C60A0646}"/>
            </c:ext>
          </c:extLst>
        </c:ser>
        <c:ser>
          <c:idx val="3"/>
          <c:order val="3"/>
          <c:tx>
            <c:v>Herbaceous Sites -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669874599008456E-2"/>
                  <c:y val="-0.155191690782242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Reference_Curves!$W$186:$Y$186</c:f>
              <c:numCache>
                <c:formatCode>General</c:formatCode>
                <c:ptCount val="3"/>
                <c:pt idx="0">
                  <c:v>35</c:v>
                </c:pt>
                <c:pt idx="2">
                  <c:v>15</c:v>
                </c:pt>
              </c:numCache>
            </c:numRef>
          </c:xVal>
          <c:yVal>
            <c:numRef>
              <c:f>Reference_Curves!$W$187:$Y$187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F5-48C0-9BFB-1F90C60A0646}"/>
            </c:ext>
          </c:extLst>
        </c:ser>
        <c:ser>
          <c:idx val="4"/>
          <c:order val="4"/>
          <c:tx>
            <c:v>Herbaceous Sites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6833479148439776E-2"/>
                  <c:y val="-0.1696852637010117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6"/>
                        </a:solidFill>
                      </a:rPr>
                      <a:t>y = -0.02x + 1</a:t>
                    </a:r>
                    <a:endParaRPr lang="en-US" sz="1100">
                      <a:solidFill>
                        <a:schemeClr val="accent6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Reference_Curves!$Y$186:$Z$186</c:f>
              <c:numCache>
                <c:formatCode>General</c:formatCode>
                <c:ptCount val="2"/>
                <c:pt idx="0">
                  <c:v>15</c:v>
                </c:pt>
                <c:pt idx="1">
                  <c:v>0</c:v>
                </c:pt>
              </c:numCache>
            </c:numRef>
          </c:xVal>
          <c:yVal>
            <c:numRef>
              <c:f>Reference_Curves!$Y$187:$Z$187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F5-48C0-9BFB-1F90C60A0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30096"/>
        <c:axId val="387529312"/>
      </c:scatterChart>
      <c:valAx>
        <c:axId val="38753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9312"/>
        <c:crosses val="autoZero"/>
        <c:crossBetween val="midCat"/>
      </c:valAx>
      <c:valAx>
        <c:axId val="387529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layout>
            <c:manualLayout>
              <c:xMode val="edge"/>
              <c:yMode val="edge"/>
              <c:x val="1.3246601125543879E-2"/>
              <c:y val="0.41211560900726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3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4160484215817346"/>
          <c:y val="0.27208292004029128"/>
          <c:w val="0.22854184893554971"/>
          <c:h val="0.246406574901880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Herbaceous Cover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71678540182479"/>
          <c:y val="0.10566951566951567"/>
          <c:w val="0.82506171103612047"/>
          <c:h val="0.78783178090264716"/>
        </c:manualLayout>
      </c:layout>
      <c:scatterChart>
        <c:scatterStyle val="lineMarker"/>
        <c:varyColors val="0"/>
        <c:ser>
          <c:idx val="2"/>
          <c:order val="0"/>
          <c:tx>
            <c:v> Herbaceous Cover (%)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6138815981335665E-3"/>
                  <c:y val="0.190626780626780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Reference_Curves!$U$222:$Z$222</c:f>
              <c:numCache>
                <c:formatCode>General</c:formatCode>
                <c:ptCount val="6"/>
                <c:pt idx="0">
                  <c:v>0</c:v>
                </c:pt>
                <c:pt idx="5">
                  <c:v>80</c:v>
                </c:pt>
              </c:numCache>
            </c:numRef>
          </c:xVal>
          <c:yVal>
            <c:numRef>
              <c:f>Reference_Curves!$U$223:$Z$223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4-497E-AD61-C1CC561E1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30096"/>
        <c:axId val="387529312"/>
      </c:scatterChart>
      <c:valAx>
        <c:axId val="38753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9312"/>
        <c:crosses val="autoZero"/>
        <c:crossBetween val="midCat"/>
      </c:valAx>
      <c:valAx>
        <c:axId val="387529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layout>
            <c:manualLayout>
              <c:xMode val="edge"/>
              <c:yMode val="edge"/>
              <c:x val="7.6599363627032659E-3"/>
              <c:y val="0.40342006162273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3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Woody Steam Basal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765204262652535"/>
                  <c:y val="7.1807997810523175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Reference_Curves!$U$256:$W$256</c:f>
              <c:numCache>
                <c:formatCode>General</c:formatCode>
                <c:ptCount val="3"/>
                <c:pt idx="0">
                  <c:v>0</c:v>
                </c:pt>
                <c:pt idx="2">
                  <c:v>9.1999999999999993</c:v>
                </c:pt>
              </c:numCache>
            </c:numRef>
          </c:xVal>
          <c:yVal>
            <c:numRef>
              <c:f>Reference_Curves!$U$257:$W$257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06-4408-AD26-C6126B2D1156}"/>
            </c:ext>
          </c:extLst>
        </c:ser>
        <c:ser>
          <c:idx val="1"/>
          <c:order val="1"/>
          <c:tx>
            <c:v>FAR &amp;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6133815181577316E-2"/>
                  <c:y val="9.69515745716381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Reference_Curves!$W$256:$Z$256</c:f>
              <c:numCache>
                <c:formatCode>General</c:formatCode>
                <c:ptCount val="4"/>
                <c:pt idx="0">
                  <c:v>9.1999999999999993</c:v>
                </c:pt>
                <c:pt idx="3">
                  <c:v>13.8</c:v>
                </c:pt>
              </c:numCache>
            </c:numRef>
          </c:xVal>
          <c:yVal>
            <c:numRef>
              <c:f>Reference_Curves!$W$257:$Z$257</c:f>
              <c:numCache>
                <c:formatCode>0.00</c:formatCode>
                <c:ptCount val="4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06-4408-AD26-C6126B2D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30096"/>
        <c:axId val="387529312"/>
      </c:scatterChart>
      <c:valAx>
        <c:axId val="38753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(m</a:t>
                </a:r>
                <a:r>
                  <a:rPr lang="en-US" sz="1100" baseline="30000"/>
                  <a:t>2</a:t>
                </a:r>
                <a:r>
                  <a:rPr lang="en-US" sz="1100"/>
                  <a:t>/ha)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9312"/>
        <c:crosses val="autoZero"/>
        <c:crossBetween val="midCat"/>
      </c:valAx>
      <c:valAx>
        <c:axId val="387529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layout>
            <c:manualLayout>
              <c:xMode val="edge"/>
              <c:yMode val="edge"/>
              <c:x val="1.3246601125543879E-2"/>
              <c:y val="0.41211560900726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3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Pool Spacing Ratio for A and</a:t>
            </a:r>
            <a:r>
              <a:rPr lang="en-US" sz="1600" baseline="0"/>
              <a:t> </a:t>
            </a:r>
            <a:r>
              <a:rPr lang="en-US" sz="1600"/>
              <a:t>B Stream Types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330188576650768E-2"/>
                  <c:y val="-0.178043348860231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Reference_Curves!$U$291:$Y$291</c:f>
              <c:numCache>
                <c:formatCode>0.0</c:formatCode>
                <c:ptCount val="5"/>
                <c:pt idx="0">
                  <c:v>6.5</c:v>
                </c:pt>
                <c:pt idx="4">
                  <c:v>5</c:v>
                </c:pt>
              </c:numCache>
            </c:numRef>
          </c:xVal>
          <c:yVal>
            <c:numRef>
              <c:f>Reference_Curves!$U$292:$Y$292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5-436F-B7A7-7D99BA646E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6954558528436873E-2"/>
                  <c:y val="-0.10006110498405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Reference_Curves!$Y$291:$Z$291</c:f>
              <c:numCache>
                <c:formatCode>0.0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Reference_Curves!$Y$292:$Z$292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05-436F-B7A7-7D99BA646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8152"/>
        <c:axId val="363178544"/>
      </c:scatterChart>
      <c:valAx>
        <c:axId val="36317815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</a:t>
                </a:r>
                <a:r>
                  <a:rPr lang="en-US" sz="1100" b="0" i="0" u="none" strike="noStrike" baseline="0">
                    <a:effectLst/>
                  </a:rPr>
                  <a:t>ft/ft</a:t>
                </a:r>
                <a:r>
                  <a:rPr lang="en-US" sz="11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8544"/>
        <c:crosses val="autoZero"/>
        <c:crossBetween val="midCat"/>
      </c:valAx>
      <c:valAx>
        <c:axId val="363178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8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Pool Spacing Ratio for Bc Stream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110617390433805"/>
                  <c:y val="-0.257410407045010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Reference_Curves!$U$327:$Y$327</c:f>
              <c:numCache>
                <c:formatCode>0.0</c:formatCode>
                <c:ptCount val="5"/>
                <c:pt idx="0">
                  <c:v>8</c:v>
                </c:pt>
                <c:pt idx="4">
                  <c:v>6</c:v>
                </c:pt>
              </c:numCache>
            </c:numRef>
          </c:xVal>
          <c:yVal>
            <c:numRef>
              <c:f>Reference_Curves!$U$328:$Y$328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F-4813-8E02-0C088635C9C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715594308278979E-2"/>
                  <c:y val="-0.113249913250616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Reference_Curves!$Y$327:$Z$327</c:f>
              <c:numCache>
                <c:formatCode>0.0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xVal>
          <c:yVal>
            <c:numRef>
              <c:f>Reference_Curves!$Y$328:$Z$328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EF-4813-8E02-0C088635C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80896"/>
        <c:axId val="384804016"/>
      </c:scatterChart>
      <c:valAx>
        <c:axId val="36318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</a:t>
                </a:r>
                <a:r>
                  <a:rPr lang="en-US" sz="1100" baseline="0"/>
                  <a:t> (ft/ft)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0.43117436623724159"/>
              <c:y val="0.9342156997937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4016"/>
        <c:crosses val="autoZero"/>
        <c:crossBetween val="midCat"/>
      </c:valAx>
      <c:valAx>
        <c:axId val="38480401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8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baseline="0">
                <a:effectLst/>
              </a:rPr>
              <a:t>Pool Spacing Ratio for C and E Stream Types </a:t>
            </a:r>
            <a:endParaRPr lang="en-US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1317567650247549E-2"/>
                  <c:y val="0.170180646725216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Reference_Curves!$U$363:$Z$363</c:f>
              <c:numCache>
                <c:formatCode>0.0</c:formatCode>
                <c:ptCount val="6"/>
                <c:pt idx="0">
                  <c:v>1</c:v>
                </c:pt>
                <c:pt idx="5">
                  <c:v>3.5</c:v>
                </c:pt>
              </c:numCache>
            </c:numRef>
          </c:xVal>
          <c:yVal>
            <c:numRef>
              <c:f>Reference_Curves!$U$365:$Z$365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A4-40C5-8274-2B9BE1BEDC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398246539813272"/>
                  <c:y val="-0.44393484071371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Reference_Curves!$U$364:$Z$364</c:f>
              <c:numCache>
                <c:formatCode>0.0</c:formatCode>
                <c:ptCount val="6"/>
                <c:pt idx="0">
                  <c:v>9</c:v>
                </c:pt>
                <c:pt idx="5">
                  <c:v>6</c:v>
                </c:pt>
              </c:numCache>
            </c:numRef>
          </c:xVal>
          <c:yVal>
            <c:numRef>
              <c:f>Reference_Curves!$U$365:$Z$365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A4-40C5-8274-2B9BE1BEDC76}"/>
            </c:ext>
          </c:extLst>
        </c:ser>
        <c:ser>
          <c:idx val="2"/>
          <c:order val="2"/>
          <c:tx>
            <c:v>Crest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Reference_Curves!$Z$363:$Z$364</c:f>
              <c:numCache>
                <c:formatCode>0.0</c:formatCode>
                <c:ptCount val="2"/>
                <c:pt idx="0">
                  <c:v>3.5</c:v>
                </c:pt>
                <c:pt idx="1">
                  <c:v>6</c:v>
                </c:pt>
              </c:numCache>
            </c:numRef>
          </c:xVal>
          <c:yVal>
            <c:numRef>
              <c:f>(Reference_Curves!$Z$365,Reference_Curves!$Z$365)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A4-40C5-8274-2B9BE1BED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07544"/>
        <c:axId val="384809504"/>
      </c:scatterChart>
      <c:valAx>
        <c:axId val="384807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</a:t>
                </a:r>
                <a:r>
                  <a:rPr lang="en-US" sz="1100" b="0" i="0" u="none" strike="noStrike" baseline="0">
                    <a:effectLst/>
                  </a:rPr>
                  <a:t>ft/ft</a:t>
                </a:r>
                <a:r>
                  <a:rPr lang="en-US" sz="1100"/>
                  <a:t>)</a:t>
                </a:r>
              </a:p>
            </c:rich>
          </c:tx>
          <c:layout>
            <c:manualLayout>
              <c:xMode val="edge"/>
              <c:yMode val="edge"/>
              <c:x val="0.43061872415702857"/>
              <c:y val="0.92240741970686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9504"/>
        <c:crosses val="autoZero"/>
        <c:crossBetween val="midCat"/>
      </c:valAx>
      <c:valAx>
        <c:axId val="384809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7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Pool Depth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092168505273453E-2"/>
          <c:y val="0.10898967428091716"/>
          <c:w val="0.85454118492941922"/>
          <c:h val="0.7803134713050585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915873007543915"/>
                  <c:y val="0.2542891689555850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1"/>
                        </a:solidFill>
                      </a:rPr>
                      <a:t>y = 0.7x - 0.7</a:t>
                    </a:r>
                    <a:endParaRPr lang="en-US" sz="11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Reference_Curves!$U$401:$Y$401</c:f>
              <c:numCache>
                <c:formatCode>0.0</c:formatCode>
                <c:ptCount val="5"/>
                <c:pt idx="0">
                  <c:v>1</c:v>
                </c:pt>
                <c:pt idx="4">
                  <c:v>2</c:v>
                </c:pt>
              </c:numCache>
            </c:numRef>
          </c:xVal>
          <c:yVal>
            <c:numRef>
              <c:f>Reference_Curves!$U$402:$Y$402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3-4A63-BB52-0AFAD8C79A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451704493093119"/>
                  <c:y val="0.132050365157581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Reference_Curves!$W$401:$Y$401</c:f>
              <c:numCache>
                <c:formatCode>0.0</c:formatCode>
                <c:ptCount val="3"/>
                <c:pt idx="2">
                  <c:v>2</c:v>
                </c:pt>
              </c:numCache>
            </c:numRef>
          </c:xVal>
          <c:yVal>
            <c:numRef>
              <c:f>Reference_Curves!$W$402:$Y$402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A3-4A63-BB52-0AFAD8C79AB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0849442367762569E-2"/>
                  <c:y val="7.8836871697036629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2"/>
                        </a:solidFill>
                      </a:rPr>
                      <a:t>y = 0.3x + 0.1</a:t>
                    </a:r>
                    <a:endParaRPr lang="en-US" sz="110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Reference_Curves!$Y$401:$Z$401</c:f>
              <c:numCache>
                <c:formatCode>0.0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Reference_Curves!$Y$402:$Z$402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2A3-4A63-BB52-0AFAD8C79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09112"/>
        <c:axId val="384809896"/>
      </c:scatterChart>
      <c:valAx>
        <c:axId val="38480911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</a:t>
                </a:r>
                <a:r>
                  <a:rPr lang="en-US" sz="1100" b="0" i="0" u="none" strike="noStrike" baseline="0">
                    <a:effectLst/>
                  </a:rPr>
                  <a:t>ft/ft)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9896"/>
        <c:crosses val="autoZero"/>
        <c:crossBetween val="midCat"/>
      </c:valAx>
      <c:valAx>
        <c:axId val="3848098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9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Percent Riffle for A and B Stream</a:t>
            </a:r>
            <a:r>
              <a:rPr lang="en-US" sz="1600" baseline="0"/>
              <a:t> Types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88686068677566"/>
                  <c:y val="0.17275205323200107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Reference_Curves!$U$436:$Z$436</c:f>
              <c:numCache>
                <c:formatCode>0</c:formatCode>
                <c:ptCount val="6"/>
                <c:pt idx="0">
                  <c:v>0</c:v>
                </c:pt>
                <c:pt idx="5">
                  <c:v>50</c:v>
                </c:pt>
              </c:numCache>
            </c:numRef>
          </c:xVal>
          <c:yVal>
            <c:numRef>
              <c:f>Reference_Curves!$U$438:$Z$438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85-4C21-B213-D6596DCA801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593826829258094"/>
                  <c:y val="-0.255465637795697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Reference_Curves!$U$437:$Z$437</c:f>
              <c:numCache>
                <c:formatCode>0</c:formatCode>
                <c:ptCount val="6"/>
                <c:pt idx="0">
                  <c:v>100</c:v>
                </c:pt>
                <c:pt idx="5">
                  <c:v>60</c:v>
                </c:pt>
              </c:numCache>
            </c:numRef>
          </c:xVal>
          <c:yVal>
            <c:numRef>
              <c:f>Reference_Curves!$U$438:$Z$438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85-4C21-B213-D6596DCA801B}"/>
            </c:ext>
          </c:extLst>
        </c:ser>
        <c:ser>
          <c:idx val="2"/>
          <c:order val="2"/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Reference_Curves!$Z$436:$Z$437</c:f>
              <c:numCache>
                <c:formatCode>0</c:formatCode>
                <c:ptCount val="2"/>
                <c:pt idx="0">
                  <c:v>50</c:v>
                </c:pt>
                <c:pt idx="1">
                  <c:v>60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185-4C21-B213-D6596DCA8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79328"/>
        <c:axId val="363180112"/>
      </c:scatterChart>
      <c:valAx>
        <c:axId val="36317932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layout>
            <c:manualLayout>
              <c:xMode val="edge"/>
              <c:yMode val="edge"/>
              <c:x val="0.41896342508207335"/>
              <c:y val="0.93190702301485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80112"/>
        <c:crosses val="autoZero"/>
        <c:crossBetween val="midCat"/>
      </c:valAx>
      <c:valAx>
        <c:axId val="3631801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Percent Riffle for C and E</a:t>
            </a:r>
            <a:r>
              <a:rPr lang="en-US" sz="1600" baseline="0"/>
              <a:t> </a:t>
            </a:r>
            <a:r>
              <a:rPr lang="en-US" sz="1600"/>
              <a:t>Stream</a:t>
            </a:r>
            <a:r>
              <a:rPr lang="en-US" sz="1600" baseline="0"/>
              <a:t> Types</a:t>
            </a:r>
            <a:r>
              <a:rPr lang="en-US" sz="16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293130913133189"/>
                  <c:y val="9.00622832039926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Reference_Curves!$U$472:$Z$472</c:f>
              <c:numCache>
                <c:formatCode>General</c:formatCode>
                <c:ptCount val="6"/>
                <c:pt idx="0" formatCode="0">
                  <c:v>0</c:v>
                </c:pt>
                <c:pt idx="5">
                  <c:v>45</c:v>
                </c:pt>
              </c:numCache>
            </c:numRef>
          </c:xVal>
          <c:yVal>
            <c:numRef>
              <c:f>Reference_Curves!$U$474:$Z$474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23-428A-ABC4-D13E78AA98E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6296314241008605E-2"/>
                  <c:y val="-0.576142572143505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Reference_Curves!$U$473:$Z$473</c:f>
              <c:numCache>
                <c:formatCode>General</c:formatCode>
                <c:ptCount val="6"/>
                <c:pt idx="0" formatCode="0">
                  <c:v>100</c:v>
                </c:pt>
                <c:pt idx="5">
                  <c:v>65</c:v>
                </c:pt>
              </c:numCache>
            </c:numRef>
          </c:xVal>
          <c:yVal>
            <c:numRef>
              <c:f>Reference_Curves!$U$474:$Z$474</c:f>
              <c:numCache>
                <c:formatCode>0.00</c:formatCode>
                <c:ptCount val="6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23-428A-ABC4-D13E78AA98E5}"/>
            </c:ext>
          </c:extLst>
        </c:ser>
        <c:ser>
          <c:idx val="2"/>
          <c:order val="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Reference_Curves!$Z$472:$Z$473</c:f>
              <c:numCache>
                <c:formatCode>General</c:formatCode>
                <c:ptCount val="2"/>
                <c:pt idx="0">
                  <c:v>45</c:v>
                </c:pt>
                <c:pt idx="1">
                  <c:v>65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423-428A-ABC4-D13E78AA9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0376"/>
        <c:axId val="386334296"/>
      </c:scatterChart>
      <c:valAx>
        <c:axId val="386330376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4296"/>
        <c:crosses val="autoZero"/>
        <c:crossBetween val="midCat"/>
      </c:valAx>
      <c:valAx>
        <c:axId val="3863342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0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Percent Fines &lt; 2mm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779951956554881"/>
                  <c:y val="-0.164403656439496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Reference_Curves!$U$507:$Y$507</c:f>
              <c:numCache>
                <c:formatCode>General</c:formatCode>
                <c:ptCount val="5"/>
                <c:pt idx="0" formatCode="0">
                  <c:v>32</c:v>
                </c:pt>
                <c:pt idx="4">
                  <c:v>14.8</c:v>
                </c:pt>
              </c:numCache>
            </c:numRef>
          </c:xVal>
          <c:yVal>
            <c:numRef>
              <c:f>Reference_Curves!$U$508:$Y$508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A6-4D24-9788-9D15A15A4DD6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014890995768386"/>
                  <c:y val="-5.49718526563489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Reference_Curves!$Y$507:$Z$507</c:f>
              <c:numCache>
                <c:formatCode>General</c:formatCode>
                <c:ptCount val="2"/>
                <c:pt idx="0">
                  <c:v>14.8</c:v>
                </c:pt>
                <c:pt idx="1">
                  <c:v>5</c:v>
                </c:pt>
              </c:numCache>
            </c:numRef>
          </c:xVal>
          <c:yVal>
            <c:numRef>
              <c:f>Reference_Curves!$Y$508:$Z$508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A6-4D24-9788-9D15A15A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0376"/>
        <c:axId val="386334296"/>
      </c:scatterChart>
      <c:valAx>
        <c:axId val="386330376"/>
        <c:scaling>
          <c:orientation val="minMax"/>
          <c:max val="3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4296"/>
        <c:crosses val="autoZero"/>
        <c:crossBetween val="midCat"/>
      </c:valAx>
      <c:valAx>
        <c:axId val="3863342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0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Percent Fines &lt; 6.35mm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9649389980098642"/>
                  <c:y val="-0.1814305970374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Reference_Curves!$U$542:$Y$542</c:f>
              <c:numCache>
                <c:formatCode>General</c:formatCode>
                <c:ptCount val="5"/>
                <c:pt idx="0" formatCode="0">
                  <c:v>35</c:v>
                </c:pt>
                <c:pt idx="4">
                  <c:v>16.899999999999999</c:v>
                </c:pt>
              </c:numCache>
            </c:numRef>
          </c:xVal>
          <c:yVal>
            <c:numRef>
              <c:f>Reference_Curves!$U$543:$Y$543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0-4267-BC4B-2EBABA12E2F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014890995768386"/>
                  <c:y val="-5.49718526563489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Reference_Curves!$Y$542:$Z$542</c:f>
              <c:numCache>
                <c:formatCode>General</c:formatCode>
                <c:ptCount val="2"/>
                <c:pt idx="0">
                  <c:v>16.899999999999999</c:v>
                </c:pt>
                <c:pt idx="1">
                  <c:v>5</c:v>
                </c:pt>
              </c:numCache>
            </c:numRef>
          </c:xVal>
          <c:yVal>
            <c:numRef>
              <c:f>Reference_Curves!$Y$543:$Z$543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B0-4267-BC4B-2EBABA12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0376"/>
        <c:axId val="386334296"/>
      </c:scatterChart>
      <c:valAx>
        <c:axId val="38633037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4296"/>
        <c:crosses val="autoZero"/>
        <c:crossBetween val="midCat"/>
      </c:valAx>
      <c:valAx>
        <c:axId val="3863342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0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Median Particle Size (d50)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8885523924894"/>
                  <c:y val="0.248476423205719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Reference_Curves!$U$577:$Y$577</c:f>
              <c:numCache>
                <c:formatCode>General</c:formatCode>
                <c:ptCount val="5"/>
                <c:pt idx="0" formatCode="0">
                  <c:v>10</c:v>
                </c:pt>
                <c:pt idx="4">
                  <c:v>34</c:v>
                </c:pt>
              </c:numCache>
            </c:numRef>
          </c:xVal>
          <c:yVal>
            <c:numRef>
              <c:f>Reference_Curves!$U$578:$Y$578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D-497F-AFDB-D70DD960E2B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741504839367614E-2"/>
                  <c:y val="0.110068965517241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Reference_Curves!$Y$577:$Z$577</c:f>
              <c:numCache>
                <c:formatCode>General</c:formatCode>
                <c:ptCount val="2"/>
                <c:pt idx="0">
                  <c:v>34</c:v>
                </c:pt>
                <c:pt idx="1">
                  <c:v>70</c:v>
                </c:pt>
              </c:numCache>
            </c:numRef>
          </c:xVal>
          <c:yVal>
            <c:numRef>
              <c:f>Reference_Curves!$Y$578:$Z$578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3D-497F-AFDB-D70DD960E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0376"/>
        <c:axId val="386334296"/>
      </c:scatterChart>
      <c:valAx>
        <c:axId val="386330376"/>
        <c:scaling>
          <c:orientation val="minMax"/>
          <c:max val="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4296"/>
        <c:crosses val="autoZero"/>
        <c:crossBetween val="midCat"/>
      </c:valAx>
      <c:valAx>
        <c:axId val="3863342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0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Percent Streambank Erosion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79365811202614"/>
                  <c:y val="-0.1042925749573529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Reference_Curves!$Y$79:$Z$79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xVal>
          <c:yVal>
            <c:numRef>
              <c:f>Reference_Curves!$Y$80:$Z$80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8-4788-A083-43E68337C7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583429648191216E-2"/>
                  <c:y val="-0.30905053625613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Reference_Curves!$U$79:$Y$79</c:f>
              <c:numCache>
                <c:formatCode>General</c:formatCode>
                <c:ptCount val="5"/>
                <c:pt idx="0">
                  <c:v>50</c:v>
                </c:pt>
                <c:pt idx="4">
                  <c:v>11</c:v>
                </c:pt>
              </c:numCache>
            </c:numRef>
          </c:xVal>
          <c:yVal>
            <c:numRef>
              <c:f>Reference_Curves!$U$80:$Y$80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DD-43D0-AEB0-5C787F48E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079864"/>
        <c:axId val="387078688"/>
      </c:scatterChart>
      <c:valAx>
        <c:axId val="3870798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8688"/>
        <c:crosses val="autoZero"/>
        <c:crossBetween val="midCat"/>
      </c:valAx>
      <c:valAx>
        <c:axId val="3870786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</a:t>
                </a:r>
                <a:r>
                  <a:rPr lang="en-US" sz="1100" baseline="0"/>
                  <a:t> Value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9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mIBI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3035334640300302E-2"/>
                  <c:y val="9.29307136923703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Reference_Curves!$AQ$10:$AR$10</c:f>
              <c:numCache>
                <c:formatCode>0.00</c:formatCode>
                <c:ptCount val="2"/>
                <c:pt idx="0">
                  <c:v>5</c:v>
                </c:pt>
                <c:pt idx="1">
                  <c:v>7.5</c:v>
                </c:pt>
              </c:numCache>
            </c:numRef>
          </c:xVal>
          <c:yVal>
            <c:numRef>
              <c:f>Reference_Curves!$AQ$11:$AR$11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7B-4BB1-B230-AB6A7AF6DE92}"/>
            </c:ext>
          </c:extLst>
        </c:ser>
        <c:ser>
          <c:idx val="1"/>
          <c:order val="1"/>
          <c:tx>
            <c:v>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524850352049771E-2"/>
                  <c:y val="0.15446095530150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Reference_Curves!$AO$10:$AQ$10</c:f>
              <c:numCache>
                <c:formatCode>0.00</c:formatCode>
                <c:ptCount val="3"/>
                <c:pt idx="0">
                  <c:v>2.5</c:v>
                </c:pt>
                <c:pt idx="2">
                  <c:v>5</c:v>
                </c:pt>
              </c:numCache>
            </c:numRef>
          </c:xVal>
          <c:yVal>
            <c:numRef>
              <c:f>Reference_Curves!$AO$11:$AQ$11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7B-4BB1-B230-AB6A7AF6DE92}"/>
            </c:ext>
          </c:extLst>
        </c:ser>
        <c:ser>
          <c:idx val="2"/>
          <c:order val="2"/>
          <c:tx>
            <c:v>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9564594916631622E-2"/>
                  <c:y val="0.135918258806202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Reference_Curves!$AM$10:$AO$10</c:f>
              <c:numCache>
                <c:formatCode>0.00</c:formatCode>
                <c:ptCount val="3"/>
                <c:pt idx="0">
                  <c:v>0</c:v>
                </c:pt>
                <c:pt idx="2">
                  <c:v>2.5</c:v>
                </c:pt>
              </c:numCache>
            </c:numRef>
          </c:xVal>
          <c:yVal>
            <c:numRef>
              <c:f>Reference_Curves!$AM$11:$AO$11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7B-4BB1-B230-AB6A7AF6D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1552"/>
        <c:axId val="386337824"/>
      </c:scatterChart>
      <c:valAx>
        <c:axId val="3863315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</a:t>
                </a:r>
                <a:r>
                  <a:rPr lang="en-US" sz="1100" baseline="0"/>
                  <a:t>Unitless)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7824"/>
        <c:crosses val="autoZero"/>
        <c:crossBetween val="midCat"/>
      </c:valAx>
      <c:valAx>
        <c:axId val="3863378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29996806778974"/>
          <c:y val="0.1032428670842032"/>
          <c:w val="0.68224288729487448"/>
          <c:h val="0.77809807177025625"/>
        </c:manualLayout>
      </c:layout>
      <c:scatterChart>
        <c:scatterStyle val="lineMarker"/>
        <c:varyColors val="0"/>
        <c:ser>
          <c:idx val="0"/>
          <c:order val="0"/>
          <c:tx>
            <c:v>Coldwater - 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925786450606716E-2"/>
                  <c:y val="9.03347415602277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1"/>
                        </a:solidFill>
                      </a:rPr>
                      <a:t>y = 0.01x</a:t>
                    </a:r>
                    <a:endParaRPr lang="en-US" sz="11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Reference_Curves!$AM$45:$AO$45</c:f>
              <c:numCache>
                <c:formatCode>0</c:formatCode>
                <c:ptCount val="3"/>
                <c:pt idx="0">
                  <c:v>0</c:v>
                </c:pt>
                <c:pt idx="2">
                  <c:v>30</c:v>
                </c:pt>
              </c:numCache>
            </c:numRef>
          </c:xVal>
          <c:yVal>
            <c:numRef>
              <c:f>Reference_Curves!$AM$48:$AO$48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1A2-4E93-A9EB-41DF68C1C9B9}"/>
            </c:ext>
          </c:extLst>
        </c:ser>
        <c:ser>
          <c:idx val="1"/>
          <c:order val="1"/>
          <c:tx>
            <c:v>Coldwater -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9479782418502034E-2"/>
                  <c:y val="0.19002208231277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Reference_Curves!$AO$45:$AQ$45</c:f>
              <c:numCache>
                <c:formatCode>0</c:formatCode>
                <c:ptCount val="3"/>
                <c:pt idx="0">
                  <c:v>30</c:v>
                </c:pt>
                <c:pt idx="2">
                  <c:v>60</c:v>
                </c:pt>
              </c:numCache>
            </c:numRef>
          </c:xVal>
          <c:yVal>
            <c:numRef>
              <c:f>Reference_Curves!$AO$48:$AQ$48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1A2-4E93-A9EB-41DF68C1C9B9}"/>
            </c:ext>
          </c:extLst>
        </c:ser>
        <c:ser>
          <c:idx val="2"/>
          <c:order val="2"/>
          <c:tx>
            <c:v>Coldwater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4903571836129179E-2"/>
                  <c:y val="0.133361169102296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Reference_Curves!$AQ$45:$AR$45</c:f>
              <c:numCache>
                <c:formatCode>0</c:formatCode>
                <c:ptCount val="2"/>
                <c:pt idx="0">
                  <c:v>60</c:v>
                </c:pt>
                <c:pt idx="1">
                  <c:v>90</c:v>
                </c:pt>
              </c:numCache>
            </c:numRef>
          </c:xVal>
          <c:yVal>
            <c:numRef>
              <c:f>Reference_Curves!$AQ$48:$AR$48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1A2-4E93-A9EB-41DF68C1C9B9}"/>
            </c:ext>
          </c:extLst>
        </c:ser>
        <c:ser>
          <c:idx val="3"/>
          <c:order val="3"/>
          <c:tx>
            <c:v>Coolwater - 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306105215108981E-2"/>
                  <c:y val="0.1348719719012158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accent2"/>
                        </a:solidFill>
                      </a:rPr>
                      <a:t>y = 0.01x</a:t>
                    </a:r>
                    <a:endParaRPr lang="en-US" sz="110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Reference_Curves!$AM$46:$AO$46</c:f>
              <c:numCache>
                <c:formatCode>0</c:formatCode>
                <c:ptCount val="3"/>
                <c:pt idx="0">
                  <c:v>0</c:v>
                </c:pt>
                <c:pt idx="2">
                  <c:v>30</c:v>
                </c:pt>
              </c:numCache>
            </c:numRef>
          </c:xVal>
          <c:yVal>
            <c:numRef>
              <c:f>Reference_Curves!$AM$48:$AO$48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1A2-4E93-A9EB-41DF68C1C9B9}"/>
            </c:ext>
          </c:extLst>
        </c:ser>
        <c:ser>
          <c:idx val="4"/>
          <c:order val="4"/>
          <c:tx>
            <c:v>Coolwater -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4566472669177223E-2"/>
                  <c:y val="6.75446988750623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Reference_Curves!$AO$46:$AQ$46</c:f>
              <c:numCache>
                <c:formatCode>0</c:formatCode>
                <c:ptCount val="3"/>
                <c:pt idx="0">
                  <c:v>30</c:v>
                </c:pt>
                <c:pt idx="2">
                  <c:v>50</c:v>
                </c:pt>
              </c:numCache>
            </c:numRef>
          </c:xVal>
          <c:yVal>
            <c:numRef>
              <c:f>Reference_Curves!$AO$48:$AQ$48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1A2-4E93-A9EB-41DF68C1C9B9}"/>
            </c:ext>
          </c:extLst>
        </c:ser>
        <c:ser>
          <c:idx val="5"/>
          <c:order val="5"/>
          <c:tx>
            <c:v>Coolwater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830971128608924E-2"/>
                  <c:y val="4.15031315240083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Reference_Curves!$AQ$46:$AR$46</c:f>
              <c:numCache>
                <c:formatCode>0</c:formatCode>
                <c:ptCount val="2"/>
                <c:pt idx="0">
                  <c:v>50</c:v>
                </c:pt>
                <c:pt idx="1">
                  <c:v>70</c:v>
                </c:pt>
              </c:numCache>
            </c:numRef>
          </c:xVal>
          <c:yVal>
            <c:numRef>
              <c:f>Reference_Curves!$AQ$48:$AR$48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1A2-4E93-A9EB-41DF68C1C9B9}"/>
            </c:ext>
          </c:extLst>
        </c:ser>
        <c:ser>
          <c:idx val="6"/>
          <c:order val="6"/>
          <c:tx>
            <c:v>Warmwater - 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306105215108981E-2"/>
                  <c:y val="0.179409202242204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Reference_Curves!$AM$47:$AO$47</c:f>
              <c:numCache>
                <c:formatCode>0</c:formatCode>
                <c:ptCount val="3"/>
                <c:pt idx="0">
                  <c:v>0</c:v>
                </c:pt>
                <c:pt idx="2">
                  <c:v>30</c:v>
                </c:pt>
              </c:numCache>
            </c:numRef>
          </c:xVal>
          <c:yVal>
            <c:numRef>
              <c:f>Reference_Curves!$AM$48:$AO$48</c:f>
              <c:numCache>
                <c:formatCode>0.00</c:formatCode>
                <c:ptCount val="3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1A2-4E93-A9EB-41DF68C1C9B9}"/>
            </c:ext>
          </c:extLst>
        </c:ser>
        <c:ser>
          <c:idx val="7"/>
          <c:order val="7"/>
          <c:tx>
            <c:v>Warmwater - FAR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498839818935676E-2"/>
                  <c:y val="0.109298352319738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Reference_Curves!$AO$47:$AQ$47</c:f>
              <c:numCache>
                <c:formatCode>0</c:formatCode>
                <c:ptCount val="3"/>
                <c:pt idx="0">
                  <c:v>30</c:v>
                </c:pt>
                <c:pt idx="2">
                  <c:v>50</c:v>
                </c:pt>
              </c:numCache>
            </c:numRef>
          </c:xVal>
          <c:yVal>
            <c:numRef>
              <c:f>Reference_Curves!$AO$48:$AQ$48</c:f>
              <c:numCache>
                <c:formatCode>0.00</c:formatCode>
                <c:ptCount val="3"/>
                <c:pt idx="0">
                  <c:v>0.3</c:v>
                </c:pt>
                <c:pt idx="1">
                  <c:v>0.69</c:v>
                </c:pt>
                <c:pt idx="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1A2-4E93-A9EB-41DF68C1C9B9}"/>
            </c:ext>
          </c:extLst>
        </c:ser>
        <c:ser>
          <c:idx val="8"/>
          <c:order val="8"/>
          <c:tx>
            <c:v>Warmwater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5743390771805701E-2"/>
                  <c:y val="7.76896311760612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Reference_Curves!$AQ$47:$AR$47</c:f>
              <c:numCache>
                <c:formatCode>0</c:formatCode>
                <c:ptCount val="2"/>
                <c:pt idx="0">
                  <c:v>50</c:v>
                </c:pt>
                <c:pt idx="1">
                  <c:v>65</c:v>
                </c:pt>
              </c:numCache>
            </c:numRef>
          </c:xVal>
          <c:yVal>
            <c:numRef>
              <c:f>Reference_Curves!$AQ$48:$AR$48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1A2-4E93-A9EB-41DF68C1C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1552"/>
        <c:axId val="386337824"/>
      </c:scatterChart>
      <c:valAx>
        <c:axId val="3863315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(Unitless)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7824"/>
        <c:crosses val="autoZero"/>
        <c:crossBetween val="midCat"/>
      </c:valAx>
      <c:valAx>
        <c:axId val="3863378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78859116646027561"/>
          <c:y val="0.24507904152899468"/>
          <c:w val="0.21140887823804633"/>
          <c:h val="0.56298039989260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Fish Abundance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27185274593874E-2"/>
          <c:y val="0.10324289591350215"/>
          <c:w val="0.68224288729487448"/>
          <c:h val="0.77809807177025625"/>
        </c:manualLayout>
      </c:layout>
      <c:scatterChart>
        <c:scatterStyle val="lineMarker"/>
        <c:varyColors val="0"/>
        <c:ser>
          <c:idx val="0"/>
          <c:order val="0"/>
          <c:tx>
            <c:v>Adult Smallmouth Bass (Native)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305952879079536"/>
                  <c:y val="0.287701894729507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Reference_Curves!$AM$85:$AQ$85</c:f>
              <c:numCache>
                <c:formatCode>0</c:formatCode>
                <c:ptCount val="5"/>
                <c:pt idx="0">
                  <c:v>0</c:v>
                </c:pt>
                <c:pt idx="4">
                  <c:v>28</c:v>
                </c:pt>
              </c:numCache>
            </c:numRef>
          </c:xVal>
          <c:yVal>
            <c:numRef>
              <c:f>Reference_Curves!$AM$90:$AQ$90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E4-44B0-97D7-7B68654A0F9C}"/>
            </c:ext>
          </c:extLst>
        </c:ser>
        <c:ser>
          <c:idx val="1"/>
          <c:order val="1"/>
          <c:tx>
            <c:v>Adult Smallmouth Bass (Native)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5B9BD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8126683205514211"/>
                  <c:y val="0.16713552258564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Reference_Curves!$AQ$85:$AR$85</c:f>
              <c:numCache>
                <c:formatCode>0</c:formatCode>
                <c:ptCount val="2"/>
                <c:pt idx="0">
                  <c:v>28</c:v>
                </c:pt>
                <c:pt idx="1">
                  <c:v>98</c:v>
                </c:pt>
              </c:numCache>
            </c:numRef>
          </c:xVal>
          <c:yVal>
            <c:numRef>
              <c:f>Reference_Curves!$AQ$90:$AR$90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E4-44B0-97D7-7B68654A0F9C}"/>
            </c:ext>
          </c:extLst>
        </c:ser>
        <c:ser>
          <c:idx val="2"/>
          <c:order val="2"/>
          <c:tx>
            <c:v>Adult and Yearling Brown Trout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4611939657481815E-2"/>
                  <c:y val="0.336861607183898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Reference_Curves!$AM$86:$AQ$86</c:f>
              <c:numCache>
                <c:formatCode>General</c:formatCode>
                <c:ptCount val="5"/>
                <c:pt idx="0">
                  <c:v>0</c:v>
                </c:pt>
                <c:pt idx="4">
                  <c:v>533</c:v>
                </c:pt>
              </c:numCache>
            </c:numRef>
          </c:xVal>
          <c:yVal>
            <c:numRef>
              <c:f>Reference_Curves!$AM$90:$AQ$90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E4-44B0-97D7-7B68654A0F9C}"/>
            </c:ext>
          </c:extLst>
        </c:ser>
        <c:ser>
          <c:idx val="3"/>
          <c:order val="3"/>
          <c:tx>
            <c:v>Adult and Yearling Brown Trout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430397149239328"/>
                  <c:y val="0.216295235040036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Reference_Curves!$AQ$86:$AR$86</c:f>
              <c:numCache>
                <c:formatCode>General</c:formatCode>
                <c:ptCount val="2"/>
                <c:pt idx="0">
                  <c:v>533</c:v>
                </c:pt>
                <c:pt idx="1">
                  <c:v>1860</c:v>
                </c:pt>
              </c:numCache>
            </c:numRef>
          </c:xVal>
          <c:yVal>
            <c:numRef>
              <c:f>Reference_Curves!$AQ$90:$AR$90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E4-44B0-97D7-7B68654A0F9C}"/>
            </c:ext>
          </c:extLst>
        </c:ser>
        <c:ser>
          <c:idx val="4"/>
          <c:order val="4"/>
          <c:tx>
            <c:strRef>
              <c:f>Reference_Curves!$AL$87</c:f>
              <c:strCache>
                <c:ptCount val="1"/>
                <c:pt idx="0">
                  <c:v>Adult and Yearling Brook Trout (Native)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5A5A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A5A5A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227626770180259"/>
                  <c:y val="0.389093801666688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Reference_Curves!$AM$87:$AQ$87</c:f>
              <c:numCache>
                <c:formatCode>General</c:formatCode>
                <c:ptCount val="5"/>
                <c:pt idx="0">
                  <c:v>0</c:v>
                </c:pt>
                <c:pt idx="4">
                  <c:v>380</c:v>
                </c:pt>
              </c:numCache>
            </c:numRef>
          </c:xVal>
          <c:yVal>
            <c:numRef>
              <c:f>Reference_Curves!$AM$90:$AQ$90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EE4-44B0-97D7-7B68654A0F9C}"/>
            </c:ext>
          </c:extLst>
        </c:ser>
        <c:ser>
          <c:idx val="5"/>
          <c:order val="5"/>
          <c:tx>
            <c:v>Adult and Yearling Brook Trout (Native)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5A5A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A5A5A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6568202061797031E-2"/>
                  <c:y val="0.265454947494427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Reference_Curves!$AQ$87:$AR$87</c:f>
              <c:numCache>
                <c:formatCode>General</c:formatCode>
                <c:ptCount val="2"/>
                <c:pt idx="0">
                  <c:v>380</c:v>
                </c:pt>
                <c:pt idx="1">
                  <c:v>1306</c:v>
                </c:pt>
              </c:numCache>
            </c:numRef>
          </c:xVal>
          <c:yVal>
            <c:numRef>
              <c:f>Reference_Curves!$AQ$90:$AR$90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EE4-44B0-97D7-7B68654A0F9C}"/>
            </c:ext>
          </c:extLst>
        </c:ser>
        <c:ser>
          <c:idx val="6"/>
          <c:order val="6"/>
          <c:tx>
            <c:v>Lake Superior Trout Young of Year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4780837287416412"/>
                  <c:y val="0.44707993962002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Reference_Curves!$AM$88:$AQ$88</c:f>
              <c:numCache>
                <c:formatCode>General</c:formatCode>
                <c:ptCount val="5"/>
                <c:pt idx="0">
                  <c:v>0</c:v>
                </c:pt>
                <c:pt idx="4">
                  <c:v>300</c:v>
                </c:pt>
              </c:numCache>
            </c:numRef>
          </c:xVal>
          <c:yVal>
            <c:numRef>
              <c:f>Reference_Curves!$AM$90:$AQ$90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EE4-44B0-97D7-7B68654A0F9C}"/>
            </c:ext>
          </c:extLst>
        </c:ser>
        <c:ser>
          <c:idx val="7"/>
          <c:order val="7"/>
          <c:tx>
            <c:v>Lake Superior Trout Young of Year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114133130397049"/>
                  <c:y val="0.31461465994881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Reference_Curves!$AQ$88:$AR$88</c:f>
              <c:numCache>
                <c:formatCode>General</c:formatCode>
                <c:ptCount val="2"/>
                <c:pt idx="0">
                  <c:v>300</c:v>
                </c:pt>
                <c:pt idx="1">
                  <c:v>900</c:v>
                </c:pt>
              </c:numCache>
            </c:numRef>
          </c:xVal>
          <c:yVal>
            <c:numRef>
              <c:f>Reference_Curves!$AQ$90:$AR$90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EE4-44B0-97D7-7B68654A0F9C}"/>
            </c:ext>
          </c:extLst>
        </c:ser>
        <c:ser>
          <c:idx val="8"/>
          <c:order val="8"/>
          <c:tx>
            <c:v>Lake Michigan Trout Young of Year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>
                  <a:lumMod val="75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4472C4">
                    <a:lumMod val="75000"/>
                  </a:srgb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498361556674137"/>
                  <c:y val="0.50584811874586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Reference_Curves!$AM$89:$AQ$89</c:f>
              <c:numCache>
                <c:formatCode>General</c:formatCode>
                <c:ptCount val="5"/>
                <c:pt idx="0">
                  <c:v>0</c:v>
                </c:pt>
                <c:pt idx="4">
                  <c:v>100</c:v>
                </c:pt>
              </c:numCache>
            </c:numRef>
          </c:xVal>
          <c:yVal>
            <c:numRef>
              <c:f>Reference_Curves!$AM$90:$AQ$90</c:f>
              <c:numCache>
                <c:formatCode>0.00</c:formatCode>
                <c:ptCount val="5"/>
                <c:pt idx="0">
                  <c:v>0</c:v>
                </c:pt>
                <c:pt idx="1">
                  <c:v>0.28999999999999998</c:v>
                </c:pt>
                <c:pt idx="2">
                  <c:v>0.3</c:v>
                </c:pt>
                <c:pt idx="3">
                  <c:v>0.69</c:v>
                </c:pt>
                <c:pt idx="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EE4-44B0-97D7-7B68654A0F9C}"/>
            </c:ext>
          </c:extLst>
        </c:ser>
        <c:ser>
          <c:idx val="9"/>
          <c:order val="9"/>
          <c:tx>
            <c:v>Lake Michigan Trout Young of Year -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>
                  <a:lumMod val="75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4472C4">
                    <a:lumMod val="75000"/>
                  </a:srgb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4499468599387715"/>
                  <c:y val="0.363774372403208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Reference_Curves!$AQ$89:$AR$89</c:f>
              <c:numCache>
                <c:formatCode>General</c:formatCode>
                <c:ptCount val="2"/>
                <c:pt idx="0">
                  <c:v>100</c:v>
                </c:pt>
                <c:pt idx="1">
                  <c:v>220</c:v>
                </c:pt>
              </c:numCache>
            </c:numRef>
          </c:xVal>
          <c:yVal>
            <c:numRef>
              <c:f>Reference_Curves!$AQ$90:$AR$90</c:f>
              <c:numCache>
                <c:formatCode>0.00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EE4-44B0-97D7-7B68654A0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31552"/>
        <c:axId val="386337824"/>
      </c:scatterChart>
      <c:valAx>
        <c:axId val="3863315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Field Value (#/Mile)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7824"/>
        <c:crosses val="autoZero"/>
        <c:crossBetween val="midCat"/>
      </c:valAx>
      <c:valAx>
        <c:axId val="3863378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ayout>
        <c:manualLayout>
          <c:xMode val="edge"/>
          <c:yMode val="edge"/>
          <c:x val="0.79100033310393836"/>
          <c:y val="0.27098850458087059"/>
          <c:w val="0.19987845081818745"/>
          <c:h val="0.31850570266293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16329</xdr:colOff>
      <xdr:row>16</xdr:row>
      <xdr:rowOff>58512</xdr:rowOff>
    </xdr:from>
    <xdr:to>
      <xdr:col>16</xdr:col>
      <xdr:colOff>771525</xdr:colOff>
      <xdr:row>40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46944</xdr:colOff>
      <xdr:row>50</xdr:row>
      <xdr:rowOff>55108</xdr:rowOff>
    </xdr:from>
    <xdr:to>
      <xdr:col>16</xdr:col>
      <xdr:colOff>790575</xdr:colOff>
      <xdr:row>74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63954</xdr:colOff>
      <xdr:row>118</xdr:row>
      <xdr:rowOff>99331</xdr:rowOff>
    </xdr:from>
    <xdr:to>
      <xdr:col>16</xdr:col>
      <xdr:colOff>742950</xdr:colOff>
      <xdr:row>141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39460</xdr:colOff>
      <xdr:row>16</xdr:row>
      <xdr:rowOff>44903</xdr:rowOff>
    </xdr:from>
    <xdr:to>
      <xdr:col>25</xdr:col>
      <xdr:colOff>771525</xdr:colOff>
      <xdr:row>40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61231</xdr:colOff>
      <xdr:row>716</xdr:row>
      <xdr:rowOff>0</xdr:rowOff>
    </xdr:from>
    <xdr:to>
      <xdr:col>28</xdr:col>
      <xdr:colOff>0</xdr:colOff>
      <xdr:row>716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61232</xdr:colOff>
      <xdr:row>749</xdr:row>
      <xdr:rowOff>0</xdr:rowOff>
    </xdr:from>
    <xdr:to>
      <xdr:col>28</xdr:col>
      <xdr:colOff>0</xdr:colOff>
      <xdr:row>749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85045</xdr:colOff>
      <xdr:row>77</xdr:row>
      <xdr:rowOff>0</xdr:rowOff>
    </xdr:from>
    <xdr:to>
      <xdr:col>35</xdr:col>
      <xdr:colOff>66675</xdr:colOff>
      <xdr:row>77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219075</xdr:colOff>
      <xdr:row>22</xdr:row>
      <xdr:rowOff>37146</xdr:rowOff>
    </xdr:from>
    <xdr:to>
      <xdr:col>34</xdr:col>
      <xdr:colOff>752475</xdr:colOff>
      <xdr:row>42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142874</xdr:colOff>
      <xdr:row>450</xdr:row>
      <xdr:rowOff>0</xdr:rowOff>
    </xdr:from>
    <xdr:to>
      <xdr:col>28</xdr:col>
      <xdr:colOff>0</xdr:colOff>
      <xdr:row>450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24494</xdr:colOff>
      <xdr:row>118</xdr:row>
      <xdr:rowOff>64635</xdr:rowOff>
    </xdr:from>
    <xdr:to>
      <xdr:col>34</xdr:col>
      <xdr:colOff>676275</xdr:colOff>
      <xdr:row>142</xdr:row>
      <xdr:rowOff>95250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57831</xdr:colOff>
      <xdr:row>86</xdr:row>
      <xdr:rowOff>26535</xdr:rowOff>
    </xdr:from>
    <xdr:to>
      <xdr:col>34</xdr:col>
      <xdr:colOff>752475</xdr:colOff>
      <xdr:row>109</xdr:row>
      <xdr:rowOff>133350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0</xdr:colOff>
      <xdr:row>77</xdr:row>
      <xdr:rowOff>0</xdr:rowOff>
    </xdr:from>
    <xdr:to>
      <xdr:col>35</xdr:col>
      <xdr:colOff>234043</xdr:colOff>
      <xdr:row>77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0</xdr:colOff>
      <xdr:row>77</xdr:row>
      <xdr:rowOff>0</xdr:rowOff>
    </xdr:from>
    <xdr:to>
      <xdr:col>35</xdr:col>
      <xdr:colOff>193221</xdr:colOff>
      <xdr:row>77</xdr:row>
      <xdr:rowOff>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28</xdr:col>
      <xdr:colOff>141315</xdr:colOff>
      <xdr:row>51</xdr:row>
      <xdr:rowOff>105095</xdr:rowOff>
    </xdr:from>
    <xdr:to>
      <xdr:col>34</xdr:col>
      <xdr:colOff>790575</xdr:colOff>
      <xdr:row>75</xdr:row>
      <xdr:rowOff>9525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77</xdr:row>
      <xdr:rowOff>0</xdr:rowOff>
    </xdr:from>
    <xdr:to>
      <xdr:col>35</xdr:col>
      <xdr:colOff>193221</xdr:colOff>
      <xdr:row>77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77</xdr:row>
      <xdr:rowOff>0</xdr:rowOff>
    </xdr:from>
    <xdr:to>
      <xdr:col>35</xdr:col>
      <xdr:colOff>211590</xdr:colOff>
      <xdr:row>77</xdr:row>
      <xdr:rowOff>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86406</xdr:colOff>
      <xdr:row>77</xdr:row>
      <xdr:rowOff>0</xdr:rowOff>
    </xdr:from>
    <xdr:to>
      <xdr:col>35</xdr:col>
      <xdr:colOff>190500</xdr:colOff>
      <xdr:row>77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29256</xdr:colOff>
      <xdr:row>77</xdr:row>
      <xdr:rowOff>0</xdr:rowOff>
    </xdr:from>
    <xdr:to>
      <xdr:col>35</xdr:col>
      <xdr:colOff>200025</xdr:colOff>
      <xdr:row>77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28</xdr:col>
      <xdr:colOff>29256</xdr:colOff>
      <xdr:row>77</xdr:row>
      <xdr:rowOff>0</xdr:rowOff>
    </xdr:from>
    <xdr:to>
      <xdr:col>35</xdr:col>
      <xdr:colOff>266700</xdr:colOff>
      <xdr:row>77</xdr:row>
      <xdr:rowOff>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29256</xdr:colOff>
      <xdr:row>77</xdr:row>
      <xdr:rowOff>0</xdr:rowOff>
    </xdr:from>
    <xdr:to>
      <xdr:col>35</xdr:col>
      <xdr:colOff>285750</xdr:colOff>
      <xdr:row>77</xdr:row>
      <xdr:rowOff>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28</xdr:col>
      <xdr:colOff>10206</xdr:colOff>
      <xdr:row>77</xdr:row>
      <xdr:rowOff>0</xdr:rowOff>
    </xdr:from>
    <xdr:to>
      <xdr:col>35</xdr:col>
      <xdr:colOff>266700</xdr:colOff>
      <xdr:row>77</xdr:row>
      <xdr:rowOff>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49502</xdr:colOff>
      <xdr:row>16</xdr:row>
      <xdr:rowOff>117524</xdr:rowOff>
    </xdr:from>
    <xdr:to>
      <xdr:col>7</xdr:col>
      <xdr:colOff>791999</xdr:colOff>
      <xdr:row>40</xdr:row>
      <xdr:rowOff>25292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340832</xdr:colOff>
      <xdr:row>51</xdr:row>
      <xdr:rowOff>46748</xdr:rowOff>
    </xdr:from>
    <xdr:to>
      <xdr:col>7</xdr:col>
      <xdr:colOff>676275</xdr:colOff>
      <xdr:row>74</xdr:row>
      <xdr:rowOff>134192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</xdr:col>
      <xdr:colOff>0</xdr:colOff>
      <xdr:row>51</xdr:row>
      <xdr:rowOff>0</xdr:rowOff>
    </xdr:from>
    <xdr:to>
      <xdr:col>25</xdr:col>
      <xdr:colOff>732065</xdr:colOff>
      <xdr:row>75</xdr:row>
      <xdr:rowOff>12247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8A4643A7-97FA-43D2-BF70-16B94EFFB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19</xdr:col>
      <xdr:colOff>142874</xdr:colOff>
      <xdr:row>146</xdr:row>
      <xdr:rowOff>0</xdr:rowOff>
    </xdr:from>
    <xdr:to>
      <xdr:col>26</xdr:col>
      <xdr:colOff>170088</xdr:colOff>
      <xdr:row>146</xdr:row>
      <xdr:rowOff>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2F5962C2-608F-4DC8-A026-43EC7B655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447769</xdr:colOff>
      <xdr:row>120</xdr:row>
      <xdr:rowOff>97622</xdr:rowOff>
    </xdr:from>
    <xdr:to>
      <xdr:col>26</xdr:col>
      <xdr:colOff>0</xdr:colOff>
      <xdr:row>144</xdr:row>
      <xdr:rowOff>38780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D33E891B-56EB-4C45-8E51-D8CA238B3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10</xdr:col>
      <xdr:colOff>46944</xdr:colOff>
      <xdr:row>83</xdr:row>
      <xdr:rowOff>55108</xdr:rowOff>
    </xdr:from>
    <xdr:to>
      <xdr:col>16</xdr:col>
      <xdr:colOff>781050</xdr:colOff>
      <xdr:row>107</xdr:row>
      <xdr:rowOff>9525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D9A8CDE9-F849-403F-96C9-43EB292C5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</xdr:col>
      <xdr:colOff>40141</xdr:colOff>
      <xdr:row>152</xdr:row>
      <xdr:rowOff>46943</xdr:rowOff>
    </xdr:from>
    <xdr:to>
      <xdr:col>16</xdr:col>
      <xdr:colOff>733425</xdr:colOff>
      <xdr:row>175</xdr:row>
      <xdr:rowOff>57150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E6343B57-95E9-456A-BF0C-40D77B53C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285750</xdr:colOff>
      <xdr:row>157</xdr:row>
      <xdr:rowOff>19050</xdr:rowOff>
    </xdr:from>
    <xdr:to>
      <xdr:col>26</xdr:col>
      <xdr:colOff>0</xdr:colOff>
      <xdr:row>179</xdr:row>
      <xdr:rowOff>328448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10A47284-0819-4D9A-BBD3-10B81C3B2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285750</xdr:colOff>
      <xdr:row>194</xdr:row>
      <xdr:rowOff>76200</xdr:rowOff>
    </xdr:from>
    <xdr:to>
      <xdr:col>26</xdr:col>
      <xdr:colOff>0</xdr:colOff>
      <xdr:row>216</xdr:row>
      <xdr:rowOff>533400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21F1A497-C9E1-4371-869F-E497F0487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19</xdr:col>
      <xdr:colOff>28575</xdr:colOff>
      <xdr:row>229</xdr:row>
      <xdr:rowOff>95250</xdr:rowOff>
    </xdr:from>
    <xdr:to>
      <xdr:col>25</xdr:col>
      <xdr:colOff>571500</xdr:colOff>
      <xdr:row>252</xdr:row>
      <xdr:rowOff>295275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A9838A04-40FF-4139-8690-F8B2211E7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19</xdr:col>
      <xdr:colOff>314325</xdr:colOff>
      <xdr:row>263</xdr:row>
      <xdr:rowOff>161925</xdr:rowOff>
    </xdr:from>
    <xdr:to>
      <xdr:col>26</xdr:col>
      <xdr:colOff>0</xdr:colOff>
      <xdr:row>286</xdr:row>
      <xdr:rowOff>160444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CA513A04-18BB-48DD-B2A2-D883FD398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19</xdr:col>
      <xdr:colOff>266700</xdr:colOff>
      <xdr:row>298</xdr:row>
      <xdr:rowOff>142875</xdr:rowOff>
    </xdr:from>
    <xdr:to>
      <xdr:col>26</xdr:col>
      <xdr:colOff>0</xdr:colOff>
      <xdr:row>322</xdr:row>
      <xdr:rowOff>8844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7D0591C1-1C61-4455-BF9A-1B1F13A54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19</xdr:col>
      <xdr:colOff>504825</xdr:colOff>
      <xdr:row>335</xdr:row>
      <xdr:rowOff>161925</xdr:rowOff>
    </xdr:from>
    <xdr:to>
      <xdr:col>26</xdr:col>
      <xdr:colOff>0</xdr:colOff>
      <xdr:row>358</xdr:row>
      <xdr:rowOff>55110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F6783CC8-B3EB-4D3B-8E02-103D7AB9B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19</xdr:col>
      <xdr:colOff>180975</xdr:colOff>
      <xdr:row>371</xdr:row>
      <xdr:rowOff>171450</xdr:rowOff>
    </xdr:from>
    <xdr:to>
      <xdr:col>26</xdr:col>
      <xdr:colOff>0</xdr:colOff>
      <xdr:row>396</xdr:row>
      <xdr:rowOff>105729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365A5F6B-7913-48FC-8901-CFFA77133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19</xdr:col>
      <xdr:colOff>266700</xdr:colOff>
      <xdr:row>409</xdr:row>
      <xdr:rowOff>19050</xdr:rowOff>
    </xdr:from>
    <xdr:to>
      <xdr:col>26</xdr:col>
      <xdr:colOff>0</xdr:colOff>
      <xdr:row>431</xdr:row>
      <xdr:rowOff>159656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54E31046-6586-4D01-B513-046E95779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19</xdr:col>
      <xdr:colOff>219075</xdr:colOff>
      <xdr:row>444</xdr:row>
      <xdr:rowOff>19050</xdr:rowOff>
    </xdr:from>
    <xdr:to>
      <xdr:col>26</xdr:col>
      <xdr:colOff>0</xdr:colOff>
      <xdr:row>467</xdr:row>
      <xdr:rowOff>36741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BF1D5F99-1DCF-4148-8138-8E1968EB2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19</xdr:col>
      <xdr:colOff>285750</xdr:colOff>
      <xdr:row>480</xdr:row>
      <xdr:rowOff>38100</xdr:rowOff>
    </xdr:from>
    <xdr:to>
      <xdr:col>26</xdr:col>
      <xdr:colOff>0</xdr:colOff>
      <xdr:row>502</xdr:row>
      <xdr:rowOff>133351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E42FFAE5-71A1-467C-994D-FAF68886D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19</xdr:col>
      <xdr:colOff>600075</xdr:colOff>
      <xdr:row>514</xdr:row>
      <xdr:rowOff>133350</xdr:rowOff>
    </xdr:from>
    <xdr:to>
      <xdr:col>25</xdr:col>
      <xdr:colOff>390525</xdr:colOff>
      <xdr:row>537</xdr:row>
      <xdr:rowOff>114300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C21C15DB-F621-4338-A42E-24784DB5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19</xdr:col>
      <xdr:colOff>428625</xdr:colOff>
      <xdr:row>549</xdr:row>
      <xdr:rowOff>114300</xdr:rowOff>
    </xdr:from>
    <xdr:to>
      <xdr:col>25</xdr:col>
      <xdr:colOff>219075</xdr:colOff>
      <xdr:row>572</xdr:row>
      <xdr:rowOff>95250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1EDC2A0D-013C-482F-8EB7-C36079614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19</xdr:col>
      <xdr:colOff>676275</xdr:colOff>
      <xdr:row>584</xdr:row>
      <xdr:rowOff>152400</xdr:rowOff>
    </xdr:from>
    <xdr:to>
      <xdr:col>25</xdr:col>
      <xdr:colOff>466725</xdr:colOff>
      <xdr:row>607</xdr:row>
      <xdr:rowOff>133350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726532C6-474C-40AF-B217-596B5E9F0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19</xdr:col>
      <xdr:colOff>134710</xdr:colOff>
      <xdr:row>86</xdr:row>
      <xdr:rowOff>56829</xdr:rowOff>
    </xdr:from>
    <xdr:to>
      <xdr:col>26</xdr:col>
      <xdr:colOff>0</xdr:colOff>
      <xdr:row>109</xdr:row>
      <xdr:rowOff>93569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37</xdr:col>
      <xdr:colOff>19050</xdr:colOff>
      <xdr:row>16</xdr:row>
      <xdr:rowOff>257175</xdr:rowOff>
    </xdr:from>
    <xdr:to>
      <xdr:col>43</xdr:col>
      <xdr:colOff>666069</xdr:colOff>
      <xdr:row>39</xdr:row>
      <xdr:rowOff>106815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683982-FEE7-4F05-B256-9D59C1D3D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36</xdr:col>
      <xdr:colOff>285750</xdr:colOff>
      <xdr:row>58</xdr:row>
      <xdr:rowOff>85725</xdr:rowOff>
    </xdr:from>
    <xdr:to>
      <xdr:col>44</xdr:col>
      <xdr:colOff>219075</xdr:colOff>
      <xdr:row>81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97A3D9-9676-4744-A1E8-8ABAC5A15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37</xdr:col>
      <xdr:colOff>28575</xdr:colOff>
      <xdr:row>100</xdr:row>
      <xdr:rowOff>133350</xdr:rowOff>
    </xdr:from>
    <xdr:to>
      <xdr:col>45</xdr:col>
      <xdr:colOff>122841</xdr:colOff>
      <xdr:row>125</xdr:row>
      <xdr:rowOff>162964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55F3651-A090-4898-B7A0-218E1F40C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0.4848</cdr:x>
      <cdr:y>0.15234</cdr:y>
    </cdr:from>
    <cdr:to>
      <cdr:x>0.84166</cdr:x>
      <cdr:y>0.29244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31290F1B-5F92-481C-836D-C62E178C3748}"/>
            </a:ext>
          </a:extLst>
        </cdr:cNvPr>
        <cdr:cNvSpPr txBox="1"/>
      </cdr:nvSpPr>
      <cdr:spPr>
        <a:xfrm xmlns:a="http://schemas.openxmlformats.org/drawingml/2006/main">
          <a:off x="2632075" y="688975"/>
          <a:ext cx="1937418" cy="63365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Armoring of greater than 75% will result in lateral migration</a:t>
          </a:r>
          <a:r>
            <a:rPr lang="en-US" sz="1100" baseline="0"/>
            <a:t> parameter score of 0.00.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0.1564</cdr:x>
      <cdr:y>0.29135</cdr:y>
    </cdr:from>
    <cdr:to>
      <cdr:x>0.37199</cdr:x>
      <cdr:y>0.4433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1294D2CF-F097-4E00-B02F-623E3127C1FB}"/>
            </a:ext>
          </a:extLst>
        </cdr:cNvPr>
        <cdr:cNvSpPr txBox="1"/>
      </cdr:nvSpPr>
      <cdr:spPr>
        <a:xfrm xmlns:a="http://schemas.openxmlformats.org/drawingml/2006/main">
          <a:off x="841375" y="1279525"/>
          <a:ext cx="1159779" cy="66732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Blue</a:t>
          </a:r>
          <a:r>
            <a:rPr lang="en-US" sz="1100" baseline="0"/>
            <a:t> portion of curve only used when BHR &gt;1.2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AS983"/>
  <sheetViews>
    <sheetView tabSelected="1" topLeftCell="A34" zoomScaleNormal="100" workbookViewId="0"/>
  </sheetViews>
  <sheetFormatPr defaultColWidth="9.28515625" defaultRowHeight="15" x14ac:dyDescent="0.25"/>
  <cols>
    <col min="1" max="1" width="5.28515625" customWidth="1"/>
    <col min="2" max="8" width="11.7109375" customWidth="1"/>
    <col min="9" max="9" width="4.5703125" style="25" customWidth="1"/>
    <col min="10" max="10" width="4.5703125" customWidth="1"/>
    <col min="11" max="11" width="12.7109375" customWidth="1"/>
    <col min="12" max="17" width="11.7109375" customWidth="1"/>
    <col min="18" max="18" width="4.5703125" style="25" customWidth="1"/>
    <col min="19" max="19" width="4.5703125" customWidth="1"/>
    <col min="20" max="20" width="22.7109375" customWidth="1"/>
    <col min="21" max="22" width="11.7109375" customWidth="1"/>
    <col min="23" max="23" width="13.28515625" customWidth="1"/>
    <col min="24" max="24" width="14.42578125" customWidth="1"/>
    <col min="25" max="25" width="14" customWidth="1"/>
    <col min="26" max="26" width="11.7109375" customWidth="1"/>
    <col min="27" max="27" width="4.7109375" style="25" customWidth="1"/>
    <col min="28" max="28" width="4.7109375" customWidth="1"/>
    <col min="29" max="29" width="15.28515625" customWidth="1"/>
    <col min="30" max="30" width="13.28515625" customWidth="1"/>
    <col min="31" max="35" width="11.7109375" customWidth="1"/>
    <col min="36" max="36" width="4.85546875" style="25" customWidth="1"/>
    <col min="37" max="37" width="4.85546875" customWidth="1"/>
    <col min="38" max="38" width="20.85546875" customWidth="1"/>
    <col min="39" max="44" width="11.7109375" customWidth="1"/>
    <col min="45" max="45" width="4.85546875" style="25" customWidth="1"/>
    <col min="46" max="46" width="4.85546875" customWidth="1"/>
    <col min="47" max="52" width="11.7109375" customWidth="1"/>
  </cols>
  <sheetData>
    <row r="1" spans="1:45" ht="19.5" customHeight="1" x14ac:dyDescent="0.25">
      <c r="A1" t="s">
        <v>106</v>
      </c>
      <c r="AB1" s="57"/>
      <c r="AC1" s="58"/>
      <c r="AD1" s="58"/>
      <c r="AE1" s="58"/>
      <c r="AF1" s="58"/>
      <c r="AG1" s="58"/>
      <c r="AH1" s="58"/>
      <c r="AI1" s="58"/>
      <c r="AJ1" s="59"/>
      <c r="AK1" s="58"/>
      <c r="AL1" s="58"/>
      <c r="AM1" s="58"/>
      <c r="AN1" s="58"/>
      <c r="AO1" s="58"/>
      <c r="AP1" s="58"/>
      <c r="AQ1" s="58"/>
      <c r="AR1" s="58"/>
      <c r="AS1" s="59"/>
    </row>
    <row r="2" spans="1:45" ht="19.5" customHeight="1" x14ac:dyDescent="0.25">
      <c r="AB2" s="57"/>
      <c r="AC2" s="58"/>
      <c r="AD2" s="58"/>
      <c r="AE2" s="58"/>
      <c r="AF2" s="58"/>
      <c r="AG2" s="58"/>
      <c r="AH2" s="58"/>
      <c r="AI2" s="58"/>
      <c r="AJ2" s="59"/>
      <c r="AK2" s="58"/>
      <c r="AL2" s="58"/>
      <c r="AM2" s="58"/>
      <c r="AN2" s="58"/>
      <c r="AO2" s="58"/>
      <c r="AP2" s="58"/>
      <c r="AQ2" s="58"/>
      <c r="AR2" s="58"/>
      <c r="AS2" s="59"/>
    </row>
    <row r="3" spans="1:45" x14ac:dyDescent="0.25">
      <c r="AB3" s="55"/>
      <c r="AC3" s="60"/>
      <c r="AD3" s="60"/>
      <c r="AE3" s="60"/>
      <c r="AF3" s="60"/>
      <c r="AG3" s="60"/>
      <c r="AH3" s="60"/>
      <c r="AI3" s="60"/>
      <c r="AJ3" s="74"/>
      <c r="AK3" s="60"/>
      <c r="AL3" s="60"/>
      <c r="AM3" s="60"/>
      <c r="AN3" s="60"/>
      <c r="AO3" s="60"/>
      <c r="AP3" s="60"/>
      <c r="AQ3" s="60"/>
      <c r="AR3" s="60"/>
      <c r="AS3" s="56"/>
    </row>
    <row r="5" spans="1:45" ht="15" customHeight="1" x14ac:dyDescent="0.25">
      <c r="B5" s="105" t="s">
        <v>41</v>
      </c>
      <c r="C5" s="105"/>
      <c r="D5" s="105"/>
      <c r="E5" s="105"/>
      <c r="F5" s="105"/>
      <c r="G5" s="105"/>
      <c r="H5" s="105"/>
      <c r="I5" s="31"/>
      <c r="J5" s="17"/>
      <c r="K5" s="105" t="s">
        <v>40</v>
      </c>
      <c r="L5" s="105"/>
      <c r="M5" s="105"/>
      <c r="N5" s="105"/>
      <c r="O5" s="105"/>
      <c r="P5" s="105"/>
      <c r="Q5" s="105"/>
      <c r="R5" s="31"/>
      <c r="T5" s="105" t="s">
        <v>42</v>
      </c>
      <c r="U5" s="105"/>
      <c r="V5" s="105"/>
      <c r="W5" s="105"/>
      <c r="X5" s="105"/>
      <c r="Y5" s="105"/>
      <c r="Z5" s="105"/>
      <c r="AA5" s="34"/>
      <c r="AB5" s="17"/>
      <c r="AC5" s="105" t="s">
        <v>43</v>
      </c>
      <c r="AD5" s="105"/>
      <c r="AE5" s="105"/>
      <c r="AF5" s="105"/>
      <c r="AG5" s="105"/>
      <c r="AH5" s="105"/>
      <c r="AI5" s="105"/>
      <c r="AJ5" s="34"/>
      <c r="AK5" s="1"/>
      <c r="AL5" s="105" t="s">
        <v>44</v>
      </c>
      <c r="AM5" s="105"/>
      <c r="AN5" s="105"/>
      <c r="AO5" s="105"/>
      <c r="AP5" s="105"/>
      <c r="AQ5" s="105"/>
      <c r="AR5" s="105"/>
    </row>
    <row r="6" spans="1:45" ht="15" customHeight="1" x14ac:dyDescent="0.25">
      <c r="A6" s="2"/>
      <c r="B6" s="105"/>
      <c r="C6" s="105"/>
      <c r="D6" s="105"/>
      <c r="E6" s="105"/>
      <c r="F6" s="105"/>
      <c r="G6" s="105"/>
      <c r="H6" s="105"/>
      <c r="I6" s="31"/>
      <c r="J6" s="17"/>
      <c r="K6" s="105"/>
      <c r="L6" s="105"/>
      <c r="M6" s="105"/>
      <c r="N6" s="105"/>
      <c r="O6" s="105"/>
      <c r="P6" s="105"/>
      <c r="Q6" s="105"/>
      <c r="R6" s="31"/>
      <c r="T6" s="105"/>
      <c r="U6" s="105"/>
      <c r="V6" s="105"/>
      <c r="W6" s="105"/>
      <c r="X6" s="105"/>
      <c r="Y6" s="105"/>
      <c r="Z6" s="105"/>
      <c r="AA6" s="34"/>
      <c r="AB6" s="17"/>
      <c r="AC6" s="105"/>
      <c r="AD6" s="105"/>
      <c r="AE6" s="105"/>
      <c r="AF6" s="105"/>
      <c r="AG6" s="105"/>
      <c r="AH6" s="105"/>
      <c r="AI6" s="105"/>
      <c r="AJ6" s="34"/>
      <c r="AK6" s="1"/>
      <c r="AL6" s="105"/>
      <c r="AM6" s="105"/>
      <c r="AN6" s="105"/>
      <c r="AO6" s="105"/>
      <c r="AP6" s="105"/>
      <c r="AQ6" s="105"/>
      <c r="AR6" s="105"/>
    </row>
    <row r="7" spans="1:45" x14ac:dyDescent="0.25">
      <c r="A7" s="2"/>
      <c r="B7" s="2"/>
      <c r="C7" s="2"/>
      <c r="D7" s="2"/>
      <c r="E7" s="2"/>
      <c r="F7" s="2"/>
      <c r="G7" s="2"/>
      <c r="H7" s="2"/>
      <c r="I7" s="32"/>
      <c r="J7" s="2"/>
    </row>
    <row r="8" spans="1:45" x14ac:dyDescent="0.25">
      <c r="K8" s="2"/>
      <c r="O8" s="1"/>
      <c r="P8" s="1"/>
      <c r="Q8" s="1"/>
      <c r="R8" s="26"/>
      <c r="S8" s="1"/>
      <c r="T8" s="1"/>
      <c r="U8" s="1"/>
      <c r="V8" s="1"/>
    </row>
    <row r="9" spans="1:45" ht="15.75" thickBot="1" x14ac:dyDescent="0.3">
      <c r="B9" t="s">
        <v>81</v>
      </c>
      <c r="K9" t="s">
        <v>194</v>
      </c>
      <c r="R9" s="26"/>
      <c r="T9" t="s">
        <v>7</v>
      </c>
      <c r="AC9" t="s">
        <v>203</v>
      </c>
      <c r="AL9" t="s">
        <v>126</v>
      </c>
    </row>
    <row r="10" spans="1:45" x14ac:dyDescent="0.25">
      <c r="B10" s="3" t="s">
        <v>4</v>
      </c>
      <c r="C10" s="84">
        <v>98</v>
      </c>
      <c r="D10" s="20"/>
      <c r="E10" s="20">
        <v>75</v>
      </c>
      <c r="F10" s="20"/>
      <c r="G10" s="20">
        <v>68</v>
      </c>
      <c r="H10" s="85">
        <v>55</v>
      </c>
      <c r="J10" s="16"/>
      <c r="K10" s="3" t="s">
        <v>4</v>
      </c>
      <c r="L10" s="4"/>
      <c r="M10" s="4"/>
      <c r="N10" s="11">
        <v>1.5</v>
      </c>
      <c r="O10" s="18"/>
      <c r="P10" s="4"/>
      <c r="Q10" s="35">
        <v>1</v>
      </c>
      <c r="R10" s="26"/>
      <c r="T10" s="3" t="s">
        <v>4</v>
      </c>
      <c r="U10" s="4">
        <v>0</v>
      </c>
      <c r="V10" s="4"/>
      <c r="W10" s="4"/>
      <c r="X10" s="4"/>
      <c r="Y10" s="4">
        <v>1350</v>
      </c>
      <c r="Z10" s="5">
        <v>2825</v>
      </c>
      <c r="AC10" s="3" t="s">
        <v>173</v>
      </c>
      <c r="AD10" s="88"/>
      <c r="AE10" s="88"/>
      <c r="AF10" s="88">
        <v>18.7</v>
      </c>
      <c r="AG10" s="88"/>
      <c r="AH10" s="88">
        <v>17</v>
      </c>
      <c r="AI10" s="89">
        <v>12.5</v>
      </c>
      <c r="AL10" s="3" t="s">
        <v>4</v>
      </c>
      <c r="AM10" s="69">
        <v>0</v>
      </c>
      <c r="AN10" s="69"/>
      <c r="AO10" s="69">
        <v>2.5</v>
      </c>
      <c r="AP10" s="69"/>
      <c r="AQ10" s="69">
        <v>5</v>
      </c>
      <c r="AR10" s="70">
        <v>7.5</v>
      </c>
    </row>
    <row r="11" spans="1:45" ht="15.75" thickBot="1" x14ac:dyDescent="0.3">
      <c r="B11" s="37" t="s">
        <v>5</v>
      </c>
      <c r="C11" s="86">
        <v>0</v>
      </c>
      <c r="D11" s="86">
        <v>0.28999999999999998</v>
      </c>
      <c r="E11" s="86">
        <v>0.3</v>
      </c>
      <c r="F11" s="86">
        <v>0.69</v>
      </c>
      <c r="G11" s="86">
        <v>0.7</v>
      </c>
      <c r="H11" s="87">
        <v>1</v>
      </c>
      <c r="J11" s="1"/>
      <c r="K11" s="37" t="s">
        <v>5</v>
      </c>
      <c r="L11" s="43">
        <v>0</v>
      </c>
      <c r="M11" s="43">
        <v>0.28999999999999998</v>
      </c>
      <c r="N11" s="43">
        <v>0.3</v>
      </c>
      <c r="O11" s="43">
        <v>0.69</v>
      </c>
      <c r="P11" s="43">
        <v>0.7</v>
      </c>
      <c r="Q11" s="44">
        <v>1</v>
      </c>
      <c r="R11" s="26"/>
      <c r="T11" s="37" t="s">
        <v>5</v>
      </c>
      <c r="U11" s="43">
        <v>0</v>
      </c>
      <c r="V11" s="43">
        <v>0.28999999999999998</v>
      </c>
      <c r="W11" s="43">
        <v>0.3</v>
      </c>
      <c r="X11" s="43">
        <v>0.69</v>
      </c>
      <c r="Y11" s="43">
        <v>0.7</v>
      </c>
      <c r="Z11" s="44">
        <v>1</v>
      </c>
      <c r="AC11" s="61" t="s">
        <v>169</v>
      </c>
      <c r="AD11" s="97"/>
      <c r="AE11" s="97"/>
      <c r="AF11" s="97"/>
      <c r="AG11" s="97"/>
      <c r="AH11" s="97">
        <v>18.7</v>
      </c>
      <c r="AI11" s="98">
        <v>17</v>
      </c>
      <c r="AL11" s="6" t="s">
        <v>5</v>
      </c>
      <c r="AM11" s="67">
        <v>0</v>
      </c>
      <c r="AN11" s="67">
        <v>0.28999999999999998</v>
      </c>
      <c r="AO11" s="67">
        <v>0.3</v>
      </c>
      <c r="AP11" s="67">
        <v>0.69</v>
      </c>
      <c r="AQ11" s="67">
        <v>0.7</v>
      </c>
      <c r="AR11" s="68">
        <v>1</v>
      </c>
    </row>
    <row r="12" spans="1:45" ht="15" customHeight="1" x14ac:dyDescent="0.25">
      <c r="B12" s="21"/>
      <c r="C12" s="7"/>
      <c r="D12" s="24"/>
      <c r="R12" s="26"/>
      <c r="V12" s="19"/>
      <c r="AC12" s="61" t="s">
        <v>170</v>
      </c>
      <c r="AD12" s="97"/>
      <c r="AE12" s="97"/>
      <c r="AF12" s="97"/>
      <c r="AG12" s="97"/>
      <c r="AH12" s="97">
        <v>20.5</v>
      </c>
      <c r="AI12" s="98">
        <v>18.7</v>
      </c>
    </row>
    <row r="13" spans="1:45" ht="22.15" customHeight="1" x14ac:dyDescent="0.25">
      <c r="B13" t="s">
        <v>82</v>
      </c>
      <c r="K13" t="s">
        <v>82</v>
      </c>
      <c r="N13" s="113" t="s">
        <v>212</v>
      </c>
      <c r="O13" s="113"/>
      <c r="R13" s="26"/>
      <c r="T13" s="13" t="s">
        <v>79</v>
      </c>
      <c r="AC13" s="61" t="s">
        <v>174</v>
      </c>
      <c r="AD13" s="97"/>
      <c r="AE13" s="97"/>
      <c r="AF13" s="97"/>
      <c r="AG13" s="97"/>
      <c r="AH13" s="97">
        <v>23</v>
      </c>
      <c r="AI13" s="98">
        <v>20.5</v>
      </c>
      <c r="AL13" s="13" t="s">
        <v>79</v>
      </c>
    </row>
    <row r="14" spans="1:45" ht="22.15" customHeight="1" thickBot="1" x14ac:dyDescent="0.3">
      <c r="C14" s="7" t="s">
        <v>62</v>
      </c>
      <c r="D14" s="7" t="s">
        <v>101</v>
      </c>
      <c r="E14" s="7" t="s">
        <v>48</v>
      </c>
      <c r="L14" t="s">
        <v>114</v>
      </c>
      <c r="N14" s="113"/>
      <c r="O14" s="113"/>
      <c r="T14" s="7"/>
      <c r="U14" s="7" t="s">
        <v>63</v>
      </c>
      <c r="V14" s="7" t="s">
        <v>48</v>
      </c>
      <c r="Z14" s="9"/>
      <c r="AC14" s="37" t="s">
        <v>5</v>
      </c>
      <c r="AD14" s="86">
        <v>0</v>
      </c>
      <c r="AE14" s="86">
        <v>0.28999999999999998</v>
      </c>
      <c r="AF14" s="86">
        <v>0.3</v>
      </c>
      <c r="AG14" s="86">
        <v>0.69</v>
      </c>
      <c r="AH14" s="86">
        <v>0.7</v>
      </c>
      <c r="AI14" s="87">
        <v>1</v>
      </c>
      <c r="AM14" s="7" t="s">
        <v>62</v>
      </c>
      <c r="AN14" s="7" t="s">
        <v>101</v>
      </c>
      <c r="AO14" s="7" t="s">
        <v>48</v>
      </c>
    </row>
    <row r="15" spans="1:45" x14ac:dyDescent="0.25">
      <c r="B15" s="7" t="s">
        <v>60</v>
      </c>
      <c r="C15" s="77">
        <f>SLOPE(C11:E11,C10:E10)</f>
        <v>-1.3043478260869565E-2</v>
      </c>
      <c r="D15" s="29">
        <f>SLOPE(E11:G11,E10:G10)</f>
        <v>-5.7142857142857141E-2</v>
      </c>
      <c r="E15" s="29">
        <f>SLOPE(G11:H11,G10:H10)</f>
        <v>-2.3076923076923078E-2</v>
      </c>
      <c r="K15" s="7" t="s">
        <v>60</v>
      </c>
      <c r="L15" s="24">
        <f>SLOPE(L11:Q11,L10:Q10)</f>
        <v>-1.4</v>
      </c>
      <c r="N15" t="s">
        <v>5</v>
      </c>
      <c r="O15" s="73">
        <f>L11</f>
        <v>0</v>
      </c>
      <c r="T15" s="7" t="s">
        <v>60</v>
      </c>
      <c r="U15" s="80">
        <f>SLOPE(U11:Y11,U10:Y10)</f>
        <v>5.1851851851851842E-4</v>
      </c>
      <c r="V15" s="80">
        <f>SLOPE(Y11:Z11,Y10:Z10)</f>
        <v>2.033898305084746E-4</v>
      </c>
      <c r="X15" s="53"/>
      <c r="Z15" s="9"/>
      <c r="AE15" s="18"/>
      <c r="AL15" s="7" t="s">
        <v>60</v>
      </c>
      <c r="AM15" s="62">
        <f>SLOPE(AM11:AO11,AM10:AO10)</f>
        <v>0.12</v>
      </c>
      <c r="AN15" s="62">
        <f>SLOPE(AO11:AQ11,AO10:AQ10)</f>
        <v>0.15999999999999998</v>
      </c>
      <c r="AO15" s="62">
        <f>SLOPE(AQ11:AR11,AQ10:AR10)</f>
        <v>0.12000000000000002</v>
      </c>
    </row>
    <row r="16" spans="1:45" x14ac:dyDescent="0.25">
      <c r="B16" s="7" t="s">
        <v>61</v>
      </c>
      <c r="C16" s="78">
        <f>INTERCEPT(C11:E11,C10:E10)</f>
        <v>1.2782608695652173</v>
      </c>
      <c r="D16" s="29">
        <f>INTERCEPT(E11:G11,E10:G10)</f>
        <v>4.5857142857142854</v>
      </c>
      <c r="E16" s="29">
        <f>INTERCEPT(G11:H11,G10:H10)</f>
        <v>2.2692307692307692</v>
      </c>
      <c r="K16" s="7" t="s">
        <v>61</v>
      </c>
      <c r="L16" s="30">
        <f>INTERCEPT(L11:Q11,L10:Q10)</f>
        <v>2.4</v>
      </c>
      <c r="N16" t="s">
        <v>4</v>
      </c>
      <c r="O16" s="75">
        <f>(O15-L16)/L15</f>
        <v>1.7142857142857144</v>
      </c>
      <c r="T16" s="7" t="s">
        <v>61</v>
      </c>
      <c r="U16" s="7">
        <v>0</v>
      </c>
      <c r="V16" s="81">
        <f>INTERCEPT(Y11:Z11,Y10:Z10)</f>
        <v>0.42542372881355928</v>
      </c>
      <c r="AC16" t="s">
        <v>67</v>
      </c>
      <c r="AL16" s="7" t="s">
        <v>61</v>
      </c>
      <c r="AM16" s="65">
        <f>INTERCEPT(AM11:AO11,AM10:AO10)</f>
        <v>0</v>
      </c>
      <c r="AN16" s="75">
        <f>INTERCEPT(AO11:AQ11,AO10:AQ10)</f>
        <v>-9.9999999999999867E-2</v>
      </c>
      <c r="AO16" s="75">
        <f>INTERCEPT(AQ11:AR11,AQ10:AR10)</f>
        <v>9.9999999999999867E-2</v>
      </c>
    </row>
    <row r="17" spans="4:41" ht="60" x14ac:dyDescent="0.25">
      <c r="D17" s="8"/>
      <c r="M17" s="8"/>
      <c r="AD17" s="51" t="s">
        <v>175</v>
      </c>
      <c r="AE17" s="51" t="s">
        <v>180</v>
      </c>
      <c r="AF17" s="51" t="s">
        <v>191</v>
      </c>
      <c r="AG17" s="51" t="s">
        <v>192</v>
      </c>
      <c r="AH17" s="51" t="s">
        <v>193</v>
      </c>
    </row>
    <row r="18" spans="4:41" x14ac:dyDescent="0.25">
      <c r="AC18" s="7" t="s">
        <v>60</v>
      </c>
      <c r="AD18" s="29">
        <f>SLOPE(AH14:AI14,AH10:AI10)</f>
        <v>-6.6666666666666666E-2</v>
      </c>
      <c r="AE18" s="29">
        <f>SLOPE(AD14:AH14,AD10:AH10)</f>
        <v>-0.23529411764705893</v>
      </c>
      <c r="AF18" s="29">
        <f>SLOPE(AH14:AI14,AH11:AI11)</f>
        <v>-0.17647058823529421</v>
      </c>
      <c r="AG18" s="29">
        <f>SLOPE(AH14:AI14,AH12:AI12)</f>
        <v>-0.16666666666666663</v>
      </c>
      <c r="AH18" s="62">
        <f>SLOPE(AH14:AI14,AH13:AI13)</f>
        <v>-0.12000000000000002</v>
      </c>
    </row>
    <row r="19" spans="4:41" x14ac:dyDescent="0.25">
      <c r="AC19" s="7" t="s">
        <v>61</v>
      </c>
      <c r="AD19" s="29">
        <f>INTERCEPT(AH14:AI14,AH10:AI10)</f>
        <v>1.8333333333333333</v>
      </c>
      <c r="AE19" s="75">
        <f>INTERCEPT(AD14:AH14,AD10:AH10)</f>
        <v>4.700000000000002</v>
      </c>
      <c r="AF19" s="65">
        <f>INTERCEPT(AH14:AI14,AH11:AI11)</f>
        <v>4.0000000000000018</v>
      </c>
      <c r="AG19" s="29">
        <f>INTERCEPT(AH14:AI14,AH12:AI12)</f>
        <v>4.1166666666666663</v>
      </c>
      <c r="AH19" s="62">
        <f>INTERCEPT(AH14:AI14,AH13:AI13)</f>
        <v>3.4600000000000004</v>
      </c>
    </row>
    <row r="20" spans="4:41" x14ac:dyDescent="0.25">
      <c r="AC20" t="s">
        <v>212</v>
      </c>
    </row>
    <row r="21" spans="4:41" x14ac:dyDescent="0.25">
      <c r="AC21" t="s">
        <v>5</v>
      </c>
      <c r="AE21" s="73">
        <f>$AD$14</f>
        <v>0</v>
      </c>
      <c r="AF21" s="73">
        <f>$AD$14</f>
        <v>0</v>
      </c>
      <c r="AG21" s="73">
        <f>$AD$14</f>
        <v>0</v>
      </c>
      <c r="AH21" s="73">
        <f>$AD$14</f>
        <v>0</v>
      </c>
    </row>
    <row r="22" spans="4:41" x14ac:dyDescent="0.25">
      <c r="AC22" t="s">
        <v>4</v>
      </c>
      <c r="AE22" s="75">
        <f>(AE21-AE19)/AE18</f>
        <v>19.974999999999998</v>
      </c>
      <c r="AF22" s="75">
        <f>(AF21-AF19)/AF18</f>
        <v>22.666666666666664</v>
      </c>
      <c r="AG22" s="75">
        <f>(AG21-AG19)/AG18</f>
        <v>24.700000000000003</v>
      </c>
      <c r="AH22" s="75">
        <f>(AH21-AH19)/AH18</f>
        <v>28.833333333333332</v>
      </c>
    </row>
    <row r="29" spans="4:41" x14ac:dyDescent="0.25">
      <c r="AO29" s="8"/>
    </row>
    <row r="30" spans="4:41" x14ac:dyDescent="0.25">
      <c r="AN30" s="8"/>
    </row>
    <row r="43" spans="2:44" ht="15.75" thickBot="1" x14ac:dyDescent="0.3">
      <c r="B43" t="s">
        <v>182</v>
      </c>
      <c r="K43" t="s">
        <v>184</v>
      </c>
      <c r="T43" t="s">
        <v>195</v>
      </c>
    </row>
    <row r="44" spans="2:44" ht="15.75" thickBot="1" x14ac:dyDescent="0.3">
      <c r="B44" s="3" t="s">
        <v>4</v>
      </c>
      <c r="C44" s="41">
        <v>1</v>
      </c>
      <c r="D44" s="20"/>
      <c r="E44" s="20">
        <v>0.6</v>
      </c>
      <c r="F44" s="20"/>
      <c r="G44" s="41"/>
      <c r="H44" s="42">
        <v>0</v>
      </c>
      <c r="I44" s="33"/>
      <c r="K44" s="3" t="s">
        <v>4</v>
      </c>
      <c r="L44" s="88">
        <v>1</v>
      </c>
      <c r="M44" s="88"/>
      <c r="N44" s="88"/>
      <c r="O44" s="88"/>
      <c r="P44" s="88">
        <v>2.2000000000000002</v>
      </c>
      <c r="Q44" s="89">
        <v>5</v>
      </c>
      <c r="T44" s="3" t="s">
        <v>4</v>
      </c>
      <c r="U44" s="4">
        <v>0</v>
      </c>
      <c r="V44" s="4"/>
      <c r="W44" s="4"/>
      <c r="X44" s="4"/>
      <c r="Y44" s="4">
        <v>90</v>
      </c>
      <c r="Z44" s="5">
        <v>171</v>
      </c>
      <c r="AL44" t="s">
        <v>127</v>
      </c>
    </row>
    <row r="45" spans="2:44" ht="15.75" thickBot="1" x14ac:dyDescent="0.3">
      <c r="B45" s="37" t="s">
        <v>5</v>
      </c>
      <c r="C45" s="86">
        <v>0</v>
      </c>
      <c r="D45" s="86">
        <v>0.28999999999999998</v>
      </c>
      <c r="E45" s="86">
        <v>0.3</v>
      </c>
      <c r="F45" s="86">
        <v>0.69</v>
      </c>
      <c r="G45" s="86">
        <v>0.7</v>
      </c>
      <c r="H45" s="87">
        <v>1</v>
      </c>
      <c r="I45" s="33"/>
      <c r="K45" s="37" t="s">
        <v>5</v>
      </c>
      <c r="L45" s="86">
        <v>0</v>
      </c>
      <c r="M45" s="86">
        <v>0.28999999999999998</v>
      </c>
      <c r="N45" s="86">
        <v>0.3</v>
      </c>
      <c r="O45" s="86">
        <v>0.69</v>
      </c>
      <c r="P45" s="86">
        <v>0.7</v>
      </c>
      <c r="Q45" s="87">
        <v>1</v>
      </c>
      <c r="T45" s="37" t="s">
        <v>5</v>
      </c>
      <c r="U45" s="43">
        <v>0</v>
      </c>
      <c r="V45" s="43">
        <v>0.28999999999999998</v>
      </c>
      <c r="W45" s="43">
        <v>0.3</v>
      </c>
      <c r="X45" s="43">
        <v>0.69</v>
      </c>
      <c r="Y45" s="43">
        <v>0.7</v>
      </c>
      <c r="Z45" s="44">
        <v>1</v>
      </c>
      <c r="AC45" t="s">
        <v>124</v>
      </c>
      <c r="AL45" s="3" t="s">
        <v>46</v>
      </c>
      <c r="AM45" s="63">
        <v>0</v>
      </c>
      <c r="AN45" s="63"/>
      <c r="AO45" s="63">
        <v>30</v>
      </c>
      <c r="AP45" s="63"/>
      <c r="AQ45" s="63">
        <v>60</v>
      </c>
      <c r="AR45" s="64">
        <v>90</v>
      </c>
    </row>
    <row r="46" spans="2:44" ht="30" x14ac:dyDescent="0.25">
      <c r="I46" s="33"/>
      <c r="U46" s="19"/>
      <c r="V46" s="18"/>
      <c r="AC46" s="3" t="s">
        <v>176</v>
      </c>
      <c r="AD46" s="94"/>
      <c r="AE46" s="95"/>
      <c r="AF46" s="92">
        <v>2</v>
      </c>
      <c r="AG46" s="95"/>
      <c r="AH46" s="96">
        <v>1</v>
      </c>
      <c r="AI46" s="93"/>
      <c r="AL46" s="61" t="s">
        <v>172</v>
      </c>
      <c r="AM46" s="65">
        <v>0</v>
      </c>
      <c r="AN46" s="65"/>
      <c r="AO46" s="65">
        <v>30</v>
      </c>
      <c r="AP46" s="65"/>
      <c r="AQ46" s="65">
        <v>50</v>
      </c>
      <c r="AR46" s="66">
        <v>70</v>
      </c>
    </row>
    <row r="47" spans="2:44" ht="15.75" thickBot="1" x14ac:dyDescent="0.3">
      <c r="B47" t="s">
        <v>67</v>
      </c>
      <c r="J47" s="1"/>
      <c r="K47" t="s">
        <v>67</v>
      </c>
      <c r="T47" s="13" t="s">
        <v>79</v>
      </c>
      <c r="AC47" s="37" t="s">
        <v>5</v>
      </c>
      <c r="AD47" s="86">
        <v>0</v>
      </c>
      <c r="AE47" s="86">
        <v>0.28999999999999998</v>
      </c>
      <c r="AF47" s="86">
        <v>0.3</v>
      </c>
      <c r="AG47" s="86">
        <v>0.69</v>
      </c>
      <c r="AH47" s="86">
        <v>0.7</v>
      </c>
      <c r="AI47" s="87">
        <v>1</v>
      </c>
      <c r="AL47" s="61" t="s">
        <v>47</v>
      </c>
      <c r="AM47" s="65">
        <v>0</v>
      </c>
      <c r="AN47" s="65"/>
      <c r="AO47" s="65">
        <v>30</v>
      </c>
      <c r="AP47" s="65"/>
      <c r="AQ47" s="65">
        <v>50</v>
      </c>
      <c r="AR47" s="66">
        <v>65</v>
      </c>
    </row>
    <row r="48" spans="2:44" ht="15.75" thickBot="1" x14ac:dyDescent="0.3">
      <c r="B48" s="7"/>
      <c r="C48" s="7" t="s">
        <v>62</v>
      </c>
      <c r="D48" s="7" t="s">
        <v>113</v>
      </c>
      <c r="J48" s="1"/>
      <c r="K48" s="7"/>
      <c r="L48" s="7" t="s">
        <v>63</v>
      </c>
      <c r="M48" s="7" t="s">
        <v>48</v>
      </c>
      <c r="T48" s="7"/>
      <c r="U48" s="7" t="s">
        <v>63</v>
      </c>
      <c r="V48" s="7" t="s">
        <v>48</v>
      </c>
      <c r="W48" s="7"/>
      <c r="AD48" s="9"/>
      <c r="AF48" s="15"/>
      <c r="AG48" s="15"/>
      <c r="AH48" s="15"/>
      <c r="AI48" s="15"/>
      <c r="AL48" s="6" t="s">
        <v>5</v>
      </c>
      <c r="AM48" s="67">
        <v>0</v>
      </c>
      <c r="AN48" s="67">
        <v>0.28999999999999998</v>
      </c>
      <c r="AO48" s="67">
        <v>0.3</v>
      </c>
      <c r="AP48" s="67">
        <v>0.69</v>
      </c>
      <c r="AQ48" s="67">
        <v>0.7</v>
      </c>
      <c r="AR48" s="68">
        <v>1</v>
      </c>
    </row>
    <row r="49" spans="2:44" ht="30" x14ac:dyDescent="0.25">
      <c r="B49" s="7" t="s">
        <v>60</v>
      </c>
      <c r="C49" s="62">
        <f>SLOPE(C45:E45,C44:E44)</f>
        <v>-0.74999999999999978</v>
      </c>
      <c r="D49" s="29">
        <f>SLOPE(E45:H45,E44:H44)</f>
        <v>-1.1666666666666667</v>
      </c>
      <c r="K49" s="7" t="s">
        <v>60</v>
      </c>
      <c r="L49" s="76">
        <f>SLOPE(L45:P45,L44:P44)</f>
        <v>0.58333333333333326</v>
      </c>
      <c r="M49" s="76">
        <f>SLOPE(P45:Q45,P44:Q44)</f>
        <v>0.10714285714285716</v>
      </c>
      <c r="T49" s="7" t="s">
        <v>60</v>
      </c>
      <c r="U49" s="29">
        <f>SLOPE(U45:Y45,U44:Y44)</f>
        <v>7.7777777777777767E-3</v>
      </c>
      <c r="V49" s="29">
        <f>SLOPE(Y45:Z45,Y44:Z44)</f>
        <v>3.7037037037037043E-3</v>
      </c>
      <c r="W49" s="7"/>
      <c r="X49" s="100"/>
      <c r="AC49" s="51" t="s">
        <v>67</v>
      </c>
      <c r="AD49" s="7" t="s">
        <v>114</v>
      </c>
      <c r="AF49" s="113" t="s">
        <v>212</v>
      </c>
      <c r="AG49" s="113"/>
      <c r="AH49" s="113"/>
    </row>
    <row r="50" spans="2:44" x14ac:dyDescent="0.25">
      <c r="B50" s="7" t="s">
        <v>61</v>
      </c>
      <c r="C50" s="62">
        <f>INTERCEPT(C45:E45,C44:E44)</f>
        <v>0.74999999999999989</v>
      </c>
      <c r="D50" s="65">
        <f>INTERCEPT(E45:H45,E44:H44)</f>
        <v>1</v>
      </c>
      <c r="K50" s="7" t="s">
        <v>61</v>
      </c>
      <c r="L50" s="76">
        <f>INTERCEPT(L45:P45,L44:P44)</f>
        <v>-0.58333333333333326</v>
      </c>
      <c r="M50" s="76">
        <f>INTERCEPT(P45:Q45,P44:Q44)</f>
        <v>0.46428571428571419</v>
      </c>
      <c r="T50" s="7" t="s">
        <v>61</v>
      </c>
      <c r="U50" s="7">
        <f>INTERCEPT(U45:Y45,U44:Y44)</f>
        <v>0</v>
      </c>
      <c r="V50" s="29">
        <f>INTERCEPT(Y45:Z45,Y44:Z44)</f>
        <v>0.36666666666666659</v>
      </c>
      <c r="W50" s="7"/>
      <c r="X50" s="53"/>
      <c r="AC50" s="7" t="s">
        <v>60</v>
      </c>
      <c r="AD50" s="7">
        <f>SLOPE(AD47:AI47,AD46:AI46)</f>
        <v>-0.39999999999999997</v>
      </c>
      <c r="AF50" t="s">
        <v>5</v>
      </c>
      <c r="AG50" s="73">
        <f>$AD$47</f>
        <v>0</v>
      </c>
      <c r="AH50" s="73">
        <f>$AI$47</f>
        <v>1</v>
      </c>
      <c r="AL50" s="13" t="s">
        <v>79</v>
      </c>
    </row>
    <row r="51" spans="2:44" x14ac:dyDescent="0.25">
      <c r="D51" s="8"/>
      <c r="K51" s="7"/>
      <c r="M51" s="8"/>
      <c r="AC51" s="7" t="s">
        <v>61</v>
      </c>
      <c r="AD51" s="7">
        <f>INTERCEPT(AD47:AI47,AD46:AI46)</f>
        <v>1.1000000000000001</v>
      </c>
      <c r="AF51" t="s">
        <v>4</v>
      </c>
      <c r="AG51" s="7">
        <f>(AG50-AD51)/AD50</f>
        <v>2.7500000000000004</v>
      </c>
      <c r="AH51" s="7">
        <f>(AH50-AD51)/AD50</f>
        <v>0.25000000000000022</v>
      </c>
      <c r="AM51" s="101" t="s">
        <v>46</v>
      </c>
      <c r="AN51" s="104"/>
      <c r="AO51" s="102"/>
      <c r="AP51" s="101" t="s">
        <v>172</v>
      </c>
      <c r="AQ51" s="104"/>
      <c r="AR51" s="102"/>
    </row>
    <row r="52" spans="2:44" x14ac:dyDescent="0.25">
      <c r="AM52" s="7" t="s">
        <v>62</v>
      </c>
      <c r="AN52" s="7" t="s">
        <v>101</v>
      </c>
      <c r="AO52" s="7" t="s">
        <v>48</v>
      </c>
      <c r="AP52" s="7" t="s">
        <v>62</v>
      </c>
      <c r="AQ52" s="7" t="s">
        <v>101</v>
      </c>
      <c r="AR52" s="7" t="s">
        <v>48</v>
      </c>
    </row>
    <row r="53" spans="2:44" x14ac:dyDescent="0.25">
      <c r="AL53" s="7" t="s">
        <v>60</v>
      </c>
      <c r="AM53" s="62">
        <f>SLOPE(AM48:AO48,AM45:AO45)</f>
        <v>0.01</v>
      </c>
      <c r="AN53" s="29">
        <f>SLOPE(AO48:AQ48,AO45:AQ45)</f>
        <v>1.3333333333333331E-2</v>
      </c>
      <c r="AO53" s="62">
        <f>SLOPE(AQ48:AR48,AQ45:AR45)</f>
        <v>1.0000000000000002E-2</v>
      </c>
      <c r="AP53" s="62">
        <f>SLOPE(AM48:AO48,AM46:AO46)</f>
        <v>0.01</v>
      </c>
      <c r="AQ53" s="62">
        <f>SLOPE(AO48:AQ48,AO46:AQ46)</f>
        <v>1.9999999999999997E-2</v>
      </c>
      <c r="AR53" s="76">
        <f>SLOPE(AQ48:AR48,AQ46:AR46)</f>
        <v>1.5000000000000003E-2</v>
      </c>
    </row>
    <row r="54" spans="2:44" x14ac:dyDescent="0.25">
      <c r="AL54" s="7" t="s">
        <v>61</v>
      </c>
      <c r="AM54" s="65">
        <f>INTERCEPT(AM48:AO48,AM45:AO45)</f>
        <v>0</v>
      </c>
      <c r="AN54" s="62">
        <f>INTERCEPT(AO48:AQ48,AO45:AQ45)</f>
        <v>-9.9999999999999867E-2</v>
      </c>
      <c r="AO54" s="62">
        <f>INTERCEPT(AQ48:AR48,AQ45:AR45)</f>
        <v>9.9999999999999867E-2</v>
      </c>
      <c r="AP54" s="65">
        <f>INTERCEPT(AM48:AO48,AM46:AO46)</f>
        <v>0</v>
      </c>
      <c r="AQ54" s="62">
        <f>INTERCEPT(AO48:AQ48,AO46:AQ46)</f>
        <v>-0.29999999999999982</v>
      </c>
      <c r="AR54" s="62">
        <f>INTERCEPT(AQ48:AR48,AQ46:AR46)</f>
        <v>-5.0000000000000155E-2</v>
      </c>
    </row>
    <row r="55" spans="2:44" x14ac:dyDescent="0.25">
      <c r="AM55" s="101" t="s">
        <v>47</v>
      </c>
      <c r="AN55" s="104"/>
      <c r="AO55" s="102"/>
    </row>
    <row r="56" spans="2:44" x14ac:dyDescent="0.25">
      <c r="AM56" s="7" t="s">
        <v>62</v>
      </c>
      <c r="AN56" s="7" t="s">
        <v>101</v>
      </c>
      <c r="AO56" s="7" t="s">
        <v>48</v>
      </c>
    </row>
    <row r="57" spans="2:44" x14ac:dyDescent="0.25">
      <c r="AL57" s="7" t="s">
        <v>60</v>
      </c>
      <c r="AM57" s="62">
        <f>SLOPE(AM48:AO48,AM47:AO47)</f>
        <v>0.01</v>
      </c>
      <c r="AN57" s="62">
        <f>SLOPE(AO48:AQ48,AO47:AQ47)</f>
        <v>1.9999999999999997E-2</v>
      </c>
      <c r="AO57" s="62">
        <f>SLOPE(AQ48:AR48,AQ47:AR47)</f>
        <v>2.0000000000000004E-2</v>
      </c>
    </row>
    <row r="58" spans="2:44" x14ac:dyDescent="0.25">
      <c r="AL58" s="7" t="s">
        <v>61</v>
      </c>
      <c r="AM58" s="65">
        <f>INTERCEPT(AM48:AO48,AM47:AO47)</f>
        <v>0</v>
      </c>
      <c r="AN58" s="62">
        <f>INTERCEPT(AO48:AQ48,AO47:AQ47)</f>
        <v>-0.29999999999999982</v>
      </c>
      <c r="AO58" s="62">
        <f>INTERCEPT(AQ48:AR48,AQ47:AR47)</f>
        <v>-0.30000000000000016</v>
      </c>
    </row>
    <row r="66" spans="9:36" x14ac:dyDescent="0.25">
      <c r="K66" s="2"/>
    </row>
    <row r="76" spans="9:36" ht="15.75" thickBot="1" x14ac:dyDescent="0.3">
      <c r="K76" t="s">
        <v>185</v>
      </c>
      <c r="AJ76" s="28"/>
    </row>
    <row r="77" spans="9:36" x14ac:dyDescent="0.25">
      <c r="I77" s="26"/>
      <c r="K77" s="3" t="s">
        <v>4</v>
      </c>
      <c r="L77" s="11">
        <v>1</v>
      </c>
      <c r="M77" s="11"/>
      <c r="N77" s="11"/>
      <c r="O77" s="11"/>
      <c r="P77" s="11">
        <v>2.2000000000000002</v>
      </c>
      <c r="Q77" s="35">
        <v>9</v>
      </c>
    </row>
    <row r="78" spans="9:36" ht="15.75" thickBot="1" x14ac:dyDescent="0.3">
      <c r="I78" s="26"/>
      <c r="K78" s="37" t="s">
        <v>5</v>
      </c>
      <c r="L78" s="43">
        <v>0</v>
      </c>
      <c r="M78" s="43">
        <v>0.28999999999999998</v>
      </c>
      <c r="N78" s="43">
        <v>0.3</v>
      </c>
      <c r="O78" s="43">
        <v>0.69</v>
      </c>
      <c r="P78" s="43">
        <v>0.7</v>
      </c>
      <c r="Q78" s="44">
        <v>1</v>
      </c>
      <c r="T78" t="s">
        <v>196</v>
      </c>
      <c r="AC78" t="s">
        <v>125</v>
      </c>
    </row>
    <row r="79" spans="9:36" x14ac:dyDescent="0.25">
      <c r="I79" s="26"/>
      <c r="T79" s="3" t="s">
        <v>4</v>
      </c>
      <c r="U79" s="4">
        <v>50</v>
      </c>
      <c r="V79" s="4"/>
      <c r="W79" s="4"/>
      <c r="X79" s="4"/>
      <c r="Y79" s="4">
        <v>11</v>
      </c>
      <c r="Z79" s="5">
        <v>5</v>
      </c>
      <c r="AC79" s="3" t="s">
        <v>4</v>
      </c>
      <c r="AD79" s="92"/>
      <c r="AE79" s="92"/>
      <c r="AF79" s="92">
        <v>150</v>
      </c>
      <c r="AG79" s="92"/>
      <c r="AH79" s="92">
        <v>75</v>
      </c>
      <c r="AI79" s="93"/>
    </row>
    <row r="80" spans="9:36" ht="15.75" thickBot="1" x14ac:dyDescent="0.3">
      <c r="K80" t="s">
        <v>67</v>
      </c>
      <c r="T80" s="6" t="s">
        <v>5</v>
      </c>
      <c r="U80" s="43">
        <v>0</v>
      </c>
      <c r="V80" s="43">
        <v>0.28999999999999998</v>
      </c>
      <c r="W80" s="43">
        <v>0.3</v>
      </c>
      <c r="X80" s="43">
        <v>0.69</v>
      </c>
      <c r="Y80" s="43">
        <v>0.7</v>
      </c>
      <c r="Z80" s="44">
        <v>1</v>
      </c>
      <c r="AC80" s="6" t="s">
        <v>5</v>
      </c>
      <c r="AD80" s="86">
        <v>0</v>
      </c>
      <c r="AE80" s="86">
        <v>0.28999999999999998</v>
      </c>
      <c r="AF80" s="86">
        <v>0.3</v>
      </c>
      <c r="AG80" s="86">
        <v>0.69</v>
      </c>
      <c r="AH80" s="86">
        <v>0.7</v>
      </c>
      <c r="AI80" s="87">
        <v>1</v>
      </c>
    </row>
    <row r="81" spans="11:44" x14ac:dyDescent="0.25">
      <c r="K81" s="7"/>
      <c r="L81" s="7" t="s">
        <v>63</v>
      </c>
      <c r="M81" s="7" t="s">
        <v>48</v>
      </c>
    </row>
    <row r="82" spans="11:44" x14ac:dyDescent="0.25">
      <c r="K82" s="7" t="s">
        <v>60</v>
      </c>
      <c r="L82" s="76">
        <f>SLOPE(L78:P78,L77:P77)</f>
        <v>0.58333333333333326</v>
      </c>
      <c r="M82" s="76">
        <f>SLOPE(P78:Q78,P77:Q77)</f>
        <v>4.4117647058823532E-2</v>
      </c>
      <c r="T82" s="13" t="s">
        <v>67</v>
      </c>
      <c r="AC82" s="13" t="s">
        <v>179</v>
      </c>
      <c r="AF82" t="s">
        <v>177</v>
      </c>
      <c r="AG82" s="7">
        <v>0.3</v>
      </c>
      <c r="AH82" s="7">
        <v>0.7</v>
      </c>
    </row>
    <row r="83" spans="11:44" x14ac:dyDescent="0.25">
      <c r="K83" s="7" t="s">
        <v>61</v>
      </c>
      <c r="L83" s="76">
        <f>INTERCEPT(L78:P78,L77:P77)</f>
        <v>-0.58333333333333326</v>
      </c>
      <c r="M83" s="76">
        <f>INTERCEPT(P78:Q78,P77:Q77)</f>
        <v>0.6029411764705882</v>
      </c>
      <c r="T83" s="79"/>
      <c r="U83" s="79" t="s">
        <v>63</v>
      </c>
      <c r="V83" s="79" t="s">
        <v>48</v>
      </c>
      <c r="AC83" s="7" t="s">
        <v>60</v>
      </c>
      <c r="AD83" s="76" cm="1">
        <f t="array" ref="AD83">SLOPE(AG82:AH82,LN(AG83:AH83))</f>
        <v>-0.57707801635558531</v>
      </c>
      <c r="AE83" s="75"/>
      <c r="AG83" s="7">
        <v>150</v>
      </c>
      <c r="AH83" s="7">
        <v>75</v>
      </c>
    </row>
    <row r="84" spans="11:44" ht="30.4" customHeight="1" thickBot="1" x14ac:dyDescent="0.3">
      <c r="K84" s="7"/>
      <c r="M84" s="8"/>
      <c r="T84" s="79" t="s">
        <v>60</v>
      </c>
      <c r="U84" s="82">
        <f>SLOPE(U80:Y80,U79:Y79)</f>
        <v>-1.7948717948717947E-2</v>
      </c>
      <c r="V84" s="79">
        <f>SLOPE(Y80:Z80,Y79:Z79)</f>
        <v>-5.000000000000001E-2</v>
      </c>
      <c r="AC84" s="7" t="s">
        <v>61</v>
      </c>
      <c r="AD84" s="29" cm="1">
        <f t="array" ref="AD84">INTERCEPT(AG82:AH82,LN(AG83:AH83))</f>
        <v>3.1915274761983521</v>
      </c>
      <c r="AE84" s="7"/>
      <c r="AF84" s="114" t="s">
        <v>212</v>
      </c>
      <c r="AG84" s="114"/>
      <c r="AH84" s="114"/>
      <c r="AI84" s="1"/>
      <c r="AL84" t="s">
        <v>178</v>
      </c>
    </row>
    <row r="85" spans="11:44" ht="30" x14ac:dyDescent="0.25">
      <c r="T85" s="79" t="s">
        <v>61</v>
      </c>
      <c r="U85" s="82">
        <f>INTERCEPT(U80:Y80,U79:Y79)</f>
        <v>0.89743589743589736</v>
      </c>
      <c r="V85" s="79">
        <f>INTERCEPT(Y80:Z80,Y79:Z79)</f>
        <v>1.25</v>
      </c>
      <c r="AD85" s="7"/>
      <c r="AE85" s="7"/>
      <c r="AF85" t="s">
        <v>5</v>
      </c>
      <c r="AG85" s="73">
        <f>$AD$47</f>
        <v>0</v>
      </c>
      <c r="AH85" s="73">
        <f>$AI$47</f>
        <v>1</v>
      </c>
      <c r="AL85" s="99" t="s">
        <v>204</v>
      </c>
      <c r="AM85" s="63">
        <v>0</v>
      </c>
      <c r="AN85" s="63"/>
      <c r="AO85" s="63"/>
      <c r="AP85" s="63"/>
      <c r="AQ85" s="63">
        <v>28</v>
      </c>
      <c r="AR85" s="64">
        <v>98</v>
      </c>
    </row>
    <row r="86" spans="11:44" ht="30" x14ac:dyDescent="0.25">
      <c r="T86" s="7"/>
      <c r="W86" s="9"/>
      <c r="AF86" t="s">
        <v>4</v>
      </c>
      <c r="AG86" s="29">
        <f>EXP((AG85-AD84)/AD83)</f>
        <v>252.26892457611444</v>
      </c>
      <c r="AH86" s="29">
        <f>EXP((AH85-AD84)/AD83)</f>
        <v>44.595266812602041</v>
      </c>
      <c r="AL86" s="49" t="s">
        <v>205</v>
      </c>
      <c r="AM86" s="7">
        <v>0</v>
      </c>
      <c r="AN86" s="7"/>
      <c r="AO86" s="7"/>
      <c r="AP86" s="7"/>
      <c r="AQ86" s="7">
        <v>533</v>
      </c>
      <c r="AR86" s="71">
        <v>1860</v>
      </c>
    </row>
    <row r="87" spans="11:44" ht="30" x14ac:dyDescent="0.25">
      <c r="T87" s="7"/>
      <c r="W87" s="8"/>
      <c r="AE87" s="8"/>
      <c r="AL87" s="49" t="s">
        <v>206</v>
      </c>
      <c r="AM87" s="7">
        <v>0</v>
      </c>
      <c r="AN87" s="7"/>
      <c r="AO87" s="7"/>
      <c r="AP87" s="7"/>
      <c r="AQ87" s="7">
        <v>380</v>
      </c>
      <c r="AR87" s="71">
        <v>1306</v>
      </c>
    </row>
    <row r="88" spans="11:44" x14ac:dyDescent="0.25">
      <c r="V88" s="8"/>
      <c r="AL88" s="61" t="s">
        <v>209</v>
      </c>
      <c r="AM88" s="7">
        <v>0</v>
      </c>
      <c r="AQ88" s="7">
        <v>300</v>
      </c>
      <c r="AR88" s="71">
        <v>900</v>
      </c>
    </row>
    <row r="89" spans="11:44" x14ac:dyDescent="0.25">
      <c r="AL89" s="61" t="s">
        <v>210</v>
      </c>
      <c r="AM89" s="7">
        <v>0</v>
      </c>
      <c r="AQ89" s="7">
        <v>100</v>
      </c>
      <c r="AR89" s="71">
        <v>220</v>
      </c>
    </row>
    <row r="90" spans="11:44" ht="15.75" thickBot="1" x14ac:dyDescent="0.3">
      <c r="AL90" s="6" t="s">
        <v>5</v>
      </c>
      <c r="AM90" s="67">
        <v>0</v>
      </c>
      <c r="AN90" s="67">
        <v>0.28999999999999998</v>
      </c>
      <c r="AO90" s="67">
        <v>0.3</v>
      </c>
      <c r="AP90" s="67">
        <v>0.69</v>
      </c>
      <c r="AQ90" s="67">
        <v>0.7</v>
      </c>
      <c r="AR90" s="68">
        <v>1</v>
      </c>
    </row>
    <row r="92" spans="11:44" x14ac:dyDescent="0.25">
      <c r="AL92" s="13" t="s">
        <v>79</v>
      </c>
    </row>
    <row r="93" spans="11:44" x14ac:dyDescent="0.25">
      <c r="AM93" s="106" t="s">
        <v>204</v>
      </c>
      <c r="AN93" s="106"/>
      <c r="AO93" s="106" t="s">
        <v>205</v>
      </c>
      <c r="AP93" s="106"/>
      <c r="AQ93" s="107" t="s">
        <v>206</v>
      </c>
      <c r="AR93" s="108"/>
    </row>
    <row r="94" spans="11:44" x14ac:dyDescent="0.25">
      <c r="AM94" s="7" t="s">
        <v>211</v>
      </c>
      <c r="AN94" s="7" t="s">
        <v>48</v>
      </c>
      <c r="AO94" s="7" t="s">
        <v>211</v>
      </c>
      <c r="AP94" s="7" t="s">
        <v>48</v>
      </c>
      <c r="AQ94" s="7" t="s">
        <v>211</v>
      </c>
      <c r="AR94" s="7" t="s">
        <v>48</v>
      </c>
    </row>
    <row r="95" spans="11:44" x14ac:dyDescent="0.25">
      <c r="AL95" s="7" t="s">
        <v>60</v>
      </c>
      <c r="AM95" s="76">
        <f>SLOPE(AM90:AQ90,AM85:AQ85)</f>
        <v>2.4999999999999998E-2</v>
      </c>
      <c r="AN95" s="29">
        <f>SLOPE(AQ90:AR90,AQ85:AR85)</f>
        <v>4.2857142857142868E-3</v>
      </c>
      <c r="AO95" s="29">
        <f>SLOPE(AM90:AQ90,AM86:AQ86)</f>
        <v>1.3133208255159472E-3</v>
      </c>
      <c r="AP95" s="29">
        <f>SLOPE(AQ90:AR90,AQ86:AR86)</f>
        <v>2.2607385079125852E-4</v>
      </c>
      <c r="AQ95" s="29">
        <f>SLOPE(AM90:AQ90,AM87:AQ87)</f>
        <v>1.8421052631578947E-3</v>
      </c>
      <c r="AR95" s="29">
        <f>SLOPE(AQ90:AR90,AQ87:AR87)</f>
        <v>3.2397408207343419E-4</v>
      </c>
    </row>
    <row r="96" spans="11:44" x14ac:dyDescent="0.25">
      <c r="AL96" s="7" t="s">
        <v>61</v>
      </c>
      <c r="AM96" s="65">
        <f>INTERCEPT(AM90:AQ90,AM85:AQ85)</f>
        <v>0</v>
      </c>
      <c r="AN96" s="62">
        <f>INTERCEPT(AQ90:AR90,AQ85:AR85)</f>
        <v>0.57999999999999985</v>
      </c>
      <c r="AO96" s="65">
        <f>INTERCEPT(AM90:AQ90,AM86:AQ86)</f>
        <v>5.5511151231257827E-17</v>
      </c>
      <c r="AP96" s="29">
        <f>INTERCEPT(AQ90:AR90,AQ86:AR86)</f>
        <v>0.57950263752825915</v>
      </c>
      <c r="AQ96" s="65">
        <f>INTERCEPT(AM90:AQ90,AM87:AQ87)</f>
        <v>0</v>
      </c>
      <c r="AR96" s="29">
        <f>INTERCEPT(AQ90:AR90,AQ87:AR87)</f>
        <v>0.57688984881209493</v>
      </c>
    </row>
    <row r="97" spans="11:44" x14ac:dyDescent="0.25">
      <c r="AM97" s="101" t="s">
        <v>209</v>
      </c>
      <c r="AN97" s="102"/>
      <c r="AO97" s="103" t="s">
        <v>210</v>
      </c>
      <c r="AP97" s="103"/>
    </row>
    <row r="98" spans="11:44" x14ac:dyDescent="0.25">
      <c r="AM98" s="7" t="s">
        <v>211</v>
      </c>
      <c r="AN98" s="7" t="s">
        <v>48</v>
      </c>
      <c r="AO98" s="7" t="s">
        <v>211</v>
      </c>
      <c r="AP98" s="7" t="s">
        <v>48</v>
      </c>
      <c r="AQ98" s="7"/>
      <c r="AR98" s="7"/>
    </row>
    <row r="99" spans="11:44" x14ac:dyDescent="0.25">
      <c r="K99" s="2"/>
      <c r="AL99" s="7" t="s">
        <v>60</v>
      </c>
      <c r="AM99" s="29">
        <f>SLOPE(AM90:AQ90,AM88:AQ88)</f>
        <v>2.3333333333333335E-3</v>
      </c>
      <c r="AN99" s="29">
        <f>SLOPE(AQ90:AR90,AQ88:AR88)</f>
        <v>5.0000000000000012E-4</v>
      </c>
      <c r="AO99" s="76">
        <f>SLOPE(AM90:AQ90,AM89:AQ89)</f>
        <v>7.0000000000000001E-3</v>
      </c>
      <c r="AP99" s="29">
        <f>SLOPE(AQ90:AR90,AQ89:AR89)</f>
        <v>2.5000000000000005E-3</v>
      </c>
    </row>
    <row r="100" spans="11:44" x14ac:dyDescent="0.25">
      <c r="AL100" s="7" t="s">
        <v>61</v>
      </c>
      <c r="AM100" s="65">
        <f>INTERCEPT(AM90:AQ90,AM88:AQ88)</f>
        <v>-5.5511151231257827E-17</v>
      </c>
      <c r="AN100" s="62">
        <f>INTERCEPT(AQ90:AR90,AQ88:AR88)</f>
        <v>0.54999999999999993</v>
      </c>
      <c r="AO100" s="65">
        <f>INTERCEPT(AM90:AQ90,AM89:AQ89)</f>
        <v>-5.5511151231257827E-17</v>
      </c>
      <c r="AP100" s="62">
        <f>INTERCEPT(AQ90:AR90,AQ89:AR89)</f>
        <v>0.4499999999999999</v>
      </c>
    </row>
    <row r="111" spans="11:44" ht="15.75" thickBot="1" x14ac:dyDescent="0.3">
      <c r="K111" t="s">
        <v>186</v>
      </c>
      <c r="AC111" t="s">
        <v>123</v>
      </c>
    </row>
    <row r="112" spans="11:44" x14ac:dyDescent="0.25">
      <c r="K112" s="3" t="s">
        <v>4</v>
      </c>
      <c r="L112" s="11">
        <v>1</v>
      </c>
      <c r="M112" s="11"/>
      <c r="N112" s="11"/>
      <c r="O112" s="11"/>
      <c r="P112" s="11">
        <v>1.4</v>
      </c>
      <c r="Q112" s="35">
        <v>2.2000000000000002</v>
      </c>
      <c r="AC112" s="3" t="s">
        <v>4</v>
      </c>
      <c r="AD112" s="90">
        <v>10</v>
      </c>
      <c r="AE112" s="90"/>
      <c r="AF112" s="90">
        <v>6.5</v>
      </c>
      <c r="AG112" s="90"/>
      <c r="AH112" s="90">
        <v>4.5</v>
      </c>
      <c r="AI112" s="91">
        <v>3.5</v>
      </c>
    </row>
    <row r="113" spans="11:35" ht="14.25" customHeight="1" thickBot="1" x14ac:dyDescent="0.3">
      <c r="K113" s="6" t="s">
        <v>5</v>
      </c>
      <c r="L113" s="43">
        <v>0</v>
      </c>
      <c r="M113" s="43">
        <v>0.28999999999999998</v>
      </c>
      <c r="N113" s="43">
        <v>0.3</v>
      </c>
      <c r="O113" s="43">
        <v>0.69</v>
      </c>
      <c r="P113" s="43">
        <v>0.7</v>
      </c>
      <c r="Q113" s="44">
        <v>1</v>
      </c>
      <c r="T113" t="s">
        <v>197</v>
      </c>
      <c r="U113" s="21"/>
      <c r="V113" s="21"/>
      <c r="W113" s="21"/>
      <c r="X113" s="21"/>
      <c r="Y113" s="21"/>
      <c r="Z113" s="21"/>
      <c r="AC113" s="6" t="s">
        <v>5</v>
      </c>
      <c r="AD113" s="86">
        <v>0</v>
      </c>
      <c r="AE113" s="86">
        <v>0.28999999999999998</v>
      </c>
      <c r="AF113" s="86">
        <v>0.3</v>
      </c>
      <c r="AG113" s="86">
        <v>0.69</v>
      </c>
      <c r="AH113" s="86">
        <v>0.7</v>
      </c>
      <c r="AI113" s="87">
        <v>1</v>
      </c>
    </row>
    <row r="114" spans="11:35" x14ac:dyDescent="0.25">
      <c r="T114" s="3" t="s">
        <v>4</v>
      </c>
      <c r="U114" s="22">
        <v>50</v>
      </c>
      <c r="V114" s="22"/>
      <c r="W114" s="22"/>
      <c r="X114" s="22"/>
      <c r="Y114" s="22"/>
      <c r="Z114" s="23">
        <v>0</v>
      </c>
    </row>
    <row r="115" spans="11:35" ht="15.75" thickBot="1" x14ac:dyDescent="0.3">
      <c r="K115" t="s">
        <v>67</v>
      </c>
      <c r="T115" s="6" t="s">
        <v>5</v>
      </c>
      <c r="U115" s="43">
        <v>0</v>
      </c>
      <c r="V115" s="43">
        <v>0.28999999999999998</v>
      </c>
      <c r="W115" s="43">
        <v>0.3</v>
      </c>
      <c r="X115" s="43">
        <v>0.69</v>
      </c>
      <c r="Y115" s="43">
        <v>0.7</v>
      </c>
      <c r="Z115" s="44">
        <v>1</v>
      </c>
      <c r="AC115" s="13" t="s">
        <v>79</v>
      </c>
    </row>
    <row r="116" spans="11:35" x14ac:dyDescent="0.25">
      <c r="K116" s="7"/>
      <c r="L116" s="7" t="s">
        <v>63</v>
      </c>
      <c r="M116" s="7" t="s">
        <v>48</v>
      </c>
      <c r="T116" s="21"/>
      <c r="U116" s="21"/>
      <c r="V116" s="21"/>
      <c r="W116" s="21"/>
      <c r="X116" s="21"/>
      <c r="Y116" s="21"/>
      <c r="Z116" s="21"/>
      <c r="AD116" s="7" t="s">
        <v>62</v>
      </c>
      <c r="AE116" s="7" t="s">
        <v>101</v>
      </c>
      <c r="AF116" s="7" t="s">
        <v>48</v>
      </c>
    </row>
    <row r="117" spans="11:35" x14ac:dyDescent="0.25">
      <c r="K117" s="7" t="s">
        <v>60</v>
      </c>
      <c r="L117" s="7">
        <f>SLOPE(L113:P113,L112:P112)</f>
        <v>1.7500000000000004</v>
      </c>
      <c r="M117" s="7">
        <f>SLOPE(P113:Q113,P112:Q112)</f>
        <v>0.37499999999999989</v>
      </c>
      <c r="T117" t="s">
        <v>80</v>
      </c>
      <c r="X117" s="21"/>
      <c r="Y117" s="21"/>
      <c r="Z117" s="21"/>
      <c r="AC117" s="7" t="s">
        <v>60</v>
      </c>
      <c r="AD117" s="29">
        <f>SLOPE(AD113:AF113,AD112:AF112)</f>
        <v>-8.5714285714285715E-2</v>
      </c>
      <c r="AE117" s="62">
        <f>SLOPE(AF113:AH113,AF112:AH112)</f>
        <v>-0.19999999999999998</v>
      </c>
      <c r="AF117" s="62">
        <f>SLOPE(AH113:AI113,AH112:AI112)</f>
        <v>-0.30000000000000004</v>
      </c>
    </row>
    <row r="118" spans="11:35" x14ac:dyDescent="0.25">
      <c r="K118" s="7" t="s">
        <v>61</v>
      </c>
      <c r="L118" s="7">
        <f>INTERCEPT(L113:P113,L112:P112)</f>
        <v>-1.7500000000000004</v>
      </c>
      <c r="M118" s="7">
        <f>INTERCEPT(P113:Q113,P112:Q112)</f>
        <v>0.17500000000000016</v>
      </c>
      <c r="U118" s="79" t="s">
        <v>114</v>
      </c>
      <c r="W118" s="21"/>
      <c r="X118" s="21"/>
      <c r="Y118" s="21"/>
      <c r="Z118" s="21"/>
      <c r="AC118" s="7" t="s">
        <v>61</v>
      </c>
      <c r="AD118" s="29">
        <f>INTERCEPT(AD113:AF113,AD112:AF112)</f>
        <v>0.85714285714285721</v>
      </c>
      <c r="AE118" s="62">
        <f>INTERCEPT(AF113:AH113,AF112:AH112)</f>
        <v>1.5999999999999999</v>
      </c>
      <c r="AF118" s="62">
        <f>INTERCEPT(AH113:AI113,AH112:AI112)</f>
        <v>2.0500000000000003</v>
      </c>
    </row>
    <row r="119" spans="11:35" x14ac:dyDescent="0.25">
      <c r="K119" s="7"/>
      <c r="M119" s="8"/>
      <c r="T119" s="7" t="s">
        <v>60</v>
      </c>
      <c r="U119" s="83">
        <f>SLOPE(U115:Z115,U114:Z114)</f>
        <v>-0.02</v>
      </c>
      <c r="V119" s="21"/>
      <c r="W119" s="21"/>
      <c r="X119" s="21"/>
      <c r="Y119" s="21"/>
      <c r="Z119" s="21"/>
      <c r="AF119" s="8"/>
    </row>
    <row r="120" spans="11:35" x14ac:dyDescent="0.25">
      <c r="T120" s="7" t="s">
        <v>61</v>
      </c>
      <c r="U120" s="83">
        <f>INTERCEPT(U115:Z115,U114:Z114)</f>
        <v>1</v>
      </c>
      <c r="AE120" s="8"/>
    </row>
    <row r="121" spans="11:35" x14ac:dyDescent="0.25">
      <c r="T121" s="21"/>
      <c r="U121" s="21"/>
      <c r="V121" s="21"/>
      <c r="W121" s="21"/>
      <c r="X121" s="21"/>
      <c r="Y121" s="21"/>
      <c r="Z121" s="21"/>
    </row>
    <row r="122" spans="11:35" x14ac:dyDescent="0.25">
      <c r="T122" s="21"/>
      <c r="U122" s="21"/>
      <c r="V122" s="21"/>
      <c r="W122" s="21"/>
      <c r="X122" s="21"/>
      <c r="Y122" s="21"/>
      <c r="Z122" s="21"/>
    </row>
    <row r="123" spans="11:35" x14ac:dyDescent="0.25">
      <c r="T123" s="21"/>
      <c r="U123" s="21"/>
      <c r="V123" s="21"/>
      <c r="W123" s="21"/>
      <c r="X123" s="21"/>
      <c r="Y123" s="21"/>
      <c r="Z123" s="21"/>
    </row>
    <row r="124" spans="11:35" x14ac:dyDescent="0.25">
      <c r="T124" s="21"/>
      <c r="U124" s="21"/>
      <c r="V124" s="21"/>
      <c r="W124" s="21"/>
      <c r="X124" s="21"/>
      <c r="Y124" s="21"/>
      <c r="Z124" s="21"/>
    </row>
    <row r="125" spans="11:35" x14ac:dyDescent="0.25">
      <c r="T125" s="21"/>
      <c r="U125" s="21"/>
      <c r="V125" s="21"/>
      <c r="W125" s="21"/>
      <c r="X125" s="21"/>
      <c r="Y125" s="21"/>
      <c r="Z125" s="21"/>
    </row>
    <row r="126" spans="11:35" x14ac:dyDescent="0.25">
      <c r="T126" s="21"/>
      <c r="U126" s="21"/>
      <c r="V126" s="21"/>
      <c r="W126" s="21"/>
      <c r="X126" s="21"/>
      <c r="Y126" s="21"/>
      <c r="Z126" s="21"/>
    </row>
    <row r="127" spans="11:35" x14ac:dyDescent="0.25">
      <c r="T127" s="21"/>
      <c r="U127" s="21"/>
      <c r="V127" s="21"/>
      <c r="W127" s="21"/>
      <c r="X127" s="21"/>
      <c r="Y127" s="21"/>
      <c r="Z127" s="21"/>
    </row>
    <row r="128" spans="11:35" x14ac:dyDescent="0.25">
      <c r="T128" s="21"/>
      <c r="U128" s="21"/>
      <c r="V128" s="21"/>
      <c r="W128" s="21"/>
      <c r="X128" s="21"/>
      <c r="Y128" s="21"/>
      <c r="Z128" s="21"/>
    </row>
    <row r="129" spans="11:26" x14ac:dyDescent="0.25">
      <c r="T129" s="21"/>
      <c r="U129" s="21"/>
      <c r="V129" s="21"/>
      <c r="W129" s="21"/>
      <c r="X129" s="21"/>
      <c r="Y129" s="21"/>
      <c r="Z129" s="21"/>
    </row>
    <row r="130" spans="11:26" x14ac:dyDescent="0.25">
      <c r="O130" s="1"/>
      <c r="P130" s="1"/>
      <c r="Q130" s="1"/>
      <c r="R130" s="26"/>
      <c r="T130" s="21"/>
      <c r="U130" s="21"/>
      <c r="V130" s="21"/>
      <c r="W130" s="21"/>
      <c r="X130" s="21"/>
      <c r="Y130" s="21"/>
      <c r="Z130" s="21"/>
    </row>
    <row r="131" spans="11:26" x14ac:dyDescent="0.25">
      <c r="O131" s="1"/>
      <c r="P131" s="1"/>
      <c r="Q131" s="1"/>
      <c r="R131" s="26"/>
      <c r="T131" s="21"/>
      <c r="U131" s="21"/>
      <c r="V131" s="21"/>
      <c r="W131" s="21"/>
      <c r="X131" s="21"/>
      <c r="Y131" s="21"/>
      <c r="Z131" s="21"/>
    </row>
    <row r="132" spans="11:26" x14ac:dyDescent="0.25">
      <c r="T132" s="21"/>
      <c r="U132" s="21"/>
      <c r="V132" s="21"/>
      <c r="W132" s="21"/>
      <c r="X132" s="21"/>
      <c r="Y132" s="21"/>
      <c r="Z132" s="21"/>
    </row>
    <row r="133" spans="11:26" x14ac:dyDescent="0.25">
      <c r="T133" s="21"/>
      <c r="U133" s="21"/>
      <c r="V133" s="21"/>
      <c r="W133" s="21"/>
      <c r="X133" s="21"/>
      <c r="Y133" s="21"/>
      <c r="Z133" s="21"/>
    </row>
    <row r="134" spans="11:26" x14ac:dyDescent="0.25">
      <c r="T134" s="21"/>
      <c r="U134" s="21"/>
      <c r="V134" s="21"/>
      <c r="W134" s="21"/>
      <c r="X134" s="21"/>
      <c r="Y134" s="21"/>
      <c r="Z134" s="21"/>
    </row>
    <row r="135" spans="11:26" x14ac:dyDescent="0.25">
      <c r="T135" s="21"/>
      <c r="U135" s="21"/>
      <c r="V135" s="21"/>
      <c r="W135" s="21"/>
      <c r="X135" s="21"/>
      <c r="Y135" s="21"/>
      <c r="Z135" s="21"/>
    </row>
    <row r="136" spans="11:26" x14ac:dyDescent="0.25">
      <c r="O136" s="1"/>
      <c r="P136" s="1"/>
      <c r="Q136" s="1"/>
      <c r="R136" s="26"/>
      <c r="T136" s="21"/>
      <c r="U136" s="21"/>
      <c r="V136" s="21"/>
      <c r="W136" s="21"/>
      <c r="X136" s="21"/>
      <c r="Y136" s="21"/>
      <c r="Z136" s="21"/>
    </row>
    <row r="137" spans="11:26" x14ac:dyDescent="0.25">
      <c r="O137" s="1"/>
      <c r="P137" s="1"/>
      <c r="Q137" s="1"/>
      <c r="R137" s="26"/>
      <c r="T137" s="21"/>
      <c r="U137" s="21"/>
      <c r="V137" s="21"/>
      <c r="W137" s="21"/>
      <c r="X137" s="21"/>
      <c r="Y137" s="21"/>
      <c r="Z137" s="21"/>
    </row>
    <row r="138" spans="11:26" x14ac:dyDescent="0.25">
      <c r="T138" s="21"/>
      <c r="U138" s="21"/>
      <c r="V138" s="21"/>
      <c r="W138" s="21"/>
      <c r="X138" s="21"/>
      <c r="Y138" s="21"/>
      <c r="Z138" s="21"/>
    </row>
    <row r="139" spans="11:26" x14ac:dyDescent="0.25">
      <c r="T139" s="21"/>
      <c r="U139" s="21"/>
      <c r="V139" s="21"/>
      <c r="W139" s="21"/>
      <c r="X139" s="21"/>
      <c r="Y139" s="21"/>
      <c r="Z139" s="21"/>
    </row>
    <row r="140" spans="11:26" x14ac:dyDescent="0.25">
      <c r="T140" s="21"/>
      <c r="U140" s="21"/>
      <c r="V140" s="21"/>
      <c r="W140" s="21"/>
      <c r="X140" s="21"/>
      <c r="Y140" s="21"/>
      <c r="Z140" s="21"/>
    </row>
    <row r="141" spans="11:26" x14ac:dyDescent="0.25">
      <c r="T141" s="21"/>
      <c r="U141" s="21"/>
      <c r="V141" s="21"/>
      <c r="W141" s="21"/>
      <c r="X141" s="21"/>
      <c r="Y141" s="21"/>
      <c r="Z141" s="21"/>
    </row>
    <row r="144" spans="11:26" ht="15.75" thickBot="1" x14ac:dyDescent="0.3">
      <c r="K144" t="s">
        <v>103</v>
      </c>
    </row>
    <row r="145" spans="11:44" x14ac:dyDescent="0.25">
      <c r="K145" s="109" t="s">
        <v>4</v>
      </c>
      <c r="L145" s="11">
        <v>1.8</v>
      </c>
      <c r="M145" s="11"/>
      <c r="N145" s="11"/>
      <c r="O145" s="11"/>
      <c r="P145" s="11"/>
      <c r="Q145" s="35">
        <v>1</v>
      </c>
    </row>
    <row r="146" spans="11:44" x14ac:dyDescent="0.25">
      <c r="K146" s="110"/>
      <c r="L146" s="16">
        <v>0.2</v>
      </c>
      <c r="M146" s="16"/>
      <c r="N146" s="16"/>
      <c r="O146" s="16"/>
      <c r="P146" s="16"/>
      <c r="Q146" s="38">
        <v>1</v>
      </c>
    </row>
    <row r="147" spans="11:44" ht="15.75" thickBot="1" x14ac:dyDescent="0.3">
      <c r="K147" s="6" t="s">
        <v>5</v>
      </c>
      <c r="L147" s="43">
        <v>0</v>
      </c>
      <c r="M147" s="43">
        <v>0.28999999999999998</v>
      </c>
      <c r="N147" s="43">
        <v>0.3</v>
      </c>
      <c r="O147" s="43">
        <v>0.69</v>
      </c>
      <c r="P147" s="43">
        <v>0.7</v>
      </c>
      <c r="Q147" s="44">
        <v>1</v>
      </c>
      <c r="AL147" s="1"/>
      <c r="AM147" s="1"/>
      <c r="AN147" s="1"/>
      <c r="AO147" s="1"/>
      <c r="AP147" s="1"/>
      <c r="AQ147" s="1"/>
      <c r="AR147" s="1"/>
    </row>
    <row r="148" spans="11:44" ht="15.75" thickBot="1" x14ac:dyDescent="0.3">
      <c r="T148" t="s">
        <v>198</v>
      </c>
      <c r="AL148" s="1"/>
      <c r="AM148" s="47"/>
      <c r="AN148" s="47"/>
      <c r="AO148" s="47"/>
      <c r="AP148" s="47"/>
      <c r="AQ148" s="47"/>
      <c r="AR148" s="47"/>
    </row>
    <row r="149" spans="11:44" x14ac:dyDescent="0.25">
      <c r="K149" t="s">
        <v>67</v>
      </c>
      <c r="T149" s="3" t="s">
        <v>75</v>
      </c>
      <c r="U149" s="4">
        <v>0</v>
      </c>
      <c r="V149" s="4"/>
      <c r="W149" s="4">
        <v>30</v>
      </c>
      <c r="X149" s="4"/>
      <c r="Y149" s="4"/>
      <c r="Z149" s="5">
        <v>100</v>
      </c>
    </row>
    <row r="150" spans="11:44" x14ac:dyDescent="0.25">
      <c r="K150" s="79"/>
      <c r="L150" s="79" t="s">
        <v>100</v>
      </c>
      <c r="M150" s="79" t="s">
        <v>84</v>
      </c>
      <c r="T150" s="49" t="s">
        <v>118</v>
      </c>
      <c r="U150">
        <v>0</v>
      </c>
      <c r="W150">
        <v>60</v>
      </c>
      <c r="Z150" s="50">
        <v>100</v>
      </c>
      <c r="AL150" s="13"/>
    </row>
    <row r="151" spans="11:44" ht="15.75" thickBot="1" x14ac:dyDescent="0.3">
      <c r="K151" s="79" t="s">
        <v>60</v>
      </c>
      <c r="L151" s="79">
        <f>SLOPE(L147:Q147,L146:Q146)</f>
        <v>1.25</v>
      </c>
      <c r="M151" s="79">
        <f>SLOPE(L147:Q147,L145:Q145)</f>
        <v>-1.2499999999999998</v>
      </c>
      <c r="T151" s="6" t="s">
        <v>5</v>
      </c>
      <c r="U151" s="43">
        <v>0</v>
      </c>
      <c r="V151" s="43">
        <v>0.28999999999999998</v>
      </c>
      <c r="W151" s="43">
        <v>0.3</v>
      </c>
      <c r="X151" s="43">
        <v>0.69</v>
      </c>
      <c r="Y151" s="43">
        <v>0.7</v>
      </c>
      <c r="Z151" s="44">
        <v>1</v>
      </c>
      <c r="AL151" s="7"/>
      <c r="AP151" s="7"/>
    </row>
    <row r="152" spans="11:44" x14ac:dyDescent="0.25">
      <c r="K152" s="79" t="s">
        <v>61</v>
      </c>
      <c r="L152" s="79">
        <f>INTERCEPT(L147:Q147,L146:Q146)</f>
        <v>-0.25</v>
      </c>
      <c r="M152" s="79">
        <f>INTERCEPT(L147:Q147,L145:Q145)</f>
        <v>2.2499999999999996</v>
      </c>
      <c r="AL152" s="7"/>
      <c r="AN152" s="8"/>
      <c r="AO152" s="8"/>
    </row>
    <row r="153" spans="11:44" ht="30" x14ac:dyDescent="0.25">
      <c r="K153" s="7"/>
      <c r="M153" s="8"/>
      <c r="U153" s="51" t="s">
        <v>75</v>
      </c>
      <c r="V153" s="112" t="s">
        <v>117</v>
      </c>
      <c r="W153" s="112"/>
      <c r="AL153" s="7"/>
      <c r="AN153" s="8"/>
    </row>
    <row r="154" spans="11:44" x14ac:dyDescent="0.25">
      <c r="T154" s="13" t="s">
        <v>67</v>
      </c>
      <c r="U154" s="7" t="s">
        <v>114</v>
      </c>
      <c r="V154" s="7" t="s">
        <v>62</v>
      </c>
      <c r="W154" s="7" t="s">
        <v>113</v>
      </c>
      <c r="AL154" s="7"/>
    </row>
    <row r="155" spans="11:44" x14ac:dyDescent="0.25">
      <c r="T155" s="7" t="s">
        <v>60</v>
      </c>
      <c r="U155" s="7">
        <f>SLOPE(U151:Z151,U149:Z149)</f>
        <v>0.01</v>
      </c>
      <c r="V155" s="7">
        <f>SLOPE(U151:W151,U150:W150)</f>
        <v>5.0000000000000001E-3</v>
      </c>
      <c r="W155" s="7">
        <f>SLOPE(W151:Z151,W150:Z150)</f>
        <v>1.7500000000000002E-2</v>
      </c>
    </row>
    <row r="156" spans="11:44" x14ac:dyDescent="0.25">
      <c r="T156" s="7" t="s">
        <v>61</v>
      </c>
      <c r="U156" s="7">
        <f>INTERCEPT(U151:Z151,U149:Z149)</f>
        <v>0</v>
      </c>
      <c r="V156" s="7">
        <f>INTERCEPT(U151:W151,U150:W150)</f>
        <v>0</v>
      </c>
      <c r="W156" s="7">
        <f>INTERCEPT(W151:Z151,W150:Z150)</f>
        <v>-0.75000000000000011</v>
      </c>
    </row>
    <row r="164" spans="15:28" x14ac:dyDescent="0.25">
      <c r="O164" s="1"/>
      <c r="P164" s="1"/>
      <c r="Q164" s="1"/>
      <c r="R164" s="26"/>
    </row>
    <row r="165" spans="15:28" x14ac:dyDescent="0.25">
      <c r="O165" s="1"/>
      <c r="P165" s="1"/>
      <c r="Q165" s="1"/>
      <c r="R165" s="26"/>
    </row>
    <row r="166" spans="15:28" x14ac:dyDescent="0.25">
      <c r="AB166" s="1"/>
    </row>
    <row r="168" spans="15:28" x14ac:dyDescent="0.25">
      <c r="AA168" s="26"/>
    </row>
    <row r="170" spans="15:28" x14ac:dyDescent="0.25">
      <c r="O170" s="1"/>
      <c r="P170" s="1"/>
      <c r="Q170" s="1"/>
      <c r="R170" s="26"/>
    </row>
    <row r="171" spans="15:28" x14ac:dyDescent="0.25">
      <c r="O171" s="1"/>
      <c r="P171" s="1"/>
      <c r="Q171" s="1"/>
      <c r="R171" s="26"/>
    </row>
    <row r="179" spans="15:44" ht="27" customHeight="1" x14ac:dyDescent="0.25">
      <c r="S179" s="48"/>
    </row>
    <row r="180" spans="15:44" ht="27" customHeight="1" x14ac:dyDescent="0.25">
      <c r="S180" s="48"/>
    </row>
    <row r="181" spans="15:44" x14ac:dyDescent="0.25">
      <c r="S181" s="48"/>
    </row>
    <row r="182" spans="15:44" x14ac:dyDescent="0.25">
      <c r="S182" s="48"/>
      <c r="AL182" s="1"/>
      <c r="AM182" s="1"/>
      <c r="AN182" s="1"/>
      <c r="AO182" s="1"/>
      <c r="AP182" s="1"/>
      <c r="AQ182" s="1"/>
      <c r="AR182" s="1"/>
    </row>
    <row r="183" spans="15:44" ht="16.149999999999999" customHeight="1" x14ac:dyDescent="0.25">
      <c r="AL183" s="1"/>
      <c r="AM183" s="47"/>
      <c r="AN183" s="47"/>
      <c r="AO183" s="47"/>
      <c r="AP183" s="47"/>
      <c r="AQ183" s="47"/>
      <c r="AR183" s="47"/>
    </row>
    <row r="184" spans="15:44" ht="15.75" thickBot="1" x14ac:dyDescent="0.3">
      <c r="S184" s="36"/>
      <c r="T184" t="s">
        <v>199</v>
      </c>
    </row>
    <row r="185" spans="15:44" ht="30" x14ac:dyDescent="0.25">
      <c r="T185" s="3" t="s">
        <v>189</v>
      </c>
      <c r="U185" s="4">
        <v>0</v>
      </c>
      <c r="V185" s="4"/>
      <c r="W185" s="4"/>
      <c r="X185" s="4"/>
      <c r="Y185" s="4">
        <v>50</v>
      </c>
      <c r="Z185" s="5">
        <v>87</v>
      </c>
      <c r="AL185" s="13"/>
    </row>
    <row r="186" spans="15:44" ht="30" x14ac:dyDescent="0.25">
      <c r="T186" s="49" t="s">
        <v>190</v>
      </c>
      <c r="U186">
        <v>70</v>
      </c>
      <c r="W186">
        <v>35</v>
      </c>
      <c r="Y186">
        <v>15</v>
      </c>
      <c r="Z186" s="50">
        <v>0</v>
      </c>
      <c r="AP186" s="7"/>
    </row>
    <row r="187" spans="15:44" ht="15.75" thickBot="1" x14ac:dyDescent="0.3">
      <c r="T187" s="6" t="s">
        <v>5</v>
      </c>
      <c r="U187" s="43">
        <v>0</v>
      </c>
      <c r="V187" s="43">
        <v>0.28999999999999998</v>
      </c>
      <c r="W187" s="43">
        <v>0.3</v>
      </c>
      <c r="X187" s="43">
        <v>0.69</v>
      </c>
      <c r="Y187" s="43">
        <v>0.7</v>
      </c>
      <c r="Z187" s="44">
        <v>1</v>
      </c>
      <c r="AL187" s="7"/>
      <c r="AN187" s="54"/>
    </row>
    <row r="188" spans="15:44" x14ac:dyDescent="0.25">
      <c r="AL188" s="7"/>
      <c r="AN188" s="8"/>
    </row>
    <row r="189" spans="15:44" x14ac:dyDescent="0.25">
      <c r="T189" s="13" t="s">
        <v>67</v>
      </c>
      <c r="U189" s="113" t="s">
        <v>119</v>
      </c>
      <c r="V189" s="113"/>
      <c r="W189" s="112" t="s">
        <v>120</v>
      </c>
      <c r="X189" s="112"/>
      <c r="Y189" s="112"/>
    </row>
    <row r="190" spans="15:44" x14ac:dyDescent="0.25">
      <c r="U190" s="79" t="s">
        <v>63</v>
      </c>
      <c r="V190" s="79" t="s">
        <v>48</v>
      </c>
      <c r="W190" s="79" t="s">
        <v>62</v>
      </c>
      <c r="X190" s="79" t="s">
        <v>101</v>
      </c>
      <c r="Y190" s="79" t="s">
        <v>48</v>
      </c>
    </row>
    <row r="191" spans="15:44" x14ac:dyDescent="0.25">
      <c r="T191" s="7" t="s">
        <v>60</v>
      </c>
      <c r="U191" s="79">
        <f>SLOPE(U187:Y187,U185:Y185)</f>
        <v>1.4E-2</v>
      </c>
      <c r="V191" s="82">
        <f>SLOPE(Y187:Z187,Y185:Z185)</f>
        <v>8.1081081081081086E-3</v>
      </c>
      <c r="W191" s="82">
        <f>SLOPE(U187:W187,U186:W186)</f>
        <v>-8.5714285714285719E-3</v>
      </c>
      <c r="X191" s="79">
        <f>SLOPE(W187:Y187,W186:Y186)</f>
        <v>-1.9999999999999997E-2</v>
      </c>
      <c r="Y191" s="79">
        <f>SLOPE(Y187:Z187,Y186:Z186)</f>
        <v>-2.0000000000000004E-2</v>
      </c>
    </row>
    <row r="192" spans="15:44" x14ac:dyDescent="0.25">
      <c r="O192" s="45"/>
      <c r="T192" s="7" t="s">
        <v>61</v>
      </c>
      <c r="U192" s="79">
        <v>0</v>
      </c>
      <c r="V192" s="82">
        <f>INTERCEPT(Y187:Z187,Y185:Z185)</f>
        <v>0.29459459459459458</v>
      </c>
      <c r="W192" s="79">
        <f>INTERCEPT(U187:W187,U186:W186)</f>
        <v>0.6</v>
      </c>
      <c r="X192" s="79">
        <f>INTERCEPT(W187:Y187,W186:Y186)</f>
        <v>1</v>
      </c>
      <c r="Y192" s="79">
        <f>INTERCEPT(Y187:Z187,Y186:Z186)</f>
        <v>1</v>
      </c>
    </row>
    <row r="215" spans="19:44" x14ac:dyDescent="0.25">
      <c r="AL215" s="1"/>
      <c r="AM215" s="72"/>
      <c r="AN215" s="1"/>
      <c r="AO215" s="1"/>
      <c r="AP215" s="1"/>
      <c r="AQ215" s="1"/>
      <c r="AR215" s="1"/>
    </row>
    <row r="216" spans="19:44" x14ac:dyDescent="0.25">
      <c r="S216" s="48"/>
      <c r="T216" s="1"/>
      <c r="U216" s="1"/>
      <c r="V216" s="1"/>
      <c r="W216" s="1"/>
      <c r="X216" s="1"/>
      <c r="Y216" s="1"/>
      <c r="Z216" s="1"/>
      <c r="AL216" s="1"/>
      <c r="AM216" s="47"/>
      <c r="AN216" s="47"/>
      <c r="AO216" s="47"/>
      <c r="AP216" s="47"/>
      <c r="AQ216" s="47"/>
      <c r="AR216" s="47"/>
    </row>
    <row r="217" spans="19:44" ht="46.5" customHeight="1" x14ac:dyDescent="0.25">
      <c r="S217" s="48"/>
      <c r="T217" s="1"/>
      <c r="U217" s="1"/>
      <c r="V217" s="1"/>
      <c r="W217" s="1"/>
      <c r="X217" s="1"/>
      <c r="Y217" s="1"/>
      <c r="Z217" s="1"/>
      <c r="AL217" s="7"/>
    </row>
    <row r="218" spans="19:44" x14ac:dyDescent="0.25">
      <c r="S218" s="48"/>
    </row>
    <row r="219" spans="19:44" ht="18" customHeight="1" x14ac:dyDescent="0.25">
      <c r="S219" s="48"/>
    </row>
    <row r="220" spans="19:44" x14ac:dyDescent="0.25">
      <c r="AL220" s="7"/>
    </row>
    <row r="221" spans="19:44" ht="30" customHeight="1" thickBot="1" x14ac:dyDescent="0.3">
      <c r="S221" s="36"/>
      <c r="T221" t="s">
        <v>200</v>
      </c>
      <c r="AL221" s="7"/>
    </row>
    <row r="222" spans="19:44" ht="26.25" customHeight="1" x14ac:dyDescent="0.25">
      <c r="T222" s="52" t="s">
        <v>4</v>
      </c>
      <c r="U222" s="4">
        <v>0</v>
      </c>
      <c r="V222" s="4"/>
      <c r="W222" s="4"/>
      <c r="X222" s="4"/>
      <c r="Y222" s="4"/>
      <c r="Z222" s="5">
        <v>80</v>
      </c>
    </row>
    <row r="223" spans="19:44" ht="15.95" customHeight="1" thickBot="1" x14ac:dyDescent="0.3">
      <c r="T223" s="6" t="s">
        <v>5</v>
      </c>
      <c r="U223" s="43">
        <v>0</v>
      </c>
      <c r="V223" s="43">
        <v>0.28999999999999998</v>
      </c>
      <c r="W223" s="43">
        <v>0.3</v>
      </c>
      <c r="X223" s="43">
        <v>0.69</v>
      </c>
      <c r="Y223" s="43">
        <v>0.7</v>
      </c>
      <c r="Z223" s="44">
        <v>1</v>
      </c>
      <c r="AN223" s="8"/>
    </row>
    <row r="224" spans="19:44" ht="15.95" customHeight="1" x14ac:dyDescent="0.25"/>
    <row r="225" spans="20:25" ht="15.95" customHeight="1" x14ac:dyDescent="0.25">
      <c r="T225" s="13" t="s">
        <v>67</v>
      </c>
      <c r="U225" s="51"/>
      <c r="V225" s="51"/>
      <c r="W225" s="7"/>
      <c r="X225" s="7"/>
      <c r="Y225" s="7"/>
    </row>
    <row r="226" spans="20:25" ht="15.95" customHeight="1" x14ac:dyDescent="0.25">
      <c r="U226" s="79" t="s">
        <v>114</v>
      </c>
      <c r="X226" s="7"/>
      <c r="Y226" s="7"/>
    </row>
    <row r="227" spans="20:25" x14ac:dyDescent="0.25">
      <c r="T227" s="7" t="s">
        <v>60</v>
      </c>
      <c r="U227" s="79">
        <f>SLOPE(U223:Z223,U222:Z222)</f>
        <v>1.2500000000000001E-2</v>
      </c>
      <c r="V227" s="53"/>
      <c r="W227" s="53"/>
    </row>
    <row r="228" spans="20:25" x14ac:dyDescent="0.25">
      <c r="T228" s="7" t="s">
        <v>61</v>
      </c>
      <c r="U228" s="79">
        <f>INTERCEPT(U223:Z223,U222:Z222)</f>
        <v>0</v>
      </c>
      <c r="V228" s="53"/>
    </row>
    <row r="229" spans="20:25" x14ac:dyDescent="0.25">
      <c r="U229" s="79"/>
    </row>
    <row r="250" spans="19:44" x14ac:dyDescent="0.25">
      <c r="AL250" s="1"/>
      <c r="AM250" s="1"/>
      <c r="AN250" s="1"/>
      <c r="AO250" s="1"/>
      <c r="AP250" s="1"/>
      <c r="AQ250" s="1"/>
      <c r="AR250" s="1"/>
    </row>
    <row r="251" spans="19:44" x14ac:dyDescent="0.25">
      <c r="AL251" s="1"/>
      <c r="AM251" s="47"/>
      <c r="AN251" s="47"/>
      <c r="AO251" s="47"/>
      <c r="AP251" s="47"/>
      <c r="AQ251" s="47"/>
      <c r="AR251" s="47"/>
    </row>
    <row r="253" spans="19:44" ht="45" customHeight="1" x14ac:dyDescent="0.25">
      <c r="S253" s="48"/>
      <c r="T253" s="1"/>
      <c r="U253" s="1"/>
      <c r="V253" s="1"/>
      <c r="W253" s="1"/>
      <c r="X253" s="1"/>
      <c r="Y253" s="1"/>
      <c r="Z253" s="1"/>
      <c r="AL253" s="13"/>
    </row>
    <row r="254" spans="19:44" x14ac:dyDescent="0.25">
      <c r="S254" s="48"/>
      <c r="T254" s="1"/>
      <c r="U254" s="1"/>
      <c r="V254" s="1"/>
      <c r="W254" s="1"/>
      <c r="X254" s="1"/>
      <c r="Y254" s="8"/>
      <c r="Z254" s="1"/>
    </row>
    <row r="255" spans="19:44" ht="15.75" thickBot="1" x14ac:dyDescent="0.3">
      <c r="S255" s="48"/>
      <c r="T255" t="s">
        <v>201</v>
      </c>
      <c r="AL255" s="7"/>
    </row>
    <row r="256" spans="19:44" x14ac:dyDescent="0.25">
      <c r="S256" s="48"/>
      <c r="T256" s="52" t="s">
        <v>4</v>
      </c>
      <c r="U256" s="4">
        <v>0</v>
      </c>
      <c r="V256" s="4"/>
      <c r="W256" s="4">
        <v>9.1999999999999993</v>
      </c>
      <c r="X256" s="4"/>
      <c r="Y256" s="4"/>
      <c r="Z256" s="5">
        <v>13.8</v>
      </c>
      <c r="AL256" s="7"/>
    </row>
    <row r="257" spans="19:40" ht="15.75" thickBot="1" x14ac:dyDescent="0.3">
      <c r="T257" s="6" t="s">
        <v>5</v>
      </c>
      <c r="U257" s="43">
        <v>0</v>
      </c>
      <c r="V257" s="43">
        <v>0.28999999999999998</v>
      </c>
      <c r="W257" s="43">
        <v>0.3</v>
      </c>
      <c r="X257" s="43">
        <v>0.69</v>
      </c>
      <c r="Y257" s="43">
        <v>0.7</v>
      </c>
      <c r="Z257" s="44">
        <v>1</v>
      </c>
      <c r="AL257" s="7"/>
    </row>
    <row r="258" spans="19:40" x14ac:dyDescent="0.25">
      <c r="S258" s="36"/>
      <c r="AN258" s="8"/>
    </row>
    <row r="259" spans="19:40" x14ac:dyDescent="0.25">
      <c r="T259" s="13" t="s">
        <v>67</v>
      </c>
      <c r="U259" s="51"/>
      <c r="V259" s="51"/>
      <c r="W259" s="7"/>
      <c r="X259" s="7"/>
      <c r="Y259" s="7"/>
    </row>
    <row r="260" spans="19:40" x14ac:dyDescent="0.25">
      <c r="U260" s="7" t="s">
        <v>121</v>
      </c>
      <c r="V260" s="7" t="s">
        <v>113</v>
      </c>
      <c r="X260" s="7"/>
      <c r="Y260" s="7"/>
    </row>
    <row r="261" spans="19:40" x14ac:dyDescent="0.25">
      <c r="T261" s="7" t="s">
        <v>60</v>
      </c>
      <c r="U261" s="29">
        <f>SLOPE(U257:W257,U256:W256)</f>
        <v>3.2608695652173919E-2</v>
      </c>
      <c r="V261" s="29">
        <f>SLOPE(W257:Z257,W256:Z256)</f>
        <v>0.15217391304347819</v>
      </c>
      <c r="W261" s="53"/>
    </row>
    <row r="262" spans="19:40" x14ac:dyDescent="0.25">
      <c r="T262" s="7" t="s">
        <v>61</v>
      </c>
      <c r="U262" s="7">
        <v>0</v>
      </c>
      <c r="V262" s="7">
        <f>INTERCEPT(W257:Z257,W256:Z256)</f>
        <v>-1.0999999999999992</v>
      </c>
    </row>
    <row r="276" spans="31:44" x14ac:dyDescent="0.25">
      <c r="AE276" s="1"/>
    </row>
    <row r="285" spans="31:44" x14ac:dyDescent="0.25">
      <c r="AL285" s="1"/>
      <c r="AM285" s="16"/>
      <c r="AN285" s="16"/>
      <c r="AO285" s="16"/>
      <c r="AP285" s="16"/>
      <c r="AQ285" s="16"/>
      <c r="AR285" s="16"/>
    </row>
    <row r="286" spans="31:44" x14ac:dyDescent="0.25">
      <c r="AL286" s="1"/>
      <c r="AM286" s="47"/>
      <c r="AN286" s="47"/>
      <c r="AO286" s="47"/>
      <c r="AP286" s="47"/>
      <c r="AQ286" s="47"/>
      <c r="AR286" s="47"/>
    </row>
    <row r="288" spans="31:44" x14ac:dyDescent="0.25">
      <c r="AL288" s="13"/>
    </row>
    <row r="289" spans="19:40" ht="22.5" customHeight="1" x14ac:dyDescent="0.25"/>
    <row r="290" spans="19:40" ht="15.75" thickBot="1" x14ac:dyDescent="0.3">
      <c r="S290" s="48"/>
      <c r="T290" t="s">
        <v>102</v>
      </c>
      <c r="AL290" s="7"/>
    </row>
    <row r="291" spans="19:40" x14ac:dyDescent="0.25">
      <c r="S291" s="48"/>
      <c r="T291" s="3" t="s">
        <v>4</v>
      </c>
      <c r="U291" s="11">
        <v>6.5</v>
      </c>
      <c r="V291" s="11"/>
      <c r="W291" s="11"/>
      <c r="X291" s="11"/>
      <c r="Y291" s="11">
        <v>5</v>
      </c>
      <c r="Z291" s="35">
        <v>4</v>
      </c>
      <c r="AL291" s="7"/>
    </row>
    <row r="292" spans="19:40" ht="15.75" thickBot="1" x14ac:dyDescent="0.3">
      <c r="S292" s="48"/>
      <c r="T292" s="6" t="s">
        <v>5</v>
      </c>
      <c r="U292" s="43">
        <v>0</v>
      </c>
      <c r="V292" s="43">
        <v>0.28999999999999998</v>
      </c>
      <c r="W292" s="43">
        <v>0.3</v>
      </c>
      <c r="X292" s="43">
        <v>0.69</v>
      </c>
      <c r="Y292" s="43">
        <v>0.7</v>
      </c>
      <c r="Z292" s="44">
        <v>1</v>
      </c>
      <c r="AN292" s="8"/>
    </row>
    <row r="293" spans="19:40" x14ac:dyDescent="0.25">
      <c r="T293" s="1"/>
      <c r="U293" s="1"/>
      <c r="V293" s="1"/>
      <c r="W293" s="1"/>
      <c r="X293" s="1"/>
      <c r="Y293" s="1"/>
      <c r="Z293" s="1"/>
    </row>
    <row r="294" spans="19:40" x14ac:dyDescent="0.25">
      <c r="S294" s="36"/>
      <c r="T294" t="s">
        <v>67</v>
      </c>
    </row>
    <row r="295" spans="19:40" x14ac:dyDescent="0.25">
      <c r="U295" s="7" t="s">
        <v>63</v>
      </c>
      <c r="V295" s="7" t="s">
        <v>48</v>
      </c>
    </row>
    <row r="296" spans="19:40" x14ac:dyDescent="0.25">
      <c r="T296" s="7" t="s">
        <v>60</v>
      </c>
      <c r="U296" s="29">
        <f>SLOPE(U292:Y292,U291:Y291)</f>
        <v>-0.46666666666666656</v>
      </c>
      <c r="V296" s="7">
        <f>SLOPE(Y292:Z292,Y291:Z291)</f>
        <v>-0.30000000000000004</v>
      </c>
    </row>
    <row r="297" spans="19:40" x14ac:dyDescent="0.25">
      <c r="T297" s="7" t="s">
        <v>61</v>
      </c>
      <c r="U297" s="29">
        <f>INTERCEPT(U292:Y292,U291:Y291)</f>
        <v>3.0333333333333328</v>
      </c>
      <c r="V297" s="7">
        <f>INTERCEPT(Y292:Z292,Y291:Z291)</f>
        <v>2.2000000000000002</v>
      </c>
    </row>
    <row r="325" spans="20:26" x14ac:dyDescent="0.25">
      <c r="T325" s="1"/>
      <c r="U325" s="16"/>
      <c r="V325" s="16"/>
      <c r="W325" s="16"/>
      <c r="X325" s="16"/>
      <c r="Y325" s="16"/>
      <c r="Z325" s="16"/>
    </row>
    <row r="326" spans="20:26" ht="15.75" thickBot="1" x14ac:dyDescent="0.3">
      <c r="T326" t="s">
        <v>98</v>
      </c>
    </row>
    <row r="327" spans="20:26" x14ac:dyDescent="0.25">
      <c r="T327" s="3" t="s">
        <v>4</v>
      </c>
      <c r="U327" s="11">
        <v>8</v>
      </c>
      <c r="V327" s="11"/>
      <c r="W327" s="11"/>
      <c r="X327" s="11"/>
      <c r="Y327" s="11">
        <v>6</v>
      </c>
      <c r="Z327" s="35">
        <v>5</v>
      </c>
    </row>
    <row r="328" spans="20:26" ht="15.75" thickBot="1" x14ac:dyDescent="0.3">
      <c r="T328" s="6" t="s">
        <v>5</v>
      </c>
      <c r="U328" s="43">
        <v>0</v>
      </c>
      <c r="V328" s="43">
        <v>0.28999999999999998</v>
      </c>
      <c r="W328" s="43">
        <v>0.3</v>
      </c>
      <c r="X328" s="43">
        <v>0.69</v>
      </c>
      <c r="Y328" s="43">
        <v>0.7</v>
      </c>
      <c r="Z328" s="44">
        <v>1</v>
      </c>
    </row>
    <row r="330" spans="20:26" x14ac:dyDescent="0.25">
      <c r="T330" t="s">
        <v>67</v>
      </c>
    </row>
    <row r="331" spans="20:26" x14ac:dyDescent="0.25">
      <c r="U331" s="7" t="s">
        <v>63</v>
      </c>
      <c r="V331" s="7" t="s">
        <v>48</v>
      </c>
    </row>
    <row r="332" spans="20:26" x14ac:dyDescent="0.25">
      <c r="T332" s="7" t="s">
        <v>60</v>
      </c>
      <c r="U332" s="7">
        <f>SLOPE(U328:Y328,U327:Y327)</f>
        <v>-0.35</v>
      </c>
      <c r="V332" s="7">
        <f>SLOPE(Y328:Z328,Y327:Z327)</f>
        <v>-0.30000000000000004</v>
      </c>
      <c r="W332" s="8"/>
    </row>
    <row r="333" spans="20:26" x14ac:dyDescent="0.25">
      <c r="T333" s="7" t="s">
        <v>61</v>
      </c>
      <c r="U333" s="7">
        <f>INTERCEPT(U328:Y328,U327:Y327)</f>
        <v>2.8</v>
      </c>
      <c r="V333" s="79">
        <f>INTERCEPT(Y328:Z328,Y327:Z327)</f>
        <v>2.5000000000000004</v>
      </c>
    </row>
    <row r="334" spans="20:26" x14ac:dyDescent="0.25">
      <c r="U334" s="7"/>
      <c r="V334" s="7"/>
    </row>
    <row r="357" spans="20:26" x14ac:dyDescent="0.25">
      <c r="T357" s="1"/>
      <c r="U357" s="1"/>
      <c r="V357" s="1"/>
      <c r="W357" s="1"/>
      <c r="X357" s="1"/>
      <c r="Y357" s="1"/>
      <c r="Z357" s="1"/>
    </row>
    <row r="358" spans="20:26" x14ac:dyDescent="0.25">
      <c r="T358" s="1"/>
    </row>
    <row r="359" spans="20:26" x14ac:dyDescent="0.25">
      <c r="T359" s="1"/>
      <c r="U359" s="47"/>
      <c r="V359" s="47"/>
      <c r="W359" s="47"/>
      <c r="X359" s="47"/>
      <c r="Y359" s="47"/>
      <c r="Z359" s="47"/>
    </row>
    <row r="361" spans="20:26" x14ac:dyDescent="0.25">
      <c r="T361" s="13"/>
    </row>
    <row r="362" spans="20:26" ht="15.75" thickBot="1" x14ac:dyDescent="0.3">
      <c r="T362" t="s">
        <v>99</v>
      </c>
    </row>
    <row r="363" spans="20:26" x14ac:dyDescent="0.25">
      <c r="T363" s="109" t="s">
        <v>105</v>
      </c>
      <c r="U363" s="11">
        <v>1</v>
      </c>
      <c r="V363" s="11"/>
      <c r="W363" s="11"/>
      <c r="X363" s="11"/>
      <c r="Y363" s="11"/>
      <c r="Z363" s="35">
        <v>3.5</v>
      </c>
    </row>
    <row r="364" spans="20:26" x14ac:dyDescent="0.25">
      <c r="T364" s="110"/>
      <c r="U364" s="16">
        <v>9</v>
      </c>
      <c r="V364" s="16"/>
      <c r="W364" s="16"/>
      <c r="X364" s="16"/>
      <c r="Y364" s="16"/>
      <c r="Z364" s="38">
        <v>6</v>
      </c>
    </row>
    <row r="365" spans="20:26" ht="15.75" thickBot="1" x14ac:dyDescent="0.3">
      <c r="T365" s="6" t="s">
        <v>5</v>
      </c>
      <c r="U365" s="43">
        <v>0</v>
      </c>
      <c r="V365" s="43">
        <v>0.28999999999999998</v>
      </c>
      <c r="W365" s="43">
        <v>0.3</v>
      </c>
      <c r="X365" s="43">
        <v>0.69</v>
      </c>
      <c r="Y365" s="43">
        <v>0.7</v>
      </c>
      <c r="Z365" s="44">
        <v>1</v>
      </c>
    </row>
    <row r="367" spans="20:26" x14ac:dyDescent="0.25">
      <c r="T367" t="s">
        <v>67</v>
      </c>
    </row>
    <row r="368" spans="20:26" x14ac:dyDescent="0.25">
      <c r="U368" s="79" t="s">
        <v>83</v>
      </c>
      <c r="V368" s="79" t="s">
        <v>84</v>
      </c>
    </row>
    <row r="369" spans="20:22" x14ac:dyDescent="0.25">
      <c r="T369" s="7" t="s">
        <v>60</v>
      </c>
      <c r="U369" s="79">
        <f>SLOPE(U365:Z365,U363:Z363)</f>
        <v>0.4</v>
      </c>
      <c r="V369" s="82">
        <f>SLOPE(U365:Z365,U364:Z364)</f>
        <v>-0.33333333333333331</v>
      </c>
    </row>
    <row r="370" spans="20:22" x14ac:dyDescent="0.25">
      <c r="T370" s="7" t="s">
        <v>61</v>
      </c>
      <c r="U370" s="79">
        <f>INTERCEPT(U365:Z365,U363:Z363)</f>
        <v>-0.4</v>
      </c>
      <c r="V370" s="79">
        <f>INTERCEPT(U365:Z365,U364:Z364)</f>
        <v>3</v>
      </c>
    </row>
    <row r="393" spans="20:26" x14ac:dyDescent="0.25">
      <c r="T393" s="1"/>
      <c r="U393" s="1"/>
      <c r="V393" s="1"/>
      <c r="W393" s="1"/>
      <c r="X393" s="1"/>
      <c r="Y393" s="1"/>
      <c r="Z393" s="1"/>
    </row>
    <row r="394" spans="20:26" x14ac:dyDescent="0.25">
      <c r="T394" s="1"/>
      <c r="U394" s="47"/>
      <c r="V394" s="47"/>
      <c r="W394" s="47"/>
      <c r="X394" s="47"/>
      <c r="Y394" s="47"/>
      <c r="Z394" s="47"/>
    </row>
    <row r="400" spans="20:26" ht="15.75" thickBot="1" x14ac:dyDescent="0.3">
      <c r="T400" t="s">
        <v>115</v>
      </c>
    </row>
    <row r="401" spans="20:26" x14ac:dyDescent="0.25">
      <c r="T401" s="3" t="s">
        <v>4</v>
      </c>
      <c r="U401" s="11">
        <v>1</v>
      </c>
      <c r="V401" s="11"/>
      <c r="W401" s="11"/>
      <c r="X401" s="11"/>
      <c r="Y401" s="11">
        <v>2</v>
      </c>
      <c r="Z401" s="35">
        <v>3</v>
      </c>
    </row>
    <row r="402" spans="20:26" ht="15.75" thickBot="1" x14ac:dyDescent="0.3">
      <c r="T402" s="6" t="s">
        <v>5</v>
      </c>
      <c r="U402" s="43">
        <v>0</v>
      </c>
      <c r="V402" s="43">
        <v>0.28999999999999998</v>
      </c>
      <c r="W402" s="43">
        <v>0.3</v>
      </c>
      <c r="X402" s="43">
        <v>0.69</v>
      </c>
      <c r="Y402" s="43">
        <v>0.7</v>
      </c>
      <c r="Z402" s="44">
        <v>1</v>
      </c>
    </row>
    <row r="404" spans="20:26" x14ac:dyDescent="0.25">
      <c r="T404" s="13" t="s">
        <v>67</v>
      </c>
      <c r="V404" s="7"/>
    </row>
    <row r="405" spans="20:26" x14ac:dyDescent="0.25">
      <c r="U405" s="79" t="s">
        <v>63</v>
      </c>
      <c r="V405" s="79" t="s">
        <v>48</v>
      </c>
    </row>
    <row r="406" spans="20:26" x14ac:dyDescent="0.25">
      <c r="T406" s="7" t="s">
        <v>60</v>
      </c>
      <c r="U406" s="79">
        <f>SLOPE(U402:Y402,U401:Y401)</f>
        <v>0.7</v>
      </c>
      <c r="V406" s="79">
        <f>SLOPE(Y402:Z402,Y401:Z401)</f>
        <v>0.30000000000000004</v>
      </c>
    </row>
    <row r="407" spans="20:26" x14ac:dyDescent="0.25">
      <c r="T407" s="7" t="s">
        <v>61</v>
      </c>
      <c r="U407" s="79">
        <f>INTERCEPT(U402:Y402,U401:Y401)</f>
        <v>-0.69999999999999984</v>
      </c>
      <c r="V407" s="79">
        <f>INTERCEPT(Y402:Z402,Y401:Z401)</f>
        <v>9.9999999999999867E-2</v>
      </c>
    </row>
    <row r="428" spans="20:26" x14ac:dyDescent="0.25">
      <c r="T428" s="1"/>
      <c r="U428" s="1"/>
      <c r="V428" s="1"/>
      <c r="W428" s="1"/>
      <c r="X428" s="1"/>
      <c r="Y428" s="1"/>
      <c r="Z428" s="1"/>
    </row>
    <row r="429" spans="20:26" x14ac:dyDescent="0.25">
      <c r="T429" s="1"/>
      <c r="U429" s="47"/>
      <c r="V429" s="47"/>
      <c r="W429" s="47"/>
      <c r="X429" s="47"/>
      <c r="Y429" s="47"/>
      <c r="Z429" s="47"/>
    </row>
    <row r="431" spans="20:26" x14ac:dyDescent="0.25">
      <c r="T431" s="13"/>
    </row>
    <row r="432" spans="20:26" x14ac:dyDescent="0.25">
      <c r="T432" s="7"/>
    </row>
    <row r="435" spans="20:26" ht="15.75" thickBot="1" x14ac:dyDescent="0.3">
      <c r="T435" t="s">
        <v>187</v>
      </c>
    </row>
    <row r="436" spans="20:26" x14ac:dyDescent="0.25">
      <c r="T436" s="109" t="s">
        <v>4</v>
      </c>
      <c r="U436" s="12">
        <v>0</v>
      </c>
      <c r="V436" s="12"/>
      <c r="W436" s="12"/>
      <c r="X436" s="12"/>
      <c r="Y436" s="12"/>
      <c r="Z436" s="39">
        <v>50</v>
      </c>
    </row>
    <row r="437" spans="20:26" x14ac:dyDescent="0.25">
      <c r="T437" s="110"/>
      <c r="U437" s="14">
        <v>100</v>
      </c>
      <c r="V437" s="14"/>
      <c r="W437" s="14"/>
      <c r="X437" s="14"/>
      <c r="Y437" s="14"/>
      <c r="Z437" s="40">
        <v>60</v>
      </c>
    </row>
    <row r="438" spans="20:26" ht="15.75" thickBot="1" x14ac:dyDescent="0.3">
      <c r="T438" s="6" t="s">
        <v>5</v>
      </c>
      <c r="U438" s="43">
        <v>0</v>
      </c>
      <c r="V438" s="43">
        <v>0.28999999999999998</v>
      </c>
      <c r="W438" s="43">
        <v>0.3</v>
      </c>
      <c r="X438" s="43">
        <v>0.69</v>
      </c>
      <c r="Y438" s="43">
        <v>0.7</v>
      </c>
      <c r="Z438" s="44">
        <v>1</v>
      </c>
    </row>
    <row r="440" spans="20:26" x14ac:dyDescent="0.25">
      <c r="T440" t="s">
        <v>67</v>
      </c>
    </row>
    <row r="441" spans="20:26" x14ac:dyDescent="0.25">
      <c r="U441" s="7" t="s">
        <v>83</v>
      </c>
      <c r="V441" s="7" t="s">
        <v>116</v>
      </c>
    </row>
    <row r="442" spans="20:26" x14ac:dyDescent="0.25">
      <c r="T442" s="7" t="s">
        <v>60</v>
      </c>
      <c r="U442" s="7">
        <f>SLOPE(U438:Z438,U436:Z436)</f>
        <v>0.02</v>
      </c>
      <c r="V442" s="7">
        <f>SLOPE(U438:Z438,U437:Z437)</f>
        <v>-2.5000000000000001E-2</v>
      </c>
    </row>
    <row r="443" spans="20:26" x14ac:dyDescent="0.25">
      <c r="T443" s="7" t="s">
        <v>61</v>
      </c>
      <c r="U443" s="7">
        <f>INTERCEPT(U438:Z438,U436:Z436)</f>
        <v>0</v>
      </c>
      <c r="V443" s="7">
        <f>INTERCEPT(U438:Z438,U437:Z437)</f>
        <v>2.5</v>
      </c>
    </row>
    <row r="463" spans="20:26" x14ac:dyDescent="0.25">
      <c r="T463" s="1"/>
      <c r="U463" s="1"/>
      <c r="V463" s="1"/>
      <c r="W463" s="1"/>
      <c r="X463" s="1"/>
      <c r="Y463" s="1"/>
      <c r="Z463" s="1"/>
    </row>
    <row r="464" spans="20:26" x14ac:dyDescent="0.25">
      <c r="T464" s="1"/>
      <c r="U464" s="47"/>
      <c r="V464" s="47"/>
      <c r="W464" s="47"/>
      <c r="X464" s="47"/>
      <c r="Y464" s="47"/>
      <c r="Z464" s="47"/>
    </row>
    <row r="466" spans="20:38" x14ac:dyDescent="0.25">
      <c r="T466" s="13"/>
    </row>
    <row r="467" spans="20:38" x14ac:dyDescent="0.25">
      <c r="T467" s="7"/>
    </row>
    <row r="468" spans="20:38" x14ac:dyDescent="0.25">
      <c r="T468" s="7"/>
    </row>
    <row r="471" spans="20:38" ht="15.75" thickBot="1" x14ac:dyDescent="0.3">
      <c r="T471" t="s">
        <v>188</v>
      </c>
    </row>
    <row r="472" spans="20:38" x14ac:dyDescent="0.25">
      <c r="T472" s="109" t="s">
        <v>4</v>
      </c>
      <c r="U472" s="12">
        <v>0</v>
      </c>
      <c r="V472" s="4"/>
      <c r="W472" s="4"/>
      <c r="X472" s="4"/>
      <c r="Y472" s="4"/>
      <c r="Z472" s="5">
        <v>45</v>
      </c>
    </row>
    <row r="473" spans="20:38" x14ac:dyDescent="0.25">
      <c r="T473" s="110"/>
      <c r="U473" s="14">
        <v>100</v>
      </c>
      <c r="V473" s="1"/>
      <c r="W473" s="1"/>
      <c r="X473" s="1"/>
      <c r="Y473" s="1"/>
      <c r="Z473" s="10">
        <v>65</v>
      </c>
      <c r="AL473" s="1"/>
    </row>
    <row r="474" spans="20:38" ht="15.75" thickBot="1" x14ac:dyDescent="0.3">
      <c r="T474" s="6" t="s">
        <v>5</v>
      </c>
      <c r="U474" s="43">
        <v>0</v>
      </c>
      <c r="V474" s="43">
        <v>0.28999999999999998</v>
      </c>
      <c r="W474" s="43">
        <v>0.3</v>
      </c>
      <c r="X474" s="43">
        <v>0.69</v>
      </c>
      <c r="Y474" s="43">
        <v>0.7</v>
      </c>
      <c r="Z474" s="44">
        <v>1</v>
      </c>
    </row>
    <row r="476" spans="20:38" x14ac:dyDescent="0.25">
      <c r="T476" t="s">
        <v>67</v>
      </c>
    </row>
    <row r="477" spans="20:38" x14ac:dyDescent="0.25">
      <c r="U477" s="7" t="s">
        <v>83</v>
      </c>
      <c r="V477" s="7" t="s">
        <v>84</v>
      </c>
    </row>
    <row r="478" spans="20:38" x14ac:dyDescent="0.25">
      <c r="T478" s="7" t="s">
        <v>60</v>
      </c>
      <c r="U478" s="29">
        <f>SLOPE(U474:Z474,U472:Z472)</f>
        <v>2.2222222222222223E-2</v>
      </c>
      <c r="V478" s="29">
        <f>SLOPE(U474:Z474,U473:Z473)</f>
        <v>-2.8571428571428571E-2</v>
      </c>
    </row>
    <row r="479" spans="20:38" x14ac:dyDescent="0.25">
      <c r="T479" s="7" t="s">
        <v>61</v>
      </c>
      <c r="U479" s="7">
        <f>INTERCEPT(U474:Z474,U472:Z472)</f>
        <v>0</v>
      </c>
      <c r="V479" s="29">
        <f>INTERCEPT(U474:Z474,U473:Z473)</f>
        <v>2.8571428571428572</v>
      </c>
    </row>
    <row r="499" spans="20:28" x14ac:dyDescent="0.25">
      <c r="AB499" s="1"/>
    </row>
    <row r="504" spans="20:28" x14ac:dyDescent="0.25">
      <c r="T504" s="7"/>
      <c r="U504" s="7"/>
      <c r="V504" s="8"/>
    </row>
    <row r="506" spans="20:28" ht="15.75" thickBot="1" x14ac:dyDescent="0.3">
      <c r="T506" t="s">
        <v>202</v>
      </c>
    </row>
    <row r="507" spans="20:28" x14ac:dyDescent="0.25">
      <c r="T507" s="3" t="s">
        <v>4</v>
      </c>
      <c r="U507" s="12">
        <v>32</v>
      </c>
      <c r="V507" s="4"/>
      <c r="W507" s="4"/>
      <c r="X507" s="4"/>
      <c r="Y507" s="4">
        <v>14.8</v>
      </c>
      <c r="Z507" s="5">
        <v>5</v>
      </c>
    </row>
    <row r="508" spans="20:28" ht="15.75" thickBot="1" x14ac:dyDescent="0.3">
      <c r="T508" s="6" t="s">
        <v>5</v>
      </c>
      <c r="U508" s="43">
        <v>0</v>
      </c>
      <c r="V508" s="43">
        <v>0.28999999999999998</v>
      </c>
      <c r="W508" s="43">
        <v>0.3</v>
      </c>
      <c r="X508" s="43">
        <v>0.69</v>
      </c>
      <c r="Y508" s="43">
        <v>0.7</v>
      </c>
      <c r="Z508" s="44">
        <v>1</v>
      </c>
    </row>
    <row r="510" spans="20:28" x14ac:dyDescent="0.25">
      <c r="T510" t="s">
        <v>67</v>
      </c>
    </row>
    <row r="511" spans="20:28" x14ac:dyDescent="0.25">
      <c r="U511" s="7" t="s">
        <v>63</v>
      </c>
      <c r="V511" s="7" t="s">
        <v>48</v>
      </c>
    </row>
    <row r="512" spans="20:28" x14ac:dyDescent="0.25">
      <c r="T512" s="7" t="s">
        <v>60</v>
      </c>
      <c r="U512" s="29">
        <f>SLOPE(U508:Y508,U507:Y507)</f>
        <v>-4.0697674418604654E-2</v>
      </c>
      <c r="V512" s="29">
        <f>SLOPE(Y508:Z508,Y507:Z507)</f>
        <v>-3.0612244897959186E-2</v>
      </c>
    </row>
    <row r="513" spans="20:27" x14ac:dyDescent="0.25">
      <c r="T513" s="7" t="s">
        <v>61</v>
      </c>
      <c r="U513" s="29">
        <f>INTERCEPT(U508:Y508,U507:Y507)</f>
        <v>1.3023255813953489</v>
      </c>
      <c r="V513" s="29">
        <f>INTERCEPT(Y508:Z508,Y507:Z507)</f>
        <v>1.153061224489796</v>
      </c>
    </row>
    <row r="514" spans="20:27" x14ac:dyDescent="0.25">
      <c r="AA514" s="26"/>
    </row>
    <row r="541" spans="20:26" ht="15.75" thickBot="1" x14ac:dyDescent="0.3">
      <c r="T541" t="s">
        <v>213</v>
      </c>
    </row>
    <row r="542" spans="20:26" x14ac:dyDescent="0.25">
      <c r="T542" s="3" t="s">
        <v>4</v>
      </c>
      <c r="U542" s="12">
        <v>35</v>
      </c>
      <c r="V542" s="4"/>
      <c r="W542" s="4"/>
      <c r="X542" s="4"/>
      <c r="Y542" s="4">
        <v>16.899999999999999</v>
      </c>
      <c r="Z542" s="5">
        <v>5</v>
      </c>
    </row>
    <row r="543" spans="20:26" ht="15.75" thickBot="1" x14ac:dyDescent="0.3">
      <c r="T543" s="6" t="s">
        <v>5</v>
      </c>
      <c r="U543" s="43">
        <v>0</v>
      </c>
      <c r="V543" s="43">
        <v>0.28999999999999998</v>
      </c>
      <c r="W543" s="43">
        <v>0.3</v>
      </c>
      <c r="X543" s="43">
        <v>0.69</v>
      </c>
      <c r="Y543" s="43">
        <v>0.7</v>
      </c>
      <c r="Z543" s="44">
        <v>1</v>
      </c>
    </row>
    <row r="545" spans="20:28" x14ac:dyDescent="0.25">
      <c r="T545" t="s">
        <v>67</v>
      </c>
    </row>
    <row r="546" spans="20:28" x14ac:dyDescent="0.25">
      <c r="U546" s="7" t="s">
        <v>63</v>
      </c>
      <c r="V546" s="7" t="s">
        <v>48</v>
      </c>
    </row>
    <row r="547" spans="20:28" x14ac:dyDescent="0.25">
      <c r="T547" s="7" t="s">
        <v>60</v>
      </c>
      <c r="U547" s="29">
        <f>SLOPE(U543:Y543,U542:Y542)</f>
        <v>-3.8674033149171262E-2</v>
      </c>
      <c r="V547" s="29">
        <f>SLOPE(Y543:Z543,Y542:Z542)</f>
        <v>-2.5210084033613456E-2</v>
      </c>
      <c r="AB547" s="1"/>
    </row>
    <row r="548" spans="20:28" x14ac:dyDescent="0.25">
      <c r="T548" s="7" t="s">
        <v>61</v>
      </c>
      <c r="U548" s="29">
        <f>INTERCEPT(U543:Y543,U542:Y542)</f>
        <v>1.353591160220994</v>
      </c>
      <c r="V548" s="29">
        <f>INTERCEPT(Y543:Z543,Y542:Z542)</f>
        <v>1.1260504201680672</v>
      </c>
      <c r="AB548" s="1"/>
    </row>
    <row r="553" spans="20:28" x14ac:dyDescent="0.25">
      <c r="AB553" s="1"/>
    </row>
    <row r="554" spans="20:28" x14ac:dyDescent="0.25">
      <c r="AB554" s="1"/>
    </row>
    <row r="568" spans="20:28" x14ac:dyDescent="0.25">
      <c r="AB568" s="7"/>
    </row>
    <row r="569" spans="20:28" x14ac:dyDescent="0.25">
      <c r="AB569" s="7"/>
    </row>
    <row r="572" spans="20:28" x14ac:dyDescent="0.25">
      <c r="AA572" s="26"/>
    </row>
    <row r="573" spans="20:28" x14ac:dyDescent="0.25">
      <c r="AA573" s="26"/>
    </row>
    <row r="576" spans="20:28" ht="15.75" thickBot="1" x14ac:dyDescent="0.3">
      <c r="T576" t="s">
        <v>122</v>
      </c>
    </row>
    <row r="577" spans="12:27" x14ac:dyDescent="0.25">
      <c r="T577" s="3" t="s">
        <v>4</v>
      </c>
      <c r="U577" s="12">
        <v>10</v>
      </c>
      <c r="V577" s="4"/>
      <c r="W577" s="4"/>
      <c r="X577" s="4"/>
      <c r="Y577" s="4">
        <v>34</v>
      </c>
      <c r="Z577" s="5">
        <v>70</v>
      </c>
    </row>
    <row r="578" spans="12:27" ht="15.75" thickBot="1" x14ac:dyDescent="0.3">
      <c r="T578" s="6" t="s">
        <v>5</v>
      </c>
      <c r="U578" s="43">
        <v>0</v>
      </c>
      <c r="V578" s="43">
        <v>0.28999999999999998</v>
      </c>
      <c r="W578" s="43">
        <v>0.3</v>
      </c>
      <c r="X578" s="43">
        <v>0.69</v>
      </c>
      <c r="Y578" s="43">
        <v>0.7</v>
      </c>
      <c r="Z578" s="44">
        <v>1</v>
      </c>
      <c r="AA578" s="26"/>
    </row>
    <row r="579" spans="12:27" x14ac:dyDescent="0.25">
      <c r="AA579" s="26"/>
    </row>
    <row r="580" spans="12:27" x14ac:dyDescent="0.25">
      <c r="T580" t="s">
        <v>67</v>
      </c>
    </row>
    <row r="581" spans="12:27" x14ac:dyDescent="0.25">
      <c r="U581" s="7" t="s">
        <v>63</v>
      </c>
      <c r="V581" s="7" t="s">
        <v>48</v>
      </c>
    </row>
    <row r="582" spans="12:27" x14ac:dyDescent="0.25">
      <c r="T582" s="7" t="s">
        <v>60</v>
      </c>
      <c r="U582" s="29">
        <f>SLOPE(U578:Y578,U577:Y577)</f>
        <v>2.916666666666666E-2</v>
      </c>
      <c r="V582" s="29">
        <f>SLOPE(Y578:Z578,Y577:Z577)</f>
        <v>8.3333333333333332E-3</v>
      </c>
    </row>
    <row r="583" spans="12:27" x14ac:dyDescent="0.25">
      <c r="T583" s="7" t="s">
        <v>61</v>
      </c>
      <c r="U583" s="29">
        <f>INTERCEPT(U578:Y578,U577:Y577)</f>
        <v>-0.29166666666666652</v>
      </c>
      <c r="V583" s="29">
        <f>INTERCEPT(Y578:Z578,Y577:Z577)</f>
        <v>0.41666666666666663</v>
      </c>
    </row>
    <row r="589" spans="12:27" x14ac:dyDescent="0.25">
      <c r="L589" s="1"/>
      <c r="M589" s="1"/>
      <c r="N589" s="1"/>
      <c r="O589" s="1"/>
      <c r="P589" s="1"/>
      <c r="Q589" s="1"/>
      <c r="R589" s="26"/>
    </row>
    <row r="590" spans="12:27" x14ac:dyDescent="0.25">
      <c r="L590" s="1"/>
      <c r="M590" s="1"/>
      <c r="N590" s="1"/>
      <c r="O590" s="1"/>
      <c r="P590" s="1"/>
      <c r="Q590" s="1"/>
      <c r="R590" s="26"/>
    </row>
    <row r="593" spans="12:28" x14ac:dyDescent="0.25">
      <c r="AA593" s="27"/>
    </row>
    <row r="594" spans="12:28" x14ac:dyDescent="0.25">
      <c r="AA594" s="27"/>
    </row>
    <row r="596" spans="12:28" x14ac:dyDescent="0.25">
      <c r="N596" s="8"/>
    </row>
    <row r="602" spans="12:28" x14ac:dyDescent="0.25">
      <c r="L602" s="1"/>
      <c r="M602" s="1"/>
      <c r="N602" s="1"/>
      <c r="O602" s="1"/>
      <c r="P602" s="1"/>
      <c r="Q602" s="1"/>
      <c r="R602" s="26"/>
    </row>
    <row r="603" spans="12:28" x14ac:dyDescent="0.25">
      <c r="L603" s="1"/>
      <c r="M603" s="1"/>
      <c r="N603" s="1"/>
      <c r="O603" s="1"/>
      <c r="P603" s="1"/>
      <c r="Q603" s="1"/>
      <c r="R603" s="26"/>
      <c r="AA603" s="27"/>
    </row>
    <row r="604" spans="12:28" x14ac:dyDescent="0.25">
      <c r="AB604" s="7"/>
    </row>
    <row r="605" spans="12:28" x14ac:dyDescent="0.25">
      <c r="V605" s="8"/>
    </row>
    <row r="609" spans="15:20" x14ac:dyDescent="0.25">
      <c r="O609" s="8"/>
    </row>
    <row r="613" spans="15:20" x14ac:dyDescent="0.25">
      <c r="T613" s="1"/>
    </row>
    <row r="624" spans="15:20" x14ac:dyDescent="0.25">
      <c r="T624" s="1"/>
    </row>
    <row r="625" spans="20:27" x14ac:dyDescent="0.25">
      <c r="T625" s="1"/>
    </row>
    <row r="627" spans="20:27" x14ac:dyDescent="0.25">
      <c r="T627" s="1"/>
      <c r="U627" s="1"/>
      <c r="V627" s="1"/>
      <c r="W627" s="1"/>
      <c r="X627" s="1"/>
      <c r="Y627" s="1"/>
      <c r="Z627" s="1"/>
    </row>
    <row r="628" spans="20:27" x14ac:dyDescent="0.25">
      <c r="AA628" s="27"/>
    </row>
    <row r="629" spans="20:27" x14ac:dyDescent="0.25">
      <c r="AA629" s="27"/>
    </row>
    <row r="646" spans="20:20" x14ac:dyDescent="0.25">
      <c r="T646" s="1"/>
    </row>
    <row r="647" spans="20:20" x14ac:dyDescent="0.25">
      <c r="T647" s="1"/>
    </row>
    <row r="649" spans="20:20" x14ac:dyDescent="0.25">
      <c r="T649" s="1"/>
    </row>
    <row r="650" spans="20:20" x14ac:dyDescent="0.25">
      <c r="T650" s="1"/>
    </row>
    <row r="701" spans="20:20" x14ac:dyDescent="0.25">
      <c r="T701" s="7"/>
    </row>
    <row r="702" spans="20:20" x14ac:dyDescent="0.25">
      <c r="T702" s="7"/>
    </row>
    <row r="703" spans="20:20" x14ac:dyDescent="0.25">
      <c r="T703" s="7"/>
    </row>
    <row r="706" spans="20:26" x14ac:dyDescent="0.25">
      <c r="T706" s="111"/>
      <c r="U706" s="14"/>
      <c r="V706" s="1"/>
      <c r="W706" s="1"/>
      <c r="X706" s="1"/>
      <c r="Y706" s="1"/>
      <c r="Z706" s="1"/>
    </row>
    <row r="707" spans="20:26" x14ac:dyDescent="0.25">
      <c r="T707" s="111"/>
      <c r="U707" s="14"/>
      <c r="V707" s="1"/>
      <c r="W707" s="1"/>
      <c r="X707" s="1"/>
      <c r="Y707" s="1"/>
      <c r="Z707" s="1"/>
    </row>
    <row r="708" spans="20:26" x14ac:dyDescent="0.25">
      <c r="T708" s="1"/>
      <c r="U708" s="47"/>
      <c r="V708" s="47"/>
      <c r="W708" s="47"/>
      <c r="X708" s="47"/>
      <c r="Y708" s="47"/>
      <c r="Z708" s="47"/>
    </row>
    <row r="712" spans="20:26" x14ac:dyDescent="0.25">
      <c r="T712" s="7"/>
    </row>
    <row r="713" spans="20:26" x14ac:dyDescent="0.25">
      <c r="T713" s="7"/>
    </row>
    <row r="718" spans="20:26" x14ac:dyDescent="0.25">
      <c r="U718" s="1"/>
      <c r="V718" s="1"/>
      <c r="W718" s="1"/>
      <c r="X718" s="1"/>
      <c r="Y718" s="1"/>
      <c r="Z718" s="1"/>
    </row>
    <row r="719" spans="20:26" x14ac:dyDescent="0.25">
      <c r="U719" s="1"/>
      <c r="V719" s="1"/>
      <c r="W719" s="1"/>
      <c r="X719" s="1"/>
      <c r="Y719" s="1"/>
      <c r="Z719" s="1"/>
    </row>
    <row r="724" spans="21:26" x14ac:dyDescent="0.25">
      <c r="U724" s="1"/>
      <c r="V724" s="1"/>
      <c r="W724" s="1"/>
      <c r="X724" s="1"/>
      <c r="Y724" s="1"/>
      <c r="Z724" s="1"/>
    </row>
    <row r="725" spans="21:26" x14ac:dyDescent="0.25">
      <c r="U725" s="1"/>
      <c r="V725" s="1"/>
      <c r="W725" s="1"/>
      <c r="X725" s="1"/>
      <c r="Y725" s="1"/>
      <c r="Z725" s="1"/>
    </row>
    <row r="737" spans="19:26" x14ac:dyDescent="0.25">
      <c r="T737" s="7"/>
      <c r="U737" s="7"/>
      <c r="V737" s="7"/>
    </row>
    <row r="743" spans="19:26" x14ac:dyDescent="0.25">
      <c r="S743" s="1"/>
    </row>
    <row r="744" spans="19:26" x14ac:dyDescent="0.25">
      <c r="S744" s="1"/>
      <c r="T744" s="111"/>
      <c r="U744" s="15"/>
      <c r="V744" s="1"/>
      <c r="W744" s="1"/>
      <c r="X744" s="1"/>
      <c r="Y744" s="1"/>
      <c r="Z744" s="1"/>
    </row>
    <row r="745" spans="19:26" x14ac:dyDescent="0.25">
      <c r="T745" s="111"/>
      <c r="U745" s="15"/>
      <c r="V745" s="1"/>
      <c r="W745" s="1"/>
      <c r="X745" s="1"/>
      <c r="Y745" s="1"/>
      <c r="Z745" s="1"/>
    </row>
    <row r="746" spans="19:26" x14ac:dyDescent="0.25">
      <c r="T746" s="1"/>
      <c r="U746" s="47"/>
      <c r="V746" s="47"/>
      <c r="W746" s="47"/>
      <c r="X746" s="47"/>
      <c r="Y746" s="47"/>
      <c r="Z746" s="47"/>
    </row>
    <row r="749" spans="19:26" x14ac:dyDescent="0.25">
      <c r="T749" s="7"/>
    </row>
    <row r="750" spans="19:26" x14ac:dyDescent="0.25">
      <c r="T750" s="7"/>
    </row>
    <row r="751" spans="19:26" x14ac:dyDescent="0.25">
      <c r="T751" s="7"/>
    </row>
    <row r="771" spans="20:22" x14ac:dyDescent="0.25">
      <c r="T771" s="7"/>
      <c r="U771" s="7"/>
      <c r="V771" s="7"/>
    </row>
    <row r="806" spans="22:22" x14ac:dyDescent="0.25">
      <c r="V806" s="8"/>
    </row>
    <row r="840" spans="22:23" x14ac:dyDescent="0.25">
      <c r="V840" s="8"/>
      <c r="W840" s="8"/>
    </row>
    <row r="841" spans="22:23" x14ac:dyDescent="0.25">
      <c r="V841" s="8"/>
    </row>
    <row r="890" spans="20:22" x14ac:dyDescent="0.25">
      <c r="T890" s="7"/>
    </row>
    <row r="891" spans="20:22" x14ac:dyDescent="0.25">
      <c r="T891" s="7"/>
    </row>
    <row r="892" spans="20:22" x14ac:dyDescent="0.25">
      <c r="T892" s="7"/>
      <c r="V892" s="8"/>
    </row>
    <row r="923" spans="20:22" x14ac:dyDescent="0.25">
      <c r="T923" s="7"/>
    </row>
    <row r="924" spans="20:22" x14ac:dyDescent="0.25">
      <c r="T924" s="7"/>
    </row>
    <row r="925" spans="20:22" x14ac:dyDescent="0.25">
      <c r="T925" s="7"/>
    </row>
    <row r="926" spans="20:22" x14ac:dyDescent="0.25">
      <c r="V926" s="8"/>
    </row>
    <row r="951" spans="20:22" x14ac:dyDescent="0.25">
      <c r="T951" s="7"/>
    </row>
    <row r="952" spans="20:22" x14ac:dyDescent="0.25">
      <c r="T952" s="7"/>
    </row>
    <row r="953" spans="20:22" x14ac:dyDescent="0.25">
      <c r="V953" s="8"/>
    </row>
    <row r="981" spans="20:22" x14ac:dyDescent="0.25">
      <c r="T981" s="7"/>
    </row>
    <row r="982" spans="20:22" x14ac:dyDescent="0.25">
      <c r="T982" s="7"/>
    </row>
    <row r="983" spans="20:22" x14ac:dyDescent="0.25">
      <c r="V983" s="8"/>
    </row>
  </sheetData>
  <sheetProtection algorithmName="SHA-512" hashValue="x5XxeDT4QiUujm83iv3bxRhswVAbvezum5egM4xrVhfRF0+DgsEyR+7XjoO2G2p8Gl3nd4+2gAAXjQNxkNlJvQ==" saltValue="XJb0Lz6rUQ5U9t37fobQ2g==" spinCount="100000" sheet="1" objects="1" scenarios="1"/>
  <mergeCells count="25">
    <mergeCell ref="K145:K146"/>
    <mergeCell ref="T5:Z6"/>
    <mergeCell ref="AC5:AI6"/>
    <mergeCell ref="T744:T745"/>
    <mergeCell ref="T706:T707"/>
    <mergeCell ref="T363:T364"/>
    <mergeCell ref="T436:T437"/>
    <mergeCell ref="T472:T473"/>
    <mergeCell ref="W189:Y189"/>
    <mergeCell ref="V153:W153"/>
    <mergeCell ref="U189:V189"/>
    <mergeCell ref="AF49:AH49"/>
    <mergeCell ref="AF84:AH84"/>
    <mergeCell ref="N13:O14"/>
    <mergeCell ref="AM97:AN97"/>
    <mergeCell ref="AO97:AP97"/>
    <mergeCell ref="AM55:AO55"/>
    <mergeCell ref="B5:H6"/>
    <mergeCell ref="K5:Q6"/>
    <mergeCell ref="AL5:AR6"/>
    <mergeCell ref="AM51:AO51"/>
    <mergeCell ref="AP51:AR51"/>
    <mergeCell ref="AM93:AN93"/>
    <mergeCell ref="AO93:AP93"/>
    <mergeCell ref="AQ93:AR93"/>
  </mergeCells>
  <phoneticPr fontId="7" type="noConversion"/>
  <conditionalFormatting sqref="C11:H11">
    <cfRule type="cellIs" dxfId="104" priority="559" operator="lessThan">
      <formula>0.3</formula>
    </cfRule>
    <cfRule type="cellIs" dxfId="103" priority="561" operator="lessThanOrEqual">
      <formula>1</formula>
    </cfRule>
    <cfRule type="cellIs" dxfId="102" priority="560" operator="lessThan">
      <formula>0.7</formula>
    </cfRule>
  </conditionalFormatting>
  <conditionalFormatting sqref="C45:H45">
    <cfRule type="cellIs" dxfId="101" priority="552" operator="lessThanOrEqual">
      <formula>1</formula>
    </cfRule>
    <cfRule type="cellIs" dxfId="100" priority="551" operator="lessThan">
      <formula>0.7</formula>
    </cfRule>
    <cfRule type="cellIs" dxfId="99" priority="550" operator="lessThan">
      <formula>0.3</formula>
    </cfRule>
  </conditionalFormatting>
  <conditionalFormatting sqref="L11:Q11">
    <cfRule type="cellIs" dxfId="98" priority="543" operator="lessThanOrEqual">
      <formula>1</formula>
    </cfRule>
    <cfRule type="cellIs" dxfId="97" priority="542" operator="lessThan">
      <formula>0.7</formula>
    </cfRule>
    <cfRule type="cellIs" dxfId="96" priority="541" operator="lessThan">
      <formula>0.3</formula>
    </cfRule>
  </conditionalFormatting>
  <conditionalFormatting sqref="L45:Q45">
    <cfRule type="cellIs" dxfId="95" priority="534" operator="lessThanOrEqual">
      <formula>1</formula>
    </cfRule>
    <cfRule type="cellIs" dxfId="94" priority="533" operator="lessThan">
      <formula>0.7</formula>
    </cfRule>
    <cfRule type="cellIs" dxfId="93" priority="532" operator="lessThan">
      <formula>0.3</formula>
    </cfRule>
  </conditionalFormatting>
  <conditionalFormatting sqref="L78:Q78">
    <cfRule type="cellIs" dxfId="92" priority="525" operator="lessThanOrEqual">
      <formula>1</formula>
    </cfRule>
    <cfRule type="cellIs" dxfId="91" priority="523" operator="lessThan">
      <formula>0.3</formula>
    </cfRule>
    <cfRule type="cellIs" dxfId="90" priority="524" operator="lessThan">
      <formula>0.7</formula>
    </cfRule>
  </conditionalFormatting>
  <conditionalFormatting sqref="L113:Q113">
    <cfRule type="cellIs" dxfId="89" priority="516" operator="lessThanOrEqual">
      <formula>1</formula>
    </cfRule>
    <cfRule type="cellIs" dxfId="88" priority="515" operator="lessThan">
      <formula>0.7</formula>
    </cfRule>
    <cfRule type="cellIs" dxfId="87" priority="514" operator="lessThan">
      <formula>0.3</formula>
    </cfRule>
  </conditionalFormatting>
  <conditionalFormatting sqref="L147:Q147">
    <cfRule type="cellIs" dxfId="86" priority="507" operator="lessThanOrEqual">
      <formula>1</formula>
    </cfRule>
    <cfRule type="cellIs" dxfId="85" priority="506" operator="lessThan">
      <formula>0.7</formula>
    </cfRule>
    <cfRule type="cellIs" dxfId="84" priority="505" operator="lessThan">
      <formula>0.3</formula>
    </cfRule>
  </conditionalFormatting>
  <conditionalFormatting sqref="O15">
    <cfRule type="cellIs" dxfId="83" priority="110" operator="lessThan">
      <formula>0.7</formula>
    </cfRule>
    <cfRule type="cellIs" dxfId="82" priority="109" operator="lessThan">
      <formula>0.3</formula>
    </cfRule>
    <cfRule type="cellIs" dxfId="81" priority="111" operator="lessThanOrEqual">
      <formula>1</formula>
    </cfRule>
  </conditionalFormatting>
  <conditionalFormatting sqref="U11:Z11">
    <cfRule type="cellIs" dxfId="80" priority="498" operator="lessThanOrEqual">
      <formula>1</formula>
    </cfRule>
    <cfRule type="cellIs" dxfId="79" priority="497" operator="lessThan">
      <formula>0.7</formula>
    </cfRule>
    <cfRule type="cellIs" dxfId="78" priority="496" operator="lessThan">
      <formula>0.3</formula>
    </cfRule>
  </conditionalFormatting>
  <conditionalFormatting sqref="U45:Z45">
    <cfRule type="cellIs" dxfId="77" priority="487" operator="lessThan">
      <formula>0.3</formula>
    </cfRule>
    <cfRule type="cellIs" dxfId="76" priority="489" operator="lessThanOrEqual">
      <formula>1</formula>
    </cfRule>
    <cfRule type="cellIs" dxfId="75" priority="488" operator="lessThan">
      <formula>0.7</formula>
    </cfRule>
  </conditionalFormatting>
  <conditionalFormatting sqref="U80:Z80">
    <cfRule type="cellIs" dxfId="74" priority="470" operator="lessThan">
      <formula>0.7</formula>
    </cfRule>
    <cfRule type="cellIs" dxfId="73" priority="471" operator="lessThanOrEqual">
      <formula>1</formula>
    </cfRule>
    <cfRule type="cellIs" dxfId="72" priority="469" operator="lessThan">
      <formula>0.3</formula>
    </cfRule>
  </conditionalFormatting>
  <conditionalFormatting sqref="U115:Z115">
    <cfRule type="cellIs" dxfId="71" priority="462" operator="lessThanOrEqual">
      <formula>1</formula>
    </cfRule>
    <cfRule type="cellIs" dxfId="70" priority="461" operator="lessThan">
      <formula>0.7</formula>
    </cfRule>
    <cfRule type="cellIs" dxfId="69" priority="460" operator="lessThan">
      <formula>0.3</formula>
    </cfRule>
  </conditionalFormatting>
  <conditionalFormatting sqref="U151:Z151">
    <cfRule type="cellIs" dxfId="68" priority="100" operator="lessThan">
      <formula>0.3</formula>
    </cfRule>
    <cfRule type="cellIs" dxfId="67" priority="101" operator="lessThan">
      <formula>0.7</formula>
    </cfRule>
    <cfRule type="cellIs" dxfId="66" priority="102" operator="lessThanOrEqual">
      <formula>1</formula>
    </cfRule>
  </conditionalFormatting>
  <conditionalFormatting sqref="U187:Z187">
    <cfRule type="cellIs" dxfId="65" priority="92" operator="lessThan">
      <formula>0.7</formula>
    </cfRule>
    <cfRule type="cellIs" dxfId="64" priority="93" operator="lessThanOrEqual">
      <formula>1</formula>
    </cfRule>
    <cfRule type="cellIs" dxfId="63" priority="91" operator="lessThan">
      <formula>0.3</formula>
    </cfRule>
  </conditionalFormatting>
  <conditionalFormatting sqref="U223:Z223">
    <cfRule type="cellIs" dxfId="62" priority="82" operator="lessThan">
      <formula>0.3</formula>
    </cfRule>
    <cfRule type="cellIs" dxfId="61" priority="83" operator="lessThan">
      <formula>0.7</formula>
    </cfRule>
    <cfRule type="cellIs" dxfId="60" priority="84" operator="lessThanOrEqual">
      <formula>1</formula>
    </cfRule>
  </conditionalFormatting>
  <conditionalFormatting sqref="U257:Z257">
    <cfRule type="cellIs" dxfId="59" priority="73" operator="lessThan">
      <formula>0.3</formula>
    </cfRule>
    <cfRule type="cellIs" dxfId="58" priority="74" operator="lessThan">
      <formula>0.7</formula>
    </cfRule>
    <cfRule type="cellIs" dxfId="57" priority="75" operator="lessThanOrEqual">
      <formula>1</formula>
    </cfRule>
  </conditionalFormatting>
  <conditionalFormatting sqref="U292:Z292">
    <cfRule type="cellIs" dxfId="56" priority="372" operator="lessThanOrEqual">
      <formula>1</formula>
    </cfRule>
    <cfRule type="cellIs" dxfId="55" priority="370" operator="lessThan">
      <formula>0.3</formula>
    </cfRule>
    <cfRule type="cellIs" dxfId="54" priority="371" operator="lessThan">
      <formula>0.7</formula>
    </cfRule>
  </conditionalFormatting>
  <conditionalFormatting sqref="U328:Z328">
    <cfRule type="cellIs" dxfId="53" priority="363" operator="lessThanOrEqual">
      <formula>1</formula>
    </cfRule>
    <cfRule type="cellIs" dxfId="52" priority="362" operator="lessThan">
      <formula>0.7</formula>
    </cfRule>
    <cfRule type="cellIs" dxfId="51" priority="361" operator="lessThan">
      <formula>0.3</formula>
    </cfRule>
  </conditionalFormatting>
  <conditionalFormatting sqref="U365:Z365">
    <cfRule type="cellIs" dxfId="50" priority="353" operator="lessThan">
      <formula>0.7</formula>
    </cfRule>
    <cfRule type="cellIs" dxfId="49" priority="354" operator="lessThanOrEqual">
      <formula>1</formula>
    </cfRule>
    <cfRule type="cellIs" dxfId="48" priority="352" operator="lessThan">
      <formula>0.3</formula>
    </cfRule>
  </conditionalFormatting>
  <conditionalFormatting sqref="U402:Z402">
    <cfRule type="cellIs" dxfId="47" priority="343" operator="lessThan">
      <formula>0.3</formula>
    </cfRule>
    <cfRule type="cellIs" dxfId="46" priority="344" operator="lessThan">
      <formula>0.7</formula>
    </cfRule>
    <cfRule type="cellIs" dxfId="45" priority="345" operator="lessThanOrEqual">
      <formula>1</formula>
    </cfRule>
  </conditionalFormatting>
  <conditionalFormatting sqref="U438:Z438">
    <cfRule type="cellIs" dxfId="44" priority="307" operator="lessThan">
      <formula>0.3</formula>
    </cfRule>
    <cfRule type="cellIs" dxfId="43" priority="308" operator="lessThan">
      <formula>0.7</formula>
    </cfRule>
    <cfRule type="cellIs" dxfId="42" priority="309" operator="lessThanOrEqual">
      <formula>1</formula>
    </cfRule>
  </conditionalFormatting>
  <conditionalFormatting sqref="U474:Z474">
    <cfRule type="cellIs" dxfId="41" priority="298" operator="lessThan">
      <formula>0.3</formula>
    </cfRule>
    <cfRule type="cellIs" dxfId="40" priority="300" operator="lessThanOrEqual">
      <formula>1</formula>
    </cfRule>
    <cfRule type="cellIs" dxfId="39" priority="299" operator="lessThan">
      <formula>0.7</formula>
    </cfRule>
  </conditionalFormatting>
  <conditionalFormatting sqref="U508:Z508">
    <cfRule type="cellIs" dxfId="38" priority="65" operator="lessThan">
      <formula>0.7</formula>
    </cfRule>
    <cfRule type="cellIs" dxfId="37" priority="64" operator="lessThan">
      <formula>0.3</formula>
    </cfRule>
    <cfRule type="cellIs" dxfId="36" priority="66" operator="lessThanOrEqual">
      <formula>1</formula>
    </cfRule>
  </conditionalFormatting>
  <conditionalFormatting sqref="U543:Z543">
    <cfRule type="cellIs" dxfId="35" priority="57" operator="lessThanOrEqual">
      <formula>1</formula>
    </cfRule>
    <cfRule type="cellIs" dxfId="34" priority="56" operator="lessThan">
      <formula>0.7</formula>
    </cfRule>
    <cfRule type="cellIs" dxfId="33" priority="55" operator="lessThan">
      <formula>0.3</formula>
    </cfRule>
  </conditionalFormatting>
  <conditionalFormatting sqref="U578:Z578">
    <cfRule type="cellIs" dxfId="32" priority="48" operator="lessThanOrEqual">
      <formula>1</formula>
    </cfRule>
    <cfRule type="cellIs" dxfId="31" priority="47" operator="lessThan">
      <formula>0.7</formula>
    </cfRule>
    <cfRule type="cellIs" dxfId="30" priority="46" operator="lessThan">
      <formula>0.3</formula>
    </cfRule>
  </conditionalFormatting>
  <conditionalFormatting sqref="AD14:AI14">
    <cfRule type="cellIs" dxfId="29" priority="273" operator="lessThanOrEqual">
      <formula>1</formula>
    </cfRule>
    <cfRule type="cellIs" dxfId="28" priority="272" operator="lessThan">
      <formula>0.7</formula>
    </cfRule>
    <cfRule type="cellIs" dxfId="27" priority="271" operator="lessThan">
      <formula>0.3</formula>
    </cfRule>
  </conditionalFormatting>
  <conditionalFormatting sqref="AD47:AI47">
    <cfRule type="cellIs" dxfId="26" priority="264" operator="lessThanOrEqual">
      <formula>1</formula>
    </cfRule>
    <cfRule type="cellIs" dxfId="25" priority="263" operator="lessThan">
      <formula>0.7</formula>
    </cfRule>
    <cfRule type="cellIs" dxfId="24" priority="262" operator="lessThan">
      <formula>0.3</formula>
    </cfRule>
  </conditionalFormatting>
  <conditionalFormatting sqref="AD80:AI80">
    <cfRule type="cellIs" dxfId="23" priority="255" operator="lessThanOrEqual">
      <formula>1</formula>
    </cfRule>
    <cfRule type="cellIs" dxfId="22" priority="254" operator="lessThan">
      <formula>0.7</formula>
    </cfRule>
    <cfRule type="cellIs" dxfId="21" priority="253" operator="lessThan">
      <formula>0.3</formula>
    </cfRule>
  </conditionalFormatting>
  <conditionalFormatting sqref="AD113:AI113">
    <cfRule type="cellIs" dxfId="20" priority="244" operator="lessThan">
      <formula>0.3</formula>
    </cfRule>
    <cfRule type="cellIs" dxfId="19" priority="246" operator="lessThanOrEqual">
      <formula>1</formula>
    </cfRule>
    <cfRule type="cellIs" dxfId="18" priority="245" operator="lessThan">
      <formula>0.7</formula>
    </cfRule>
  </conditionalFormatting>
  <conditionalFormatting sqref="AE21:AH21">
    <cfRule type="cellIs" dxfId="17" priority="18" operator="lessThanOrEqual">
      <formula>1</formula>
    </cfRule>
    <cfRule type="cellIs" dxfId="16" priority="16" operator="lessThan">
      <formula>0.3</formula>
    </cfRule>
    <cfRule type="cellIs" dxfId="15" priority="17" operator="lessThan">
      <formula>0.7</formula>
    </cfRule>
  </conditionalFormatting>
  <conditionalFormatting sqref="AG50:AH50">
    <cfRule type="cellIs" dxfId="14" priority="15" operator="lessThanOrEqual">
      <formula>1</formula>
    </cfRule>
    <cfRule type="cellIs" dxfId="13" priority="14" operator="lessThan">
      <formula>0.7</formula>
    </cfRule>
    <cfRule type="cellIs" dxfId="12" priority="13" operator="lessThan">
      <formula>0.3</formula>
    </cfRule>
  </conditionalFormatting>
  <conditionalFormatting sqref="AG85:AH85">
    <cfRule type="cellIs" dxfId="11" priority="12" operator="lessThanOrEqual">
      <formula>1</formula>
    </cfRule>
    <cfRule type="cellIs" dxfId="10" priority="10" operator="lessThan">
      <formula>0.3</formula>
    </cfRule>
    <cfRule type="cellIs" dxfId="9" priority="11" operator="lessThan">
      <formula>0.7</formula>
    </cfRule>
  </conditionalFormatting>
  <conditionalFormatting sqref="AM11:AR11">
    <cfRule type="cellIs" dxfId="8" priority="37" operator="lessThan">
      <formula>0.3</formula>
    </cfRule>
    <cfRule type="cellIs" dxfId="7" priority="39" operator="lessThanOrEqual">
      <formula>1</formula>
    </cfRule>
    <cfRule type="cellIs" dxfId="6" priority="38" operator="lessThan">
      <formula>0.7</formula>
    </cfRule>
  </conditionalFormatting>
  <conditionalFormatting sqref="AM48:AR48">
    <cfRule type="cellIs" dxfId="5" priority="30" operator="lessThanOrEqual">
      <formula>1</formula>
    </cfRule>
    <cfRule type="cellIs" dxfId="4" priority="28" operator="lessThan">
      <formula>0.3</formula>
    </cfRule>
    <cfRule type="cellIs" dxfId="3" priority="29" operator="lessThan">
      <formula>0.7</formula>
    </cfRule>
  </conditionalFormatting>
  <conditionalFormatting sqref="AM90:AR90">
    <cfRule type="cellIs" dxfId="2" priority="1" operator="lessThan">
      <formula>0.3</formula>
    </cfRule>
    <cfRule type="cellIs" dxfId="1" priority="3" operator="lessThanOrEqual">
      <formula>1</formula>
    </cfRule>
    <cfRule type="cellIs" dxfId="0" priority="2" operator="lessThan">
      <formula>0.7</formula>
    </cfRule>
  </conditionalFormatting>
  <printOptions gridLines="1"/>
  <pageMargins left="0.7" right="0.7" top="0.75" bottom="0.75" header="0.3" footer="0.3"/>
  <pageSetup scale="10" orientation="portrait" r:id="rId1"/>
  <rowBreaks count="5" manualBreakCount="5">
    <brk id="196" max="16383" man="1"/>
    <brk id="240" max="16383" man="1"/>
    <brk id="391" max="16383" man="1"/>
    <brk id="548" max="16383" man="1"/>
    <brk id="707" max="16383" man="1"/>
  </rowBreaks>
  <colBreaks count="2" manualBreakCount="2">
    <brk id="18" max="1048575" man="1"/>
    <brk id="36" max="1048575" man="1"/>
  </colBreaks>
  <ignoredErrors>
    <ignoredError sqref="AE18:AE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G154"/>
  <sheetViews>
    <sheetView topLeftCell="A124" workbookViewId="0">
      <selection activeCell="B150" sqref="B150:B154"/>
    </sheetView>
  </sheetViews>
  <sheetFormatPr defaultColWidth="9" defaultRowHeight="15" x14ac:dyDescent="0.25"/>
  <cols>
    <col min="1" max="1" width="8.85546875" style="2"/>
    <col min="2" max="2" width="15.5703125" customWidth="1"/>
  </cols>
  <sheetData>
    <row r="1" spans="1:7" x14ac:dyDescent="0.25">
      <c r="A1" s="2" t="s">
        <v>68</v>
      </c>
    </row>
    <row r="2" spans="1:7" x14ac:dyDescent="0.25">
      <c r="B2" t="s">
        <v>6</v>
      </c>
    </row>
    <row r="3" spans="1:7" x14ac:dyDescent="0.25">
      <c r="B3" t="s">
        <v>85</v>
      </c>
    </row>
    <row r="4" spans="1:7" x14ac:dyDescent="0.25">
      <c r="B4" t="s">
        <v>2</v>
      </c>
    </row>
    <row r="5" spans="1:7" x14ac:dyDescent="0.25">
      <c r="B5" t="s">
        <v>3</v>
      </c>
    </row>
    <row r="6" spans="1:7" x14ac:dyDescent="0.25">
      <c r="B6" t="s">
        <v>0</v>
      </c>
    </row>
    <row r="7" spans="1:7" x14ac:dyDescent="0.25">
      <c r="B7" t="s">
        <v>86</v>
      </c>
    </row>
    <row r="8" spans="1:7" x14ac:dyDescent="0.25">
      <c r="B8" t="s">
        <v>1</v>
      </c>
    </row>
    <row r="9" spans="1:7" x14ac:dyDescent="0.25">
      <c r="B9" t="s">
        <v>90</v>
      </c>
    </row>
    <row r="10" spans="1:7" x14ac:dyDescent="0.25">
      <c r="B10" t="s">
        <v>48</v>
      </c>
    </row>
    <row r="11" spans="1:7" x14ac:dyDescent="0.25">
      <c r="B11" t="s">
        <v>87</v>
      </c>
    </row>
    <row r="12" spans="1:7" x14ac:dyDescent="0.25">
      <c r="B12" t="s">
        <v>49</v>
      </c>
    </row>
    <row r="13" spans="1:7" x14ac:dyDescent="0.25">
      <c r="B13" t="s">
        <v>50</v>
      </c>
    </row>
    <row r="14" spans="1:7" x14ac:dyDescent="0.25">
      <c r="B14" t="s">
        <v>88</v>
      </c>
    </row>
    <row r="15" spans="1:7" x14ac:dyDescent="0.25">
      <c r="B15" t="s">
        <v>89</v>
      </c>
    </row>
    <row r="16" spans="1:7" x14ac:dyDescent="0.25">
      <c r="G16" s="2"/>
    </row>
    <row r="17" spans="1:3" x14ac:dyDescent="0.25">
      <c r="A17" s="2" t="s">
        <v>9</v>
      </c>
    </row>
    <row r="18" spans="1:3" x14ac:dyDescent="0.25">
      <c r="B18" t="s">
        <v>8</v>
      </c>
    </row>
    <row r="19" spans="1:3" x14ac:dyDescent="0.25">
      <c r="B19" t="s">
        <v>33</v>
      </c>
    </row>
    <row r="20" spans="1:3" x14ac:dyDescent="0.25">
      <c r="B20" t="s">
        <v>10</v>
      </c>
    </row>
    <row r="22" spans="1:3" x14ac:dyDescent="0.25">
      <c r="A22" s="2" t="s">
        <v>69</v>
      </c>
    </row>
    <row r="23" spans="1:3" x14ac:dyDescent="0.25">
      <c r="B23" s="46" t="s">
        <v>107</v>
      </c>
      <c r="C23" s="46"/>
    </row>
    <row r="24" spans="1:3" x14ac:dyDescent="0.25">
      <c r="B24" s="46" t="s">
        <v>108</v>
      </c>
      <c r="C24" s="46"/>
    </row>
    <row r="25" spans="1:3" x14ac:dyDescent="0.25">
      <c r="B25" s="46" t="s">
        <v>109</v>
      </c>
      <c r="C25" s="46"/>
    </row>
    <row r="26" spans="1:3" x14ac:dyDescent="0.25">
      <c r="B26" s="46" t="s">
        <v>110</v>
      </c>
      <c r="C26" s="46"/>
    </row>
    <row r="27" spans="1:3" x14ac:dyDescent="0.25">
      <c r="B27" s="46" t="s">
        <v>111</v>
      </c>
      <c r="C27" s="46"/>
    </row>
    <row r="28" spans="1:3" x14ac:dyDescent="0.25">
      <c r="B28" s="46" t="s">
        <v>112</v>
      </c>
      <c r="C28" s="46"/>
    </row>
    <row r="29" spans="1:3" x14ac:dyDescent="0.25">
      <c r="B29" s="46" t="s">
        <v>11</v>
      </c>
      <c r="C29" s="46"/>
    </row>
    <row r="30" spans="1:3" x14ac:dyDescent="0.25">
      <c r="B30" s="46" t="s">
        <v>12</v>
      </c>
      <c r="C30" s="46"/>
    </row>
    <row r="31" spans="1:3" x14ac:dyDescent="0.25">
      <c r="B31" s="46" t="s">
        <v>13</v>
      </c>
      <c r="C31" s="46"/>
    </row>
    <row r="32" spans="1:3" x14ac:dyDescent="0.25">
      <c r="B32" s="46" t="s">
        <v>14</v>
      </c>
      <c r="C32" s="46"/>
    </row>
    <row r="33" spans="1:3" x14ac:dyDescent="0.25">
      <c r="A33"/>
      <c r="B33" s="46" t="s">
        <v>15</v>
      </c>
      <c r="C33" s="46"/>
    </row>
    <row r="34" spans="1:3" x14ac:dyDescent="0.25">
      <c r="A34"/>
      <c r="B34" s="46" t="s">
        <v>20</v>
      </c>
      <c r="C34" s="46"/>
    </row>
    <row r="35" spans="1:3" x14ac:dyDescent="0.25">
      <c r="A35"/>
      <c r="B35" s="46" t="s">
        <v>16</v>
      </c>
      <c r="C35" s="46"/>
    </row>
    <row r="36" spans="1:3" x14ac:dyDescent="0.25">
      <c r="B36" s="46" t="s">
        <v>17</v>
      </c>
      <c r="C36" s="46"/>
    </row>
    <row r="37" spans="1:3" x14ac:dyDescent="0.25">
      <c r="B37" s="46" t="s">
        <v>18</v>
      </c>
      <c r="C37" s="46"/>
    </row>
    <row r="38" spans="1:3" x14ac:dyDescent="0.25">
      <c r="B38" s="46" t="s">
        <v>19</v>
      </c>
      <c r="C38" s="46"/>
    </row>
    <row r="39" spans="1:3" x14ac:dyDescent="0.25">
      <c r="A39"/>
      <c r="B39" s="46" t="s">
        <v>52</v>
      </c>
      <c r="C39" s="46"/>
    </row>
    <row r="40" spans="1:3" x14ac:dyDescent="0.25">
      <c r="B40" s="46" t="s">
        <v>51</v>
      </c>
      <c r="C40" s="46"/>
    </row>
    <row r="41" spans="1:3" x14ac:dyDescent="0.25">
      <c r="B41" s="46" t="s">
        <v>53</v>
      </c>
      <c r="C41" s="46"/>
    </row>
    <row r="42" spans="1:3" x14ac:dyDescent="0.25">
      <c r="A42"/>
      <c r="B42" s="46" t="s">
        <v>21</v>
      </c>
      <c r="C42" s="46"/>
    </row>
    <row r="43" spans="1:3" x14ac:dyDescent="0.25">
      <c r="A43"/>
      <c r="B43" s="46" t="s">
        <v>22</v>
      </c>
      <c r="C43" s="46"/>
    </row>
    <row r="44" spans="1:3" x14ac:dyDescent="0.25">
      <c r="A44"/>
      <c r="B44" s="46" t="s">
        <v>23</v>
      </c>
      <c r="C44" s="46"/>
    </row>
    <row r="45" spans="1:3" x14ac:dyDescent="0.25">
      <c r="A45"/>
      <c r="B45" s="46" t="s">
        <v>54</v>
      </c>
      <c r="C45" s="46"/>
    </row>
    <row r="46" spans="1:3" x14ac:dyDescent="0.25">
      <c r="B46" s="46" t="s">
        <v>26</v>
      </c>
      <c r="C46" s="46"/>
    </row>
    <row r="47" spans="1:3" x14ac:dyDescent="0.25">
      <c r="B47" s="46" t="s">
        <v>24</v>
      </c>
      <c r="C47" s="46"/>
    </row>
    <row r="48" spans="1:3" x14ac:dyDescent="0.25">
      <c r="A48"/>
      <c r="B48" s="46" t="s">
        <v>55</v>
      </c>
      <c r="C48" s="46"/>
    </row>
    <row r="49" spans="1:3" x14ac:dyDescent="0.25">
      <c r="B49" s="46" t="s">
        <v>56</v>
      </c>
      <c r="C49" s="46"/>
    </row>
    <row r="50" spans="1:3" x14ac:dyDescent="0.25">
      <c r="B50" s="46" t="s">
        <v>57</v>
      </c>
      <c r="C50" s="46"/>
    </row>
    <row r="51" spans="1:3" x14ac:dyDescent="0.25">
      <c r="B51" s="46" t="s">
        <v>30</v>
      </c>
      <c r="C51" s="46"/>
    </row>
    <row r="52" spans="1:3" x14ac:dyDescent="0.25">
      <c r="B52" s="46" t="s">
        <v>58</v>
      </c>
      <c r="C52" s="46"/>
    </row>
    <row r="53" spans="1:3" x14ac:dyDescent="0.25">
      <c r="B53" s="46" t="s">
        <v>25</v>
      </c>
      <c r="C53" s="46"/>
    </row>
    <row r="54" spans="1:3" x14ac:dyDescent="0.25">
      <c r="B54" s="46" t="s">
        <v>59</v>
      </c>
      <c r="C54" s="46"/>
    </row>
    <row r="55" spans="1:3" x14ac:dyDescent="0.25">
      <c r="B55" s="46" t="s">
        <v>27</v>
      </c>
      <c r="C55" s="46"/>
    </row>
    <row r="56" spans="1:3" x14ac:dyDescent="0.25">
      <c r="B56" s="46" t="s">
        <v>28</v>
      </c>
      <c r="C56" s="46"/>
    </row>
    <row r="57" spans="1:3" x14ac:dyDescent="0.25">
      <c r="B57" s="46" t="s">
        <v>29</v>
      </c>
      <c r="C57" s="46"/>
    </row>
    <row r="58" spans="1:3" x14ac:dyDescent="0.25">
      <c r="B58" s="46" t="s">
        <v>31</v>
      </c>
      <c r="C58" s="46"/>
    </row>
    <row r="60" spans="1:3" x14ac:dyDescent="0.25">
      <c r="A60" s="2" t="s">
        <v>32</v>
      </c>
    </row>
    <row r="61" spans="1:3" x14ac:dyDescent="0.25">
      <c r="B61" t="s">
        <v>91</v>
      </c>
    </row>
    <row r="62" spans="1:3" x14ac:dyDescent="0.25">
      <c r="B62" t="s">
        <v>92</v>
      </c>
    </row>
    <row r="64" spans="1:3" x14ac:dyDescent="0.25">
      <c r="A64" s="2" t="s">
        <v>104</v>
      </c>
    </row>
    <row r="65" spans="2:2" x14ac:dyDescent="0.25">
      <c r="B65" t="s">
        <v>128</v>
      </c>
    </row>
    <row r="66" spans="2:2" x14ac:dyDescent="0.25">
      <c r="B66" t="s">
        <v>129</v>
      </c>
    </row>
    <row r="67" spans="2:2" x14ac:dyDescent="0.25">
      <c r="B67" t="s">
        <v>130</v>
      </c>
    </row>
    <row r="68" spans="2:2" x14ac:dyDescent="0.25">
      <c r="B68" t="s">
        <v>131</v>
      </c>
    </row>
    <row r="69" spans="2:2" x14ac:dyDescent="0.25">
      <c r="B69" t="s">
        <v>132</v>
      </c>
    </row>
    <row r="70" spans="2:2" x14ac:dyDescent="0.25">
      <c r="B70" t="s">
        <v>133</v>
      </c>
    </row>
    <row r="71" spans="2:2" x14ac:dyDescent="0.25">
      <c r="B71" t="s">
        <v>134</v>
      </c>
    </row>
    <row r="72" spans="2:2" x14ac:dyDescent="0.25">
      <c r="B72" t="s">
        <v>136</v>
      </c>
    </row>
    <row r="73" spans="2:2" x14ac:dyDescent="0.25">
      <c r="B73" t="s">
        <v>137</v>
      </c>
    </row>
    <row r="74" spans="2:2" x14ac:dyDescent="0.25">
      <c r="B74" t="s">
        <v>138</v>
      </c>
    </row>
    <row r="75" spans="2:2" x14ac:dyDescent="0.25">
      <c r="B75" t="s">
        <v>142</v>
      </c>
    </row>
    <row r="76" spans="2:2" x14ac:dyDescent="0.25">
      <c r="B76" t="s">
        <v>140</v>
      </c>
    </row>
    <row r="77" spans="2:2" x14ac:dyDescent="0.25">
      <c r="B77" t="s">
        <v>135</v>
      </c>
    </row>
    <row r="78" spans="2:2" x14ac:dyDescent="0.25">
      <c r="B78" t="s">
        <v>139</v>
      </c>
    </row>
    <row r="79" spans="2:2" x14ac:dyDescent="0.25">
      <c r="B79" t="s">
        <v>141</v>
      </c>
    </row>
    <row r="81" spans="1:2" x14ac:dyDescent="0.25">
      <c r="A81" s="2" t="s">
        <v>70</v>
      </c>
    </row>
    <row r="82" spans="1:2" x14ac:dyDescent="0.25">
      <c r="B82" t="s">
        <v>34</v>
      </c>
    </row>
    <row r="83" spans="1:2" x14ac:dyDescent="0.25">
      <c r="B83" t="s">
        <v>35</v>
      </c>
    </row>
    <row r="85" spans="1:2" x14ac:dyDescent="0.25">
      <c r="A85" s="2" t="s">
        <v>71</v>
      </c>
    </row>
    <row r="86" spans="1:2" x14ac:dyDescent="0.25">
      <c r="B86" t="s">
        <v>77</v>
      </c>
    </row>
    <row r="87" spans="1:2" x14ac:dyDescent="0.25">
      <c r="B87" t="s">
        <v>78</v>
      </c>
    </row>
    <row r="88" spans="1:2" x14ac:dyDescent="0.25">
      <c r="B88" t="s">
        <v>36</v>
      </c>
    </row>
    <row r="89" spans="1:2" x14ac:dyDescent="0.25">
      <c r="B89" t="s">
        <v>37</v>
      </c>
    </row>
    <row r="90" spans="1:2" x14ac:dyDescent="0.25">
      <c r="B90" t="s">
        <v>38</v>
      </c>
    </row>
    <row r="92" spans="1:2" x14ac:dyDescent="0.25">
      <c r="A92" s="2" t="s">
        <v>39</v>
      </c>
    </row>
    <row r="93" spans="1:2" x14ac:dyDescent="0.25">
      <c r="B93" t="s">
        <v>143</v>
      </c>
    </row>
    <row r="94" spans="1:2" x14ac:dyDescent="0.25">
      <c r="B94" t="s">
        <v>144</v>
      </c>
    </row>
    <row r="95" spans="1:2" x14ac:dyDescent="0.25">
      <c r="B95" t="s">
        <v>145</v>
      </c>
    </row>
    <row r="96" spans="1:2" x14ac:dyDescent="0.25">
      <c r="B96" t="s">
        <v>146</v>
      </c>
    </row>
    <row r="97" spans="2:2" x14ac:dyDescent="0.25">
      <c r="B97" t="s">
        <v>147</v>
      </c>
    </row>
    <row r="98" spans="2:2" x14ac:dyDescent="0.25">
      <c r="B98" t="s">
        <v>183</v>
      </c>
    </row>
    <row r="99" spans="2:2" x14ac:dyDescent="0.25">
      <c r="B99" t="s">
        <v>148</v>
      </c>
    </row>
    <row r="100" spans="2:2" x14ac:dyDescent="0.25">
      <c r="B100" t="s">
        <v>149</v>
      </c>
    </row>
    <row r="101" spans="2:2" x14ac:dyDescent="0.25">
      <c r="B101" t="s">
        <v>150</v>
      </c>
    </row>
    <row r="102" spans="2:2" x14ac:dyDescent="0.25">
      <c r="B102" t="s">
        <v>151</v>
      </c>
    </row>
    <row r="103" spans="2:2" x14ac:dyDescent="0.25">
      <c r="B103" t="s">
        <v>152</v>
      </c>
    </row>
    <row r="104" spans="2:2" x14ac:dyDescent="0.25">
      <c r="B104" t="s">
        <v>153</v>
      </c>
    </row>
    <row r="105" spans="2:2" x14ac:dyDescent="0.25">
      <c r="B105" t="s">
        <v>154</v>
      </c>
    </row>
    <row r="106" spans="2:2" x14ac:dyDescent="0.25">
      <c r="B106" t="s">
        <v>155</v>
      </c>
    </row>
    <row r="107" spans="2:2" x14ac:dyDescent="0.25">
      <c r="B107" t="s">
        <v>156</v>
      </c>
    </row>
    <row r="108" spans="2:2" x14ac:dyDescent="0.25">
      <c r="B108" t="s">
        <v>157</v>
      </c>
    </row>
    <row r="109" spans="2:2" x14ac:dyDescent="0.25">
      <c r="B109" t="s">
        <v>158</v>
      </c>
    </row>
    <row r="110" spans="2:2" x14ac:dyDescent="0.25">
      <c r="B110" t="s">
        <v>159</v>
      </c>
    </row>
    <row r="111" spans="2:2" x14ac:dyDescent="0.25">
      <c r="B111" t="s">
        <v>160</v>
      </c>
    </row>
    <row r="112" spans="2:2" x14ac:dyDescent="0.25">
      <c r="B112" t="s">
        <v>161</v>
      </c>
    </row>
    <row r="113" spans="1:2" x14ac:dyDescent="0.25">
      <c r="B113" t="s">
        <v>162</v>
      </c>
    </row>
    <row r="114" spans="1:2" x14ac:dyDescent="0.25">
      <c r="B114" t="s">
        <v>163</v>
      </c>
    </row>
    <row r="115" spans="1:2" x14ac:dyDescent="0.25">
      <c r="B115" t="s">
        <v>164</v>
      </c>
    </row>
    <row r="116" spans="1:2" x14ac:dyDescent="0.25">
      <c r="B116" t="s">
        <v>165</v>
      </c>
    </row>
    <row r="118" spans="1:2" x14ac:dyDescent="0.25">
      <c r="A118" s="2" t="s">
        <v>45</v>
      </c>
    </row>
    <row r="119" spans="1:2" x14ac:dyDescent="0.25">
      <c r="B119" t="s">
        <v>46</v>
      </c>
    </row>
    <row r="120" spans="1:2" x14ac:dyDescent="0.25">
      <c r="B120" t="s">
        <v>169</v>
      </c>
    </row>
    <row r="121" spans="1:2" x14ac:dyDescent="0.25">
      <c r="B121" t="s">
        <v>170</v>
      </c>
    </row>
    <row r="122" spans="1:2" x14ac:dyDescent="0.25">
      <c r="B122" t="s">
        <v>47</v>
      </c>
    </row>
    <row r="124" spans="1:2" x14ac:dyDescent="0.25">
      <c r="A124" s="2" t="s">
        <v>72</v>
      </c>
    </row>
    <row r="125" spans="1:2" x14ac:dyDescent="0.25">
      <c r="B125" t="s">
        <v>64</v>
      </c>
    </row>
    <row r="126" spans="1:2" x14ac:dyDescent="0.25">
      <c r="B126" t="s">
        <v>65</v>
      </c>
    </row>
    <row r="127" spans="1:2" x14ac:dyDescent="0.25">
      <c r="B127" t="s">
        <v>66</v>
      </c>
    </row>
    <row r="129" spans="1:2" x14ac:dyDescent="0.25">
      <c r="A129" s="2" t="s">
        <v>73</v>
      </c>
    </row>
    <row r="130" spans="1:2" x14ac:dyDescent="0.25">
      <c r="B130" t="s">
        <v>74</v>
      </c>
    </row>
    <row r="131" spans="1:2" x14ac:dyDescent="0.25">
      <c r="B131" t="s">
        <v>76</v>
      </c>
    </row>
    <row r="132" spans="1:2" x14ac:dyDescent="0.25">
      <c r="B132" t="s">
        <v>75</v>
      </c>
    </row>
    <row r="134" spans="1:2" x14ac:dyDescent="0.25">
      <c r="A134" s="2" t="s">
        <v>93</v>
      </c>
    </row>
    <row r="135" spans="1:2" x14ac:dyDescent="0.25">
      <c r="B135" t="s">
        <v>94</v>
      </c>
    </row>
    <row r="136" spans="1:2" x14ac:dyDescent="0.25">
      <c r="B136" t="s">
        <v>95</v>
      </c>
    </row>
    <row r="137" spans="1:2" x14ac:dyDescent="0.25">
      <c r="B137" t="s">
        <v>96</v>
      </c>
    </row>
    <row r="138" spans="1:2" x14ac:dyDescent="0.25">
      <c r="B138" t="s">
        <v>97</v>
      </c>
    </row>
    <row r="140" spans="1:2" x14ac:dyDescent="0.25">
      <c r="A140" s="2" t="s">
        <v>166</v>
      </c>
    </row>
    <row r="141" spans="1:2" x14ac:dyDescent="0.25">
      <c r="B141" t="s">
        <v>167</v>
      </c>
    </row>
    <row r="142" spans="1:2" x14ac:dyDescent="0.25">
      <c r="B142" t="s">
        <v>168</v>
      </c>
    </row>
    <row r="144" spans="1:2" x14ac:dyDescent="0.25">
      <c r="A144" s="2" t="s">
        <v>171</v>
      </c>
    </row>
    <row r="145" spans="1:2" x14ac:dyDescent="0.25">
      <c r="B145" t="s">
        <v>46</v>
      </c>
    </row>
    <row r="146" spans="1:2" x14ac:dyDescent="0.25">
      <c r="B146" t="s">
        <v>172</v>
      </c>
    </row>
    <row r="147" spans="1:2" x14ac:dyDescent="0.25">
      <c r="B147" t="s">
        <v>47</v>
      </c>
    </row>
    <row r="149" spans="1:2" x14ac:dyDescent="0.25">
      <c r="A149" s="2" t="s">
        <v>181</v>
      </c>
    </row>
    <row r="150" spans="1:2" x14ac:dyDescent="0.25">
      <c r="B150" t="s">
        <v>204</v>
      </c>
    </row>
    <row r="151" spans="1:2" x14ac:dyDescent="0.25">
      <c r="B151" t="s">
        <v>205</v>
      </c>
    </row>
    <row r="152" spans="1:2" x14ac:dyDescent="0.25">
      <c r="B152" t="s">
        <v>206</v>
      </c>
    </row>
    <row r="153" spans="1:2" x14ac:dyDescent="0.25">
      <c r="B153" t="s">
        <v>207</v>
      </c>
    </row>
    <row r="154" spans="1:2" x14ac:dyDescent="0.25">
      <c r="B154" t="s">
        <v>208</v>
      </c>
    </row>
  </sheetData>
  <sheetProtection algorithmName="SHA-512" hashValue="/wNBlAm6+1iZBQWr+vWDL+gI/8/vWJ7dNWIGVhZgdMzRYy4WOhxqkR0w0yo3AaKjKNT6dfsnQDzLxlrspm2vNw==" saltValue="JJD9OoaHZM5IDpq7S0UX2g==" spinCount="100000" sheet="1" objects="1" scenarios="1"/>
  <sortState xmlns:xlrd2="http://schemas.microsoft.com/office/spreadsheetml/2017/richdata2" ref="B65:B91">
    <sortCondition ref="B9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697F82-D876-4220-A86E-B2237CDE7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Reference_Curves</vt:lpstr>
      <vt:lpstr>Pull Down Notes</vt:lpstr>
      <vt:lpstr>BEHI.NBS</vt:lpstr>
      <vt:lpstr>Condition</vt:lpstr>
      <vt:lpstr>Ecoregion</vt:lpstr>
      <vt:lpstr>FishIBI</vt:lpstr>
      <vt:lpstr>FishTarget</vt:lpstr>
      <vt:lpstr>FlowType</vt:lpstr>
      <vt:lpstr>RefVegCover</vt:lpstr>
      <vt:lpstr>RiverBasin</vt:lpstr>
      <vt:lpstr>RP</vt:lpstr>
      <vt:lpstr>StreamOrder</vt:lpstr>
      <vt:lpstr>StreamTemp</vt:lpstr>
      <vt:lpstr>StreamType</vt:lpstr>
      <vt:lpstr>ValleyType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Garrett Menichino</cp:lastModifiedBy>
  <cp:lastPrinted>2023-04-27T18:46:35Z</cp:lastPrinted>
  <dcterms:created xsi:type="dcterms:W3CDTF">2014-08-22T20:36:47Z</dcterms:created>
  <dcterms:modified xsi:type="dcterms:W3CDTF">2026-04-17T02:05:56Z</dcterms:modified>
</cp:coreProperties>
</file>