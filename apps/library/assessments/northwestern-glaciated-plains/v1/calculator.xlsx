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'Reference'!$A$5:$A$45</definedName>
    <definedName name="curve_x1">'Reference'!$G$5:$G$45</definedName>
    <definedName name="curve_y1">'Reference'!$O$5:$O$45</definedName>
    <definedName name="curve_x2">'Reference'!$H$5:$H$45</definedName>
    <definedName name="curve_y2">'Reference'!$P$5:$P$45</definedName>
    <definedName name="curve_x3">'Reference'!$I$5:$I$45</definedName>
    <definedName name="curve_y3">'Reference'!$Q$5:$Q$45</definedName>
    <definedName name="curve_x4">'Reference'!$J$5:$J$45</definedName>
    <definedName name="curve_y4">'Reference'!$R$5:$R$45</definedName>
    <definedName name="curve_x5">'Reference'!$K$5:$K$45</definedName>
    <definedName name="curve_y5">'Reference'!$S$5:$S$45</definedName>
    <definedName name="curve_x6">'Reference'!$L$5:$L$45</definedName>
    <definedName name="curve_y6">'Reference'!$T$5:$T$45</definedName>
    <definedName name="curve_x7">'Reference'!$M$5:$M$45</definedName>
    <definedName name="curve_y7">'Reference'!$U$5:$U$45</definedName>
    <definedName name="curve_x8">'Reference'!$N$5:$N$45</definedName>
    <definedName name="curve_y8">'Reference'!$V$5:$V$45</definedName>
    <definedName name="strata_spring_phab_rp100_cm">'Reference'!$A$49:$A$51</definedName>
    <definedName name="strata_spring_phab_bfwd_rat">'Reference'!$A$52:$A$54</definedName>
    <definedName name="strata_spring_phab_xbkf_h">'Reference'!$A$55:$A$57</definedName>
    <definedName name="strata_spring_phab_lrbs_use">'Reference'!$A$58:$A$60</definedName>
    <definedName name="strata_spring_phab_xcdenmid">'Reference'!$A$61:$A$63</definedName>
    <definedName name="strata_spring_fish_nat_totlntax">'Reference'!$A$64:$A$66</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cond">'Metrics'!$V$25</definedName>
    <definedName name="idx_spring_chem_turb">'Metrics'!$V$26</definedName>
    <definedName name="idx_spring_phab_xfc_nat">'Metrics'!$V$27</definedName>
    <definedName name="idx_spring_phab_pct_fast">'Metrics'!$V$28</definedName>
    <definedName name="idx_spring_fish_nat_totlntax">'Metrics'!$V$29</definedName>
    <definedName name="idx_spring_bent_totlntax">'Metrics'!$V$30</definedName>
    <definedName name="idx_spring_bent_ept_ntax">'Metrics'!$V$31</definedName>
    <definedName name="idx_spring_bent_hprime">'Metrics'!$V$32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st_spring_phab_rp100_cm">'DEEP Score'!$F$19</definedName>
    <definedName name="in_spring_phab_bfwd_rat">'DEEP Score'!$E$21</definedName>
    <definedName name="st_spring_phab_bfwd_rat">'DEEP Score'!$F$21</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xfc_nat">'DEEP Score'!$E$40</definedName>
    <definedName name="in_spring_phab_pct_fast">'DEEP Score'!$E$41</definedName>
    <definedName name="in_spring_fish_nat_totlntax">'DEEP Score'!$E$42</definedName>
    <definedName name="st_spring_fish_nat_totlntax">'DEEP Score'!$F$42</definedName>
    <definedName name="in_spring_bent_totlntax">'DEEP Score'!$E$43</definedName>
    <definedName name="in_spring_bent_ept_ntax">'DEEP Score'!$E$44</definedName>
    <definedName name="in_spring_bent_hprime">'DEEP Score'!$E$45</definedName>
    <definedName name="in_spring_nid_dams_1mi">'DEEP Score'!$E$46</definedName>
    <definedName name="site_notes">'DEEP Score'!$A$62</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Northwestern Glaciated Plains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95" customHeight="1">
      <c r="A5" s="4" t="inlineStr">
        <is>
          <t>Reference condition. Reference condition is set by a fixed landscape-pressure screen, never by a score. 5 curves are fitted to this ecoregion's own streams under the documented regional screen, which relaxes agriculture only. 17 borrow comparable least-disturbed stations from a wider region, stating the region and the transfer risk. 3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10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7"/>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Northwestern Glaciated Plains reference assessment</t>
        </is>
      </c>
    </row>
    <row r="3">
      <c r="A3" s="5" t="inlineStr">
        <is>
          <t>Version 1 | Draft | USEPA NRSA 2013-24 (L3 ecoregion 42),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40" t="inlineStr">
        <is>
          <t>All streams (pooled)</t>
        </is>
      </c>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15" t="n"/>
      <c r="F21" s="44" t="inlineStr">
        <is>
          <t>All streams (pooled)</t>
        </is>
      </c>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0" t="inlineStr">
        <is>
          <t>All streams (pooled)</t>
        </is>
      </c>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5" t="inlineStr">
        <is>
          <t>Geomorphology</t>
        </is>
      </c>
      <c r="B25" s="12" t="inlineStr">
        <is>
          <t>Channel evolution</t>
        </is>
      </c>
      <c r="C25" s="13" t="inlineStr">
        <is>
          <t>Bankfull width:depth ratio</t>
        </is>
      </c>
      <c r="D25" s="14" t="inlineStr"/>
      <c r="E25" s="38">
        <f>IF('DEEP Score'!$E$21="","",'DEEP Score'!$E$21)</f>
        <v/>
      </c>
      <c r="F25" s="39">
        <f>IF('DEEP Score'!$F$21="","",'DEEP Score'!$F$21)</f>
        <v/>
      </c>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6">
        <f>IF('DEEP Score'!$E$22="","",'DEEP Score'!$E$22)</f>
        <v/>
      </c>
      <c r="F26" s="47">
        <f>IF('DEEP Score'!$F$22="","",'DEEP Score'!$F$22)</f>
        <v/>
      </c>
      <c r="G26" s="26">
        <f>IF('Metrics'!$V$13="","",'Metrics'!$V$13)</f>
        <v/>
      </c>
      <c r="H26" s="21" t="n"/>
      <c r="I26" s="27" t="n"/>
    </row>
    <row r="27">
      <c r="A27" s="45"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5" t="inlineStr">
        <is>
          <t>Geomorphology</t>
        </is>
      </c>
      <c r="B29" s="12" t="inlineStr">
        <is>
          <t>Sediment continuity</t>
        </is>
      </c>
      <c r="C29" s="13" t="inlineStr">
        <is>
          <t>Relative bed stability</t>
        </is>
      </c>
      <c r="D29" s="14" t="inlineStr">
        <is>
          <t>log</t>
        </is>
      </c>
      <c r="E29" s="15" t="n"/>
      <c r="F29" s="44"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6">
        <f>IF('DEEP Score'!$E$23="","",'DEEP Score'!$E$23)</f>
        <v/>
      </c>
      <c r="F30" s="47" t="inlineStr"/>
      <c r="G30" s="26">
        <f>IF('Metrics'!$V$14="","",'Metrics'!$V$14)</f>
        <v/>
      </c>
      <c r="H30" s="21" t="n"/>
      <c r="I30" s="27" t="n"/>
    </row>
    <row r="31">
      <c r="A31" s="45" t="inlineStr">
        <is>
          <t>Geomorphology</t>
        </is>
      </c>
      <c r="B31" s="12" t="inlineStr">
        <is>
          <t>Bed composition and bedform dynamics</t>
        </is>
      </c>
      <c r="C31" s="13" t="inlineStr">
        <is>
          <t>Substrate size</t>
        </is>
      </c>
      <c r="D31" s="14" t="inlineStr">
        <is>
          <t>log mm</t>
        </is>
      </c>
      <c r="E31" s="15" t="n"/>
      <c r="F31" s="16" t="inlineStr"/>
      <c r="G31" s="17">
        <f>IF('Metrics'!$V$19="","",'Metrics'!$V$19)</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6">
        <f>IF('DEEP Score'!$E$24="","",'DEEP Score'!$E$24)</f>
        <v/>
      </c>
      <c r="F32" s="47" t="inlineStr"/>
      <c r="G32" s="26">
        <f>IF('Metrics'!$V$15="","",'Metrics'!$V$15)</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0" t="inlineStr">
        <is>
          <t>All streams (pooled)</t>
        </is>
      </c>
      <c r="G34" s="26">
        <f>IF('Metrics'!$V$21="","",'Metrics'!$V$21)</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IF('Metrics'!$V$22="","",'Metrics'!$V$22)</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8" t="inlineStr">
        <is>
          <t>Physicochemistry</t>
        </is>
      </c>
      <c r="B38" s="12" t="inlineStr">
        <is>
          <t>Water &amp; soil quality</t>
        </is>
      </c>
      <c r="C38" s="13" t="inlineStr">
        <is>
          <t>Specific conductivity</t>
        </is>
      </c>
      <c r="D38" s="14" t="inlineStr">
        <is>
          <t>uS/cm</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IF('Metrics'!$V$26="","",'Metrics'!$V$26)</f>
        <v/>
      </c>
      <c r="H39" s="21" t="n"/>
      <c r="I39" s="27" t="n"/>
    </row>
    <row r="40">
      <c r="A40" s="50" t="inlineStr">
        <is>
          <t>Biology</t>
        </is>
      </c>
      <c r="B40" s="12" t="inlineStr">
        <is>
          <t>Habitat provision</t>
        </is>
      </c>
      <c r="C40" s="13" t="inlineStr">
        <is>
          <t>Natural fish cover</t>
        </is>
      </c>
      <c r="D40" s="14" t="inlineStr">
        <is>
          <t>frac</t>
        </is>
      </c>
      <c r="E40" s="15" t="n"/>
      <c r="F40" s="16" t="inlineStr"/>
      <c r="G40" s="17">
        <f>IF('Metrics'!$V$27="","",'Metrics'!$V$27)</f>
        <v/>
      </c>
      <c r="H40" s="18">
        <f>IF('Results'!$B$20="","",'Results'!$B$20)</f>
        <v/>
      </c>
      <c r="I40" s="19">
        <f>IF('DEEP Score'!$H$40="","",IF('DEEP Score'!$H$40&lt;=5,"Non-Functioning",IF('DEEP Score'!$H$40&lt;=10,"Functioning At-Risk","Functioning")))</f>
        <v/>
      </c>
    </row>
    <row r="41">
      <c r="A41" s="20" t="n"/>
      <c r="B41" s="21" t="n"/>
      <c r="C41" s="22" t="inlineStr">
        <is>
          <t>Fast-water / riffle habitat</t>
        </is>
      </c>
      <c r="D41" s="23" t="inlineStr">
        <is>
          <t>%</t>
        </is>
      </c>
      <c r="E41" s="24" t="n"/>
      <c r="F41" s="25" t="inlineStr"/>
      <c r="G41" s="26">
        <f>IF('Metrics'!$V$28="","",'Metrics'!$V$28)</f>
        <v/>
      </c>
      <c r="H41" s="21" t="n"/>
      <c r="I41" s="27" t="n"/>
    </row>
    <row r="42">
      <c r="A42" s="50" t="inlineStr">
        <is>
          <t>Biology</t>
        </is>
      </c>
      <c r="B42" s="12" t="inlineStr">
        <is>
          <t>Population support</t>
        </is>
      </c>
      <c r="C42" s="13" t="inlineStr">
        <is>
          <t>Native fish taxa richness</t>
        </is>
      </c>
      <c r="D42" s="14" t="inlineStr"/>
      <c r="E42" s="15" t="n"/>
      <c r="F42" s="44" t="inlineStr">
        <is>
          <t>All streams (pooled)</t>
        </is>
      </c>
      <c r="G42" s="17">
        <f>IF('Metrics'!$V$29="","",'Metrics'!$V$29)</f>
        <v/>
      </c>
      <c r="H42" s="18">
        <f>IF('Results'!$B$21="","",'Results'!$B$21)</f>
        <v/>
      </c>
      <c r="I42" s="19">
        <f>IF('DEEP Score'!$H$42="","",IF('DEEP Score'!$H$42&lt;=5,"Non-Functioning",IF('DEEP Score'!$H$42&lt;=10,"Functioning At-Risk","Functioning")))</f>
        <v/>
      </c>
    </row>
    <row r="43">
      <c r="A43" s="20" t="n"/>
      <c r="B43" s="21" t="n"/>
      <c r="C43" s="22" t="inlineStr">
        <is>
          <t>Benthic total taxa richness</t>
        </is>
      </c>
      <c r="D43" s="23" t="inlineStr"/>
      <c r="E43" s="24" t="n"/>
      <c r="F43" s="25" t="inlineStr"/>
      <c r="G43" s="26">
        <f>IF('Metrics'!$V$30="","",'Metrics'!$V$30)</f>
        <v/>
      </c>
      <c r="H43" s="21" t="n"/>
      <c r="I43" s="27" t="n"/>
    </row>
    <row r="44">
      <c r="A44" s="50" t="inlineStr">
        <is>
          <t>Biology</t>
        </is>
      </c>
      <c r="B44" s="12" t="inlineStr">
        <is>
          <t>Community dynamics</t>
        </is>
      </c>
      <c r="C44" s="13" t="inlineStr">
        <is>
          <t>EPT taxa richness</t>
        </is>
      </c>
      <c r="D44" s="14" t="inlineStr"/>
      <c r="E44" s="15" t="n"/>
      <c r="F44" s="16" t="inlineStr"/>
      <c r="G44" s="17">
        <f>IF('Metrics'!$V$31="","",'Metrics'!$V$31)</f>
        <v/>
      </c>
      <c r="H44" s="18">
        <f>IF('Results'!$B$22="","",'Results'!$B$22)</f>
        <v/>
      </c>
      <c r="I44" s="19">
        <f>IF('DEEP Score'!$H$44="","",IF('DEEP Score'!$H$44&lt;=5,"Non-Functioning",IF('DEEP Score'!$H$44&lt;=10,"Functioning At-Risk","Functioning")))</f>
        <v/>
      </c>
    </row>
    <row r="45">
      <c r="A45" s="20" t="n"/>
      <c r="B45" s="21" t="n"/>
      <c r="C45" s="22" t="inlineStr">
        <is>
          <t>Shannon diversity (H')</t>
        </is>
      </c>
      <c r="D45" s="23" t="inlineStr">
        <is>
          <t>H'</t>
        </is>
      </c>
      <c r="E45" s="24" t="n"/>
      <c r="F45" s="25" t="inlineStr"/>
      <c r="G45" s="26">
        <f>IF('Metrics'!$V$32="","",'Metrics'!$V$32)</f>
        <v/>
      </c>
      <c r="H45" s="21" t="n"/>
      <c r="I45" s="27" t="n"/>
    </row>
    <row r="46">
      <c r="A46" s="51" t="inlineStr">
        <is>
          <t>Biology</t>
        </is>
      </c>
      <c r="B46" s="29" t="inlineStr">
        <is>
          <t>Watershed connectivity</t>
        </is>
      </c>
      <c r="C46" s="30" t="inlineStr">
        <is>
          <t>Mapped dams within one mile</t>
        </is>
      </c>
      <c r="D46" s="31" t="inlineStr">
        <is>
          <t>dams</t>
        </is>
      </c>
      <c r="E46" s="32" t="n"/>
      <c r="F46" s="33" t="inlineStr"/>
      <c r="G46" s="34">
        <f>IF('Metrics'!$V$33="","",'Metrics'!$V$33)</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58" t="inlineStr">
        <is>
          <t>Withheld for insufficient reference support (not scored)</t>
        </is>
      </c>
    </row>
    <row r="58">
      <c r="A58" t="inlineStr">
        <is>
          <t>pH</t>
        </is>
      </c>
      <c r="C58" s="5" t="inlineStr">
        <is>
          <t>Water and soil quality</t>
        </is>
      </c>
    </row>
    <row r="59">
      <c r="A59" t="inlineStr">
        <is>
          <t>Large wood volume</t>
        </is>
      </c>
      <c r="C59" s="5" t="inlineStr">
        <is>
          <t>Bed composition and bedform dynamics</t>
        </is>
      </c>
    </row>
    <row r="61">
      <c r="A61" s="6" t="inlineStr">
        <is>
          <t>Notes</t>
        </is>
      </c>
    </row>
    <row r="62">
      <c r="A62" s="59" t="n"/>
      <c r="B62" s="60" t="n"/>
      <c r="C62" s="60" t="n"/>
      <c r="D62" s="60" t="n"/>
      <c r="E62" s="60" t="n"/>
      <c r="F62" s="60" t="n"/>
      <c r="G62" s="60" t="n"/>
      <c r="H62" s="60" t="n"/>
      <c r="I62" s="61"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2" t="n"/>
      <c r="B66" s="63" t="n"/>
      <c r="C66" s="63" t="n"/>
      <c r="D66" s="63" t="n"/>
      <c r="E66" s="63" t="n"/>
      <c r="F66" s="63" t="n"/>
      <c r="G66" s="63" t="n"/>
      <c r="H66" s="63" t="n"/>
      <c r="I66" s="64" t="n"/>
    </row>
    <row r="67">
      <c r="A67" s="65" t="n"/>
      <c r="B67" s="66" t="n"/>
      <c r="C67" s="66" t="n"/>
      <c r="D67" s="66" t="n"/>
      <c r="E67" s="66" t="n"/>
      <c r="F67" s="66" t="n"/>
      <c r="G67" s="66" t="n"/>
      <c r="H67" s="66" t="n"/>
      <c r="I67" s="67"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A62:I67"/>
    <mergeCell ref="I12:I13"/>
    <mergeCell ref="B9:D9"/>
    <mergeCell ref="I21:I22"/>
    <mergeCell ref="H36:H37"/>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6">
    <dataValidation sqref="F19" showDropDown="0" showInputMessage="0" showErrorMessage="1" allowBlank="1" errorTitle="Curve set" error="Choose a curve set from the list." type="list">
      <formula1>=strata_spring_phab_rp100_cm</formula1>
    </dataValidation>
    <dataValidation sqref="F21"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2" showDropDown="0" showInputMessage="0" showErrorMessage="1" allowBlank="1" errorTitle="Curve set" error="Choose a curve set from the list." type="list">
      <formula1>=strata_spring_fish_nat_totlntax</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Residual pool depth</t>
        </is>
      </c>
      <c r="B11" s="70">
        <f>IF('DEEP Score'!$E$19="","",'DEEP Score'!$E$19)</f>
        <v/>
      </c>
      <c r="C11" s="70">
        <f>IF('DEEP Score'!$F$19="","All streams (pooled)",'DEEP Score'!$F$19)</f>
        <v/>
      </c>
      <c r="D11" s="70">
        <f>"spring_phab_rp100_cm|"&amp;'Metrics'!$C$11</f>
        <v/>
      </c>
      <c r="E11" s="70">
        <f>IFERROR(MATCH('Metrics'!$D$11,curve_key,0),MATCH("spring_phab_rp100_cm|All streams (pooled)",curve_key,0))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width:depth ratio</t>
        </is>
      </c>
      <c r="B12" s="70">
        <f>IF('DEEP Score'!$E$21="","",'DEEP Score'!$E$21)</f>
        <v/>
      </c>
      <c r="C12" s="70">
        <f>IF('DEEP Score'!$F$21="","All streams (pooled)",'DEEP Score'!$F$21)</f>
        <v/>
      </c>
      <c r="D12" s="70">
        <f>"spring_phab_bfwd_rat|"&amp;'Metrics'!$C$12</f>
        <v/>
      </c>
      <c r="E12" s="70">
        <f>IFERROR(MATCH('Metrics'!$D$12,curve_key,0),MATCH("spring_phab_bfwd_rat|All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Bankfull height above channel</t>
        </is>
      </c>
      <c r="B13" s="70">
        <f>IF('DEEP Score'!$E$22="","",'DEEP Score'!$E$22)</f>
        <v/>
      </c>
      <c r="C13" s="70">
        <f>IF('DEEP Score'!$F$22="","All streams (pooled)",'DEEP Score'!$F$22)</f>
        <v/>
      </c>
      <c r="D13" s="70">
        <f>"spring_phab_xbkf_h|"&amp;'Metrics'!$C$13</f>
        <v/>
      </c>
      <c r="E13" s="70">
        <f>IFERROR(MATCH('Metrics'!$D$13,curve_key,0),MATCH("spring_phab_xbkf_h|All streams (pooled)",curve_key,0))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Sand + fines</t>
        </is>
      </c>
      <c r="B14" s="70">
        <f>IF('DEEP Score'!$E$23="","",'DEEP Score'!$E$23)</f>
        <v/>
      </c>
      <c r="C14" s="70">
        <f>""</f>
        <v/>
      </c>
      <c r="D14" s="70">
        <f>"spring_phab_pct_safn|"&amp;'Metrics'!$C$14</f>
        <v/>
      </c>
      <c r="E14" s="70">
        <f>IFERROR(MATCH('Metrics'!$D$14,curve_key,0),MATCH("spring_phab_pct_safn|",curve_key,0))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Embeddedness</t>
        </is>
      </c>
      <c r="B15" s="70">
        <f>IF('DEEP Score'!$E$24="","",'DEEP Score'!$E$24)</f>
        <v/>
      </c>
      <c r="C15" s="70">
        <f>""</f>
        <v/>
      </c>
      <c r="D15" s="70">
        <f>"spring_phab_xembed|"&amp;'Metrics'!$C$15</f>
        <v/>
      </c>
      <c r="E15" s="70">
        <f>IFERROR(MATCH('Metrics'!$D$15,curve_key,0),MATCH("spring_phab_xembed|",curve_key,0))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Sinuosity</t>
        </is>
      </c>
      <c r="B16" s="70">
        <f>IF('DEEP Score'!$E$27="","",'DEEP Score'!$E$27)</f>
        <v/>
      </c>
      <c r="C16" s="70">
        <f>""</f>
        <v/>
      </c>
      <c r="D16" s="70">
        <f>"spring_phab_sinu|"&amp;'Metrics'!$C$16</f>
        <v/>
      </c>
      <c r="E16" s="70">
        <f>IFERROR(MATCH('Metrics'!$D$16,curve_key,0),MATCH("spring_phab_sinu|",curve_key,0))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Bank angle</t>
        </is>
      </c>
      <c r="B17" s="70">
        <f>IF('DEEP Score'!$E$28="","",'DEEP Score'!$E$28)</f>
        <v/>
      </c>
      <c r="C17" s="70">
        <f>""</f>
        <v/>
      </c>
      <c r="D17" s="70">
        <f>"spring_phab_xbka|"&amp;'Metrics'!$C$17</f>
        <v/>
      </c>
      <c r="E17" s="70">
        <f>IFERROR(MATCH('Metrics'!$D$17,curve_key,0),MATCH("spring_phab_xbka|",curve_key,0))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Relative bed stability</t>
        </is>
      </c>
      <c r="B18" s="70">
        <f>IF('DEEP Score'!$E$29="","",'DEEP Score'!$E$29)</f>
        <v/>
      </c>
      <c r="C18" s="70">
        <f>IF('DEEP Score'!$F$29="","All streams (pooled)",'DEEP Score'!$F$29)</f>
        <v/>
      </c>
      <c r="D18" s="70">
        <f>"spring_phab_lrbs_use|"&amp;'Metrics'!$C$18</f>
        <v/>
      </c>
      <c r="E18" s="70">
        <f>IFERROR(MATCH('Metrics'!$D$18,curve_key,0),MATCH("spring_phab_lrbs_use|All streams (pooled)",curve_key,0))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Substrate size</t>
        </is>
      </c>
      <c r="B19" s="70">
        <f>IF('DEEP Score'!$E$31="","",'DEEP Score'!$E$31)</f>
        <v/>
      </c>
      <c r="C19" s="70">
        <f>""</f>
        <v/>
      </c>
      <c r="D19" s="70">
        <f>"spring_phab_lsub_dmm|"&amp;'Metrics'!$C$19</f>
        <v/>
      </c>
      <c r="E19" s="70">
        <f>IFERROR(MATCH('Metrics'!$D$19,curve_key,0),MATCH("spring_phab_lsub_dmm|",curve_key,0))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Chlorophyll a</t>
        </is>
      </c>
      <c r="B20" s="70">
        <f>IF('DEEP Score'!$E$33="","",'DEEP Score'!$E$33)</f>
        <v/>
      </c>
      <c r="C20" s="70">
        <f>""</f>
        <v/>
      </c>
      <c r="D20" s="70">
        <f>"spring_chem_chla|"&amp;'Metrics'!$C$20</f>
        <v/>
      </c>
      <c r="E20" s="70">
        <f>IFERROR(MATCH('Metrics'!$D$20,curve_key,0),MATCH("spring_chem_chla|",curve_key,0))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Canopy density, mid-channel</t>
        </is>
      </c>
      <c r="B21" s="70">
        <f>IF('DEEP Score'!$E$34="","",'DEEP Score'!$E$34)</f>
        <v/>
      </c>
      <c r="C21" s="70">
        <f>IF('DEEP Score'!$F$34="","All streams (pooled)",'DEEP Score'!$F$34)</f>
        <v/>
      </c>
      <c r="D21" s="70">
        <f>"spring_phab_xcdenmid|"&amp;'Metrics'!$C$21</f>
        <v/>
      </c>
      <c r="E21" s="70">
        <f>IFERROR(MATCH('Metrics'!$D$21,curve_key,0),MATCH("spring_phab_xcdenmid|All streams (pooled)",curve_key,0))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Riparian veg cover, woody</t>
        </is>
      </c>
      <c r="B22" s="70">
        <f>IF('DEEP Score'!$E$35="","",'DEEP Score'!$E$35)</f>
        <v/>
      </c>
      <c r="C22" s="70">
        <f>""</f>
        <v/>
      </c>
      <c r="D22" s="70">
        <f>"spring_phab_xcmgw|"&amp;'Metrics'!$C$22</f>
        <v/>
      </c>
      <c r="E22" s="70">
        <f>IFERROR(MATCH('Metrics'!$D$22,curve_key,0),MATCH("spring_phab_xcmgw|",curve_key,0))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nitrogen</t>
        </is>
      </c>
      <c r="B23" s="70">
        <f>IF('DEEP Score'!$E$36="","",'DEEP Score'!$E$36)</f>
        <v/>
      </c>
      <c r="C23" s="70">
        <f>""</f>
        <v/>
      </c>
      <c r="D23" s="70">
        <f>"spring_chem_ntl|"&amp;'Metrics'!$C$23</f>
        <v/>
      </c>
      <c r="E23" s="70">
        <f>IFERROR(MATCH('Metrics'!$D$23,curve_key,0),MATCH("spring_chem_ntl|",curve_key,0))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Total phosphorus</t>
        </is>
      </c>
      <c r="B24" s="70">
        <f>IF('DEEP Score'!$E$37="","",'DEEP Score'!$E$37)</f>
        <v/>
      </c>
      <c r="C24" s="70">
        <f>""</f>
        <v/>
      </c>
      <c r="D24" s="70">
        <f>"spring_chem_ptl|"&amp;'Metrics'!$C$24</f>
        <v/>
      </c>
      <c r="E24" s="70">
        <f>IFERROR(MATCH('Metrics'!$D$24,curve_key,0),MATCH("spring_chem_ptl|",curve_key,0))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Specific conductivity</t>
        </is>
      </c>
      <c r="B25" s="70">
        <f>IF('DEEP Score'!$E$38="","",'DEEP Score'!$E$38)</f>
        <v/>
      </c>
      <c r="C25" s="70">
        <f>""</f>
        <v/>
      </c>
      <c r="D25" s="70">
        <f>"spring_chem_cond|"&amp;'Metrics'!$C$25</f>
        <v/>
      </c>
      <c r="E25" s="70">
        <f>IFERROR(MATCH('Metrics'!$D$25,curve_key,0),MATCH("spring_chem_cond|",curve_key,0))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Turbidity</t>
        </is>
      </c>
      <c r="B26" s="70">
        <f>IF('DEEP Score'!$E$39="","",'DEEP Score'!$E$39)</f>
        <v/>
      </c>
      <c r="C26" s="70">
        <f>""</f>
        <v/>
      </c>
      <c r="D26" s="70">
        <f>"spring_chem_turb|"&amp;'Metrics'!$C$26</f>
        <v/>
      </c>
      <c r="E26" s="70">
        <f>IFERROR(MATCH('Metrics'!$D$26,curve_key,0),MATCH("spring_chem_turb|",curve_key,0))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Score'!$E$40="","",'DEEP Score'!$E$40)</f>
        <v/>
      </c>
      <c r="C27" s="70">
        <f>""</f>
        <v/>
      </c>
      <c r="D27" s="70">
        <f>"spring_phab_xfc_nat|"&amp;'Metrics'!$C$27</f>
        <v/>
      </c>
      <c r="E27" s="70">
        <f>IFERROR(MATCH('Metrics'!$D$27,curve_key,0),MATCH("spring_phab_xfc_nat|",curve_key,0))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Fast-water / riffle habitat</t>
        </is>
      </c>
      <c r="B28" s="70">
        <f>IF('DEEP Score'!$E$41="","",'DEEP Score'!$E$41)</f>
        <v/>
      </c>
      <c r="C28" s="70">
        <f>""</f>
        <v/>
      </c>
      <c r="D28" s="70">
        <f>"spring_phab_pct_fast|"&amp;'Metrics'!$C$28</f>
        <v/>
      </c>
      <c r="E28" s="70">
        <f>IFERROR(MATCH('Metrics'!$D$28,curve_key,0),MATCH("spring_phab_pct_fast|",curve_key,0))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Native fish taxa richness</t>
        </is>
      </c>
      <c r="B29" s="70">
        <f>IF('DEEP Score'!$E$42="","",'DEEP Score'!$E$42)</f>
        <v/>
      </c>
      <c r="C29" s="70">
        <f>IF('DEEP Score'!$F$42="","All streams (pooled)",'DEEP Score'!$F$42)</f>
        <v/>
      </c>
      <c r="D29" s="70">
        <f>"spring_fish_nat_totlntax|"&amp;'Metrics'!$C$29</f>
        <v/>
      </c>
      <c r="E29" s="70">
        <f>IFERROR(MATCH('Metrics'!$D$29,curve_key,0),MATCH("spring_fish_nat_totlntax|All streams (pooled)",curve_key,0))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Benthic total taxa richness</t>
        </is>
      </c>
      <c r="B30" s="70">
        <f>IF('DEEP Score'!$E$43="","",'DEEP Score'!$E$43)</f>
        <v/>
      </c>
      <c r="C30" s="70">
        <f>""</f>
        <v/>
      </c>
      <c r="D30" s="70">
        <f>"spring_bent_totlntax|"&amp;'Metrics'!$C$30</f>
        <v/>
      </c>
      <c r="E30" s="70">
        <f>IFERROR(MATCH('Metrics'!$D$30,curve_key,0),MATCH("spring_bent_totlntax|",curve_key,0))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EPT taxa richness</t>
        </is>
      </c>
      <c r="B31" s="70">
        <f>IF('DEEP Score'!$E$44="","",'DEEP Score'!$E$44)</f>
        <v/>
      </c>
      <c r="C31" s="70">
        <f>""</f>
        <v/>
      </c>
      <c r="D31" s="70">
        <f>"spring_bent_ept_ntax|"&amp;'Metrics'!$C$31</f>
        <v/>
      </c>
      <c r="E31" s="70">
        <f>IFERROR(MATCH('Metrics'!$D$31,curve_key,0),MATCH("spring_bent_ept_ntax|",curve_key,0))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Shannon diversity (H')</t>
        </is>
      </c>
      <c r="B32" s="70">
        <f>IF('DEEP Score'!$E$45="","",'DEEP Score'!$E$45)</f>
        <v/>
      </c>
      <c r="C32" s="70">
        <f>""</f>
        <v/>
      </c>
      <c r="D32" s="70">
        <f>"spring_bent_hprime|"&amp;'Metrics'!$C$32</f>
        <v/>
      </c>
      <c r="E32" s="70">
        <f>IFERROR(MATCH('Metrics'!$D$32,curve_key,0),MATCH("spring_bent_hprime|",curve_key,0))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9" t="inlineStr">
        <is>
          <t>Mapped dams within one mile</t>
        </is>
      </c>
      <c r="B33" s="70">
        <f>IF('DEEP Score'!$E$46="","",'DEEP Score'!$E$46)</f>
        <v/>
      </c>
      <c r="C33" s="70">
        <f>""</f>
        <v/>
      </c>
      <c r="D33" s="70">
        <f>"spring_nid_dams_1mi|"&amp;'Metrics'!$C$33</f>
        <v/>
      </c>
      <c r="E33" s="70">
        <f>IFERROR(MATCH('Metrics'!$D$33,curve_key,0),MATCH("spring_nid_dams_1mi|",curve_key,0))</f>
        <v/>
      </c>
      <c r="F33" s="70">
        <f>INDEX(curve_x1,'Metrics'!$E$33)</f>
        <v/>
      </c>
      <c r="G33" s="70">
        <f>INDEX(curve_x2,'Metrics'!$E$33)</f>
        <v/>
      </c>
      <c r="H33" s="70">
        <f>INDEX(curve_x3,'Metrics'!$E$33)</f>
        <v/>
      </c>
      <c r="I33" s="70">
        <f>INDEX(curve_x4,'Metrics'!$E$33)</f>
        <v/>
      </c>
      <c r="J33" s="70">
        <f>INDEX(curve_x5,'Metrics'!$E$33)</f>
        <v/>
      </c>
      <c r="K33" s="70">
        <f>INDEX(curve_x6,'Metrics'!$E$33)</f>
        <v/>
      </c>
      <c r="L33" s="70">
        <f>INDEX(curve_x7,'Metrics'!$E$33)</f>
        <v/>
      </c>
      <c r="M33" s="70">
        <f>INDEX(curve_x8,'Metrics'!$E$33)</f>
        <v/>
      </c>
      <c r="N33" s="70">
        <f>INDEX(curve_y1,'Metrics'!$E$33)</f>
        <v/>
      </c>
      <c r="O33" s="70">
        <f>INDEX(curve_y2,'Metrics'!$E$33)</f>
        <v/>
      </c>
      <c r="P33" s="70">
        <f>INDEX(curve_y3,'Metrics'!$E$33)</f>
        <v/>
      </c>
      <c r="Q33" s="70">
        <f>INDEX(curve_y4,'Metrics'!$E$33)</f>
        <v/>
      </c>
      <c r="R33" s="70">
        <f>INDEX(curve_y5,'Metrics'!$E$33)</f>
        <v/>
      </c>
      <c r="S33" s="70">
        <f>INDEX(curve_y6,'Metrics'!$E$33)</f>
        <v/>
      </c>
      <c r="T33" s="70">
        <f>INDEX(curve_y7,'Metrics'!$E$33)</f>
        <v/>
      </c>
      <c r="U33" s="70">
        <f>INDEX(curve_y8,'Metrics'!$E$33)</f>
        <v/>
      </c>
      <c r="V33" s="71">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Score'!G42:G43)=0,"",SUM('DEEP Score'!G42:G43)/COUNT('DEEP Score'!G42:G43)*15)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Score'!G44:G45)=0,"",SUM('DEEP Score'!G44:G45)/COUNT('DEEP Score'!G44:G45)*15)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Score'!G46:G46)=0,"",SUM('DEEP Score'!G46:G46)/COUNT('DEEP Score'!G46:G46)*15)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72"/>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t>
        </is>
      </c>
      <c r="D7" s="69" t="inlineStr"/>
      <c r="E7" s="69" t="n">
        <v>5</v>
      </c>
      <c r="F7" s="69" t="inlineStr">
        <is>
          <t>58 least-disturbed stations borrowed from Level II ecoregion 9.3 (West-Central Semi-Arid Prairies) under the regional screen (agriculture at most 47.8 percent), transfer risk unvalidated (transfer not confirmed by the recovery test). Scored on a reference pool whose transfer to this ecoregion was not confirmed by the recovery test (class agreement 0.56 of evaluation regions; two thirds required); confidence capped at 39.</t>
        </is>
      </c>
      <c r="G7" s="69" t="n">
        <v>0</v>
      </c>
      <c r="H7" s="69" t="n">
        <v>0.1478571428571429</v>
      </c>
      <c r="I7" s="69" t="n">
        <v>0.345</v>
      </c>
      <c r="J7" s="69" t="n">
        <v>2.07</v>
      </c>
      <c r="K7" s="69" t="n">
        <v>2.9325</v>
      </c>
      <c r="L7" s="69" t="n">
        <v>2.9325</v>
      </c>
      <c r="M7" s="69" t="n">
        <v>2.9325</v>
      </c>
      <c r="N7" s="69" t="n">
        <v>2.9325</v>
      </c>
      <c r="O7" s="69" t="n">
        <v>0</v>
      </c>
      <c r="P7" s="69" t="n">
        <v>0.3</v>
      </c>
      <c r="Q7" s="69" t="n">
        <v>0.7</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87 least-disturbed stations borrowed from Level I ecoregion 9 (Great Plains) under the regional screen (agriculture at most 47.8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9" t="n">
        <v>0</v>
      </c>
      <c r="H9" s="69" t="n">
        <v>10.78825714285714</v>
      </c>
      <c r="I9" s="69" t="n">
        <v>25.1726</v>
      </c>
      <c r="J9" s="69" t="n">
        <v>67.9624</v>
      </c>
      <c r="K9" s="69" t="n">
        <v>89.35730000000001</v>
      </c>
      <c r="L9" s="69" t="n">
        <v>89.35730000000001</v>
      </c>
      <c r="M9" s="69" t="n">
        <v>89.35730000000001</v>
      </c>
      <c r="N9" s="69" t="n">
        <v>89.35730000000001</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spring_phab_rp100_cm|All streams (pooled)</t>
        </is>
      </c>
      <c r="B11" s="69" t="inlineStr">
        <is>
          <t>spring-phab-rp100-cm</t>
        </is>
      </c>
      <c r="C11" s="69" t="inlineStr">
        <is>
          <t>Residual pool depth</t>
        </is>
      </c>
      <c r="D11" s="69" t="inlineStr">
        <is>
          <t>All streams (pooled)</t>
        </is>
      </c>
      <c r="E11" s="69" t="n">
        <v>5</v>
      </c>
      <c r="F11" s="69" t="inlineStr">
        <is>
          <t>97 least-disturbed stations borrowed from Level I ecoregion 9 (Great Plains) under the regional screen (agriculture at most 47.8 percent), transfer risk unvalidated (transfer not confirmed by the recovery test). Scored on a reference pool whose transfer to this ecoregion was not confirmed by the recovery test (class agreement 0.61 of evaluation regions; two thirds required); confidence capped at 39.</t>
        </is>
      </c>
      <c r="G11" s="69" t="n">
        <v>0</v>
      </c>
      <c r="H11" s="69" t="n">
        <v>3.847645078386579</v>
      </c>
      <c r="I11" s="69" t="n">
        <v>8.977838516235352</v>
      </c>
      <c r="J11" s="69" t="n">
        <v>31.43618202209473</v>
      </c>
      <c r="K11" s="69" t="n">
        <v>42.66535377502441</v>
      </c>
      <c r="L11" s="69" t="n">
        <v>42.66535377502441</v>
      </c>
      <c r="M11" s="69" t="n">
        <v>42.66535377502441</v>
      </c>
      <c r="N11" s="69" t="n">
        <v>42.66535377502441</v>
      </c>
      <c r="O11" s="69" t="n">
        <v>0</v>
      </c>
      <c r="P11" s="69" t="n">
        <v>0.3</v>
      </c>
      <c r="Q11" s="69" t="n">
        <v>0.7</v>
      </c>
      <c r="R11" s="69" t="n">
        <v>1</v>
      </c>
      <c r="S11" s="69" t="n">
        <v>1</v>
      </c>
      <c r="T11" s="69" t="n">
        <v>1</v>
      </c>
      <c r="U11" s="69" t="n">
        <v>1</v>
      </c>
      <c r="V11" s="69" t="n">
        <v>1</v>
      </c>
    </row>
    <row r="12">
      <c r="A12" s="69" t="inlineStr">
        <is>
          <t>spring_phab_rp100_cm|Low gradient (under 0.5 percent)</t>
        </is>
      </c>
      <c r="B12" s="69" t="inlineStr">
        <is>
          <t>spring-phab-rp100-cm</t>
        </is>
      </c>
      <c r="C12" s="69" t="inlineStr">
        <is>
          <t>Residual pool depth</t>
        </is>
      </c>
      <c r="D12" s="69" t="inlineStr">
        <is>
          <t>Low gradient (under 0.5 percent)</t>
        </is>
      </c>
      <c r="E12" s="69" t="n">
        <v>5</v>
      </c>
      <c r="F12" s="69" t="inlineStr">
        <is>
          <t>97 least-disturbed stations borrowed from Level I ecoregion 9 (Great Plains) under the regional screen (agriculture at most 47.8 percent), transfer risk unvalidated (transfer not confirmed by the recovery test). Scored on a reference pool whose transfer to this ecoregion was not confirmed by the recovery test (class agreement 0.61 of evaluation regions; two thirds required); confidence capped at 39.</t>
        </is>
      </c>
      <c r="G12" s="69" t="n">
        <v>0</v>
      </c>
      <c r="H12" s="69" t="n">
        <v>4.141088349478586</v>
      </c>
      <c r="I12" s="69" t="n">
        <v>9.662539482116699</v>
      </c>
      <c r="J12" s="69" t="n">
        <v>40.89392852783203</v>
      </c>
      <c r="K12" s="69" t="n">
        <v>56.5096230506897</v>
      </c>
      <c r="L12" s="69" t="n">
        <v>56.5096230506897</v>
      </c>
      <c r="M12" s="69" t="n">
        <v>56.5096230506897</v>
      </c>
      <c r="N12" s="69" t="n">
        <v>56.5096230506897</v>
      </c>
      <c r="O12" s="69" t="n">
        <v>0</v>
      </c>
      <c r="P12" s="69" t="n">
        <v>0.3</v>
      </c>
      <c r="Q12" s="69" t="n">
        <v>0.7</v>
      </c>
      <c r="R12" s="69" t="n">
        <v>1</v>
      </c>
      <c r="S12" s="69" t="n">
        <v>1</v>
      </c>
      <c r="T12" s="69" t="n">
        <v>1</v>
      </c>
      <c r="U12" s="69" t="n">
        <v>1</v>
      </c>
      <c r="V12" s="69" t="n">
        <v>1</v>
      </c>
    </row>
    <row r="13">
      <c r="A13" s="69" t="inlineStr">
        <is>
          <t>spring_phab_rp100_cm|Moderate gradient (0.5 to 2 percent)</t>
        </is>
      </c>
      <c r="B13" s="69" t="inlineStr">
        <is>
          <t>spring-phab-rp100-cm</t>
        </is>
      </c>
      <c r="C13" s="69" t="inlineStr">
        <is>
          <t>Residual pool depth</t>
        </is>
      </c>
      <c r="D13" s="69" t="inlineStr">
        <is>
          <t>Moderate gradient (0.5 to 2 percent)</t>
        </is>
      </c>
      <c r="E13" s="69" t="n">
        <v>5</v>
      </c>
      <c r="F13" s="69" t="inlineStr">
        <is>
          <t>97 least-disturbed stations borrowed from Level I ecoregion 9 (Great Plains) under the regional screen (agriculture at most 47.8 percent), transfer risk unvalidated (transfer not confirmed by the recovery test). Scored on a reference pool whose transfer to this ecoregion was not confirmed by the recovery test (class agreement 0.61 of evaluation regions; two thirds required); confidence capped at 39.</t>
        </is>
      </c>
      <c r="G13" s="69" t="n">
        <v>0</v>
      </c>
      <c r="H13" s="69" t="n">
        <v>3.968421731676374</v>
      </c>
      <c r="I13" s="69" t="n">
        <v>9.259650707244873</v>
      </c>
      <c r="J13" s="69" t="n">
        <v>22.94931888580322</v>
      </c>
      <c r="K13" s="69" t="n">
        <v>29.7941529750824</v>
      </c>
      <c r="L13" s="69" t="n">
        <v>29.7941529750824</v>
      </c>
      <c r="M13" s="69" t="n">
        <v>29.7941529750824</v>
      </c>
      <c r="N13" s="69" t="n">
        <v>29.7941529750824</v>
      </c>
      <c r="O13" s="69" t="n">
        <v>0</v>
      </c>
      <c r="P13" s="69" t="n">
        <v>0.3</v>
      </c>
      <c r="Q13" s="69" t="n">
        <v>0.7</v>
      </c>
      <c r="R13" s="69" t="n">
        <v>1</v>
      </c>
      <c r="S13" s="69" t="n">
        <v>1</v>
      </c>
      <c r="T13" s="69" t="n">
        <v>1</v>
      </c>
      <c r="U13" s="69" t="n">
        <v>1</v>
      </c>
      <c r="V13" s="69" t="n">
        <v>1</v>
      </c>
    </row>
    <row r="14">
      <c r="A14" s="69" t="inlineStr">
        <is>
          <t>spring_phab_bfwd_rat|All streams (pooled)</t>
        </is>
      </c>
      <c r="B14" s="69" t="inlineStr">
        <is>
          <t>spring-phab-bfwd-rat</t>
        </is>
      </c>
      <c r="C14" s="69" t="inlineStr">
        <is>
          <t>Bankfull width:depth ratio</t>
        </is>
      </c>
      <c r="D14" s="69" t="inlineStr">
        <is>
          <t>All streams (pooled)</t>
        </is>
      </c>
      <c r="E14" s="69" t="n">
        <v>7</v>
      </c>
      <c r="F14" s="69" t="inlineStr">
        <is>
          <t>97 least-disturbed stations borrowed from Level I ecoregion 9 (Great Plains) under the regional screen (agriculture at most 47.8 percent), transfer risk unvalidated (transfer not confirmed by the recovery test). Scored on a reference pool whose transfer to this ecoregion was not confirmed by the recovery test (class agreement 0.67 of evaluation regions; two thirds required; net optimism +0.11, at most 0.05 allowed); confidence capped at 39.</t>
        </is>
      </c>
      <c r="G14" s="69" t="n">
        <v>0</v>
      </c>
      <c r="H14" s="69" t="n">
        <v>1.879049944877625</v>
      </c>
      <c r="I14" s="69" t="n">
        <v>5.031017780303955</v>
      </c>
      <c r="J14" s="69" t="n">
        <v>14.03664016723633</v>
      </c>
      <c r="K14" s="69" t="n">
        <v>17.18860800266266</v>
      </c>
      <c r="L14" s="69" t="n">
        <v>23.0422625541687</v>
      </c>
      <c r="M14" s="69" t="n">
        <v>32.04788494110107</v>
      </c>
      <c r="N14" s="69" t="n">
        <v>32.04788494110107</v>
      </c>
      <c r="O14" s="69" t="n">
        <v>0</v>
      </c>
      <c r="P14" s="69" t="n">
        <v>0.7</v>
      </c>
      <c r="Q14" s="69" t="n">
        <v>1</v>
      </c>
      <c r="R14" s="69" t="n">
        <v>1</v>
      </c>
      <c r="S14" s="69" t="n">
        <v>0.7</v>
      </c>
      <c r="T14" s="69" t="n">
        <v>0.3</v>
      </c>
      <c r="U14" s="69" t="n">
        <v>0</v>
      </c>
      <c r="V14" s="69" t="n">
        <v>0</v>
      </c>
    </row>
    <row r="15">
      <c r="A15" s="69" t="inlineStr">
        <is>
          <t>spring_phab_bfwd_rat|Small stream (10 to 100 km2)</t>
        </is>
      </c>
      <c r="B15" s="69" t="inlineStr">
        <is>
          <t>spring-phab-bfwd-rat</t>
        </is>
      </c>
      <c r="C15" s="69" t="inlineStr">
        <is>
          <t>Bankfull width:depth ratio</t>
        </is>
      </c>
      <c r="D15" s="69" t="inlineStr">
        <is>
          <t>Small stream (10 to 100 km2)</t>
        </is>
      </c>
      <c r="E15" s="69" t="n">
        <v>7</v>
      </c>
      <c r="F15" s="69" t="inlineStr">
        <is>
          <t>97 least-disturbed stations borrowed from Level I ecoregion 9 (Great Plains) under the regional screen (agriculture at most 47.8 percent), transfer risk unvalidated (transfer not confirmed by the recovery test). Scored on a reference pool whose transfer to this ecoregion was not confirmed by the recovery test (class agreement 0.67 of evaluation regions; two thirds required; net optimism +0.11, at most 0.05 allowed); confidence capped at 39.</t>
        </is>
      </c>
      <c r="G15" s="69" t="n">
        <v>0</v>
      </c>
      <c r="H15" s="69" t="n">
        <v>3.019503831863403</v>
      </c>
      <c r="I15" s="69" t="n">
        <v>4.901032209396362</v>
      </c>
      <c r="J15" s="69" t="n">
        <v>10.27682757377625</v>
      </c>
      <c r="K15" s="69" t="n">
        <v>12.1583559513092</v>
      </c>
      <c r="L15" s="69" t="n">
        <v>15.65262293815613</v>
      </c>
      <c r="M15" s="69" t="n">
        <v>21.02841830253601</v>
      </c>
      <c r="N15" s="69" t="n">
        <v>21.02841830253601</v>
      </c>
      <c r="O15" s="69" t="n">
        <v>0</v>
      </c>
      <c r="P15" s="69" t="n">
        <v>0.7</v>
      </c>
      <c r="Q15" s="69" t="n">
        <v>1</v>
      </c>
      <c r="R15" s="69" t="n">
        <v>1</v>
      </c>
      <c r="S15" s="69" t="n">
        <v>0.7</v>
      </c>
      <c r="T15" s="69" t="n">
        <v>0.3</v>
      </c>
      <c r="U15" s="69" t="n">
        <v>0</v>
      </c>
      <c r="V15" s="69" t="n">
        <v>0</v>
      </c>
    </row>
    <row r="16">
      <c r="A16" s="69" t="inlineStr">
        <is>
          <t>spring_phab_bfwd_rat|Large stream (over 100 km2)</t>
        </is>
      </c>
      <c r="B16" s="69" t="inlineStr">
        <is>
          <t>spring-phab-bfwd-rat</t>
        </is>
      </c>
      <c r="C16" s="69" t="inlineStr">
        <is>
          <t>Bankfull width:depth ratio</t>
        </is>
      </c>
      <c r="D16" s="69" t="inlineStr">
        <is>
          <t>Large stream (over 100 km2)</t>
        </is>
      </c>
      <c r="E16" s="69" t="n">
        <v>7</v>
      </c>
      <c r="F16" s="69" t="inlineStr">
        <is>
          <t>97 least-disturbed stations borrowed from Level I ecoregion 9 (Great Plains) under the regional screen (agriculture at most 47.8 percent), transfer risk unvalidated (transfer not confirmed by the recovery test). Scored on a reference pool whose transfer to this ecoregion was not confirmed by the recovery test (class agreement 0.67 of evaluation regions; two thirds required; net optimism +0.11, at most 0.05 allowed); confidence capped at 39.</t>
        </is>
      </c>
      <c r="G16" s="69" t="n">
        <v>0</v>
      </c>
      <c r="H16" s="69" t="n">
        <v>0.9892247200012205</v>
      </c>
      <c r="I16" s="69" t="n">
        <v>5.12891960144043</v>
      </c>
      <c r="J16" s="69" t="n">
        <v>16.95661926269531</v>
      </c>
      <c r="K16" s="69" t="n">
        <v>21.09631414413452</v>
      </c>
      <c r="L16" s="69" t="n">
        <v>28.7843189239502</v>
      </c>
      <c r="M16" s="69" t="n">
        <v>40.61201858520508</v>
      </c>
      <c r="N16" s="69" t="n">
        <v>40.61201858520508</v>
      </c>
      <c r="O16" s="69" t="n">
        <v>0</v>
      </c>
      <c r="P16" s="69" t="n">
        <v>0.7</v>
      </c>
      <c r="Q16" s="69" t="n">
        <v>1</v>
      </c>
      <c r="R16" s="69" t="n">
        <v>1</v>
      </c>
      <c r="S16" s="69" t="n">
        <v>0.7</v>
      </c>
      <c r="T16" s="69" t="n">
        <v>0.3</v>
      </c>
      <c r="U16" s="69" t="n">
        <v>0</v>
      </c>
      <c r="V16" s="69" t="n">
        <v>0</v>
      </c>
    </row>
    <row r="17">
      <c r="A17" s="69" t="inlineStr">
        <is>
          <t>spring_phab_xbkf_h|All streams (pooled)</t>
        </is>
      </c>
      <c r="B17" s="69" t="inlineStr">
        <is>
          <t>spring-phab-xbkf-h</t>
        </is>
      </c>
      <c r="C17" s="69" t="inlineStr">
        <is>
          <t>Bankfull height above channel</t>
        </is>
      </c>
      <c r="D17" s="69" t="inlineStr">
        <is>
          <t>All streams (pooled)</t>
        </is>
      </c>
      <c r="E17" s="69" t="n">
        <v>7</v>
      </c>
      <c r="F17" s="69" t="inlineStr">
        <is>
          <t>55 least-disturbed stations borrowed from Level II ecoregion 9.3 (West-Central Semi-Arid Prairies) under the regional screen (agriculture at most 47.8 percent), transfer risk unvalidated (transfer not confirmed by the recovery test). Scored on a reference pool whose transfer to this ecoregion was not confirmed by the recovery test (class agreement 0.56 of evaluation regions; two thirds required); confidence capped at 39.</t>
        </is>
      </c>
      <c r="G17" s="69" t="n">
        <v>0</v>
      </c>
      <c r="H17" s="69" t="n">
        <v>0.1778863668441772</v>
      </c>
      <c r="I17" s="69" t="n">
        <v>0.3113636374473572</v>
      </c>
      <c r="J17" s="69" t="n">
        <v>0.692727267742157</v>
      </c>
      <c r="K17" s="69" t="n">
        <v>0.8262045383453369</v>
      </c>
      <c r="L17" s="69" t="n">
        <v>1.074090898036957</v>
      </c>
      <c r="M17" s="69" t="n">
        <v>1.455454528331757</v>
      </c>
      <c r="N17" s="69" t="n">
        <v>1.455454528331757</v>
      </c>
      <c r="O17" s="69" t="n">
        <v>0</v>
      </c>
      <c r="P17" s="69" t="n">
        <v>0.7</v>
      </c>
      <c r="Q17" s="69" t="n">
        <v>1</v>
      </c>
      <c r="R17" s="69" t="n">
        <v>1</v>
      </c>
      <c r="S17" s="69" t="n">
        <v>0.7</v>
      </c>
      <c r="T17" s="69" t="n">
        <v>0.3</v>
      </c>
      <c r="U17" s="69" t="n">
        <v>0</v>
      </c>
      <c r="V17" s="69" t="n">
        <v>0</v>
      </c>
    </row>
    <row r="18">
      <c r="A18" s="69" t="inlineStr">
        <is>
          <t>spring_phab_xbkf_h|Small stream (10 to 100 km2)</t>
        </is>
      </c>
      <c r="B18" s="69" t="inlineStr">
        <is>
          <t>spring-phab-xbkf-h</t>
        </is>
      </c>
      <c r="C18" s="69" t="inlineStr">
        <is>
          <t>Bankfull height above channel</t>
        </is>
      </c>
      <c r="D18" s="69" t="inlineStr">
        <is>
          <t>Small stream (10 to 100 km2)</t>
        </is>
      </c>
      <c r="E18" s="69" t="n">
        <v>7</v>
      </c>
      <c r="F18" s="69" t="inlineStr">
        <is>
          <t>55 least-disturbed stations borrowed from Level II ecoregion 9.3 (West-Central Semi-Arid Prairies) under the regional screen (agriculture at most 47.8 percent), transfer risk unvalidated (transfer not confirmed by the recovery test). Scored on a reference pool whose transfer to this ecoregion was not confirmed by the recovery test (class agreement 0.56 of evaluation regions; two thirds required); confidence capped at 39.</t>
        </is>
      </c>
      <c r="G18" s="69" t="n">
        <v>0</v>
      </c>
      <c r="H18" s="69" t="n">
        <v>0.1677272871136665</v>
      </c>
      <c r="I18" s="69" t="n">
        <v>0.2727272808551788</v>
      </c>
      <c r="J18" s="69" t="n">
        <v>0.5727272629737854</v>
      </c>
      <c r="K18" s="69" t="n">
        <v>0.6777272567152977</v>
      </c>
      <c r="L18" s="69" t="n">
        <v>0.872727245092392</v>
      </c>
      <c r="M18" s="69" t="n">
        <v>1.172727227210999</v>
      </c>
      <c r="N18" s="69" t="n">
        <v>1.172727227210999</v>
      </c>
      <c r="O18" s="69" t="n">
        <v>0</v>
      </c>
      <c r="P18" s="69" t="n">
        <v>0.7</v>
      </c>
      <c r="Q18" s="69" t="n">
        <v>1</v>
      </c>
      <c r="R18" s="69" t="n">
        <v>1</v>
      </c>
      <c r="S18" s="69" t="n">
        <v>0.7</v>
      </c>
      <c r="T18" s="69" t="n">
        <v>0.3</v>
      </c>
      <c r="U18" s="69" t="n">
        <v>0</v>
      </c>
      <c r="V18" s="69" t="n">
        <v>0</v>
      </c>
    </row>
    <row r="19">
      <c r="A19" s="69" t="inlineStr">
        <is>
          <t>spring_phab_xbkf_h|Large stream (over 100 km2)</t>
        </is>
      </c>
      <c r="B19" s="69" t="inlineStr">
        <is>
          <t>spring-phab-xbkf-h</t>
        </is>
      </c>
      <c r="C19" s="69" t="inlineStr">
        <is>
          <t>Bankfull height above channel</t>
        </is>
      </c>
      <c r="D19" s="69" t="inlineStr">
        <is>
          <t>Large stream (over 100 km2)</t>
        </is>
      </c>
      <c r="E19" s="69" t="n">
        <v>7</v>
      </c>
      <c r="F19" s="69" t="inlineStr">
        <is>
          <t>55 least-disturbed stations borrowed from Level II ecoregion 9.3 (West-Central Semi-Arid Prairies) under the regional screen (agriculture at most 47.8 percent), transfer risk unvalidated (transfer not confirmed by the recovery test). Scored on a reference pool whose transfer to this ecoregion was not confirmed by the recovery test (class agreement 0.56 of evaluation regions; two thirds required); confidence capped at 39.</t>
        </is>
      </c>
      <c r="G19" s="69" t="n">
        <v>0</v>
      </c>
      <c r="H19" s="69" t="n">
        <v>0.1594545647501946</v>
      </c>
      <c r="I19" s="69" t="n">
        <v>0.3363636434078217</v>
      </c>
      <c r="J19" s="69" t="n">
        <v>0.8418181538581848</v>
      </c>
      <c r="K19" s="69" t="n">
        <v>1.018727232515812</v>
      </c>
      <c r="L19" s="69" t="n">
        <v>1.347272664308548</v>
      </c>
      <c r="M19" s="69" t="n">
        <v>1.852727174758911</v>
      </c>
      <c r="N19" s="69" t="n">
        <v>1.852727174758911</v>
      </c>
      <c r="O19" s="69" t="n">
        <v>0</v>
      </c>
      <c r="P19" s="69" t="n">
        <v>0.7</v>
      </c>
      <c r="Q19" s="69" t="n">
        <v>1</v>
      </c>
      <c r="R19" s="69" t="n">
        <v>1</v>
      </c>
      <c r="S19" s="69" t="n">
        <v>0.7</v>
      </c>
      <c r="T19" s="69" t="n">
        <v>0.3</v>
      </c>
      <c r="U19" s="69" t="n">
        <v>0</v>
      </c>
      <c r="V19" s="69" t="n">
        <v>0</v>
      </c>
    </row>
    <row r="20">
      <c r="A20" s="69" t="inlineStr">
        <is>
          <t>spring_phab_pct_safn|</t>
        </is>
      </c>
      <c r="B20" s="69" t="inlineStr">
        <is>
          <t>spring-phab-pct-safn</t>
        </is>
      </c>
      <c r="C20" s="69" t="inlineStr">
        <is>
          <t>Sand + fines</t>
        </is>
      </c>
      <c r="D20" s="69" t="inlineStr"/>
      <c r="E20" s="69" t="n">
        <v>4</v>
      </c>
      <c r="F20" s="69" t="inlineStr">
        <is>
          <t>55 least-disturbed stations borrowed from Level II ecoregion 9.3 (West-Central Semi-Arid Prairies) under the regional screen (agriculture at most 47.8 percent), transfer risk low</t>
        </is>
      </c>
      <c r="G20" s="69" t="n">
        <v>19.7619047164917</v>
      </c>
      <c r="H20" s="69" t="n">
        <v>43.33333396911621</v>
      </c>
      <c r="I20" s="69" t="n">
        <v>90.47619247436523</v>
      </c>
      <c r="J20" s="69" t="n">
        <v>100</v>
      </c>
      <c r="K20" s="69" t="n">
        <v>100</v>
      </c>
      <c r="L20" s="69" t="n">
        <v>100</v>
      </c>
      <c r="M20" s="69" t="n">
        <v>100</v>
      </c>
      <c r="N20" s="69" t="n">
        <v>100</v>
      </c>
      <c r="O20" s="69" t="n">
        <v>1</v>
      </c>
      <c r="P20" s="69" t="n">
        <v>1</v>
      </c>
      <c r="Q20" s="69" t="n">
        <v>0.7</v>
      </c>
      <c r="R20" s="69" t="n">
        <v>0</v>
      </c>
      <c r="S20" s="69" t="n">
        <v>0</v>
      </c>
      <c r="T20" s="69" t="n">
        <v>0</v>
      </c>
      <c r="U20" s="69" t="n">
        <v>0</v>
      </c>
      <c r="V20" s="69" t="n">
        <v>0</v>
      </c>
    </row>
    <row r="21">
      <c r="A21" s="69" t="inlineStr">
        <is>
          <t>spring_phab_xembed|</t>
        </is>
      </c>
      <c r="B21" s="69" t="inlineStr">
        <is>
          <t>spring-phab-xembed</t>
        </is>
      </c>
      <c r="C21" s="69" t="inlineStr">
        <is>
          <t>Embeddedness</t>
        </is>
      </c>
      <c r="D21" s="69" t="inlineStr"/>
      <c r="E21" s="69" t="n">
        <v>4</v>
      </c>
      <c r="F21" s="69" t="inlineStr">
        <is>
          <t>17 least-disturbed streams of this ecoregion under the regional screen (agriculture at most 47.8 percent)</t>
        </is>
      </c>
      <c r="G21" s="69" t="n">
        <v>51.00000381469727</v>
      </c>
      <c r="H21" s="69" t="n">
        <v>66.36363983154297</v>
      </c>
      <c r="I21" s="69" t="n">
        <v>97.09091186523438</v>
      </c>
      <c r="J21" s="69" t="n">
        <v>100</v>
      </c>
      <c r="K21" s="69" t="n">
        <v>100</v>
      </c>
      <c r="L21" s="69" t="n">
        <v>100</v>
      </c>
      <c r="M21" s="69" t="n">
        <v>100</v>
      </c>
      <c r="N21" s="69" t="n">
        <v>100</v>
      </c>
      <c r="O21" s="69" t="n">
        <v>1</v>
      </c>
      <c r="P21" s="69" t="n">
        <v>1</v>
      </c>
      <c r="Q21" s="69" t="n">
        <v>0.7</v>
      </c>
      <c r="R21" s="69" t="n">
        <v>0</v>
      </c>
      <c r="S21" s="69" t="n">
        <v>0</v>
      </c>
      <c r="T21" s="69" t="n">
        <v>0</v>
      </c>
      <c r="U21" s="69" t="n">
        <v>0</v>
      </c>
      <c r="V21" s="69" t="n">
        <v>0</v>
      </c>
    </row>
    <row r="22">
      <c r="A22" s="69" t="inlineStr">
        <is>
          <t>spring_phab_sinu|</t>
        </is>
      </c>
      <c r="B22" s="69" t="inlineStr">
        <is>
          <t>spring-phab-sinu</t>
        </is>
      </c>
      <c r="C22" s="69" t="inlineStr">
        <is>
          <t>Sinuosity</t>
        </is>
      </c>
      <c r="D22" s="69" t="inlineStr"/>
      <c r="E22" s="69" t="n">
        <v>4</v>
      </c>
      <c r="F22" s="69" t="inlineStr">
        <is>
          <t>53 least-disturbed stations borrowed from Level II ecoregion 9.3 (West-Central Semi-Arid Prairies) under the regional screen (agriculture at most 47.8 percent), transfer risk moderate</t>
        </is>
      </c>
      <c r="G22" s="69" t="n">
        <v>1</v>
      </c>
      <c r="H22" s="69" t="n">
        <v>1.15104866027832</v>
      </c>
      <c r="I22" s="69" t="n">
        <v>1.7579665184021</v>
      </c>
      <c r="J22" s="69" t="n">
        <v>2.061425447463989</v>
      </c>
      <c r="K22" s="69" t="n">
        <v>2.061425447463989</v>
      </c>
      <c r="L22" s="69" t="n">
        <v>2.061425447463989</v>
      </c>
      <c r="M22" s="69" t="n">
        <v>2.061425447463989</v>
      </c>
      <c r="N22" s="69" t="n">
        <v>2.061425447463989</v>
      </c>
      <c r="O22" s="69" t="n">
        <v>0</v>
      </c>
      <c r="P22" s="69" t="n">
        <v>0.7</v>
      </c>
      <c r="Q22" s="69" t="n">
        <v>1</v>
      </c>
      <c r="R22" s="69" t="n">
        <v>1</v>
      </c>
      <c r="S22" s="69" t="n">
        <v>1</v>
      </c>
      <c r="T22" s="69" t="n">
        <v>1</v>
      </c>
      <c r="U22" s="69" t="n">
        <v>1</v>
      </c>
      <c r="V22" s="69" t="n">
        <v>1</v>
      </c>
    </row>
    <row r="23">
      <c r="A23" s="69" t="inlineStr">
        <is>
          <t>spring_phab_xbka|</t>
        </is>
      </c>
      <c r="B23" s="69" t="inlineStr">
        <is>
          <t>spring-phab-xbka</t>
        </is>
      </c>
      <c r="C23" s="69" t="inlineStr">
        <is>
          <t>Bank angle</t>
        </is>
      </c>
      <c r="D23" s="69" t="inlineStr"/>
      <c r="E23" s="69" t="n">
        <v>7</v>
      </c>
      <c r="F23" s="69" t="inlineStr">
        <is>
          <t>52 least-disturbed stations borrowed from NARS-9 region NPL under the regional screen (agriculture at most 47.8 percent), transfer risk moderate</t>
        </is>
      </c>
      <c r="G23" s="69" t="n">
        <v>0</v>
      </c>
      <c r="H23" s="69" t="n">
        <v>16.21647675037384</v>
      </c>
      <c r="I23" s="69" t="n">
        <v>24.87499952316284</v>
      </c>
      <c r="J23" s="69" t="n">
        <v>49.6136360168457</v>
      </c>
      <c r="K23" s="69" t="n">
        <v>58.2721587896347</v>
      </c>
      <c r="L23" s="69" t="n">
        <v>74.35227251052856</v>
      </c>
      <c r="M23" s="69" t="n">
        <v>99.09090900421143</v>
      </c>
      <c r="N23" s="69" t="n">
        <v>99.09090900421143</v>
      </c>
      <c r="O23" s="69" t="n">
        <v>0.7</v>
      </c>
      <c r="P23" s="69" t="n">
        <v>0.7</v>
      </c>
      <c r="Q23" s="69" t="n">
        <v>1</v>
      </c>
      <c r="R23" s="69" t="n">
        <v>1</v>
      </c>
      <c r="S23" s="69" t="n">
        <v>0.7</v>
      </c>
      <c r="T23" s="69" t="n">
        <v>0.3</v>
      </c>
      <c r="U23" s="69" t="n">
        <v>0</v>
      </c>
      <c r="V23" s="69" t="n">
        <v>0</v>
      </c>
    </row>
    <row r="24">
      <c r="A24" s="69" t="inlineStr">
        <is>
          <t>spring_phab_lrbs_use|All streams (pooled)</t>
        </is>
      </c>
      <c r="B24" s="69" t="inlineStr">
        <is>
          <t>spring-phab-lrbs-use</t>
        </is>
      </c>
      <c r="C24" s="69" t="inlineStr">
        <is>
          <t>Relative bed stability</t>
        </is>
      </c>
      <c r="D24" s="69" t="inlineStr">
        <is>
          <t>All streams (pooled)</t>
        </is>
      </c>
      <c r="E24" s="69" t="n">
        <v>8</v>
      </c>
      <c r="F24" s="69" t="inlineStr">
        <is>
          <t>98 least-disturbed stations borrowed from Level I ecoregion 9 (Great Plains) under the regional screen (agriculture at most 47.8 percent), transfer risk high</t>
        </is>
      </c>
      <c r="G24" s="69" t="n">
        <v>-5.025147438049316</v>
      </c>
      <c r="H24" s="69" t="n">
        <v>-3.58858785033226</v>
      </c>
      <c r="I24" s="69" t="n">
        <v>-2.654824118316173</v>
      </c>
      <c r="J24" s="69" t="n">
        <v>-2.152028262615204</v>
      </c>
      <c r="K24" s="69" t="n">
        <v>-0.7154686748981476</v>
      </c>
      <c r="L24" s="69" t="n">
        <v>-0.212672819197178</v>
      </c>
      <c r="M24" s="69" t="n">
        <v>0.7210909128189087</v>
      </c>
      <c r="N24" s="69" t="n">
        <v>2.157650500535965</v>
      </c>
      <c r="O24" s="69" t="n">
        <v>0</v>
      </c>
      <c r="P24" s="69" t="n">
        <v>0.3</v>
      </c>
      <c r="Q24" s="69" t="n">
        <v>0.7</v>
      </c>
      <c r="R24" s="69" t="n">
        <v>1</v>
      </c>
      <c r="S24" s="69" t="n">
        <v>1</v>
      </c>
      <c r="T24" s="69" t="n">
        <v>0.7</v>
      </c>
      <c r="U24" s="69" t="n">
        <v>0.3</v>
      </c>
      <c r="V24" s="69" t="n">
        <v>0</v>
      </c>
    </row>
    <row r="25">
      <c r="A25" s="69" t="inlineStr">
        <is>
          <t>spring_phab_lrbs_use|Small stream (10 to 100 km2)</t>
        </is>
      </c>
      <c r="B25" s="69" t="inlineStr">
        <is>
          <t>spring-phab-lrbs-use</t>
        </is>
      </c>
      <c r="C25" s="69" t="inlineStr">
        <is>
          <t>Relative bed stability</t>
        </is>
      </c>
      <c r="D25" s="69" t="inlineStr">
        <is>
          <t>Small stream (10 to 100 km2)</t>
        </is>
      </c>
      <c r="E25" s="69" t="n">
        <v>8</v>
      </c>
      <c r="F25" s="69" t="inlineStr">
        <is>
          <t>98 least-disturbed stations borrowed from Level I ecoregion 9 (Great Plains) under the regional screen (agriculture at most 47.8 percent), transfer risk high</t>
        </is>
      </c>
      <c r="G25" s="69" t="n">
        <v>-4.856025993824005</v>
      </c>
      <c r="H25" s="69" t="n">
        <v>-3.498878687620163</v>
      </c>
      <c r="I25" s="69" t="n">
        <v>-2.616732938587666</v>
      </c>
      <c r="J25" s="69" t="n">
        <v>-2.141731381416321</v>
      </c>
      <c r="K25" s="69" t="n">
        <v>-0.7845840752124786</v>
      </c>
      <c r="L25" s="69" t="n">
        <v>-0.3095825180411339</v>
      </c>
      <c r="M25" s="69" t="n">
        <v>0.5725632309913635</v>
      </c>
      <c r="N25" s="69" t="n">
        <v>1.929710537195206</v>
      </c>
      <c r="O25" s="69" t="n">
        <v>0</v>
      </c>
      <c r="P25" s="69" t="n">
        <v>0.3</v>
      </c>
      <c r="Q25" s="69" t="n">
        <v>0.7</v>
      </c>
      <c r="R25" s="69" t="n">
        <v>1</v>
      </c>
      <c r="S25" s="69" t="n">
        <v>1</v>
      </c>
      <c r="T25" s="69" t="n">
        <v>0.7</v>
      </c>
      <c r="U25" s="69" t="n">
        <v>0.3</v>
      </c>
      <c r="V25" s="69" t="n">
        <v>0</v>
      </c>
    </row>
    <row r="26">
      <c r="A26" s="69" t="inlineStr">
        <is>
          <t>spring_phab_lrbs_use|Large stream (over 100 km2)</t>
        </is>
      </c>
      <c r="B26" s="69" t="inlineStr">
        <is>
          <t>spring-phab-lrbs-use</t>
        </is>
      </c>
      <c r="C26" s="69" t="inlineStr">
        <is>
          <t>Relative bed stability</t>
        </is>
      </c>
      <c r="D26" s="69" t="inlineStr">
        <is>
          <t>Large stream (over 100 km2)</t>
        </is>
      </c>
      <c r="E26" s="69" t="n">
        <v>8</v>
      </c>
      <c r="F26" s="69" t="inlineStr">
        <is>
          <t>98 least-disturbed stations borrowed from Level I ecoregion 9 (Great Plains) under the regional screen (agriculture at most 47.8 percent), transfer risk high</t>
        </is>
      </c>
      <c r="G26" s="69" t="n">
        <v>-5.268595784902573</v>
      </c>
      <c r="H26" s="69" t="n">
        <v>-3.685811206698418</v>
      </c>
      <c r="I26" s="69" t="n">
        <v>-2.657001230865717</v>
      </c>
      <c r="J26" s="69" t="n">
        <v>-2.103026628494263</v>
      </c>
      <c r="K26" s="69" t="n">
        <v>-0.5202420502901077</v>
      </c>
      <c r="L26" s="69" t="n">
        <v>0.03373255208134651</v>
      </c>
      <c r="M26" s="69" t="n">
        <v>1.062542527914047</v>
      </c>
      <c r="N26" s="69" t="n">
        <v>2.645327106118202</v>
      </c>
      <c r="O26" s="69" t="n">
        <v>0</v>
      </c>
      <c r="P26" s="69" t="n">
        <v>0.3</v>
      </c>
      <c r="Q26" s="69" t="n">
        <v>0.7</v>
      </c>
      <c r="R26" s="69" t="n">
        <v>1</v>
      </c>
      <c r="S26" s="69" t="n">
        <v>1</v>
      </c>
      <c r="T26" s="69" t="n">
        <v>0.7</v>
      </c>
      <c r="U26" s="69" t="n">
        <v>0.3</v>
      </c>
      <c r="V26" s="69" t="n">
        <v>0</v>
      </c>
    </row>
    <row r="27">
      <c r="A27" s="69" t="inlineStr">
        <is>
          <t>spring_phab_lsub_dmm|</t>
        </is>
      </c>
      <c r="B27" s="69" t="inlineStr">
        <is>
          <t>spring-phab-lsub-dmm</t>
        </is>
      </c>
      <c r="C27" s="69" t="inlineStr">
        <is>
          <t>Substrate size</t>
        </is>
      </c>
      <c r="D27" s="69" t="inlineStr"/>
      <c r="E27" s="69" t="n">
        <v>5</v>
      </c>
      <c r="F27" s="69" t="inlineStr">
        <is>
          <t>19 least-disturbed streams of this ecoregion under the regional screen (agriculture at most 47.8 percent)</t>
        </is>
      </c>
      <c r="G27" s="69" t="n">
        <v>-4.840684622526169</v>
      </c>
      <c r="H27" s="69" t="n">
        <v>-3.253390282392502</v>
      </c>
      <c r="I27" s="69" t="n">
        <v>-0.8724487721920013</v>
      </c>
      <c r="J27" s="69" t="n">
        <v>0.7148455679416656</v>
      </c>
      <c r="K27" s="69" t="n">
        <v>1.508492738008499</v>
      </c>
      <c r="L27" s="69" t="n">
        <v>1.508492738008499</v>
      </c>
      <c r="M27" s="69" t="n">
        <v>1.508492738008499</v>
      </c>
      <c r="N27" s="69" t="n">
        <v>1.508492738008499</v>
      </c>
      <c r="O27" s="69" t="n">
        <v>0</v>
      </c>
      <c r="P27" s="69" t="n">
        <v>0.3</v>
      </c>
      <c r="Q27" s="69" t="n">
        <v>0.7</v>
      </c>
      <c r="R27" s="69" t="n">
        <v>1</v>
      </c>
      <c r="S27" s="69" t="n">
        <v>1</v>
      </c>
      <c r="T27" s="69" t="n">
        <v>1</v>
      </c>
      <c r="U27" s="69" t="n">
        <v>1</v>
      </c>
      <c r="V27" s="69" t="n">
        <v>1</v>
      </c>
    </row>
    <row r="28">
      <c r="A28" s="69" t="inlineStr">
        <is>
          <t>spring_chem_chla|</t>
        </is>
      </c>
      <c r="B28" s="69" t="inlineStr">
        <is>
          <t>spring-chem-chla</t>
        </is>
      </c>
      <c r="C28" s="69" t="inlineStr">
        <is>
          <t>Chlorophyll a</t>
        </is>
      </c>
      <c r="D28" s="69" t="inlineStr"/>
      <c r="E28" s="69" t="n">
        <v>5</v>
      </c>
      <c r="F28" s="69" t="inlineStr">
        <is>
          <t>56 least-disturbed stations borrowed from Level II ecoregion 9.3 (West-Central Semi-Arid Prairies) under the regional screen (agriculture at most 47.8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8" s="69" t="n">
        <v>0</v>
      </c>
      <c r="H28" s="69" t="n">
        <v>1.450166642665863</v>
      </c>
      <c r="I28" s="69" t="n">
        <v>8.239999771118164</v>
      </c>
      <c r="J28" s="69" t="n">
        <v>18.42474946379662</v>
      </c>
      <c r="K28" s="69" t="n">
        <v>25.21458259224892</v>
      </c>
      <c r="L28" s="69" t="n">
        <v>25.21458259224892</v>
      </c>
      <c r="M28" s="69" t="n">
        <v>25.21458259224892</v>
      </c>
      <c r="N28" s="69" t="n">
        <v>25.21458259224892</v>
      </c>
      <c r="O28" s="69" t="n">
        <v>1</v>
      </c>
      <c r="P28" s="69" t="n">
        <v>1</v>
      </c>
      <c r="Q28" s="69" t="n">
        <v>0.7</v>
      </c>
      <c r="R28" s="69" t="n">
        <v>0.3</v>
      </c>
      <c r="S28" s="69" t="n">
        <v>0</v>
      </c>
      <c r="T28" s="69" t="n">
        <v>0</v>
      </c>
      <c r="U28" s="69" t="n">
        <v>0</v>
      </c>
      <c r="V28" s="69" t="n">
        <v>0</v>
      </c>
    </row>
    <row r="29">
      <c r="A29" s="69" t="inlineStr">
        <is>
          <t>spring_phab_xcdenmid|All streams (pooled)</t>
        </is>
      </c>
      <c r="B29" s="69" t="inlineStr">
        <is>
          <t>spring-phab-xcdenmid</t>
        </is>
      </c>
      <c r="C29" s="69" t="inlineStr">
        <is>
          <t>Canopy density, mid-channel</t>
        </is>
      </c>
      <c r="D29" s="69" t="inlineStr">
        <is>
          <t>All streams (pooled)</t>
        </is>
      </c>
      <c r="E29" s="69" t="n">
        <v>5</v>
      </c>
      <c r="F29" s="69" t="inlineStr">
        <is>
          <t>67 least-disturbed stations borrowed from Level II ecoregion 9.3 (West-Central Semi-Arid Prairies) under the regional screen (agriculture at most 47.8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9" t="n">
        <v>0</v>
      </c>
      <c r="H29" s="69" t="n">
        <v>1.031321627753121</v>
      </c>
      <c r="I29" s="69" t="n">
        <v>2.40641713142395</v>
      </c>
      <c r="J29" s="69" t="n">
        <v>38.97058868408203</v>
      </c>
      <c r="K29" s="69" t="n">
        <v>57.25267446041107</v>
      </c>
      <c r="L29" s="69" t="n">
        <v>57.25267446041107</v>
      </c>
      <c r="M29" s="69" t="n">
        <v>57.25267446041107</v>
      </c>
      <c r="N29" s="69" t="n">
        <v>57.25267446041107</v>
      </c>
      <c r="O29" s="69" t="n">
        <v>0</v>
      </c>
      <c r="P29" s="69" t="n">
        <v>0.3</v>
      </c>
      <c r="Q29" s="69" t="n">
        <v>0.7</v>
      </c>
      <c r="R29" s="69" t="n">
        <v>1</v>
      </c>
      <c r="S29" s="69" t="n">
        <v>1</v>
      </c>
      <c r="T29" s="69" t="n">
        <v>1</v>
      </c>
      <c r="U29" s="69" t="n">
        <v>1</v>
      </c>
      <c r="V29" s="69" t="n">
        <v>1</v>
      </c>
    </row>
    <row r="30">
      <c r="A30" s="69" t="inlineStr">
        <is>
          <t>spring_phab_xcdenmid|Small stream (10 to 100 km2)</t>
        </is>
      </c>
      <c r="B30" s="69" t="inlineStr">
        <is>
          <t>spring-phab-xcdenmid</t>
        </is>
      </c>
      <c r="C30" s="69" t="inlineStr">
        <is>
          <t>Canopy density, mid-channel</t>
        </is>
      </c>
      <c r="D30" s="69" t="inlineStr">
        <is>
          <t>Small stream (10 to 100 km2)</t>
        </is>
      </c>
      <c r="E30" s="69" t="n">
        <v>5</v>
      </c>
      <c r="F30" s="69" t="inlineStr">
        <is>
          <t>67 least-disturbed stations borrowed from Level II ecoregion 9.3 (West-Central Semi-Arid Prairies) under the regional screen (agriculture at most 47.8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0" s="69" t="n">
        <v>0</v>
      </c>
      <c r="H30" s="69" t="n">
        <v>2.692895344325474</v>
      </c>
      <c r="I30" s="69" t="n">
        <v>6.283422470092773</v>
      </c>
      <c r="J30" s="69" t="n">
        <v>46.25668334960938</v>
      </c>
      <c r="K30" s="69" t="n">
        <v>66.24331378936768</v>
      </c>
      <c r="L30" s="69" t="n">
        <v>66.24331378936768</v>
      </c>
      <c r="M30" s="69" t="n">
        <v>66.24331378936768</v>
      </c>
      <c r="N30" s="69" t="n">
        <v>66.24331378936768</v>
      </c>
      <c r="O30" s="69" t="n">
        <v>0</v>
      </c>
      <c r="P30" s="69" t="n">
        <v>0.3</v>
      </c>
      <c r="Q30" s="69" t="n">
        <v>0.7</v>
      </c>
      <c r="R30" s="69" t="n">
        <v>1</v>
      </c>
      <c r="S30" s="69" t="n">
        <v>1</v>
      </c>
      <c r="T30" s="69" t="n">
        <v>1</v>
      </c>
      <c r="U30" s="69" t="n">
        <v>1</v>
      </c>
      <c r="V30" s="69" t="n">
        <v>1</v>
      </c>
    </row>
    <row r="31">
      <c r="A31" s="69" t="inlineStr">
        <is>
          <t>spring_phab_xcdenmid|Large stream (over 100 km2)</t>
        </is>
      </c>
      <c r="B31" s="69" t="inlineStr">
        <is>
          <t>spring-phab-xcdenmid</t>
        </is>
      </c>
      <c r="C31" s="69" t="inlineStr">
        <is>
          <t>Canopy density, mid-channel</t>
        </is>
      </c>
      <c r="D31" s="69" t="inlineStr">
        <is>
          <t>Large stream (over 100 km2)</t>
        </is>
      </c>
      <c r="E31" s="69" t="n">
        <v>5</v>
      </c>
      <c r="F31" s="69" t="inlineStr">
        <is>
          <t>67 least-disturbed stations borrowed from Level II ecoregion 9.3 (West-Central Semi-Arid Prairies) under the regional screen (agriculture at most 47.8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1" s="69" t="n">
        <v>0</v>
      </c>
      <c r="H31" s="69" t="n">
        <v>0.4870129951408931</v>
      </c>
      <c r="I31" s="69" t="n">
        <v>1.136363655328751</v>
      </c>
      <c r="J31" s="69" t="n">
        <v>17.17914390563965</v>
      </c>
      <c r="K31" s="69" t="n">
        <v>25.2005340307951</v>
      </c>
      <c r="L31" s="69" t="n">
        <v>25.2005340307951</v>
      </c>
      <c r="M31" s="69" t="n">
        <v>25.2005340307951</v>
      </c>
      <c r="N31" s="69" t="n">
        <v>25.2005340307951</v>
      </c>
      <c r="O31" s="69" t="n">
        <v>0</v>
      </c>
      <c r="P31" s="69" t="n">
        <v>0.3</v>
      </c>
      <c r="Q31" s="69" t="n">
        <v>0.7</v>
      </c>
      <c r="R31" s="69" t="n">
        <v>1</v>
      </c>
      <c r="S31" s="69" t="n">
        <v>1</v>
      </c>
      <c r="T31" s="69" t="n">
        <v>1</v>
      </c>
      <c r="U31" s="69" t="n">
        <v>1</v>
      </c>
      <c r="V31" s="69" t="n">
        <v>1</v>
      </c>
    </row>
    <row r="32">
      <c r="A32" s="69" t="inlineStr">
        <is>
          <t>spring_phab_xcmgw|</t>
        </is>
      </c>
      <c r="B32" s="69" t="inlineStr">
        <is>
          <t>spring-phab-xcmgw</t>
        </is>
      </c>
      <c r="C32" s="69" t="inlineStr">
        <is>
          <t>Riparian veg cover, woody</t>
        </is>
      </c>
      <c r="D32" s="69" t="inlineStr"/>
      <c r="E32" s="69" t="n">
        <v>5</v>
      </c>
      <c r="F32" s="69" t="inlineStr">
        <is>
          <t>19 least-disturbed streams of this ecoregion under the regional screen (agriculture at most 47.8 percent)</t>
        </is>
      </c>
      <c r="G32" s="69" t="n">
        <v>0</v>
      </c>
      <c r="H32" s="69" t="n">
        <v>0.1271103897265025</v>
      </c>
      <c r="I32" s="69" t="n">
        <v>0.2965909093618393</v>
      </c>
      <c r="J32" s="69" t="n">
        <v>0.6551136374473572</v>
      </c>
      <c r="K32" s="69" t="n">
        <v>0.8343750014901161</v>
      </c>
      <c r="L32" s="69" t="n">
        <v>0.8343750014901161</v>
      </c>
      <c r="M32" s="69" t="n">
        <v>0.8343750014901161</v>
      </c>
      <c r="N32" s="69" t="n">
        <v>0.8343750014901161</v>
      </c>
      <c r="O32" s="69" t="n">
        <v>0</v>
      </c>
      <c r="P32" s="69" t="n">
        <v>0.3</v>
      </c>
      <c r="Q32" s="69" t="n">
        <v>0.7</v>
      </c>
      <c r="R32" s="69" t="n">
        <v>1</v>
      </c>
      <c r="S32" s="69" t="n">
        <v>1</v>
      </c>
      <c r="T32" s="69" t="n">
        <v>1</v>
      </c>
      <c r="U32" s="69" t="n">
        <v>1</v>
      </c>
      <c r="V32" s="69" t="n">
        <v>1</v>
      </c>
    </row>
    <row r="33">
      <c r="A33" s="69" t="inlineStr">
        <is>
          <t>spring_chem_ntl|</t>
        </is>
      </c>
      <c r="B33" s="69" t="inlineStr">
        <is>
          <t>spring-chem-ntl</t>
        </is>
      </c>
      <c r="C33" s="69" t="inlineStr">
        <is>
          <t>Total nitrogen</t>
        </is>
      </c>
      <c r="D33" s="69" t="inlineStr"/>
      <c r="E33" s="69" t="n">
        <v>4</v>
      </c>
      <c r="F33" s="69" t="inlineStr">
        <is>
          <t>Scored against a published criterion rather than against stations from this ecoregion. The criterion carries its own definition of reference, which need not match this assessment's.</t>
        </is>
      </c>
      <c r="G33" s="69" t="n">
        <v>0</v>
      </c>
      <c r="H33" s="69" t="n">
        <v>0.5755</v>
      </c>
      <c r="I33" s="69" t="n">
        <v>0.9370000000000001</v>
      </c>
      <c r="J33" s="69" t="n">
        <v>1.40695</v>
      </c>
      <c r="K33" s="69" t="n">
        <v>1.40695</v>
      </c>
      <c r="L33" s="69" t="n">
        <v>1.40695</v>
      </c>
      <c r="M33" s="69" t="n">
        <v>1.40695</v>
      </c>
      <c r="N33" s="69" t="n">
        <v>1.40695</v>
      </c>
      <c r="O33" s="69" t="n">
        <v>1</v>
      </c>
      <c r="P33" s="69" t="n">
        <v>0.6899999999999999</v>
      </c>
      <c r="Q33" s="69" t="n">
        <v>0.39</v>
      </c>
      <c r="R33" s="69" t="n">
        <v>0</v>
      </c>
      <c r="S33" s="69" t="n">
        <v>0</v>
      </c>
      <c r="T33" s="69" t="n">
        <v>0</v>
      </c>
      <c r="U33" s="69" t="n">
        <v>0</v>
      </c>
      <c r="V33" s="69" t="n">
        <v>0</v>
      </c>
    </row>
    <row r="34">
      <c r="A34" s="69" t="inlineStr">
        <is>
          <t>spring_chem_ptl|</t>
        </is>
      </c>
      <c r="B34" s="69" t="inlineStr">
        <is>
          <t>spring-chem-ptl</t>
        </is>
      </c>
      <c r="C34" s="69" t="inlineStr">
        <is>
          <t>Total phosphorus</t>
        </is>
      </c>
      <c r="D34" s="69" t="inlineStr"/>
      <c r="E34" s="69" t="n">
        <v>4</v>
      </c>
      <c r="F34" s="69" t="inlineStr">
        <is>
          <t>Scored against a published criterion rather than against stations from this ecoregion. The criterion carries its own definition of reference, which need not match this assessment's.</t>
        </is>
      </c>
      <c r="G34" s="69" t="n">
        <v>0</v>
      </c>
      <c r="H34" s="69" t="n">
        <v>64.05</v>
      </c>
      <c r="I34" s="69" t="n">
        <v>107</v>
      </c>
      <c r="J34" s="69" t="n">
        <v>162.835</v>
      </c>
      <c r="K34" s="69" t="n">
        <v>162.835</v>
      </c>
      <c r="L34" s="69" t="n">
        <v>162.835</v>
      </c>
      <c r="M34" s="69" t="n">
        <v>162.835</v>
      </c>
      <c r="N34" s="69" t="n">
        <v>162.835</v>
      </c>
      <c r="O34" s="69" t="n">
        <v>1</v>
      </c>
      <c r="P34" s="69" t="n">
        <v>0.6899999999999999</v>
      </c>
      <c r="Q34" s="69" t="n">
        <v>0.39</v>
      </c>
      <c r="R34" s="69" t="n">
        <v>0</v>
      </c>
      <c r="S34" s="69" t="n">
        <v>0</v>
      </c>
      <c r="T34" s="69" t="n">
        <v>0</v>
      </c>
      <c r="U34" s="69" t="n">
        <v>0</v>
      </c>
      <c r="V34" s="69" t="n">
        <v>0</v>
      </c>
    </row>
    <row r="35">
      <c r="A35" s="69" t="inlineStr">
        <is>
          <t>spring_chem_cond|</t>
        </is>
      </c>
      <c r="B35" s="69" t="inlineStr">
        <is>
          <t>spring-chem-cond</t>
        </is>
      </c>
      <c r="C35" s="69" t="inlineStr">
        <is>
          <t>Specific conductivity</t>
        </is>
      </c>
      <c r="D35" s="69" t="inlineStr"/>
      <c r="E35" s="69" t="n">
        <v>4</v>
      </c>
      <c r="F35" s="69" t="inlineStr">
        <is>
          <t>Scored against a published criterion rather than against stations from this ecoregion. The criterion carries its own definition of reference, which need not match this assessment's.</t>
        </is>
      </c>
      <c r="G35" s="69" t="n">
        <v>0</v>
      </c>
      <c r="H35" s="69" t="n">
        <v>1000.05</v>
      </c>
      <c r="I35" s="69" t="n">
        <v>2000.05</v>
      </c>
      <c r="J35" s="69" t="n">
        <v>3300.05</v>
      </c>
      <c r="K35" s="69" t="n">
        <v>3300.05</v>
      </c>
      <c r="L35" s="69" t="n">
        <v>3300.05</v>
      </c>
      <c r="M35" s="69" t="n">
        <v>3300.05</v>
      </c>
      <c r="N35" s="69" t="n">
        <v>3300.05</v>
      </c>
      <c r="O35" s="69" t="n">
        <v>1</v>
      </c>
      <c r="P35" s="69" t="n">
        <v>0.6899999999999999</v>
      </c>
      <c r="Q35" s="69" t="n">
        <v>0.39</v>
      </c>
      <c r="R35" s="69" t="n">
        <v>0</v>
      </c>
      <c r="S35" s="69" t="n">
        <v>0</v>
      </c>
      <c r="T35" s="69" t="n">
        <v>0</v>
      </c>
      <c r="U35" s="69" t="n">
        <v>0</v>
      </c>
      <c r="V35" s="69" t="n">
        <v>0</v>
      </c>
    </row>
    <row r="36">
      <c r="A36" s="69" t="inlineStr">
        <is>
          <t>spring_chem_turb|</t>
        </is>
      </c>
      <c r="B36" s="69" t="inlineStr">
        <is>
          <t>spring-chem-turb</t>
        </is>
      </c>
      <c r="C36" s="69" t="inlineStr">
        <is>
          <t>Turbidity</t>
        </is>
      </c>
      <c r="D36" s="69" t="inlineStr"/>
      <c r="E36" s="69" t="n">
        <v>5</v>
      </c>
      <c r="F36" s="69" t="inlineStr">
        <is>
          <t>Reference curve from a modeled expectation. The response to landscape pressure is estimated nationally and this ecoregion's own level is added, because the ecoregion holds too few streams clean enough to observe reference condition directly.</t>
        </is>
      </c>
      <c r="G36" s="69" t="n">
        <v>0</v>
      </c>
      <c r="H36" s="69" t="n">
        <v>1.894577195676796</v>
      </c>
      <c r="I36" s="69" t="n">
        <v>7.285872949149383</v>
      </c>
      <c r="J36" s="69" t="n">
        <v>15.37281657935826</v>
      </c>
      <c r="K36" s="69" t="n">
        <v>20.76411233283085</v>
      </c>
      <c r="L36" s="69" t="n">
        <v>20.76411233283085</v>
      </c>
      <c r="M36" s="69" t="n">
        <v>20.76411233283085</v>
      </c>
      <c r="N36" s="69" t="n">
        <v>20.76411233283085</v>
      </c>
      <c r="O36" s="69" t="n">
        <v>1</v>
      </c>
      <c r="P36" s="69" t="n">
        <v>1</v>
      </c>
      <c r="Q36" s="69" t="n">
        <v>0.7</v>
      </c>
      <c r="R36" s="69" t="n">
        <v>0.3</v>
      </c>
      <c r="S36" s="69" t="n">
        <v>0</v>
      </c>
      <c r="T36" s="69" t="n">
        <v>0</v>
      </c>
      <c r="U36" s="69" t="n">
        <v>0</v>
      </c>
      <c r="V36" s="69" t="n">
        <v>0</v>
      </c>
    </row>
    <row r="37">
      <c r="A37" s="69" t="inlineStr">
        <is>
          <t>spring_phab_xfc_nat|</t>
        </is>
      </c>
      <c r="B37" s="69" t="inlineStr">
        <is>
          <t>spring-phab-xfc-nat</t>
        </is>
      </c>
      <c r="C37" s="69" t="inlineStr">
        <is>
          <t>Natural fish cover</t>
        </is>
      </c>
      <c r="D37" s="69" t="inlineStr"/>
      <c r="E37" s="69" t="n">
        <v>5</v>
      </c>
      <c r="F37" s="69" t="inlineStr">
        <is>
          <t>19 least-disturbed streams of this ecoregion under the regional screen (agriculture at most 47.8 percent)</t>
        </is>
      </c>
      <c r="G37" s="69" t="n">
        <v>0</v>
      </c>
      <c r="H37" s="69" t="n">
        <v>0.0467532468693597</v>
      </c>
      <c r="I37" s="69" t="n">
        <v>0.1090909093618393</v>
      </c>
      <c r="J37" s="69" t="n">
        <v>0.2977272719144821</v>
      </c>
      <c r="K37" s="69" t="n">
        <v>0.3920454531908035</v>
      </c>
      <c r="L37" s="69" t="n">
        <v>0.3920454531908035</v>
      </c>
      <c r="M37" s="69" t="n">
        <v>0.3920454531908035</v>
      </c>
      <c r="N37" s="69" t="n">
        <v>0.3920454531908035</v>
      </c>
      <c r="O37" s="69" t="n">
        <v>0</v>
      </c>
      <c r="P37" s="69" t="n">
        <v>0.3</v>
      </c>
      <c r="Q37" s="69" t="n">
        <v>0.7</v>
      </c>
      <c r="R37" s="69" t="n">
        <v>1</v>
      </c>
      <c r="S37" s="69" t="n">
        <v>1</v>
      </c>
      <c r="T37" s="69" t="n">
        <v>1</v>
      </c>
      <c r="U37" s="69" t="n">
        <v>1</v>
      </c>
      <c r="V37" s="69" t="n">
        <v>1</v>
      </c>
    </row>
    <row r="38">
      <c r="A38" s="69" t="inlineStr">
        <is>
          <t>spring_phab_pct_fast|</t>
        </is>
      </c>
      <c r="B38" s="69" t="inlineStr">
        <is>
          <t>spring-phab-pct-fast</t>
        </is>
      </c>
      <c r="C38" s="69" t="inlineStr">
        <is>
          <t>Fast-water / riffle habitat</t>
        </is>
      </c>
      <c r="D38" s="69" t="inlineStr"/>
      <c r="E38" s="69" t="n">
        <v>5</v>
      </c>
      <c r="F38" s="69"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0.47 of evaluation regions; two thirds required; net optimism +0.16, at most 0.05 allowed); confidence capped at 39.</t>
        </is>
      </c>
      <c r="G38" s="69" t="n">
        <v>0</v>
      </c>
      <c r="H38" s="69" t="n">
        <v>2.142857142857143</v>
      </c>
      <c r="I38" s="69" t="n">
        <v>5</v>
      </c>
      <c r="J38" s="69" t="n">
        <v>57</v>
      </c>
      <c r="K38" s="69" t="n">
        <v>83</v>
      </c>
      <c r="L38" s="69" t="n">
        <v>83</v>
      </c>
      <c r="M38" s="69" t="n">
        <v>83</v>
      </c>
      <c r="N38" s="69" t="n">
        <v>83</v>
      </c>
      <c r="O38" s="69" t="n">
        <v>0</v>
      </c>
      <c r="P38" s="69" t="n">
        <v>0.3</v>
      </c>
      <c r="Q38" s="69" t="n">
        <v>0.7</v>
      </c>
      <c r="R38" s="69" t="n">
        <v>1</v>
      </c>
      <c r="S38" s="69" t="n">
        <v>1</v>
      </c>
      <c r="T38" s="69" t="n">
        <v>1</v>
      </c>
      <c r="U38" s="69" t="n">
        <v>1</v>
      </c>
      <c r="V38" s="69" t="n">
        <v>1</v>
      </c>
    </row>
    <row r="39">
      <c r="A39" s="69" t="inlineStr">
        <is>
          <t>spring_fish_nat_totlntax|All streams (pooled)</t>
        </is>
      </c>
      <c r="B39" s="69" t="inlineStr">
        <is>
          <t>spring-fish-nat-totlntax</t>
        </is>
      </c>
      <c r="C39" s="69" t="inlineStr">
        <is>
          <t>Native fish taxa richness</t>
        </is>
      </c>
      <c r="D39" s="69" t="inlineStr">
        <is>
          <t>All streams (pooled)</t>
        </is>
      </c>
      <c r="E39" s="69" t="n">
        <v>5</v>
      </c>
      <c r="F39" s="69" t="inlineStr">
        <is>
          <t>53 least-disturbed stations borrowed from NARS-9 region NPL under the regional screen (agriculture at most 47.8 percent), transfer risk moderate</t>
        </is>
      </c>
      <c r="G39" s="69" t="n">
        <v>0</v>
      </c>
      <c r="H39" s="69" t="n">
        <v>0.4285714285714285</v>
      </c>
      <c r="I39" s="69" t="n">
        <v>1</v>
      </c>
      <c r="J39" s="69" t="n">
        <v>4</v>
      </c>
      <c r="K39" s="69" t="n">
        <v>5.5</v>
      </c>
      <c r="L39" s="69" t="n">
        <v>5.5</v>
      </c>
      <c r="M39" s="69" t="n">
        <v>5.5</v>
      </c>
      <c r="N39" s="69" t="n">
        <v>5.5</v>
      </c>
      <c r="O39" s="69" t="n">
        <v>0</v>
      </c>
      <c r="P39" s="69" t="n">
        <v>0.3</v>
      </c>
      <c r="Q39" s="69" t="n">
        <v>0.7</v>
      </c>
      <c r="R39" s="69" t="n">
        <v>1</v>
      </c>
      <c r="S39" s="69" t="n">
        <v>1</v>
      </c>
      <c r="T39" s="69" t="n">
        <v>1</v>
      </c>
      <c r="U39" s="69" t="n">
        <v>1</v>
      </c>
      <c r="V39" s="69" t="n">
        <v>1</v>
      </c>
    </row>
    <row r="40">
      <c r="A40" s="69" t="inlineStr">
        <is>
          <t>spring_fish_nat_totlntax|Low gradient (under 0.5 percent)</t>
        </is>
      </c>
      <c r="B40" s="69" t="inlineStr">
        <is>
          <t>spring-fish-nat-totlntax</t>
        </is>
      </c>
      <c r="C40" s="69" t="inlineStr">
        <is>
          <t>Native fish taxa richness</t>
        </is>
      </c>
      <c r="D40" s="69" t="inlineStr">
        <is>
          <t>Low gradient (under 0.5 percent)</t>
        </is>
      </c>
      <c r="E40" s="69" t="n">
        <v>5</v>
      </c>
      <c r="F40" s="69" t="inlineStr">
        <is>
          <t>53 least-disturbed stations borrowed from NARS-9 region NPL under the regional screen (agriculture at most 47.8 percent), transfer risk moderate</t>
        </is>
      </c>
      <c r="G40" s="69" t="n">
        <v>0</v>
      </c>
      <c r="H40" s="69" t="n">
        <v>1.285714285714286</v>
      </c>
      <c r="I40" s="69" t="n">
        <v>3</v>
      </c>
      <c r="J40" s="69" t="n">
        <v>5</v>
      </c>
      <c r="K40" s="69" t="n">
        <v>6</v>
      </c>
      <c r="L40" s="69" t="n">
        <v>6</v>
      </c>
      <c r="M40" s="69" t="n">
        <v>6</v>
      </c>
      <c r="N40" s="69" t="n">
        <v>6</v>
      </c>
      <c r="O40" s="69" t="n">
        <v>0</v>
      </c>
      <c r="P40" s="69" t="n">
        <v>0.3</v>
      </c>
      <c r="Q40" s="69" t="n">
        <v>0.7</v>
      </c>
      <c r="R40" s="69" t="n">
        <v>1</v>
      </c>
      <c r="S40" s="69" t="n">
        <v>1</v>
      </c>
      <c r="T40" s="69" t="n">
        <v>1</v>
      </c>
      <c r="U40" s="69" t="n">
        <v>1</v>
      </c>
      <c r="V40" s="69" t="n">
        <v>1</v>
      </c>
    </row>
    <row r="41">
      <c r="A41" s="69" t="inlineStr">
        <is>
          <t>spring_fish_nat_totlntax|Moderate gradient (0.5 to 2 percent)</t>
        </is>
      </c>
      <c r="B41" s="69" t="inlineStr">
        <is>
          <t>spring-fish-nat-totlntax</t>
        </is>
      </c>
      <c r="C41" s="69" t="inlineStr">
        <is>
          <t>Native fish taxa richness</t>
        </is>
      </c>
      <c r="D41" s="69" t="inlineStr">
        <is>
          <t>Moderate gradient (0.5 to 2 percent)</t>
        </is>
      </c>
      <c r="E41" s="69" t="n">
        <v>5</v>
      </c>
      <c r="F41" s="69" t="inlineStr">
        <is>
          <t>53 least-disturbed stations borrowed from NARS-9 region NPL under the regional screen (agriculture at most 47.8 percent), transfer risk moderate</t>
        </is>
      </c>
      <c r="G41" s="69" t="n">
        <v>0</v>
      </c>
      <c r="H41" s="69" t="n">
        <v>0.4285714285714285</v>
      </c>
      <c r="I41" s="69" t="n">
        <v>1</v>
      </c>
      <c r="J41" s="69" t="n">
        <v>4</v>
      </c>
      <c r="K41" s="69" t="n">
        <v>5.5</v>
      </c>
      <c r="L41" s="69" t="n">
        <v>5.5</v>
      </c>
      <c r="M41" s="69" t="n">
        <v>5.5</v>
      </c>
      <c r="N41" s="69" t="n">
        <v>5.5</v>
      </c>
      <c r="O41" s="69" t="n">
        <v>0</v>
      </c>
      <c r="P41" s="69" t="n">
        <v>0.3</v>
      </c>
      <c r="Q41" s="69" t="n">
        <v>0.7</v>
      </c>
      <c r="R41" s="69" t="n">
        <v>1</v>
      </c>
      <c r="S41" s="69" t="n">
        <v>1</v>
      </c>
      <c r="T41" s="69" t="n">
        <v>1</v>
      </c>
      <c r="U41" s="69" t="n">
        <v>1</v>
      </c>
      <c r="V41" s="69" t="n">
        <v>1</v>
      </c>
    </row>
    <row r="42">
      <c r="A42" s="69" t="inlineStr">
        <is>
          <t>spring_bent_totlntax|</t>
        </is>
      </c>
      <c r="B42" s="69" t="inlineStr">
        <is>
          <t>spring-bent-totlntax</t>
        </is>
      </c>
      <c r="C42" s="69" t="inlineStr">
        <is>
          <t>Benthic total taxa richness</t>
        </is>
      </c>
      <c r="D42" s="69" t="inlineStr"/>
      <c r="E42" s="69" t="n">
        <v>5</v>
      </c>
      <c r="F42" s="69" t="inlineStr">
        <is>
          <t>Reference curve fitted to comparable least-disturbed stations drawn from the national pool, because this ecoregion and its parents hold too few of their own.</t>
        </is>
      </c>
      <c r="G42" s="69" t="n">
        <v>0</v>
      </c>
      <c r="H42" s="69" t="n">
        <v>11.67857142857143</v>
      </c>
      <c r="I42" s="69" t="n">
        <v>27.25</v>
      </c>
      <c r="J42" s="69" t="n">
        <v>41</v>
      </c>
      <c r="K42" s="69" t="n">
        <v>47.875</v>
      </c>
      <c r="L42" s="69" t="n">
        <v>47.875</v>
      </c>
      <c r="M42" s="69" t="n">
        <v>47.875</v>
      </c>
      <c r="N42" s="69" t="n">
        <v>47.875</v>
      </c>
      <c r="O42" s="69" t="n">
        <v>0</v>
      </c>
      <c r="P42" s="69" t="n">
        <v>0.3</v>
      </c>
      <c r="Q42" s="69" t="n">
        <v>0.7</v>
      </c>
      <c r="R42" s="69" t="n">
        <v>1</v>
      </c>
      <c r="S42" s="69" t="n">
        <v>1</v>
      </c>
      <c r="T42" s="69" t="n">
        <v>1</v>
      </c>
      <c r="U42" s="69" t="n">
        <v>1</v>
      </c>
      <c r="V42" s="69" t="n">
        <v>1</v>
      </c>
    </row>
    <row r="43">
      <c r="A43" s="69" t="inlineStr">
        <is>
          <t>spring_bent_ept_ntax|</t>
        </is>
      </c>
      <c r="B43" s="69" t="inlineStr">
        <is>
          <t>spring-bent-ept-ntax</t>
        </is>
      </c>
      <c r="C43" s="69" t="inlineStr">
        <is>
          <t>EPT taxa richness</t>
        </is>
      </c>
      <c r="D43" s="69" t="inlineStr"/>
      <c r="E43" s="69" t="n">
        <v>5</v>
      </c>
      <c r="F43" s="69" t="inlineStr">
        <is>
          <t>67 least-disturbed stations borrowed from Level II ecoregion 9.3 (West-Central Semi-Arid Prairies) under the regional screen (agriculture at most 47.8 percent), transfer risk unvalidated (transfer not confirmed by the recovery test). Scored on a reference pool whose transfer to this ecoregion was not confirmed by the recovery test (class agreement 0.50 of evaluation regions; two thirds required); confidence capped at 39.</t>
        </is>
      </c>
      <c r="G43" s="69" t="n">
        <v>0</v>
      </c>
      <c r="H43" s="69" t="n">
        <v>1.5</v>
      </c>
      <c r="I43" s="69" t="n">
        <v>3.5</v>
      </c>
      <c r="J43" s="69" t="n">
        <v>12</v>
      </c>
      <c r="K43" s="69" t="n">
        <v>16.25</v>
      </c>
      <c r="L43" s="69" t="n">
        <v>16.25</v>
      </c>
      <c r="M43" s="69" t="n">
        <v>16.25</v>
      </c>
      <c r="N43" s="69" t="n">
        <v>16.25</v>
      </c>
      <c r="O43" s="69" t="n">
        <v>0</v>
      </c>
      <c r="P43" s="69" t="n">
        <v>0.3</v>
      </c>
      <c r="Q43" s="69" t="n">
        <v>0.7</v>
      </c>
      <c r="R43" s="69" t="n">
        <v>1</v>
      </c>
      <c r="S43" s="69" t="n">
        <v>1</v>
      </c>
      <c r="T43" s="69" t="n">
        <v>1</v>
      </c>
      <c r="U43" s="69" t="n">
        <v>1</v>
      </c>
      <c r="V43" s="69" t="n">
        <v>1</v>
      </c>
    </row>
    <row r="44">
      <c r="A44" s="69" t="inlineStr">
        <is>
          <t>spring_bent_hprime|</t>
        </is>
      </c>
      <c r="B44" s="69" t="inlineStr">
        <is>
          <t>spring-bent-hprime</t>
        </is>
      </c>
      <c r="C44" s="69" t="inlineStr">
        <is>
          <t>Shannon diversity (H')</t>
        </is>
      </c>
      <c r="D44" s="69" t="inlineStr"/>
      <c r="E44" s="69" t="n">
        <v>5</v>
      </c>
      <c r="F44" s="69" t="inlineStr">
        <is>
          <t>19 least-disturbed streams of this ecoregion under the regional screen (agriculture at most 47.8 percent)</t>
        </is>
      </c>
      <c r="G44" s="69" t="n">
        <v>0</v>
      </c>
      <c r="H44" s="69" t="n">
        <v>1.032857179641724</v>
      </c>
      <c r="I44" s="69" t="n">
        <v>2.410000085830688</v>
      </c>
      <c r="J44" s="69" t="n">
        <v>2.890000104904175</v>
      </c>
      <c r="K44" s="69" t="n">
        <v>3.130000114440918</v>
      </c>
      <c r="L44" s="69" t="n">
        <v>3.130000114440918</v>
      </c>
      <c r="M44" s="69" t="n">
        <v>3.130000114440918</v>
      </c>
      <c r="N44" s="69" t="n">
        <v>3.130000114440918</v>
      </c>
      <c r="O44" s="69" t="n">
        <v>0</v>
      </c>
      <c r="P44" s="69" t="n">
        <v>0.3</v>
      </c>
      <c r="Q44" s="69" t="n">
        <v>0.7</v>
      </c>
      <c r="R44" s="69" t="n">
        <v>1</v>
      </c>
      <c r="S44" s="69" t="n">
        <v>1</v>
      </c>
      <c r="T44" s="69" t="n">
        <v>1</v>
      </c>
      <c r="U44" s="69" t="n">
        <v>1</v>
      </c>
      <c r="V44" s="69" t="n">
        <v>1</v>
      </c>
    </row>
    <row r="45">
      <c r="A45" s="69" t="inlineStr">
        <is>
          <t>spring_nid_dams_1mi|</t>
        </is>
      </c>
      <c r="B45" s="69" t="inlineStr">
        <is>
          <t>spring-nid-dams-1mi</t>
        </is>
      </c>
      <c r="C45" s="69" t="inlineStr">
        <is>
          <t>Mapped dams within one mile</t>
        </is>
      </c>
      <c r="D45" s="69" t="inlineStr"/>
      <c r="E45" s="69" t="n">
        <v>4</v>
      </c>
      <c r="F45" s="69" t="inlineStr">
        <is>
          <t>Fixed criteria, the same in every region</t>
        </is>
      </c>
      <c r="G45" s="69" t="n">
        <v>0</v>
      </c>
      <c r="H45" s="69" t="n">
        <v>1</v>
      </c>
      <c r="I45" s="69" t="n">
        <v>2</v>
      </c>
      <c r="J45" s="69" t="n">
        <v>3</v>
      </c>
      <c r="K45" s="69" t="n">
        <v>3</v>
      </c>
      <c r="L45" s="69" t="n">
        <v>3</v>
      </c>
      <c r="M45" s="69" t="n">
        <v>3</v>
      </c>
      <c r="N45" s="69" t="n">
        <v>3</v>
      </c>
      <c r="O45" s="69" t="n">
        <v>1</v>
      </c>
      <c r="P45" s="69" t="n">
        <v>0.545</v>
      </c>
      <c r="Q45" s="69" t="n">
        <v>0.195</v>
      </c>
      <c r="R45" s="69" t="n">
        <v>0</v>
      </c>
      <c r="S45" s="69" t="n">
        <v>0</v>
      </c>
      <c r="T45" s="69" t="n">
        <v>0</v>
      </c>
      <c r="U45" s="69" t="n">
        <v>0</v>
      </c>
      <c r="V45" s="69" t="n">
        <v>0</v>
      </c>
    </row>
    <row r="48">
      <c r="A48" s="58" t="inlineStr">
        <is>
          <t>Curve sets by metric</t>
        </is>
      </c>
    </row>
    <row r="49">
      <c r="A49" s="69" t="inlineStr">
        <is>
          <t>All streams (pooled)</t>
        </is>
      </c>
      <c r="B49" s="5" t="inlineStr">
        <is>
          <t>Residual pool depth</t>
        </is>
      </c>
    </row>
    <row r="50">
      <c r="A50" s="69" t="inlineStr">
        <is>
          <t>Low gradient (under 0.5 percent)</t>
        </is>
      </c>
      <c r="B50" s="5" t="inlineStr">
        <is>
          <t>Residual pool depth</t>
        </is>
      </c>
    </row>
    <row r="51">
      <c r="A51" s="69" t="inlineStr">
        <is>
          <t>Moderate gradient (0.5 to 2 percent)</t>
        </is>
      </c>
      <c r="B51" s="5" t="inlineStr">
        <is>
          <t>Residual pool depth</t>
        </is>
      </c>
    </row>
    <row r="52">
      <c r="A52" s="69" t="inlineStr">
        <is>
          <t>All streams (pooled)</t>
        </is>
      </c>
      <c r="B52" s="5" t="inlineStr">
        <is>
          <t>Bankfull width:depth ratio</t>
        </is>
      </c>
    </row>
    <row r="53">
      <c r="A53" s="69" t="inlineStr">
        <is>
          <t>Small stream (10 to 100 km2)</t>
        </is>
      </c>
      <c r="B53" s="5" t="inlineStr">
        <is>
          <t>Bankfull width:depth ratio</t>
        </is>
      </c>
    </row>
    <row r="54">
      <c r="A54" s="69" t="inlineStr">
        <is>
          <t>Large stream (over 100 km2)</t>
        </is>
      </c>
      <c r="B54" s="5" t="inlineStr">
        <is>
          <t>Bankfull width:depth ratio</t>
        </is>
      </c>
    </row>
    <row r="55">
      <c r="A55" s="69" t="inlineStr">
        <is>
          <t>All streams (pooled)</t>
        </is>
      </c>
      <c r="B55" s="5" t="inlineStr">
        <is>
          <t>Bankfull height above channel</t>
        </is>
      </c>
    </row>
    <row r="56">
      <c r="A56" s="69" t="inlineStr">
        <is>
          <t>Small stream (10 to 100 km2)</t>
        </is>
      </c>
      <c r="B56" s="5" t="inlineStr">
        <is>
          <t>Bankfull height above channel</t>
        </is>
      </c>
    </row>
    <row r="57">
      <c r="A57" s="69" t="inlineStr">
        <is>
          <t>Large stream (over 100 km2)</t>
        </is>
      </c>
      <c r="B57" s="5" t="inlineStr">
        <is>
          <t>Bankfull height above channel</t>
        </is>
      </c>
    </row>
    <row r="58">
      <c r="A58" s="69" t="inlineStr">
        <is>
          <t>All streams (pooled)</t>
        </is>
      </c>
      <c r="B58" s="5" t="inlineStr">
        <is>
          <t>Relative bed stability</t>
        </is>
      </c>
    </row>
    <row r="59">
      <c r="A59" s="69" t="inlineStr">
        <is>
          <t>Small stream (10 to 100 km2)</t>
        </is>
      </c>
      <c r="B59" s="5" t="inlineStr">
        <is>
          <t>Relative bed stability</t>
        </is>
      </c>
    </row>
    <row r="60">
      <c r="A60" s="69" t="inlineStr">
        <is>
          <t>Large stream (over 100 km2)</t>
        </is>
      </c>
      <c r="B60" s="5" t="inlineStr">
        <is>
          <t>Relative bed stability</t>
        </is>
      </c>
    </row>
    <row r="61">
      <c r="A61" s="69" t="inlineStr">
        <is>
          <t>All streams (pooled)</t>
        </is>
      </c>
      <c r="B61" s="5" t="inlineStr">
        <is>
          <t>Canopy density, mid-channel</t>
        </is>
      </c>
    </row>
    <row r="62">
      <c r="A62" s="69" t="inlineStr">
        <is>
          <t>Small stream (10 to 100 km2)</t>
        </is>
      </c>
      <c r="B62" s="5" t="inlineStr">
        <is>
          <t>Canopy density, mid-channel</t>
        </is>
      </c>
    </row>
    <row r="63">
      <c r="A63" s="69" t="inlineStr">
        <is>
          <t>Large stream (over 100 km2)</t>
        </is>
      </c>
      <c r="B63" s="5" t="inlineStr">
        <is>
          <t>Canopy density, mid-channel</t>
        </is>
      </c>
    </row>
    <row r="64">
      <c r="A64" s="69" t="inlineStr">
        <is>
          <t>All streams (pooled)</t>
        </is>
      </c>
      <c r="B64" s="5" t="inlineStr">
        <is>
          <t>Native fish taxa richness</t>
        </is>
      </c>
    </row>
    <row r="65">
      <c r="A65" s="69" t="inlineStr">
        <is>
          <t>Low gradient (under 0.5 percent)</t>
        </is>
      </c>
      <c r="B65" s="5" t="inlineStr">
        <is>
          <t>Native fish taxa richness</t>
        </is>
      </c>
    </row>
    <row r="66">
      <c r="A66" s="69" t="inlineStr">
        <is>
          <t>Moderate gradient (0.5 to 2 percent)</t>
        </is>
      </c>
      <c r="B66" s="5" t="inlineStr">
        <is>
          <t>Native fish taxa richness</t>
        </is>
      </c>
    </row>
    <row r="69">
      <c r="A69" s="58" t="inlineStr">
        <is>
          <t>Condition classes</t>
        </is>
      </c>
    </row>
    <row r="70">
      <c r="A70" t="inlineStr">
        <is>
          <t>Metric index: at or below 0.39 Non-Functioning, at or below 0.69 Functioning At-Risk, above Functioning.</t>
        </is>
      </c>
    </row>
    <row r="71">
      <c r="A71" t="inlineStr">
        <is>
          <t>Function score (0 to 15): at or below 5 Non-Functioning, at or below 10 Functioning At-Risk, above Functioning.</t>
        </is>
      </c>
    </row>
    <row r="72">
      <c r="A72"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northwestern-glaciated-plains</t>
        </is>
      </c>
    </row>
    <row r="5">
      <c r="A5" s="69" t="inlineStr">
        <is>
          <t>Assessment name</t>
        </is>
      </c>
      <c r="B5" s="69" t="inlineStr">
        <is>
          <t>Northwestern Glaciated Plains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sha256:e8b385250dbbd57d44d3747e0997c5e5e927792fb203cd67bb912ae2c0fbb387</t>
        </is>
      </c>
    </row>
    <row r="9">
      <c r="A9" s="69" t="inlineStr">
        <is>
          <t>Region</t>
        </is>
      </c>
      <c r="B9" s="69" t="inlineStr">
        <is>
          <t>ecoregion 42 Northwestern Glaciated Plains</t>
        </is>
      </c>
    </row>
    <row r="10">
      <c r="A10" s="69" t="inlineStr">
        <is>
          <t>Source</t>
        </is>
      </c>
      <c r="B10" s="69" t="inlineStr">
        <is>
          <t>USEPA NRSA 2013-24 (L3 ecoregion 42),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29</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2026-09-30T07:04:47Z</dcterms:created>
  <dcterms:modified xmlns:dcterms="http://purl.org/dc/terms/" xmlns:xsi="http://www.w3.org/2001/XMLSchema-instance" xsi:type="dcterms:W3CDTF">2026-09-30T07:04:47Z</dcterms:modified>
  <cp:lastModifiedBy>DEEP</cp:lastModifiedBy>
  <cp:contentStatus>Draft</cp:contentStatus>
</cp:coreProperties>
</file>