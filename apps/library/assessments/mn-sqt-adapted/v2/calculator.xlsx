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floodplain_connectivity_entrenchment_ratio_er">'Reference'!$A$57:$A$59</definedName>
    <definedName name="strata_light_and_thermal_regime_canopy_cover">'Reference'!$A$60:$A$61</definedName>
    <definedName name="strata_carbon_processing_effective_vegetated_riparian_area">'Reference'!$A$62:$A$63</definedName>
    <definedName name="strata_water_and_soil_quality_do">'Reference'!$A$64:$A$65</definedName>
    <definedName name="strata_water_and_soil_quality_tss">'Reference'!$A$66:$A$69</definedName>
    <definedName name="strata_habitat_provision_percent_riffle">'Reference'!$A$70:$A$71</definedName>
    <definedName name="strata_habitat_provision_pool_spacing_ratio">'Reference'!$A$72:$A$74</definedName>
    <definedName name="strata_population_support_fish_ibi">'Reference'!$A$75:$A$83</definedName>
    <definedName name="strata_population_support_macroinvertebrate_ibi">'Reference'!$A$84:$A$92</definedName>
    <definedName name="idx_catchment_hydrology_bmp_mids_rv_coefficient">'Metrics'!$V$5</definedName>
    <definedName name="idx_catchment_hydrology_land_use_coefficient">'Metrics'!$V$6</definedName>
    <definedName name="idx_reach_inflow_concentrated_flow_points_1_000_ft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percent_armoring">'Metrics'!$V$10</definedName>
    <definedName name="idx_channel_and_floodplain_dynamics_percent_streambank_erosion">'Metrics'!$V$11</definedName>
    <definedName name="idx_sediment_continuity_aggradation_ratio">'Metrics'!$V$12</definedName>
    <definedName name="idx_light_and_thermal_regime_canopy_cover">'Metrics'!$V$13</definedName>
    <definedName name="idx_light_and_thermal_regime_summer_average">'Metrics'!$V$14</definedName>
    <definedName name="idx_carbon_processing_effective_vegetated_riparian_area">'Metrics'!$V$15</definedName>
    <definedName name="idx_carbon_processing_herbaceous_strata_vegetation_cover">'Metrics'!$V$16</definedName>
    <definedName name="idx_carbon_processing_woody_stem_basal_area">'Metrics'!$V$17</definedName>
    <definedName name="idx_water_and_soil_quality_do">'Metrics'!$V$18</definedName>
    <definedName name="idx_water_and_soil_quality_tss">'Metrics'!$V$19</definedName>
    <definedName name="idx_habitat_provision_lwd">'Metrics'!$V$20</definedName>
    <definedName name="idx_habitat_provision_lwd_index">'Metrics'!$V$21</definedName>
    <definedName name="idx_habitat_provision_percent_riffle">'Metrics'!$V$22</definedName>
    <definedName name="idx_habitat_provision_pool_depth_ratio">'Metrics'!$V$23</definedName>
    <definedName name="idx_habitat_provision_pool_spacing_ratio">'Metrics'!$V$24</definedName>
    <definedName name="idx_population_support_fish_ibi">'Metrics'!$V$25</definedName>
    <definedName name="idx_population_support_macroinvertebrate_ibi">'Metrics'!$V$26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light_thermal_regime">'Results'!$B$9</definedName>
    <definedName name="fs_carbon_processing">'Results'!$B$10</definedName>
    <definedName name="fs_water_soil_quality">'Results'!$B$11</definedName>
    <definedName name="fs_habitat_provision">'Results'!$B$12</definedName>
    <definedName name="fs_population_support">'Results'!$B$13</definedName>
    <definedName name="sub_index_physical">'Results'!$B$16</definedName>
    <definedName name="sub_index_chemical">'Results'!$B$17</definedName>
    <definedName name="sub_index_biological">'Results'!$B$18</definedName>
    <definedName name="eci">'Results'!$B$19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bmp_mids_rv_coefficient">'DEEP Score'!$E$12</definedName>
    <definedName name="in_catchment_hydrology_land_use_coefficient">'DEEP Score'!$E$13</definedName>
    <definedName name="in_reach_inflow_concentrated_flow_points_1_000_ft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percent_armoring">'DEEP Score'!$E$17</definedName>
    <definedName name="in_channel_and_floodplain_dynamics_percent_streambank_erosion">'DEEP Score'!$E$18</definedName>
    <definedName name="in_sediment_continuity_aggradation_ratio">'DEEP Score'!$E$19</definedName>
    <definedName name="in_light_and_thermal_regime_canopy_cover">'DEEP Score'!$E$20</definedName>
    <definedName name="st_light_and_thermal_regime_canopy_cover">'DEEP Score'!$F$20</definedName>
    <definedName name="in_light_and_thermal_regime_summer_average">'DEEP Score'!$E$21</definedName>
    <definedName name="in_carbon_processing_effective_vegetated_riparian_area">'DEEP Score'!$E$22</definedName>
    <definedName name="st_carbon_processing_effective_vegetated_riparian_area">'DEEP Score'!$F$22</definedName>
    <definedName name="in_carbon_processing_herbaceous_strata_vegetation_cover">'DEEP Score'!$E$23</definedName>
    <definedName name="in_carbon_processing_woody_stem_basal_area">'DEEP Score'!$E$24</definedName>
    <definedName name="in_water_and_soil_quality_do">'DEEP Score'!$E$25</definedName>
    <definedName name="st_water_and_soil_quality_do">'DEEP Score'!$F$25</definedName>
    <definedName name="in_water_and_soil_quality_tss">'DEEP Score'!$E$26</definedName>
    <definedName name="st_water_and_soil_quality_tss">'DEEP Score'!$F$26</definedName>
    <definedName name="in_habitat_provision_lwd">'DEEP Score'!$E$27</definedName>
    <definedName name="in_habitat_provision_lwd_index">'DEEP Score'!$E$28</definedName>
    <definedName name="in_habitat_provision_percent_riffle">'DEEP Score'!$E$29</definedName>
    <definedName name="st_habitat_provision_percent_riffle">'DEEP Score'!$F$29</definedName>
    <definedName name="in_habitat_provision_pool_depth_ratio">'DEEP Score'!$E$30</definedName>
    <definedName name="in_habitat_provision_pool_spacing_ratio">'DEEP Score'!$E$31</definedName>
    <definedName name="st_habitat_provision_pool_spacing_ratio">'DEEP Score'!$F$31</definedName>
    <definedName name="in_population_support_fish_ibi">'DEEP Score'!$E$32</definedName>
    <definedName name="st_population_support_fish_ibi">'DEEP Score'!$F$32</definedName>
    <definedName name="in_population_support_macroinvertebrate_ibi">'DEEP Score'!$E$33</definedName>
    <definedName name="st_population_support_macroinvertebrate_ibi">'DEEP Score'!$F$33</definedName>
    <definedName name="site_notes">'DEEP Score'!$A$46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'ChartData'!$C$3:$C$12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'ChartData'!$D$3:$D$12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'ChartData'!$E$3:$E$12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'ChartData'!$C$15:$C$17</f>
            </numRef>
          </val>
        </ser>
        <ser>
          <idx val="1"/>
          <order val="1"/>
          <tx>
            <strRef>
              <f>'ChartData'!D14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'ChartData'!$D$15:$D$17</f>
            </numRef>
          </val>
        </ser>
        <ser>
          <idx val="2"/>
          <order val="2"/>
          <tx>
            <strRef>
              <f>'ChartData'!E14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'ChartData'!$E$15:$E$17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1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3">
      <c r="A3" s="5" t="inlineStr">
        <is>
          <t>Version 2 | Preliminary | Minnesota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BMP MIDS Rv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Land Use Coefficient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Reach inflow</t>
        </is>
      </c>
      <c r="C14" s="30" t="inlineStr">
        <is>
          <t>Concentrated Flow Points / 1,000 ft</t>
        </is>
      </c>
      <c r="D14" s="31" t="inlineStr"/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37" t="inlineStr">
        <is>
          <t>Hydraulics</t>
        </is>
      </c>
      <c r="B15" s="29" t="inlineStr">
        <is>
          <t>Floodplain connectivity</t>
        </is>
      </c>
      <c r="C15" s="30" t="inlineStr">
        <is>
          <t>Entrenchment Ratio (ER)</t>
        </is>
      </c>
      <c r="D15" s="31" t="inlineStr">
        <is>
          <t>ER</t>
        </is>
      </c>
      <c r="E15" s="32" t="n"/>
      <c r="F15" s="38" t="inlineStr">
        <is>
          <t>C Streams</t>
        </is>
      </c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39" t="inlineStr">
        <is>
          <t>Geomorphology</t>
        </is>
      </c>
      <c r="B16" s="12" t="inlineStr">
        <is>
          <t>Channel and floodplain dynamics</t>
        </is>
      </c>
      <c r="C16" s="13" t="inlineStr">
        <is>
          <t>Bank Height Ratio (BHR)</t>
        </is>
      </c>
      <c r="D16" s="14" t="inlineStr">
        <is>
          <t>BHR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40" t="n"/>
      <c r="B17" s="41" t="n"/>
      <c r="C17" s="42" t="inlineStr">
        <is>
          <t>Percent Armoring</t>
        </is>
      </c>
      <c r="D17" s="43" t="inlineStr"/>
      <c r="E17" s="44" t="n"/>
      <c r="F17" s="45" t="inlineStr"/>
      <c r="G17" s="46">
        <f>IF('Metrics'!$V$10="","",'Metrics'!$V$10)</f>
        <v/>
      </c>
      <c r="H17" s="41" t="n"/>
      <c r="I17" s="47" t="n"/>
    </row>
    <row r="18">
      <c r="A18" s="20" t="n"/>
      <c r="B18" s="21" t="n"/>
      <c r="C18" s="22" t="inlineStr">
        <is>
          <t>Percent Streambank Erosion</t>
        </is>
      </c>
      <c r="D18" s="23" t="inlineStr"/>
      <c r="E18" s="24" t="n"/>
      <c r="F18" s="25" t="inlineStr"/>
      <c r="G18" s="26">
        <f>IF('Metrics'!$V$11="","",'Metrics'!$V$11)</f>
        <v/>
      </c>
      <c r="H18" s="21" t="n"/>
      <c r="I18" s="27" t="n"/>
    </row>
    <row r="19">
      <c r="A19" s="48" t="inlineStr">
        <is>
          <t>Geomorphology</t>
        </is>
      </c>
      <c r="B19" s="29" t="inlineStr">
        <is>
          <t>Sediment continuity</t>
        </is>
      </c>
      <c r="C19" s="30" t="inlineStr">
        <is>
          <t>Aggradation Ratio</t>
        </is>
      </c>
      <c r="D19" s="31" t="inlineStr"/>
      <c r="E19" s="32" t="n"/>
      <c r="F19" s="33" t="inlineStr"/>
      <c r="G19" s="34">
        <f>IF('Metrics'!$V$12="","",'Metrics'!$V$12)</f>
        <v/>
      </c>
      <c r="H19" s="35">
        <f>IF('Results'!$B$8="","",'Results'!$B$8)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49" t="inlineStr">
        <is>
          <t>Physicochemistry</t>
        </is>
      </c>
      <c r="B20" s="12" t="inlineStr">
        <is>
          <t>Light &amp; thermal regime</t>
        </is>
      </c>
      <c r="C20" s="13" t="inlineStr">
        <is>
          <t>Canopy Cover</t>
        </is>
      </c>
      <c r="D20" s="14" t="inlineStr"/>
      <c r="E20" s="15" t="n"/>
      <c r="F20" s="50" t="inlineStr">
        <is>
          <t>Woody vegetation is a natural component of riparian zone</t>
        </is>
      </c>
      <c r="G20" s="17">
        <f>IF('Metrics'!$V$13="","",'Metrics'!$V$13)</f>
        <v/>
      </c>
      <c r="H20" s="18">
        <f>IF('Results'!$B$9="","",'Results'!$B$9)</f>
        <v/>
      </c>
      <c r="I20" s="19">
        <f>IF('DEEP Score'!$H$20="","",IF('DEEP Score'!$H$20&lt;=5,"Non-Functioning",IF('DEEP Score'!$H$20&lt;=10,"Functioning At-Risk","Functioning")))</f>
        <v/>
      </c>
    </row>
    <row r="21">
      <c r="A21" s="20" t="n"/>
      <c r="B21" s="21" t="n"/>
      <c r="C21" s="22" t="inlineStr">
        <is>
          <t>Summer Average</t>
        </is>
      </c>
      <c r="D21" s="23" t="inlineStr"/>
      <c r="E21" s="24" t="n"/>
      <c r="F21" s="25" t="inlineStr"/>
      <c r="G21" s="26">
        <f>IF('Metrics'!$V$14="","",'Metrics'!$V$14)</f>
        <v/>
      </c>
      <c r="H21" s="21" t="n"/>
      <c r="I21" s="27" t="n"/>
    </row>
    <row r="22">
      <c r="A22" s="49" t="inlineStr">
        <is>
          <t>Physicochemistry</t>
        </is>
      </c>
      <c r="B22" s="12" t="inlineStr">
        <is>
          <t>Carbon processing</t>
        </is>
      </c>
      <c r="C22" s="13" t="inlineStr">
        <is>
          <t>Effective Vegetated Riparian Area</t>
        </is>
      </c>
      <c r="D22" s="14" t="inlineStr"/>
      <c r="E22" s="15" t="n"/>
      <c r="F22" s="50" t="inlineStr">
        <is>
          <t>Unconfined Alluvial Valleys</t>
        </is>
      </c>
      <c r="G22" s="17">
        <f>IF('Metrics'!$V$15="","",'Metrics'!$V$15)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40" t="n"/>
      <c r="B23" s="41" t="n"/>
      <c r="C23" s="42" t="inlineStr">
        <is>
          <t>Herbaceous Strata Vegetation Cover</t>
        </is>
      </c>
      <c r="D23" s="43" t="inlineStr"/>
      <c r="E23" s="44" t="n"/>
      <c r="F23" s="45" t="inlineStr"/>
      <c r="G23" s="46">
        <f>IF('Metrics'!$V$16="","",'Metrics'!$V$16)</f>
        <v/>
      </c>
      <c r="H23" s="41" t="n"/>
      <c r="I23" s="47" t="n"/>
    </row>
    <row r="24">
      <c r="A24" s="20" t="n"/>
      <c r="B24" s="21" t="n"/>
      <c r="C24" s="22" t="inlineStr">
        <is>
          <t>Woody Stem Basal Area</t>
        </is>
      </c>
      <c r="D24" s="23" t="inlineStr"/>
      <c r="E24" s="24" t="n"/>
      <c r="F24" s="25" t="inlineStr"/>
      <c r="G24" s="26">
        <f>IF('Metrics'!$V$17="","",'Metrics'!$V$17)</f>
        <v/>
      </c>
      <c r="H24" s="21" t="n"/>
      <c r="I24" s="27" t="n"/>
    </row>
    <row r="25">
      <c r="A25" s="49" t="inlineStr">
        <is>
          <t>Physicochemistry</t>
        </is>
      </c>
      <c r="B25" s="12" t="inlineStr">
        <is>
          <t>Water &amp; soil quality</t>
        </is>
      </c>
      <c r="C25" s="13" t="inlineStr">
        <is>
          <t>DO</t>
        </is>
      </c>
      <c r="D25" s="14" t="inlineStr"/>
      <c r="E25" s="15" t="n"/>
      <c r="F25" s="50" t="inlineStr">
        <is>
          <t>2A</t>
        </is>
      </c>
      <c r="G25" s="17">
        <f>IF('Metrics'!$V$18="","",'Metrics'!$V$18)</f>
        <v/>
      </c>
      <c r="H25" s="18">
        <f>IF('Results'!$B$11="","",'Results'!$B$11)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TSS</t>
        </is>
      </c>
      <c r="D26" s="23" t="inlineStr"/>
      <c r="E26" s="24" t="n"/>
      <c r="F26" s="51" t="inlineStr">
        <is>
          <t>2A / -</t>
        </is>
      </c>
      <c r="G26" s="26">
        <f>IF('Metrics'!$V$19="","",'Metrics'!$V$19)</f>
        <v/>
      </c>
      <c r="H26" s="21" t="n"/>
      <c r="I26" s="27" t="n"/>
    </row>
    <row r="27">
      <c r="A27" s="52" t="inlineStr">
        <is>
          <t>Biology</t>
        </is>
      </c>
      <c r="B27" s="12" t="inlineStr">
        <is>
          <t>Habitat provision</t>
        </is>
      </c>
      <c r="C27" s="13" t="inlineStr">
        <is>
          <t>LWD</t>
        </is>
      </c>
      <c r="D27" s="14" t="inlineStr"/>
      <c r="E27" s="15" t="n"/>
      <c r="F27" s="16" t="inlineStr"/>
      <c r="G27" s="17">
        <f>IF('Metrics'!$V$20="","",'Metrics'!$V$20)</f>
        <v/>
      </c>
      <c r="H27" s="18">
        <f>IF('Results'!$B$12="","",'Results'!$B$12)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40" t="n"/>
      <c r="B28" s="41" t="n"/>
      <c r="C28" s="42" t="inlineStr">
        <is>
          <t>LWD Index</t>
        </is>
      </c>
      <c r="D28" s="43" t="inlineStr"/>
      <c r="E28" s="44" t="n"/>
      <c r="F28" s="45" t="inlineStr"/>
      <c r="G28" s="46">
        <f>IF('Metrics'!$V$21="","",'Metrics'!$V$21)</f>
        <v/>
      </c>
      <c r="H28" s="41" t="n"/>
      <c r="I28" s="47" t="n"/>
    </row>
    <row r="29">
      <c r="A29" s="40" t="n"/>
      <c r="B29" s="41" t="n"/>
      <c r="C29" s="42" t="inlineStr">
        <is>
          <t>Percent Riffle</t>
        </is>
      </c>
      <c r="D29" s="43" t="inlineStr"/>
      <c r="E29" s="44" t="n"/>
      <c r="F29" s="7" t="inlineStr">
        <is>
          <t>A and B Streams</t>
        </is>
      </c>
      <c r="G29" s="46">
        <f>IF('Metrics'!$V$22="","",'Metrics'!$V$22)</f>
        <v/>
      </c>
      <c r="H29" s="41" t="n"/>
      <c r="I29" s="47" t="n"/>
    </row>
    <row r="30">
      <c r="A30" s="40" t="n"/>
      <c r="B30" s="41" t="n"/>
      <c r="C30" s="42" t="inlineStr">
        <is>
          <t>Pool Depth Ratio</t>
        </is>
      </c>
      <c r="D30" s="43" t="inlineStr"/>
      <c r="E30" s="44" t="n"/>
      <c r="F30" s="45" t="inlineStr"/>
      <c r="G30" s="46">
        <f>IF('Metrics'!$V$23="","",'Metrics'!$V$23)</f>
        <v/>
      </c>
      <c r="H30" s="41" t="n"/>
      <c r="I30" s="47" t="n"/>
    </row>
    <row r="31">
      <c r="A31" s="20" t="n"/>
      <c r="B31" s="21" t="n"/>
      <c r="C31" s="22" t="inlineStr">
        <is>
          <t>Pool Spacing Ratio</t>
        </is>
      </c>
      <c r="D31" s="23" t="inlineStr"/>
      <c r="E31" s="24" t="n"/>
      <c r="F31" s="51" t="inlineStr">
        <is>
          <t>A and B Stream Types</t>
        </is>
      </c>
      <c r="G31" s="26">
        <f>IF('Metrics'!$V$24="","",'Metrics'!$V$24)</f>
        <v/>
      </c>
      <c r="H31" s="21" t="n"/>
      <c r="I31" s="27" t="n"/>
    </row>
    <row r="32">
      <c r="A32" s="52" t="inlineStr">
        <is>
          <t>Biology</t>
        </is>
      </c>
      <c r="B32" s="12" t="inlineStr">
        <is>
          <t>Population support</t>
        </is>
      </c>
      <c r="C32" s="13" t="inlineStr">
        <is>
          <t>Fish IBI</t>
        </is>
      </c>
      <c r="D32" s="14" t="inlineStr"/>
      <c r="E32" s="15" t="n"/>
      <c r="F32" s="50" t="inlineStr">
        <is>
          <t>Northern Rivers - Northern</t>
        </is>
      </c>
      <c r="G32" s="17">
        <f>IF('Metrics'!$V$25="","",'Metrics'!$V$25)</f>
        <v/>
      </c>
      <c r="H32" s="18">
        <f>IF('Results'!$B$13="","",'Results'!$B$13)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20" t="n"/>
      <c r="B33" s="21" t="n"/>
      <c r="C33" s="22" t="inlineStr">
        <is>
          <t>Macroinvertebrate IBI</t>
        </is>
      </c>
      <c r="D33" s="23" t="inlineStr"/>
      <c r="E33" s="24" t="n"/>
      <c r="F33" s="51" t="inlineStr">
        <is>
          <t>Northern Forest Rivers - Northern</t>
        </is>
      </c>
      <c r="G33" s="26">
        <f>IF('Metrics'!$V$26="","",'Metrics'!$V$26)</f>
        <v/>
      </c>
      <c r="H33" s="21" t="n"/>
      <c r="I33" s="27" t="n"/>
    </row>
    <row r="35">
      <c r="A35" s="53" t="inlineStr">
        <is>
          <t>Summary</t>
        </is>
      </c>
    </row>
    <row r="36">
      <c r="A36" s="10" t="inlineStr">
        <is>
          <t>Outcome</t>
        </is>
      </c>
      <c r="B36" s="10" t="inlineStr">
        <is>
          <t>Sub-index (0 to 1)</t>
        </is>
      </c>
      <c r="C36" s="10" t="inlineStr">
        <is>
          <t>Condition</t>
        </is>
      </c>
    </row>
    <row r="37">
      <c r="A37" s="54" t="inlineStr">
        <is>
          <t>Physical</t>
        </is>
      </c>
      <c r="B37" s="55">
        <f>'Results'!$B$16</f>
        <v/>
      </c>
      <c r="C37" s="43">
        <f>IF('DEEP Score'!$B$37&lt;=0.39,"Non-Functioning",IF('DEEP Score'!$B$37&lt;=0.69,"Functioning At-Risk","Functioning"))</f>
        <v/>
      </c>
    </row>
    <row r="38">
      <c r="A38" s="54" t="inlineStr">
        <is>
          <t>Chemical</t>
        </is>
      </c>
      <c r="B38" s="55">
        <f>'Results'!$B$17</f>
        <v/>
      </c>
      <c r="C38" s="43">
        <f>IF('DEEP Score'!$B$38&lt;=0.39,"Non-Functioning",IF('DEEP Score'!$B$38&lt;=0.69,"Functioning At-Risk","Functioning"))</f>
        <v/>
      </c>
    </row>
    <row r="39">
      <c r="A39" s="54" t="inlineStr">
        <is>
          <t>Biological</t>
        </is>
      </c>
      <c r="B39" s="55">
        <f>'Results'!$B$18</f>
        <v/>
      </c>
      <c r="C39" s="43">
        <f>IF('DEEP Score'!$B$39&lt;=0.39,"Non-Functioning",IF('DEEP Score'!$B$39&lt;=0.69,"Functioning At-Risk","Functioning"))</f>
        <v/>
      </c>
    </row>
    <row r="40" ht="30" customHeight="1">
      <c r="A40" s="56" t="inlineStr">
        <is>
          <t>Ecosystem Condition Index</t>
        </is>
      </c>
      <c r="B40" s="57">
        <f>'Results'!$B$19</f>
        <v/>
      </c>
      <c r="C40" s="43">
        <f>IF('DEEP Score'!$B$40&lt;=0.39,"Non-Functioning",IF('DEEP Score'!$B$40&lt;=0.69,"Functioning At-Risk","Functioning"))</f>
        <v/>
      </c>
    </row>
    <row r="41">
      <c r="A41" s="5" t="inlineStr">
        <is>
          <t>This index is computed over the 10 functions this assessment scores. 10 of the 20 STAF functions are not assessed, so it is not comparable with a full-framework index and no condition class is claimed for the assessment as a whole.</t>
        </is>
      </c>
    </row>
    <row r="42">
      <c r="A42" s="5" t="inlineStr">
        <is>
          <t xml:space="preserve">Functions with a score: </t>
        </is>
      </c>
      <c r="B42" s="5">
        <f>COUNT('Results'!$B$4:$B$13)&amp;" of 10"</f>
        <v/>
      </c>
    </row>
    <row r="43">
      <c r="A43" s="5" t="inlineStr">
        <is>
          <t>This assessment covers 10 of 20 STAF functions (10 documented exclusions).</t>
        </is>
      </c>
    </row>
    <row r="45">
      <c r="A45" s="6" t="inlineStr">
        <is>
          <t>Notes</t>
        </is>
      </c>
    </row>
    <row r="46">
      <c r="A46" s="58" t="n"/>
      <c r="B46" s="59" t="n"/>
      <c r="C46" s="59" t="n"/>
      <c r="D46" s="59" t="n"/>
      <c r="E46" s="59" t="n"/>
      <c r="F46" s="59" t="n"/>
      <c r="G46" s="59" t="n"/>
      <c r="H46" s="59" t="n"/>
      <c r="I46" s="60" t="n"/>
    </row>
    <row r="47">
      <c r="A47" s="61" t="n"/>
      <c r="B47" s="62" t="n"/>
      <c r="C47" s="62" t="n"/>
      <c r="D47" s="62" t="n"/>
      <c r="E47" s="62" t="n"/>
      <c r="F47" s="62" t="n"/>
      <c r="G47" s="62" t="n"/>
      <c r="H47" s="62" t="n"/>
      <c r="I47" s="63" t="n"/>
    </row>
    <row r="48">
      <c r="A48" s="61" t="n"/>
      <c r="B48" s="62" t="n"/>
      <c r="C48" s="62" t="n"/>
      <c r="D48" s="62" t="n"/>
      <c r="E48" s="62" t="n"/>
      <c r="F48" s="62" t="n"/>
      <c r="G48" s="62" t="n"/>
      <c r="H48" s="62" t="n"/>
      <c r="I48" s="63" t="n"/>
    </row>
    <row r="49">
      <c r="A49" s="61" t="n"/>
      <c r="B49" s="62" t="n"/>
      <c r="C49" s="62" t="n"/>
      <c r="D49" s="62" t="n"/>
      <c r="E49" s="62" t="n"/>
      <c r="F49" s="62" t="n"/>
      <c r="G49" s="62" t="n"/>
      <c r="H49" s="62" t="n"/>
      <c r="I49" s="63" t="n"/>
    </row>
    <row r="50">
      <c r="A50" s="61" t="n"/>
      <c r="B50" s="62" t="n"/>
      <c r="C50" s="62" t="n"/>
      <c r="D50" s="62" t="n"/>
      <c r="E50" s="62" t="n"/>
      <c r="F50" s="62" t="n"/>
      <c r="G50" s="62" t="n"/>
      <c r="H50" s="62" t="n"/>
      <c r="I50" s="63" t="n"/>
    </row>
    <row r="51">
      <c r="A51" s="64" t="n"/>
      <c r="B51" s="65" t="n"/>
      <c r="C51" s="65" t="n"/>
      <c r="D51" s="65" t="n"/>
      <c r="E51" s="65" t="n"/>
      <c r="F51" s="65" t="n"/>
      <c r="G51" s="65" t="n"/>
      <c r="H51" s="65" t="n"/>
      <c r="I51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6">
    <mergeCell ref="I32:I33"/>
    <mergeCell ref="H22:H24"/>
    <mergeCell ref="A41:C41"/>
    <mergeCell ref="B12:B13"/>
    <mergeCell ref="B8:D8"/>
    <mergeCell ref="H16:H18"/>
    <mergeCell ref="A22:A24"/>
    <mergeCell ref="I25:I26"/>
    <mergeCell ref="A12:A13"/>
    <mergeCell ref="A25:A26"/>
    <mergeCell ref="I12:I13"/>
    <mergeCell ref="B9:D9"/>
    <mergeCell ref="H27:H31"/>
    <mergeCell ref="B16:B18"/>
    <mergeCell ref="A4:I4"/>
    <mergeCell ref="B6:D6"/>
    <mergeCell ref="B22:B24"/>
    <mergeCell ref="A32:A33"/>
    <mergeCell ref="B5:D5"/>
    <mergeCell ref="A46:I51"/>
    <mergeCell ref="H32:H33"/>
    <mergeCell ref="H12:H13"/>
    <mergeCell ref="I20:I21"/>
    <mergeCell ref="A20:A21"/>
    <mergeCell ref="B20:B21"/>
    <mergeCell ref="B7:D7"/>
    <mergeCell ref="B27:B31"/>
    <mergeCell ref="I27:I31"/>
    <mergeCell ref="I22:I24"/>
    <mergeCell ref="B32:B33"/>
    <mergeCell ref="A16:A18"/>
    <mergeCell ref="A27:A31"/>
    <mergeCell ref="I16:I18"/>
    <mergeCell ref="H20:H21"/>
    <mergeCell ref="B25:B26"/>
    <mergeCell ref="H25:H26"/>
  </mergeCells>
  <conditionalFormatting sqref="G12:G3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=strata_light_and_thermal_regime_canopy_cover</formula1>
    </dataValidation>
    <dataValidation sqref="F22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25" showDropDown="0" showInputMessage="0" showErrorMessage="1" allowBlank="1" errorTitle="Curve set" error="Choose a curve set from the list." type="list">
      <formula1>=strata_water_and_soil_quality_do</formula1>
    </dataValidation>
    <dataValidation sqref="F26" showDropDown="0" showInputMessage="0" showErrorMessage="1" allowBlank="1" errorTitle="Curve set" error="Choose a curve set from the list." type="list">
      <formula1>=strata_water_and_soil_quality_tss</formula1>
    </dataValidation>
    <dataValidation sqref="F29" showDropDown="0" showInputMessage="0" showErrorMessage="1" allowBlank="1" errorTitle="Curve set" error="Choose a curve set from the list." type="list">
      <formula1>=strata_habitat_provision_percent_riffle</formula1>
    </dataValidation>
    <dataValidation sqref="F31" showDropDown="0" showInputMessage="0" showErrorMessage="1" allowBlank="1" errorTitle="Curve set" error="Choose a curve set from the list." type="list">
      <formula1>=strata_habitat_provision_pool_spacing_ratio</formula1>
    </dataValidation>
    <dataValidation sqref="F32" showDropDown="0" showInputMessage="0" showErrorMessage="1" allowBlank="1" errorTitle="Curve set" error="Choose a curve set from the list." type="list">
      <formula1>=strata_population_support_fish_ibi</formula1>
    </dataValidation>
    <dataValidation sqref="F33" showDropDown="0" showInputMessage="0" showErrorMessage="1" allowBlank="1" errorTitle="Curve set" error="Choose a curve set from the list." type="list">
      <formula1>=strata_population_support_macroinvertebrate_ibi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6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BMP MIDS Rv Coefficient</t>
        </is>
      </c>
      <c r="B5" s="68">
        <f>IF('DEEP Score'!$E$12="","",'DEEP Score'!$E$12)</f>
        <v/>
      </c>
      <c r="C5" s="68">
        <f>""</f>
        <v/>
      </c>
      <c r="D5" s="68">
        <f>"catchment_hydrology_bmp_mids_rv_coefficient|"&amp;'Metrics'!$C$5</f>
        <v/>
      </c>
      <c r="E5" s="68">
        <f>IFERROR(MATCH('Metrics'!$D$5,curve_key,0),MATCH("catchment_hydrology_bmp_mids_rv_coefficient|",curve_key,0))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Land Use Coefficient</t>
        </is>
      </c>
      <c r="B6" s="68">
        <f>IF('DEEP Score'!$E$13="","",'DEEP Score'!$E$13)</f>
        <v/>
      </c>
      <c r="C6" s="68">
        <f>""</f>
        <v/>
      </c>
      <c r="D6" s="68">
        <f>"catchment_hydrology_land_use_coefficient|"&amp;'Metrics'!$C$6</f>
        <v/>
      </c>
      <c r="E6" s="68">
        <f>IFERROR(MATCH('Metrics'!$D$6,curve_key,0),MATCH("catchment_hydrology_land_use_coefficient|",curve_key,0))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Concentrated Flow Points / 1,000 ft</t>
        </is>
      </c>
      <c r="B7" s="68">
        <f>IF('DEEP Score'!$E$14="","",'DEEP Score'!$E$14)</f>
        <v/>
      </c>
      <c r="C7" s="68">
        <f>""</f>
        <v/>
      </c>
      <c r="D7" s="68">
        <f>"reach_inflow_concentrated_flow_points_1_000_ft|"&amp;'Metrics'!$C$7</f>
        <v/>
      </c>
      <c r="E7" s="68">
        <f>IFERROR(MATCH('Metrics'!$D$7,curve_key,0),MATCH("reach_inflow_concentrated_flow_points_1_000_ft|",curve_key,0))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Entrenchment Ratio (ER)</t>
        </is>
      </c>
      <c r="B8" s="68">
        <f>IF('DEEP Score'!$E$15="","",'DEEP Score'!$E$15)</f>
        <v/>
      </c>
      <c r="C8" s="68">
        <f>IF('DEEP Score'!$F$15="","C Streams",'DEEP Score'!$F$15)</f>
        <v/>
      </c>
      <c r="D8" s="68">
        <f>"floodplain_connectivity_entrenchment_ratio_er|"&amp;'Metrics'!$C$8</f>
        <v/>
      </c>
      <c r="E8" s="68">
        <f>IFERROR(MATCH('Metrics'!$D$8,curve_key,0),MATCH("floodplain_connectivity_entrenchment_ratio_er|C Streams",curve_key,0))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Percent Armoring</t>
        </is>
      </c>
      <c r="B10" s="68">
        <f>IF('DEEP Score'!$E$17="","",'DEEP Score'!$E$17)</f>
        <v/>
      </c>
      <c r="C10" s="68">
        <f>""</f>
        <v/>
      </c>
      <c r="D10" s="68">
        <f>"channel_and_floodplain_dynamics_percent_armoring|"&amp;'Metrics'!$C$10</f>
        <v/>
      </c>
      <c r="E10" s="68">
        <f>IFERROR(MATCH('Metrics'!$D$10,curve_key,0),MATCH("channel_and_floodplain_dynamics_percent_armoring|",curve_key,0))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Aggradation Ratio</t>
        </is>
      </c>
      <c r="B12" s="68">
        <f>IF('DEEP Score'!$E$19="","",'DEEP Score'!$E$19)</f>
        <v/>
      </c>
      <c r="C12" s="68">
        <f>""</f>
        <v/>
      </c>
      <c r="D12" s="68">
        <f>"sediment_continuity_aggradation_ratio|"&amp;'Metrics'!$C$12</f>
        <v/>
      </c>
      <c r="E12" s="68">
        <f>IFERROR(MATCH('Metrics'!$D$12,curve_key,0),MATCH("sediment_continuity_aggradation_ratio|",curve_key,0))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Canopy Cover</t>
        </is>
      </c>
      <c r="B13" s="68">
        <f>IF('DEEP Score'!$E$20="","",'DEEP Score'!$E$20)</f>
        <v/>
      </c>
      <c r="C13" s="68">
        <f>IF('DEEP Score'!$F$20="","Woody vegetation is a natural component of riparian zone",'DEEP Score'!$F$20)</f>
        <v/>
      </c>
      <c r="D13" s="68">
        <f>"light_and_thermal_regime_canopy_cover|"&amp;'Metrics'!$C$13</f>
        <v/>
      </c>
      <c r="E13" s="68">
        <f>IFERROR(MATCH('Metrics'!$D$13,curve_key,0),MATCH("light_and_thermal_regime_canopy_cover|Woody vegetation is a natural component of riparian zone",curve_key,0))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Summer Average</t>
        </is>
      </c>
      <c r="B14" s="68">
        <f>IF('DEEP Score'!$E$21="","",'DEEP Score'!$E$21)</f>
        <v/>
      </c>
      <c r="C14" s="68">
        <f>""</f>
        <v/>
      </c>
      <c r="D14" s="68">
        <f>"light_and_thermal_regime_summer_average|"&amp;'Metrics'!$C$14</f>
        <v/>
      </c>
      <c r="E14" s="68">
        <f>IFERROR(MATCH('Metrics'!$D$14,curve_key,0),MATCH("light_and_thermal_regime_summer_average|",curve_key,0))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Effective Vegetated Riparian Area</t>
        </is>
      </c>
      <c r="B15" s="68">
        <f>IF('DEEP Score'!$E$22="","",'DEEP Score'!$E$22)</f>
        <v/>
      </c>
      <c r="C15" s="68">
        <f>IF('DEEP Score'!$F$22="","Unconfined Alluvial Valleys",'DEEP Score'!$F$22)</f>
        <v/>
      </c>
      <c r="D15" s="68">
        <f>"carbon_processing_effective_vegetated_riparian_area|"&amp;'Metrics'!$C$15</f>
        <v/>
      </c>
      <c r="E15" s="68">
        <f>IFERROR(MATCH('Metrics'!$D$15,curve_key,0),MATCH("carbon_processing_effective_vegetated_riparian_area|Unconfined Alluvial Valleys",curve_key,0))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Herbaceous Strata Vegetation Cover</t>
        </is>
      </c>
      <c r="B16" s="68">
        <f>IF('DEEP Score'!$E$23="","",'DEEP Score'!$E$23)</f>
        <v/>
      </c>
      <c r="C16" s="68">
        <f>""</f>
        <v/>
      </c>
      <c r="D16" s="68">
        <f>"carbon_processing_herbaceous_strata_vegetation_cover|"&amp;'Metrics'!$C$16</f>
        <v/>
      </c>
      <c r="E16" s="68">
        <f>IFERROR(MATCH('Metrics'!$D$16,curve_key,0),MATCH("carbon_processing_herbaceous_strata_vegetation_cover|",curve_key,0))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Woody Stem Basal Area</t>
        </is>
      </c>
      <c r="B17" s="68">
        <f>IF('DEEP Score'!$E$24="","",'DEEP Score'!$E$24)</f>
        <v/>
      </c>
      <c r="C17" s="68">
        <f>""</f>
        <v/>
      </c>
      <c r="D17" s="68">
        <f>"carbon_processing_woody_stem_basal_area|"&amp;'Metrics'!$C$17</f>
        <v/>
      </c>
      <c r="E17" s="68">
        <f>IFERROR(MATCH('Metrics'!$D$17,curve_key,0),MATCH("carbon_processing_woody_stem_basal_area|",curve_key,0))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DO</t>
        </is>
      </c>
      <c r="B18" s="68">
        <f>IF('DEEP Score'!$E$25="","",'DEEP Score'!$E$25)</f>
        <v/>
      </c>
      <c r="C18" s="68">
        <f>IF('DEEP Score'!$F$25="","2A",'DEEP Score'!$F$25)</f>
        <v/>
      </c>
      <c r="D18" s="68">
        <f>"water_and_soil_quality_do|"&amp;'Metrics'!$C$18</f>
        <v/>
      </c>
      <c r="E18" s="68">
        <f>IFERROR(MATCH('Metrics'!$D$18,curve_key,0),MATCH("water_and_soil_quality_do|2A",curve_key,0))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TSS</t>
        </is>
      </c>
      <c r="B19" s="68">
        <f>IF('DEEP Score'!$E$26="","",'DEEP Score'!$E$26)</f>
        <v/>
      </c>
      <c r="C19" s="68">
        <f>IF('DEEP Score'!$F$26="","2A / -",'DEEP Score'!$F$26)</f>
        <v/>
      </c>
      <c r="D19" s="68">
        <f>"water_and_soil_quality_tss|"&amp;'Metrics'!$C$19</f>
        <v/>
      </c>
      <c r="E19" s="68">
        <f>IFERROR(MATCH('Metrics'!$D$19,curve_key,0),MATCH("water_and_soil_quality_tss|2A / -",curve_key,0))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LWD</t>
        </is>
      </c>
      <c r="B20" s="68">
        <f>IF('DEEP Score'!$E$27="","",'DEEP Score'!$E$27)</f>
        <v/>
      </c>
      <c r="C20" s="68">
        <f>""</f>
        <v/>
      </c>
      <c r="D20" s="68">
        <f>"habitat_provision_lwd|"&amp;'Metrics'!$C$20</f>
        <v/>
      </c>
      <c r="E20" s="68">
        <f>IFERROR(MATCH('Metrics'!$D$20,curve_key,0),MATCH("habitat_provision_lwd|",curve_key,0))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LWD Index</t>
        </is>
      </c>
      <c r="B21" s="68">
        <f>IF('DEEP Score'!$E$28="","",'DEEP Score'!$E$28)</f>
        <v/>
      </c>
      <c r="C21" s="68">
        <f>""</f>
        <v/>
      </c>
      <c r="D21" s="68">
        <f>"habitat_provision_lwd_index|"&amp;'Metrics'!$C$21</f>
        <v/>
      </c>
      <c r="E21" s="68">
        <f>IFERROR(MATCH('Metrics'!$D$21,curve_key,0),MATCH("habitat_provision_lwd_index|",curve_key,0))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Percent Riffle</t>
        </is>
      </c>
      <c r="B22" s="68">
        <f>IF('DEEP Score'!$E$29="","",'DEEP Score'!$E$29)</f>
        <v/>
      </c>
      <c r="C22" s="68">
        <f>IF('DEEP Score'!$F$29="","A and B Streams",'DEEP Score'!$F$29)</f>
        <v/>
      </c>
      <c r="D22" s="68">
        <f>"habitat_provision_percent_riffle|"&amp;'Metrics'!$C$22</f>
        <v/>
      </c>
      <c r="E22" s="68">
        <f>IFERROR(MATCH('Metrics'!$D$22,curve_key,0),MATCH("habitat_provision_percent_riffle|A and B Streams",curve_key,0))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Pool Depth Ratio</t>
        </is>
      </c>
      <c r="B23" s="68">
        <f>IF('DEEP Score'!$E$30="","",'DEEP Score'!$E$30)</f>
        <v/>
      </c>
      <c r="C23" s="68">
        <f>""</f>
        <v/>
      </c>
      <c r="D23" s="68">
        <f>"habitat_provision_pool_depth_ratio|"&amp;'Metrics'!$C$23</f>
        <v/>
      </c>
      <c r="E23" s="68">
        <f>IFERROR(MATCH('Metrics'!$D$23,curve_key,0),MATCH("habitat_provision_pool_depth_ratio|",curve_key,0))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Pool Spacing Ratio</t>
        </is>
      </c>
      <c r="B24" s="68">
        <f>IF('DEEP Score'!$E$31="","",'DEEP Score'!$E$31)</f>
        <v/>
      </c>
      <c r="C24" s="68">
        <f>IF('DEEP Score'!$F$31="","A and B Stream Types",'DEEP Score'!$F$31)</f>
        <v/>
      </c>
      <c r="D24" s="68">
        <f>"habitat_provision_pool_spacing_ratio|"&amp;'Metrics'!$C$24</f>
        <v/>
      </c>
      <c r="E24" s="68">
        <f>IFERROR(MATCH('Metrics'!$D$24,curve_key,0),MATCH("habitat_provision_pool_spacing_ratio|A and B Stream Types",curve_key,0))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Fish IBI</t>
        </is>
      </c>
      <c r="B25" s="68">
        <f>IF('DEEP Score'!$E$32="","",'DEEP Score'!$E$32)</f>
        <v/>
      </c>
      <c r="C25" s="68">
        <f>IF('DEEP Score'!$F$32="","Northern Rivers - Northern",'DEEP Score'!$F$32)</f>
        <v/>
      </c>
      <c r="D25" s="68">
        <f>"population_support_fish_ibi|"&amp;'Metrics'!$C$25</f>
        <v/>
      </c>
      <c r="E25" s="68">
        <f>IFERROR(MATCH('Metrics'!$D$25,curve_key,0),MATCH("population_support_fish_ibi|Northern Rivers - Northern",curve_key,0))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Macroinvertebrate IBI</t>
        </is>
      </c>
      <c r="B26" s="68">
        <f>IF('DEEP Score'!$E$33="","",'DEEP Score'!$E$33)</f>
        <v/>
      </c>
      <c r="C26" s="68">
        <f>IF('DEEP Score'!$F$33="","Northern Forest Rivers - Northern",'DEEP Score'!$F$33)</f>
        <v/>
      </c>
      <c r="D26" s="68">
        <f>"population_support_macroinvertebrate_ibi|"&amp;'Metrics'!$C$26</f>
        <v/>
      </c>
      <c r="E26" s="68">
        <f>IFERROR(MATCH('Metrics'!$D$26,curve_key,0),MATCH("population_support_macroinvertebrate_ibi|Northern Forest Rivers - Northern",curve_key,0))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1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68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41" t="inlineStr">
        <is>
          <t>Reach inflow</t>
        </is>
      </c>
      <c r="B5" s="68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41" t="inlineStr">
        <is>
          <t>Floodplain connectivity</t>
        </is>
      </c>
      <c r="B6" s="68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41" t="inlineStr">
        <is>
          <t>Channel and floodplain dynamics</t>
        </is>
      </c>
      <c r="B7" s="68">
        <f>IF(COUNT('DEEP Score'!G16:G18)=0,"",SUM('DEEP Score'!G16:G18)/COUNT('DEEP Score'!G16:G18)*15)</f>
        <v/>
      </c>
      <c r="C7" s="41" t="n">
        <v>1</v>
      </c>
      <c r="D7" s="41" t="n">
        <v>0.1</v>
      </c>
      <c r="E7" s="41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41" t="inlineStr">
        <is>
          <t>Sediment continuity</t>
        </is>
      </c>
      <c r="B8" s="68">
        <f>IF(COUNT('DEEP Score'!G19:G19)=0,"",SUM('DEEP Score'!G19:G19)/COUNT('DEEP Score'!G19:G19)*15)</f>
        <v/>
      </c>
      <c r="C8" s="41" t="n">
        <v>1</v>
      </c>
      <c r="D8" s="41" t="n">
        <v>0.1</v>
      </c>
      <c r="E8" s="41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41" t="inlineStr">
        <is>
          <t>Light &amp; thermal regime</t>
        </is>
      </c>
      <c r="B9" s="68">
        <f>IF(COUNT('DEEP Score'!G20:G21)=0,"",SUM('DEEP Score'!G20:G21)/COUNT('DEEP Score'!G20:G21)*15)</f>
        <v/>
      </c>
      <c r="C9" s="41" t="n">
        <v>0</v>
      </c>
      <c r="D9" s="41" t="n">
        <v>1</v>
      </c>
      <c r="E9" s="41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41" t="inlineStr">
        <is>
          <t>Carbon processing</t>
        </is>
      </c>
      <c r="B10" s="68">
        <f>IF(COUNT('DEEP Score'!G22:G24)=0,"",SUM('DEEP Score'!G22:G24)/COUNT('DEEP Score'!G22:G24)*15)</f>
        <v/>
      </c>
      <c r="C10" s="41" t="n">
        <v>0</v>
      </c>
      <c r="D10" s="41" t="n">
        <v>1</v>
      </c>
      <c r="E10" s="41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41" t="inlineStr">
        <is>
          <t>Water &amp; soil quality</t>
        </is>
      </c>
      <c r="B11" s="68">
        <f>IF(COUNT('DEEP Score'!G25:G26)=0,"",SUM('DEEP Score'!G25:G26)/COUNT('DEEP Score'!G25:G26)*15)</f>
        <v/>
      </c>
      <c r="C11" s="41" t="n">
        <v>0.1</v>
      </c>
      <c r="D11" s="41" t="n">
        <v>1</v>
      </c>
      <c r="E11" s="41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41" t="inlineStr">
        <is>
          <t>Habitat provision</t>
        </is>
      </c>
      <c r="B12" s="68">
        <f>IF(COUNT('DEEP Score'!G27:G31)=0,"",SUM('DEEP Score'!G27:G31)/COUNT('DEEP Score'!G27:G31)*15)</f>
        <v/>
      </c>
      <c r="C12" s="41" t="n">
        <v>0</v>
      </c>
      <c r="D12" s="41" t="n">
        <v>0</v>
      </c>
      <c r="E12" s="41" t="n">
        <v>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41" t="inlineStr">
        <is>
          <t>Population support</t>
        </is>
      </c>
      <c r="B13" s="68">
        <f>IF(COUNT('DEEP Score'!G32:G33)=0,"",SUM('DEEP Score'!G32:G33)/COUNT('DEEP Score'!G32:G33)*15)</f>
        <v/>
      </c>
      <c r="C13" s="41" t="n">
        <v>0.1</v>
      </c>
      <c r="D13" s="41" t="n">
        <v>0.1</v>
      </c>
      <c r="E13" s="41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5">
      <c r="A15" s="6" t="inlineStr">
        <is>
          <t>Outcome</t>
        </is>
      </c>
      <c r="B15" s="6" t="inlineStr">
        <is>
          <t>Sub-index</t>
        </is>
      </c>
    </row>
    <row r="16">
      <c r="A16" s="41" t="inlineStr">
        <is>
          <t>Physical</t>
        </is>
      </c>
      <c r="B16" s="68">
        <f>IF(SUM('Results'!$I$4:$I$13)=0,0,SUM('Results'!$F$4:$F$13)/SUM('Results'!$I$4:$I$13))</f>
        <v/>
      </c>
    </row>
    <row r="17">
      <c r="A17" s="41" t="inlineStr">
        <is>
          <t>Chemical</t>
        </is>
      </c>
      <c r="B17" s="68">
        <f>IF(SUM('Results'!$J$4:$J$13)=0,0,SUM('Results'!$G$4:$G$13)/SUM('Results'!$J$4:$J$13))</f>
        <v/>
      </c>
    </row>
    <row r="18">
      <c r="A18" s="41" t="inlineStr">
        <is>
          <t>Biological</t>
        </is>
      </c>
      <c r="B18" s="68">
        <f>IF(SUM('Results'!$K$4:$K$13)=0,0,SUM('Results'!$H$4:$H$13)/SUM('Results'!$K$4:$K$13))</f>
        <v/>
      </c>
    </row>
    <row r="19">
      <c r="A19" s="54" t="inlineStr">
        <is>
          <t>Ecosystem Condition Index</t>
        </is>
      </c>
      <c r="B19" s="68">
        <f>('Results'!$B$16+'Results'!$B$17+'Results'!$B$18)/3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9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catchment_hydrology_bmp_mids_rv_coefficient|</t>
        </is>
      </c>
      <c r="B5" s="41" t="inlineStr">
        <is>
          <t>catchment-hydrology-bmp-mids-rv-coefficient</t>
        </is>
      </c>
      <c r="C5" s="41" t="inlineStr">
        <is>
          <t>BMP MIDS Rv Coefficient</t>
        </is>
      </c>
      <c r="D5" s="41" t="inlineStr"/>
      <c r="E5" s="41" t="n">
        <v>4</v>
      </c>
      <c r="F5" s="41" t="inlineStr"/>
      <c r="G5" s="41" t="n">
        <v>0.02</v>
      </c>
      <c r="H5" s="41" t="n">
        <v>0.05</v>
      </c>
      <c r="I5" s="41" t="n">
        <v>0.25</v>
      </c>
      <c r="J5" s="41" t="n">
        <v>0.95</v>
      </c>
      <c r="K5" s="41" t="n">
        <v>0.95</v>
      </c>
      <c r="L5" s="41" t="n">
        <v>0.95</v>
      </c>
      <c r="M5" s="41" t="n">
        <v>0.95</v>
      </c>
      <c r="N5" s="41" t="n">
        <v>0.95</v>
      </c>
      <c r="O5" s="41" t="n">
        <v>1</v>
      </c>
      <c r="P5" s="41" t="n">
        <v>0.7</v>
      </c>
      <c r="Q5" s="41" t="n">
        <v>0.3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catchment_hydrology_land_use_coefficient|</t>
        </is>
      </c>
      <c r="B6" s="41" t="inlineStr">
        <is>
          <t>catchment-hydrology-land-use-coefficient</t>
        </is>
      </c>
      <c r="C6" s="41" t="inlineStr">
        <is>
          <t>Land Use Coefficient</t>
        </is>
      </c>
      <c r="D6" s="41" t="inlineStr"/>
      <c r="E6" s="41" t="n">
        <v>3</v>
      </c>
      <c r="F6" s="41" t="inlineStr"/>
      <c r="G6" s="41" t="n">
        <v>40</v>
      </c>
      <c r="H6" s="41" t="n">
        <v>68</v>
      </c>
      <c r="I6" s="41" t="n">
        <v>80</v>
      </c>
      <c r="J6" s="41" t="n">
        <v>80</v>
      </c>
      <c r="K6" s="41" t="n">
        <v>80</v>
      </c>
      <c r="L6" s="41" t="n">
        <v>80</v>
      </c>
      <c r="M6" s="41" t="n">
        <v>80</v>
      </c>
      <c r="N6" s="41" t="n">
        <v>80</v>
      </c>
      <c r="O6" s="41" t="n">
        <v>1</v>
      </c>
      <c r="P6" s="41" t="n">
        <v>0.7</v>
      </c>
      <c r="Q6" s="41" t="n">
        <v>0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reach_inflow_concentrated_flow_points_1_000_ft|</t>
        </is>
      </c>
      <c r="B7" s="41" t="inlineStr">
        <is>
          <t>reach-inflow-concentrated-flow-points-1-000-ft</t>
        </is>
      </c>
      <c r="C7" s="41" t="inlineStr">
        <is>
          <t>Concentrated Flow Points / 1,000 ft</t>
        </is>
      </c>
      <c r="D7" s="41" t="inlineStr"/>
      <c r="E7" s="41" t="n">
        <v>2</v>
      </c>
      <c r="F7" s="41" t="inlineStr"/>
      <c r="G7" s="41" t="n">
        <v>0</v>
      </c>
      <c r="H7" s="41" t="n">
        <v>1</v>
      </c>
      <c r="I7" s="41" t="n">
        <v>1</v>
      </c>
      <c r="J7" s="41" t="n">
        <v>1</v>
      </c>
      <c r="K7" s="41" t="n">
        <v>1</v>
      </c>
      <c r="L7" s="41" t="n">
        <v>1</v>
      </c>
      <c r="M7" s="41" t="n">
        <v>1</v>
      </c>
      <c r="N7" s="41" t="n">
        <v>1</v>
      </c>
      <c r="O7" s="41" t="n">
        <v>1</v>
      </c>
      <c r="P7" s="41" t="n">
        <v>0.6899999999999999</v>
      </c>
      <c r="Q7" s="41" t="n">
        <v>0.6899999999999999</v>
      </c>
      <c r="R7" s="41" t="n">
        <v>0.6899999999999999</v>
      </c>
      <c r="S7" s="41" t="n">
        <v>0.6899999999999999</v>
      </c>
      <c r="T7" s="41" t="n">
        <v>0.6899999999999999</v>
      </c>
      <c r="U7" s="41" t="n">
        <v>0.6899999999999999</v>
      </c>
      <c r="V7" s="41" t="n">
        <v>0.6899999999999999</v>
      </c>
    </row>
    <row r="8">
      <c r="A8" s="41" t="inlineStr">
        <is>
          <t>floodplain_connectivity_entrenchment_ratio_er|C Streams</t>
        </is>
      </c>
      <c r="B8" s="41" t="inlineStr">
        <is>
          <t>floodplain-connectivity-entrenchment-ratio-er</t>
        </is>
      </c>
      <c r="C8" s="41" t="inlineStr">
        <is>
          <t>Entrenchment Ratio (ER)</t>
        </is>
      </c>
      <c r="D8" s="41" t="inlineStr">
        <is>
          <t>C Streams</t>
        </is>
      </c>
      <c r="E8" s="41" t="n">
        <v>3</v>
      </c>
      <c r="F8" s="41" t="inlineStr"/>
      <c r="G8" s="41" t="n">
        <v>1</v>
      </c>
      <c r="H8" s="41" t="n">
        <v>2.2</v>
      </c>
      <c r="I8" s="41" t="n">
        <v>5</v>
      </c>
      <c r="J8" s="41" t="n">
        <v>5</v>
      </c>
      <c r="K8" s="41" t="n">
        <v>5</v>
      </c>
      <c r="L8" s="41" t="n">
        <v>5</v>
      </c>
      <c r="M8" s="41" t="n">
        <v>5</v>
      </c>
      <c r="N8" s="41" t="n">
        <v>5</v>
      </c>
      <c r="O8" s="41" t="n">
        <v>0</v>
      </c>
      <c r="P8" s="41" t="n">
        <v>0.7</v>
      </c>
      <c r="Q8" s="41" t="n">
        <v>1</v>
      </c>
      <c r="R8" s="41" t="n">
        <v>1</v>
      </c>
      <c r="S8" s="41" t="n">
        <v>1</v>
      </c>
      <c r="T8" s="41" t="n">
        <v>1</v>
      </c>
      <c r="U8" s="41" t="n">
        <v>1</v>
      </c>
      <c r="V8" s="41" t="n">
        <v>1</v>
      </c>
    </row>
    <row r="9">
      <c r="A9" s="41" t="inlineStr">
        <is>
          <t>floodplain_connectivity_entrenchment_ratio_er|B Streams</t>
        </is>
      </c>
      <c r="B9" s="41" t="inlineStr">
        <is>
          <t>floodplain-connectivity-entrenchment-ratio-er</t>
        </is>
      </c>
      <c r="C9" s="41" t="inlineStr">
        <is>
          <t>Entrenchment Ratio (ER)</t>
        </is>
      </c>
      <c r="D9" s="41" t="inlineStr">
        <is>
          <t>B Streams</t>
        </is>
      </c>
      <c r="E9" s="41" t="n">
        <v>3</v>
      </c>
      <c r="F9" s="41" t="inlineStr"/>
      <c r="G9" s="41" t="n">
        <v>1</v>
      </c>
      <c r="H9" s="41" t="n">
        <v>1.4</v>
      </c>
      <c r="I9" s="41" t="n">
        <v>2.2</v>
      </c>
      <c r="J9" s="41" t="n">
        <v>2.2</v>
      </c>
      <c r="K9" s="41" t="n">
        <v>2.2</v>
      </c>
      <c r="L9" s="41" t="n">
        <v>2.2</v>
      </c>
      <c r="M9" s="41" t="n">
        <v>2.2</v>
      </c>
      <c r="N9" s="41" t="n">
        <v>2.2</v>
      </c>
      <c r="O9" s="41" t="n">
        <v>0</v>
      </c>
      <c r="P9" s="41" t="n">
        <v>0.7</v>
      </c>
      <c r="Q9" s="41" t="n">
        <v>1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floodplain_connectivity_entrenchment_ratio_er|E Streams</t>
        </is>
      </c>
      <c r="B10" s="41" t="inlineStr">
        <is>
          <t>floodplain-connectivity-entrenchment-ratio-er</t>
        </is>
      </c>
      <c r="C10" s="41" t="inlineStr">
        <is>
          <t>Entrenchment Ratio (ER)</t>
        </is>
      </c>
      <c r="D10" s="41" t="inlineStr">
        <is>
          <t>E Streams</t>
        </is>
      </c>
      <c r="E10" s="41" t="n">
        <v>3</v>
      </c>
      <c r="F10" s="41" t="inlineStr"/>
      <c r="G10" s="41" t="n">
        <v>1</v>
      </c>
      <c r="H10" s="41" t="n">
        <v>2.2</v>
      </c>
      <c r="I10" s="41" t="n">
        <v>9</v>
      </c>
      <c r="J10" s="41" t="n">
        <v>9</v>
      </c>
      <c r="K10" s="41" t="n">
        <v>9</v>
      </c>
      <c r="L10" s="41" t="n">
        <v>9</v>
      </c>
      <c r="M10" s="41" t="n">
        <v>9</v>
      </c>
      <c r="N10" s="41" t="n">
        <v>9</v>
      </c>
      <c r="O10" s="41" t="n">
        <v>0</v>
      </c>
      <c r="P10" s="41" t="n">
        <v>0.7</v>
      </c>
      <c r="Q10" s="41" t="n">
        <v>1</v>
      </c>
      <c r="R10" s="41" t="n">
        <v>1</v>
      </c>
      <c r="S10" s="41" t="n">
        <v>1</v>
      </c>
      <c r="T10" s="41" t="n">
        <v>1</v>
      </c>
      <c r="U10" s="41" t="n">
        <v>1</v>
      </c>
      <c r="V10" s="41" t="n">
        <v>1</v>
      </c>
    </row>
    <row r="11">
      <c r="A11" s="41" t="inlineStr">
        <is>
          <t>channel_and_floodplain_dynamics_bank_height_ratio_bhr|</t>
        </is>
      </c>
      <c r="B11" s="41" t="inlineStr">
        <is>
          <t>channel-and-floodplain-dynamics-bank-height-ratio-bhr</t>
        </is>
      </c>
      <c r="C11" s="41" t="inlineStr">
        <is>
          <t>Bank Height Ratio (BHR)</t>
        </is>
      </c>
      <c r="D11" s="41" t="inlineStr"/>
      <c r="E11" s="41" t="n">
        <v>3</v>
      </c>
      <c r="F11" s="41" t="inlineStr"/>
      <c r="G11" s="41" t="n">
        <v>1</v>
      </c>
      <c r="H11" s="41" t="n">
        <v>1.2</v>
      </c>
      <c r="I11" s="41" t="n">
        <v>1.5</v>
      </c>
      <c r="J11" s="41" t="n">
        <v>1.5</v>
      </c>
      <c r="K11" s="41" t="n">
        <v>1.5</v>
      </c>
      <c r="L11" s="41" t="n">
        <v>1.5</v>
      </c>
      <c r="M11" s="41" t="n">
        <v>1.5</v>
      </c>
      <c r="N11" s="41" t="n">
        <v>1.5</v>
      </c>
      <c r="O11" s="41" t="n">
        <v>1</v>
      </c>
      <c r="P11" s="41" t="n">
        <v>0.7</v>
      </c>
      <c r="Q11" s="41" t="n">
        <v>0.3</v>
      </c>
      <c r="R11" s="41" t="n">
        <v>0.3</v>
      </c>
      <c r="S11" s="41" t="n">
        <v>0.3</v>
      </c>
      <c r="T11" s="41" t="n">
        <v>0.3</v>
      </c>
      <c r="U11" s="41" t="n">
        <v>0.3</v>
      </c>
      <c r="V11" s="41" t="n">
        <v>0.3</v>
      </c>
    </row>
    <row r="12">
      <c r="A12" s="41" t="inlineStr">
        <is>
          <t>channel_and_floodplain_dynamics_percent_armoring|</t>
        </is>
      </c>
      <c r="B12" s="41" t="inlineStr">
        <is>
          <t>channel-and-floodplain-dynamics-percent-armoring</t>
        </is>
      </c>
      <c r="C12" s="41" t="inlineStr">
        <is>
          <t>Percent Armoring</t>
        </is>
      </c>
      <c r="D12" s="41" t="inlineStr"/>
      <c r="E12" s="41" t="n">
        <v>2</v>
      </c>
      <c r="F12" s="41" t="inlineStr"/>
      <c r="G12" s="41" t="n">
        <v>0</v>
      </c>
      <c r="H12" s="41" t="n">
        <v>50</v>
      </c>
      <c r="I12" s="41" t="n">
        <v>50</v>
      </c>
      <c r="J12" s="41" t="n">
        <v>50</v>
      </c>
      <c r="K12" s="41" t="n">
        <v>50</v>
      </c>
      <c r="L12" s="41" t="n">
        <v>50</v>
      </c>
      <c r="M12" s="41" t="n">
        <v>50</v>
      </c>
      <c r="N12" s="41" t="n">
        <v>50</v>
      </c>
      <c r="O12" s="41" t="n">
        <v>1</v>
      </c>
      <c r="P12" s="41" t="n">
        <v>0</v>
      </c>
      <c r="Q12" s="41" t="n">
        <v>0</v>
      </c>
      <c r="R12" s="41" t="n">
        <v>0</v>
      </c>
      <c r="S12" s="41" t="n">
        <v>0</v>
      </c>
      <c r="T12" s="41" t="n">
        <v>0</v>
      </c>
      <c r="U12" s="41" t="n">
        <v>0</v>
      </c>
      <c r="V12" s="41" t="n">
        <v>0</v>
      </c>
    </row>
    <row r="13">
      <c r="A13" s="41" t="inlineStr">
        <is>
          <t>channel_and_floodplain_dynamics_percent_streambank_erosion|</t>
        </is>
      </c>
      <c r="B13" s="41" t="inlineStr">
        <is>
          <t>channel-and-floodplain-dynamics-percent-streambank-erosion</t>
        </is>
      </c>
      <c r="C13" s="41" t="inlineStr">
        <is>
          <t>Percent Streambank Erosion</t>
        </is>
      </c>
      <c r="D13" s="41" t="inlineStr"/>
      <c r="E13" s="41" t="n">
        <v>3</v>
      </c>
      <c r="F13" s="41" t="inlineStr"/>
      <c r="G13" s="41" t="n">
        <v>5</v>
      </c>
      <c r="H13" s="41" t="n">
        <v>10</v>
      </c>
      <c r="I13" s="41" t="n">
        <v>75</v>
      </c>
      <c r="J13" s="41" t="n">
        <v>75</v>
      </c>
      <c r="K13" s="41" t="n">
        <v>75</v>
      </c>
      <c r="L13" s="41" t="n">
        <v>75</v>
      </c>
      <c r="M13" s="41" t="n">
        <v>75</v>
      </c>
      <c r="N13" s="41" t="n">
        <v>75</v>
      </c>
      <c r="O13" s="41" t="n">
        <v>1</v>
      </c>
      <c r="P13" s="41" t="n">
        <v>0.7</v>
      </c>
      <c r="Q13" s="41" t="n">
        <v>0</v>
      </c>
      <c r="R13" s="41" t="n">
        <v>0</v>
      </c>
      <c r="S13" s="41" t="n">
        <v>0</v>
      </c>
      <c r="T13" s="41" t="n">
        <v>0</v>
      </c>
      <c r="U13" s="41" t="n">
        <v>0</v>
      </c>
      <c r="V13" s="41" t="n">
        <v>0</v>
      </c>
    </row>
    <row r="14">
      <c r="A14" s="41" t="inlineStr">
        <is>
          <t>sediment_continuity_aggradation_ratio|</t>
        </is>
      </c>
      <c r="B14" s="41" t="inlineStr">
        <is>
          <t>sediment-continuity-aggradation-ratio</t>
        </is>
      </c>
      <c r="C14" s="41" t="inlineStr">
        <is>
          <t>Aggradation Ratio</t>
        </is>
      </c>
      <c r="D14" s="41" t="inlineStr"/>
      <c r="E14" s="41" t="n">
        <v>4</v>
      </c>
      <c r="F14" s="41" t="inlineStr"/>
      <c r="G14" s="41" t="n">
        <v>1</v>
      </c>
      <c r="H14" s="41" t="n">
        <v>1.2</v>
      </c>
      <c r="I14" s="41" t="n">
        <v>1.4</v>
      </c>
      <c r="J14" s="41" t="n">
        <v>1.6</v>
      </c>
      <c r="K14" s="41" t="n">
        <v>1.6</v>
      </c>
      <c r="L14" s="41" t="n">
        <v>1.6</v>
      </c>
      <c r="M14" s="41" t="n">
        <v>1.6</v>
      </c>
      <c r="N14" s="41" t="n">
        <v>1.6</v>
      </c>
      <c r="O14" s="41" t="n">
        <v>1</v>
      </c>
      <c r="P14" s="41" t="n">
        <v>0.6899999999999999</v>
      </c>
      <c r="Q14" s="41" t="n">
        <v>0.3</v>
      </c>
      <c r="R14" s="41" t="n">
        <v>0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light_and_thermal_regime_canopy_cover|Woody vegetation is a natural component of riparian zone</t>
        </is>
      </c>
      <c r="B15" s="41" t="inlineStr">
        <is>
          <t>light-and-thermal-regime-canopy-cover</t>
        </is>
      </c>
      <c r="C15" s="41" t="inlineStr">
        <is>
          <t>Canopy Cover</t>
        </is>
      </c>
      <c r="D15" s="41" t="inlineStr">
        <is>
          <t>Woody vegetation is a natural component of riparian zone</t>
        </is>
      </c>
      <c r="E15" s="41" t="n">
        <v>2</v>
      </c>
      <c r="F15" s="41" t="inlineStr"/>
      <c r="G15" s="41" t="n">
        <v>50</v>
      </c>
      <c r="H15" s="41" t="n">
        <v>80</v>
      </c>
      <c r="I15" s="41" t="n">
        <v>80</v>
      </c>
      <c r="J15" s="41" t="n">
        <v>80</v>
      </c>
      <c r="K15" s="41" t="n">
        <v>80</v>
      </c>
      <c r="L15" s="41" t="n">
        <v>80</v>
      </c>
      <c r="M15" s="41" t="n">
        <v>80</v>
      </c>
      <c r="N15" s="41" t="n">
        <v>80</v>
      </c>
      <c r="O15" s="41" t="n">
        <v>0</v>
      </c>
      <c r="P15" s="41" t="n">
        <v>1</v>
      </c>
      <c r="Q15" s="41" t="n">
        <v>1</v>
      </c>
      <c r="R15" s="41" t="n">
        <v>1</v>
      </c>
      <c r="S15" s="41" t="n">
        <v>1</v>
      </c>
      <c r="T15" s="41" t="n">
        <v>1</v>
      </c>
      <c r="U15" s="41" t="n">
        <v>1</v>
      </c>
      <c r="V15" s="41" t="n">
        <v>1</v>
      </c>
    </row>
    <row r="16">
      <c r="A16" s="41" t="inlineStr">
        <is>
          <t>light_and_thermal_regime_canopy_cover|Woody vegetation is not a natural component of riparian zone</t>
        </is>
      </c>
      <c r="B16" s="41" t="inlineStr">
        <is>
          <t>light-and-thermal-regime-canopy-cover</t>
        </is>
      </c>
      <c r="C16" s="41" t="inlineStr">
        <is>
          <t>Canopy Cover</t>
        </is>
      </c>
      <c r="D16" s="41" t="inlineStr">
        <is>
          <t>Woody vegetation is not a natural component of riparian zone</t>
        </is>
      </c>
      <c r="E16" s="41" t="n">
        <v>2</v>
      </c>
      <c r="F16" s="41" t="inlineStr"/>
      <c r="G16" s="41" t="n">
        <v>50</v>
      </c>
      <c r="H16" s="41" t="n">
        <v>80</v>
      </c>
      <c r="I16" s="41" t="n">
        <v>80</v>
      </c>
      <c r="J16" s="41" t="n">
        <v>80</v>
      </c>
      <c r="K16" s="41" t="n">
        <v>80</v>
      </c>
      <c r="L16" s="41" t="n">
        <v>80</v>
      </c>
      <c r="M16" s="41" t="n">
        <v>80</v>
      </c>
      <c r="N16" s="41" t="n">
        <v>80</v>
      </c>
      <c r="O16" s="41" t="n">
        <v>1</v>
      </c>
      <c r="P16" s="41" t="n">
        <v>0</v>
      </c>
      <c r="Q16" s="41" t="n">
        <v>0</v>
      </c>
      <c r="R16" s="41" t="n">
        <v>0</v>
      </c>
      <c r="S16" s="41" t="n">
        <v>0</v>
      </c>
      <c r="T16" s="41" t="n">
        <v>0</v>
      </c>
      <c r="U16" s="41" t="n">
        <v>0</v>
      </c>
      <c r="V16" s="41" t="n">
        <v>0</v>
      </c>
    </row>
    <row r="17">
      <c r="A17" s="41" t="inlineStr">
        <is>
          <t>light_and_thermal_regime_summer_average|</t>
        </is>
      </c>
      <c r="B17" s="41" t="inlineStr">
        <is>
          <t>light-and-thermal-regime-summer-average</t>
        </is>
      </c>
      <c r="C17" s="41" t="inlineStr">
        <is>
          <t>Summer Average</t>
        </is>
      </c>
      <c r="D17" s="41" t="inlineStr"/>
      <c r="E17" s="41" t="n">
        <v>4</v>
      </c>
      <c r="F17" s="41" t="inlineStr"/>
      <c r="G17" s="41" t="n">
        <v>10</v>
      </c>
      <c r="H17" s="41" t="n">
        <v>14</v>
      </c>
      <c r="I17" s="41" t="n">
        <v>18</v>
      </c>
      <c r="J17" s="41" t="n">
        <v>25</v>
      </c>
      <c r="K17" s="41" t="n">
        <v>25</v>
      </c>
      <c r="L17" s="41" t="n">
        <v>25</v>
      </c>
      <c r="M17" s="41" t="n">
        <v>25</v>
      </c>
      <c r="N17" s="41" t="n">
        <v>25</v>
      </c>
      <c r="O17" s="41" t="n">
        <v>1</v>
      </c>
      <c r="P17" s="41" t="n">
        <v>0.7</v>
      </c>
      <c r="Q17" s="41" t="n">
        <v>0.3</v>
      </c>
      <c r="R17" s="41" t="n">
        <v>0</v>
      </c>
      <c r="S17" s="41" t="n">
        <v>0</v>
      </c>
      <c r="T17" s="41" t="n">
        <v>0</v>
      </c>
      <c r="U17" s="41" t="n">
        <v>0</v>
      </c>
      <c r="V17" s="41" t="n">
        <v>0</v>
      </c>
    </row>
    <row r="18">
      <c r="A18" s="41" t="inlineStr">
        <is>
          <t>carbon_processing_effective_vegetated_riparian_area|Unconfined Alluvial Valleys</t>
        </is>
      </c>
      <c r="B18" s="41" t="inlineStr">
        <is>
          <t>carbon-processing-effective-vegetated-riparian-area</t>
        </is>
      </c>
      <c r="C18" s="41" t="inlineStr">
        <is>
          <t>Effective Vegetated Riparian Area</t>
        </is>
      </c>
      <c r="D18" s="41" t="inlineStr">
        <is>
          <t>Unconfined Alluvial Valleys</t>
        </is>
      </c>
      <c r="E18" s="41" t="n">
        <v>2</v>
      </c>
      <c r="F18" s="41" t="inlineStr"/>
      <c r="G18" s="41" t="n">
        <v>30</v>
      </c>
      <c r="H18" s="41" t="n">
        <v>100</v>
      </c>
      <c r="I18" s="41" t="n">
        <v>100</v>
      </c>
      <c r="J18" s="41" t="n">
        <v>100</v>
      </c>
      <c r="K18" s="41" t="n">
        <v>100</v>
      </c>
      <c r="L18" s="41" t="n">
        <v>100</v>
      </c>
      <c r="M18" s="41" t="n">
        <v>100</v>
      </c>
      <c r="N18" s="41" t="n">
        <v>100</v>
      </c>
      <c r="O18" s="41" t="n">
        <v>0</v>
      </c>
      <c r="P18" s="41" t="n">
        <v>1</v>
      </c>
      <c r="Q18" s="41" t="n">
        <v>1</v>
      </c>
      <c r="R18" s="41" t="n">
        <v>1</v>
      </c>
      <c r="S18" s="41" t="n">
        <v>1</v>
      </c>
      <c r="T18" s="41" t="n">
        <v>1</v>
      </c>
      <c r="U18" s="41" t="n">
        <v>1</v>
      </c>
      <c r="V18" s="41" t="n">
        <v>1</v>
      </c>
    </row>
    <row r="19">
      <c r="A19" s="41" t="inlineStr">
        <is>
          <t>carbon_processing_effective_vegetated_riparian_area|Confined Alluvial or Colluvial/V-Shaped Valleys</t>
        </is>
      </c>
      <c r="B19" s="41" t="inlineStr">
        <is>
          <t>carbon-processing-effective-vegetated-riparian-area</t>
        </is>
      </c>
      <c r="C19" s="41" t="inlineStr">
        <is>
          <t>Effective Vegetated Riparian Area</t>
        </is>
      </c>
      <c r="D19" s="41" t="inlineStr">
        <is>
          <t>Confined Alluvial or Colluvial/V-Shaped Valleys</t>
        </is>
      </c>
      <c r="E19" s="41" t="n">
        <v>2</v>
      </c>
      <c r="F19" s="41" t="inlineStr"/>
      <c r="G19" s="41" t="n">
        <v>60</v>
      </c>
      <c r="H19" s="41" t="n">
        <v>100</v>
      </c>
      <c r="I19" s="41" t="n">
        <v>100</v>
      </c>
      <c r="J19" s="41" t="n">
        <v>100</v>
      </c>
      <c r="K19" s="41" t="n">
        <v>100</v>
      </c>
      <c r="L19" s="41" t="n">
        <v>100</v>
      </c>
      <c r="M19" s="41" t="n">
        <v>100</v>
      </c>
      <c r="N19" s="41" t="n">
        <v>100</v>
      </c>
      <c r="O19" s="41" t="n">
        <v>0</v>
      </c>
      <c r="P19" s="41" t="n">
        <v>1</v>
      </c>
      <c r="Q19" s="41" t="n">
        <v>1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carbon_processing_herbaceous_strata_vegetation_cover|</t>
        </is>
      </c>
      <c r="B20" s="41" t="inlineStr">
        <is>
          <t>carbon-processing-herbaceous-strata-vegetation-cover</t>
        </is>
      </c>
      <c r="C20" s="41" t="inlineStr">
        <is>
          <t>Herbaceous Strata Vegetation Cover</t>
        </is>
      </c>
      <c r="D20" s="41" t="inlineStr"/>
      <c r="E20" s="41" t="n">
        <v>2</v>
      </c>
      <c r="F20" s="41" t="inlineStr"/>
      <c r="G20" s="41" t="n">
        <v>50</v>
      </c>
      <c r="H20" s="41" t="n">
        <v>80</v>
      </c>
      <c r="I20" s="41" t="n">
        <v>80</v>
      </c>
      <c r="J20" s="41" t="n">
        <v>80</v>
      </c>
      <c r="K20" s="41" t="n">
        <v>80</v>
      </c>
      <c r="L20" s="41" t="n">
        <v>80</v>
      </c>
      <c r="M20" s="41" t="n">
        <v>80</v>
      </c>
      <c r="N20" s="41" t="n">
        <v>80</v>
      </c>
      <c r="O20" s="41" t="n">
        <v>0</v>
      </c>
      <c r="P20" s="41" t="n">
        <v>1</v>
      </c>
      <c r="Q20" s="41" t="n">
        <v>1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carbon_processing_woody_stem_basal_area|</t>
        </is>
      </c>
      <c r="B21" s="41" t="inlineStr">
        <is>
          <t>carbon-processing-woody-stem-basal-area</t>
        </is>
      </c>
      <c r="C21" s="41" t="inlineStr">
        <is>
          <t>Woody Stem Basal Area</t>
        </is>
      </c>
      <c r="D21" s="41" t="inlineStr"/>
      <c r="E21" s="41" t="n">
        <v>2</v>
      </c>
      <c r="F21" s="41" t="inlineStr"/>
      <c r="G21" s="41" t="n">
        <v>9</v>
      </c>
      <c r="H21" s="41" t="n">
        <v>14</v>
      </c>
      <c r="I21" s="41" t="n">
        <v>14</v>
      </c>
      <c r="J21" s="41" t="n">
        <v>14</v>
      </c>
      <c r="K21" s="41" t="n">
        <v>14</v>
      </c>
      <c r="L21" s="41" t="n">
        <v>14</v>
      </c>
      <c r="M21" s="41" t="n">
        <v>14</v>
      </c>
      <c r="N21" s="41" t="n">
        <v>14</v>
      </c>
      <c r="O21" s="41" t="n">
        <v>0</v>
      </c>
      <c r="P21" s="41" t="n">
        <v>1</v>
      </c>
      <c r="Q21" s="41" t="n">
        <v>1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water_and_soil_quality_do|2A</t>
        </is>
      </c>
      <c r="B22" s="41" t="inlineStr">
        <is>
          <t>water-and-soil-quality-do</t>
        </is>
      </c>
      <c r="C22" s="41" t="inlineStr">
        <is>
          <t>DO</t>
        </is>
      </c>
      <c r="D22" s="41" t="inlineStr">
        <is>
          <t>2A</t>
        </is>
      </c>
      <c r="E22" s="41" t="n">
        <v>4</v>
      </c>
      <c r="F22" s="41" t="inlineStr"/>
      <c r="G22" s="41" t="n">
        <v>5.25</v>
      </c>
      <c r="H22" s="41" t="n">
        <v>6.3</v>
      </c>
      <c r="I22" s="41" t="n">
        <v>7.7</v>
      </c>
      <c r="J22" s="41" t="n">
        <v>8.75</v>
      </c>
      <c r="K22" s="41" t="n">
        <v>8.75</v>
      </c>
      <c r="L22" s="41" t="n">
        <v>8.75</v>
      </c>
      <c r="M22" s="41" t="n">
        <v>8.75</v>
      </c>
      <c r="N22" s="41" t="n">
        <v>8.75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water_and_soil_quality_do|2B/2Bd</t>
        </is>
      </c>
      <c r="B23" s="41" t="inlineStr">
        <is>
          <t>water-and-soil-quality-do</t>
        </is>
      </c>
      <c r="C23" s="41" t="inlineStr">
        <is>
          <t>DO</t>
        </is>
      </c>
      <c r="D23" s="41" t="inlineStr">
        <is>
          <t>2B/2Bd</t>
        </is>
      </c>
      <c r="E23" s="41" t="n">
        <v>4</v>
      </c>
      <c r="F23" s="41" t="inlineStr"/>
      <c r="G23" s="41" t="n">
        <v>0.75</v>
      </c>
      <c r="H23" s="41" t="n">
        <v>0.9</v>
      </c>
      <c r="I23" s="41" t="n">
        <v>1.1</v>
      </c>
      <c r="J23" s="41" t="n">
        <v>1.25</v>
      </c>
      <c r="K23" s="41" t="n">
        <v>1.25</v>
      </c>
      <c r="L23" s="41" t="n">
        <v>1.25</v>
      </c>
      <c r="M23" s="41" t="n">
        <v>1.25</v>
      </c>
      <c r="N23" s="41" t="n">
        <v>1.25</v>
      </c>
      <c r="O23" s="41" t="n">
        <v>0</v>
      </c>
      <c r="P23" s="41" t="n">
        <v>0.3</v>
      </c>
      <c r="Q23" s="41" t="n">
        <v>0.7</v>
      </c>
      <c r="R23" s="41" t="n">
        <v>1</v>
      </c>
      <c r="S23" s="41" t="n">
        <v>1</v>
      </c>
      <c r="T23" s="41" t="n">
        <v>1</v>
      </c>
      <c r="U23" s="41" t="n">
        <v>1</v>
      </c>
      <c r="V23" s="41" t="n">
        <v>1</v>
      </c>
    </row>
    <row r="24">
      <c r="A24" s="41" t="inlineStr">
        <is>
          <t>water_and_soil_quality_tss|2A / -</t>
        </is>
      </c>
      <c r="B24" s="41" t="inlineStr">
        <is>
          <t>water-and-soil-quality-tss</t>
        </is>
      </c>
      <c r="C24" s="41" t="inlineStr">
        <is>
          <t>TSS</t>
        </is>
      </c>
      <c r="D24" s="41" t="inlineStr">
        <is>
          <t>2A / -</t>
        </is>
      </c>
      <c r="E24" s="41" t="n">
        <v>4</v>
      </c>
      <c r="F24" s="41" t="inlineStr"/>
      <c r="G24" s="41" t="n">
        <v>7.5</v>
      </c>
      <c r="H24" s="41" t="n">
        <v>9</v>
      </c>
      <c r="I24" s="41" t="n">
        <v>11</v>
      </c>
      <c r="J24" s="41" t="n">
        <v>12.5</v>
      </c>
      <c r="K24" s="41" t="n">
        <v>12.5</v>
      </c>
      <c r="L24" s="41" t="n">
        <v>12.5</v>
      </c>
      <c r="M24" s="41" t="n">
        <v>12.5</v>
      </c>
      <c r="N24" s="41" t="n">
        <v>12.5</v>
      </c>
      <c r="O24" s="41" t="n">
        <v>1</v>
      </c>
      <c r="P24" s="41" t="n">
        <v>0.7</v>
      </c>
      <c r="Q24" s="41" t="n">
        <v>0.3</v>
      </c>
      <c r="R24" s="41" t="n">
        <v>0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water_and_soil_quality_tss|2B/2Bd - North</t>
        </is>
      </c>
      <c r="B25" s="41" t="inlineStr">
        <is>
          <t>water-and-soil-quality-tss</t>
        </is>
      </c>
      <c r="C25" s="41" t="inlineStr">
        <is>
          <t>TSS</t>
        </is>
      </c>
      <c r="D25" s="41" t="inlineStr">
        <is>
          <t>2B/2Bd - North</t>
        </is>
      </c>
      <c r="E25" s="41" t="n">
        <v>4</v>
      </c>
      <c r="F25" s="41" t="inlineStr"/>
      <c r="G25" s="41" t="n">
        <v>11.3</v>
      </c>
      <c r="H25" s="41" t="n">
        <v>13.5</v>
      </c>
      <c r="I25" s="41" t="n">
        <v>16.5</v>
      </c>
      <c r="J25" s="41" t="n">
        <v>18.8</v>
      </c>
      <c r="K25" s="41" t="n">
        <v>18.8</v>
      </c>
      <c r="L25" s="41" t="n">
        <v>18.8</v>
      </c>
      <c r="M25" s="41" t="n">
        <v>18.8</v>
      </c>
      <c r="N25" s="41" t="n">
        <v>18.8</v>
      </c>
      <c r="O25" s="41" t="n">
        <v>1</v>
      </c>
      <c r="P25" s="41" t="n">
        <v>0.7</v>
      </c>
      <c r="Q25" s="41" t="n">
        <v>0.3</v>
      </c>
      <c r="R25" s="41" t="n">
        <v>0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water_and_soil_quality_tss|2B/2Bd - Central</t>
        </is>
      </c>
      <c r="B26" s="41" t="inlineStr">
        <is>
          <t>water-and-soil-quality-tss</t>
        </is>
      </c>
      <c r="C26" s="41" t="inlineStr">
        <is>
          <t>TSS</t>
        </is>
      </c>
      <c r="D26" s="41" t="inlineStr">
        <is>
          <t>2B/2Bd - Central</t>
        </is>
      </c>
      <c r="E26" s="41" t="n">
        <v>4</v>
      </c>
      <c r="F26" s="41" t="inlineStr"/>
      <c r="G26" s="41" t="n">
        <v>22.5</v>
      </c>
      <c r="H26" s="41" t="n">
        <v>27</v>
      </c>
      <c r="I26" s="41" t="n">
        <v>33</v>
      </c>
      <c r="J26" s="41" t="n">
        <v>37.5</v>
      </c>
      <c r="K26" s="41" t="n">
        <v>37.5</v>
      </c>
      <c r="L26" s="41" t="n">
        <v>37.5</v>
      </c>
      <c r="M26" s="41" t="n">
        <v>37.5</v>
      </c>
      <c r="N26" s="41" t="n">
        <v>37.5</v>
      </c>
      <c r="O26" s="41" t="n">
        <v>1</v>
      </c>
      <c r="P26" s="41" t="n">
        <v>0.7</v>
      </c>
      <c r="Q26" s="41" t="n">
        <v>0.3</v>
      </c>
      <c r="R26" s="41" t="n">
        <v>0</v>
      </c>
      <c r="S26" s="41" t="n">
        <v>0</v>
      </c>
      <c r="T26" s="41" t="n">
        <v>0</v>
      </c>
      <c r="U26" s="41" t="n">
        <v>0</v>
      </c>
      <c r="V26" s="41" t="n">
        <v>0</v>
      </c>
    </row>
    <row r="27">
      <c r="A27" s="41" t="inlineStr">
        <is>
          <t>water_and_soil_quality_tss|2B/2Bd - South</t>
        </is>
      </c>
      <c r="B27" s="41" t="inlineStr">
        <is>
          <t>water-and-soil-quality-tss</t>
        </is>
      </c>
      <c r="C27" s="41" t="inlineStr">
        <is>
          <t>TSS</t>
        </is>
      </c>
      <c r="D27" s="41" t="inlineStr">
        <is>
          <t>2B/2Bd - South</t>
        </is>
      </c>
      <c r="E27" s="41" t="n">
        <v>4</v>
      </c>
      <c r="F27" s="41" t="inlineStr"/>
      <c r="G27" s="41" t="n">
        <v>48.7</v>
      </c>
      <c r="H27" s="41" t="n">
        <v>58.5</v>
      </c>
      <c r="I27" s="41" t="n">
        <v>71.5</v>
      </c>
      <c r="J27" s="41" t="n">
        <v>81.2</v>
      </c>
      <c r="K27" s="41" t="n">
        <v>81.2</v>
      </c>
      <c r="L27" s="41" t="n">
        <v>81.2</v>
      </c>
      <c r="M27" s="41" t="n">
        <v>81.2</v>
      </c>
      <c r="N27" s="41" t="n">
        <v>81.2</v>
      </c>
      <c r="O27" s="41" t="n">
        <v>1</v>
      </c>
      <c r="P27" s="41" t="n">
        <v>0.7</v>
      </c>
      <c r="Q27" s="41" t="n">
        <v>0.3</v>
      </c>
      <c r="R27" s="41" t="n">
        <v>0</v>
      </c>
      <c r="S27" s="41" t="n">
        <v>0</v>
      </c>
      <c r="T27" s="41" t="n">
        <v>0</v>
      </c>
      <c r="U27" s="41" t="n">
        <v>0</v>
      </c>
      <c r="V27" s="41" t="n">
        <v>0</v>
      </c>
    </row>
    <row r="28">
      <c r="A28" s="41" t="inlineStr">
        <is>
          <t>habitat_provision_lwd|</t>
        </is>
      </c>
      <c r="B28" s="41" t="inlineStr">
        <is>
          <t>habitat-provision-lwd</t>
        </is>
      </c>
      <c r="C28" s="41" t="inlineStr">
        <is>
          <t>LWD</t>
        </is>
      </c>
      <c r="D28" s="41" t="inlineStr"/>
      <c r="E28" s="41" t="n">
        <v>3</v>
      </c>
      <c r="F28" s="41" t="inlineStr"/>
      <c r="G28" s="41" t="n">
        <v>0</v>
      </c>
      <c r="H28" s="41" t="n">
        <v>13</v>
      </c>
      <c r="I28" s="41" t="n">
        <v>28</v>
      </c>
      <c r="J28" s="41" t="n">
        <v>28</v>
      </c>
      <c r="K28" s="41" t="n">
        <v>28</v>
      </c>
      <c r="L28" s="41" t="n">
        <v>28</v>
      </c>
      <c r="M28" s="41" t="n">
        <v>28</v>
      </c>
      <c r="N28" s="41" t="n">
        <v>28</v>
      </c>
      <c r="O28" s="41" t="n">
        <v>0</v>
      </c>
      <c r="P28" s="41" t="n">
        <v>0.7</v>
      </c>
      <c r="Q28" s="41" t="n">
        <v>1</v>
      </c>
      <c r="R28" s="41" t="n">
        <v>1</v>
      </c>
      <c r="S28" s="41" t="n">
        <v>1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habitat_provision_lwd_index|</t>
        </is>
      </c>
      <c r="B29" s="41" t="inlineStr">
        <is>
          <t>habitat-provision-lwd-index</t>
        </is>
      </c>
      <c r="C29" s="41" t="inlineStr">
        <is>
          <t>LWD Index</t>
        </is>
      </c>
      <c r="D29" s="41" t="inlineStr"/>
      <c r="E29" s="41" t="n">
        <v>3</v>
      </c>
      <c r="F29" s="41" t="inlineStr"/>
      <c r="G29" s="41" t="n">
        <v>0</v>
      </c>
      <c r="H29" s="41" t="n">
        <v>430</v>
      </c>
      <c r="I29" s="41" t="n">
        <v>660</v>
      </c>
      <c r="J29" s="41" t="n">
        <v>660</v>
      </c>
      <c r="K29" s="41" t="n">
        <v>660</v>
      </c>
      <c r="L29" s="41" t="n">
        <v>660</v>
      </c>
      <c r="M29" s="41" t="n">
        <v>660</v>
      </c>
      <c r="N29" s="41" t="n">
        <v>660</v>
      </c>
      <c r="O29" s="41" t="n">
        <v>0</v>
      </c>
      <c r="P29" s="41" t="n">
        <v>0.7</v>
      </c>
      <c r="Q29" s="41" t="n">
        <v>1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habitat_provision_percent_riffle|A and B Streams</t>
        </is>
      </c>
      <c r="B30" s="41" t="inlineStr">
        <is>
          <t>habitat-provision-percent-riffle</t>
        </is>
      </c>
      <c r="C30" s="41" t="inlineStr">
        <is>
          <t>Percent Riffle</t>
        </is>
      </c>
      <c r="D30" s="41" t="inlineStr">
        <is>
          <t>A and B Streams</t>
        </is>
      </c>
      <c r="E30" s="41" t="n">
        <v>2</v>
      </c>
      <c r="F30" s="41" t="inlineStr"/>
      <c r="G30" s="41" t="n">
        <v>20</v>
      </c>
      <c r="H30" s="41" t="n">
        <v>50</v>
      </c>
      <c r="I30" s="41" t="n">
        <v>50</v>
      </c>
      <c r="J30" s="41" t="n">
        <v>50</v>
      </c>
      <c r="K30" s="41" t="n">
        <v>50</v>
      </c>
      <c r="L30" s="41" t="n">
        <v>50</v>
      </c>
      <c r="M30" s="41" t="n">
        <v>50</v>
      </c>
      <c r="N30" s="41" t="n">
        <v>50</v>
      </c>
      <c r="O30" s="41" t="n">
        <v>0</v>
      </c>
      <c r="P30" s="41" t="n">
        <v>1</v>
      </c>
      <c r="Q30" s="41" t="n">
        <v>1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habitat_provision_percent_riffle|C and E Stream Types</t>
        </is>
      </c>
      <c r="B31" s="41" t="inlineStr">
        <is>
          <t>habitat-provision-percent-riffle</t>
        </is>
      </c>
      <c r="C31" s="41" t="inlineStr">
        <is>
          <t>Percent Riffle</t>
        </is>
      </c>
      <c r="D31" s="41" t="inlineStr">
        <is>
          <t>C and E Stream Types</t>
        </is>
      </c>
      <c r="E31" s="41" t="n">
        <v>2</v>
      </c>
      <c r="F31" s="41" t="inlineStr"/>
      <c r="G31" s="41" t="n">
        <v>20</v>
      </c>
      <c r="H31" s="41" t="n">
        <v>45</v>
      </c>
      <c r="I31" s="41" t="n">
        <v>45</v>
      </c>
      <c r="J31" s="41" t="n">
        <v>45</v>
      </c>
      <c r="K31" s="41" t="n">
        <v>45</v>
      </c>
      <c r="L31" s="41" t="n">
        <v>45</v>
      </c>
      <c r="M31" s="41" t="n">
        <v>45</v>
      </c>
      <c r="N31" s="41" t="n">
        <v>45</v>
      </c>
      <c r="O31" s="41" t="n">
        <v>0</v>
      </c>
      <c r="P31" s="41" t="n">
        <v>1</v>
      </c>
      <c r="Q31" s="41" t="n">
        <v>1</v>
      </c>
      <c r="R31" s="41" t="n">
        <v>1</v>
      </c>
      <c r="S31" s="41" t="n">
        <v>1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habitat_provision_pool_depth_ratio|</t>
        </is>
      </c>
      <c r="B32" s="41" t="inlineStr">
        <is>
          <t>habitat-provision-pool-depth-ratio</t>
        </is>
      </c>
      <c r="C32" s="41" t="inlineStr">
        <is>
          <t>Pool Depth Ratio</t>
        </is>
      </c>
      <c r="D32" s="41" t="inlineStr"/>
      <c r="E32" s="41" t="n">
        <v>4</v>
      </c>
      <c r="F32" s="41" t="inlineStr"/>
      <c r="G32" s="41" t="n">
        <v>1.1</v>
      </c>
      <c r="H32" s="41" t="n">
        <v>1.5</v>
      </c>
      <c r="I32" s="41" t="n">
        <v>2</v>
      </c>
      <c r="J32" s="41" t="n">
        <v>3</v>
      </c>
      <c r="K32" s="41" t="n">
        <v>3</v>
      </c>
      <c r="L32" s="41" t="n">
        <v>3</v>
      </c>
      <c r="M32" s="41" t="n">
        <v>3</v>
      </c>
      <c r="N32" s="41" t="n">
        <v>3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habitat_provision_pool_spacing_ratio|A and B Stream Types</t>
        </is>
      </c>
      <c r="B33" s="41" t="inlineStr">
        <is>
          <t>habitat-provision-pool-spacing-ratio</t>
        </is>
      </c>
      <c r="C33" s="41" t="inlineStr">
        <is>
          <t>Pool Spacing Ratio</t>
        </is>
      </c>
      <c r="D33" s="41" t="inlineStr">
        <is>
          <t>A and B Stream Types</t>
        </is>
      </c>
      <c r="E33" s="41" t="n">
        <v>3</v>
      </c>
      <c r="F33" s="41" t="inlineStr"/>
      <c r="G33" s="41" t="n">
        <v>4</v>
      </c>
      <c r="H33" s="41" t="n">
        <v>5</v>
      </c>
      <c r="I33" s="41" t="n">
        <v>6.5</v>
      </c>
      <c r="J33" s="41" t="n">
        <v>6.5</v>
      </c>
      <c r="K33" s="41" t="n">
        <v>6.5</v>
      </c>
      <c r="L33" s="41" t="n">
        <v>6.5</v>
      </c>
      <c r="M33" s="41" t="n">
        <v>6.5</v>
      </c>
      <c r="N33" s="41" t="n">
        <v>6.5</v>
      </c>
      <c r="O33" s="41" t="n">
        <v>1</v>
      </c>
      <c r="P33" s="41" t="n">
        <v>0.7</v>
      </c>
      <c r="Q33" s="41" t="n">
        <v>0</v>
      </c>
      <c r="R33" s="41" t="n">
        <v>0</v>
      </c>
      <c r="S33" s="41" t="n">
        <v>0</v>
      </c>
      <c r="T33" s="41" t="n">
        <v>0</v>
      </c>
      <c r="U33" s="41" t="n">
        <v>0</v>
      </c>
      <c r="V33" s="41" t="n">
        <v>0</v>
      </c>
    </row>
    <row r="34">
      <c r="A34" s="41" t="inlineStr">
        <is>
          <t>habitat_provision_pool_spacing_ratio|Bc Stream Types</t>
        </is>
      </c>
      <c r="B34" s="41" t="inlineStr">
        <is>
          <t>habitat-provision-pool-spacing-ratio</t>
        </is>
      </c>
      <c r="C34" s="41" t="inlineStr">
        <is>
          <t>Pool Spacing Ratio</t>
        </is>
      </c>
      <c r="D34" s="41" t="inlineStr">
        <is>
          <t>Bc Stream Types</t>
        </is>
      </c>
      <c r="E34" s="41" t="n">
        <v>3</v>
      </c>
      <c r="F34" s="41" t="inlineStr"/>
      <c r="G34" s="41" t="n">
        <v>5</v>
      </c>
      <c r="H34" s="41" t="n">
        <v>6</v>
      </c>
      <c r="I34" s="41" t="n">
        <v>8</v>
      </c>
      <c r="J34" s="41" t="n">
        <v>8</v>
      </c>
      <c r="K34" s="41" t="n">
        <v>8</v>
      </c>
      <c r="L34" s="41" t="n">
        <v>8</v>
      </c>
      <c r="M34" s="41" t="n">
        <v>8</v>
      </c>
      <c r="N34" s="41" t="n">
        <v>8</v>
      </c>
      <c r="O34" s="41" t="n">
        <v>1</v>
      </c>
      <c r="P34" s="41" t="n">
        <v>0.7</v>
      </c>
      <c r="Q34" s="41" t="n">
        <v>0</v>
      </c>
      <c r="R34" s="41" t="n">
        <v>0</v>
      </c>
      <c r="S34" s="41" t="n">
        <v>0</v>
      </c>
      <c r="T34" s="41" t="n">
        <v>0</v>
      </c>
      <c r="U34" s="41" t="n">
        <v>0</v>
      </c>
      <c r="V34" s="41" t="n">
        <v>0</v>
      </c>
    </row>
    <row r="35">
      <c r="A35" s="41" t="inlineStr">
        <is>
          <t>habitat_provision_pool_spacing_ratio|C and E Streams</t>
        </is>
      </c>
      <c r="B35" s="41" t="inlineStr">
        <is>
          <t>habitat-provision-pool-spacing-ratio</t>
        </is>
      </c>
      <c r="C35" s="41" t="inlineStr">
        <is>
          <t>Pool Spacing Ratio</t>
        </is>
      </c>
      <c r="D35" s="41" t="inlineStr">
        <is>
          <t>C and E Streams</t>
        </is>
      </c>
      <c r="E35" s="41" t="n">
        <v>2</v>
      </c>
      <c r="F35" s="41" t="inlineStr"/>
      <c r="G35" s="41" t="n">
        <v>1</v>
      </c>
      <c r="H35" s="41" t="n">
        <v>3.5</v>
      </c>
      <c r="I35" s="41" t="n">
        <v>3.5</v>
      </c>
      <c r="J35" s="41" t="n">
        <v>3.5</v>
      </c>
      <c r="K35" s="41" t="n">
        <v>3.5</v>
      </c>
      <c r="L35" s="41" t="n">
        <v>3.5</v>
      </c>
      <c r="M35" s="41" t="n">
        <v>3.5</v>
      </c>
      <c r="N35" s="41" t="n">
        <v>3.5</v>
      </c>
      <c r="O35" s="41" t="n">
        <v>0</v>
      </c>
      <c r="P35" s="41" t="n">
        <v>1</v>
      </c>
      <c r="Q35" s="41" t="n">
        <v>1</v>
      </c>
      <c r="R35" s="41" t="n">
        <v>1</v>
      </c>
      <c r="S35" s="41" t="n">
        <v>1</v>
      </c>
      <c r="T35" s="41" t="n">
        <v>1</v>
      </c>
      <c r="U35" s="41" t="n">
        <v>1</v>
      </c>
      <c r="V35" s="41" t="n">
        <v>1</v>
      </c>
    </row>
    <row r="36">
      <c r="A36" s="41" t="inlineStr">
        <is>
          <t>population_support_fish_ibi|Northern Rivers - Northern</t>
        </is>
      </c>
      <c r="B36" s="41" t="inlineStr">
        <is>
          <t>population-support-fish-ibi</t>
        </is>
      </c>
      <c r="C36" s="41" t="inlineStr">
        <is>
          <t>Fish IBI</t>
        </is>
      </c>
      <c r="D36" s="41" t="inlineStr">
        <is>
          <t>Northern Rivers - Northern</t>
        </is>
      </c>
      <c r="E36" s="41" t="n">
        <v>4</v>
      </c>
      <c r="F36" s="41" t="inlineStr"/>
      <c r="G36" s="41" t="n">
        <v>29</v>
      </c>
      <c r="H36" s="41" t="n">
        <v>38</v>
      </c>
      <c r="I36" s="41" t="n">
        <v>47</v>
      </c>
      <c r="J36" s="41" t="n">
        <v>67</v>
      </c>
      <c r="K36" s="41" t="n">
        <v>67</v>
      </c>
      <c r="L36" s="41" t="n">
        <v>67</v>
      </c>
      <c r="M36" s="41" t="n">
        <v>67</v>
      </c>
      <c r="N36" s="41" t="n">
        <v>67</v>
      </c>
      <c r="O36" s="41" t="n">
        <v>0</v>
      </c>
      <c r="P36" s="41" t="n">
        <v>0.3</v>
      </c>
      <c r="Q36" s="41" t="n">
        <v>0.7</v>
      </c>
      <c r="R36" s="41" t="n">
        <v>1</v>
      </c>
      <c r="S36" s="41" t="n">
        <v>1</v>
      </c>
      <c r="T36" s="41" t="n">
        <v>1</v>
      </c>
      <c r="U36" s="41" t="n">
        <v>1</v>
      </c>
      <c r="V36" s="41" t="n">
        <v>1</v>
      </c>
    </row>
    <row r="37">
      <c r="A37" s="41" t="inlineStr">
        <is>
          <t>population_support_fish_ibi|Northern Streams - Northern</t>
        </is>
      </c>
      <c r="B37" s="41" t="inlineStr">
        <is>
          <t>population-support-fish-ibi</t>
        </is>
      </c>
      <c r="C37" s="41" t="inlineStr">
        <is>
          <t>Fish IBI</t>
        </is>
      </c>
      <c r="D37" s="41" t="inlineStr">
        <is>
          <t>Northern Streams - Northern</t>
        </is>
      </c>
      <c r="E37" s="41" t="n">
        <v>4</v>
      </c>
      <c r="F37" s="41" t="inlineStr"/>
      <c r="G37" s="41" t="n">
        <v>35</v>
      </c>
      <c r="H37" s="41" t="n">
        <v>47</v>
      </c>
      <c r="I37" s="41" t="n">
        <v>56</v>
      </c>
      <c r="J37" s="41" t="n">
        <v>61</v>
      </c>
      <c r="K37" s="41" t="n">
        <v>61</v>
      </c>
      <c r="L37" s="41" t="n">
        <v>61</v>
      </c>
      <c r="M37" s="41" t="n">
        <v>61</v>
      </c>
      <c r="N37" s="41" t="n">
        <v>61</v>
      </c>
      <c r="O37" s="41" t="n">
        <v>0</v>
      </c>
      <c r="P37" s="41" t="n">
        <v>0.3</v>
      </c>
      <c r="Q37" s="41" t="n">
        <v>0.7</v>
      </c>
      <c r="R37" s="41" t="n">
        <v>1</v>
      </c>
      <c r="S37" s="41" t="n">
        <v>1</v>
      </c>
      <c r="T37" s="41" t="n">
        <v>1</v>
      </c>
      <c r="U37" s="41" t="n">
        <v>1</v>
      </c>
      <c r="V37" s="41" t="n">
        <v>1</v>
      </c>
    </row>
    <row r="38">
      <c r="A38" s="41" t="inlineStr">
        <is>
          <t>population_support_fish_ibi|Northern Headwaters - Northern</t>
        </is>
      </c>
      <c r="B38" s="41" t="inlineStr">
        <is>
          <t>population-support-fish-ibi</t>
        </is>
      </c>
      <c r="C38" s="41" t="inlineStr">
        <is>
          <t>Fish IBI</t>
        </is>
      </c>
      <c r="D38" s="41" t="inlineStr">
        <is>
          <t>Northern Headwaters - Northern</t>
        </is>
      </c>
      <c r="E38" s="41" t="n">
        <v>4</v>
      </c>
      <c r="F38" s="41" t="inlineStr"/>
      <c r="G38" s="41" t="n">
        <v>23</v>
      </c>
      <c r="H38" s="41" t="n">
        <v>42</v>
      </c>
      <c r="I38" s="41" t="n">
        <v>58</v>
      </c>
      <c r="J38" s="41" t="n">
        <v>68</v>
      </c>
      <c r="K38" s="41" t="n">
        <v>68</v>
      </c>
      <c r="L38" s="41" t="n">
        <v>68</v>
      </c>
      <c r="M38" s="41" t="n">
        <v>68</v>
      </c>
      <c r="N38" s="41" t="n">
        <v>68</v>
      </c>
      <c r="O38" s="41" t="n">
        <v>0</v>
      </c>
      <c r="P38" s="41" t="n">
        <v>0.3</v>
      </c>
      <c r="Q38" s="41" t="n">
        <v>0.7</v>
      </c>
      <c r="R38" s="41" t="n">
        <v>1</v>
      </c>
      <c r="S38" s="41" t="n">
        <v>1</v>
      </c>
      <c r="T38" s="41" t="n">
        <v>1</v>
      </c>
      <c r="U38" s="41" t="n">
        <v>1</v>
      </c>
      <c r="V38" s="41" t="n">
        <v>1</v>
      </c>
    </row>
    <row r="39">
      <c r="A39" s="41" t="inlineStr">
        <is>
          <t>population_support_fish_ibi|Northern Coldwater - Northern</t>
        </is>
      </c>
      <c r="B39" s="41" t="inlineStr">
        <is>
          <t>population-support-fish-ibi</t>
        </is>
      </c>
      <c r="C39" s="41" t="inlineStr">
        <is>
          <t>Fish IBI</t>
        </is>
      </c>
      <c r="D39" s="41" t="inlineStr">
        <is>
          <t>Northern Coldwater - Northern</t>
        </is>
      </c>
      <c r="E39" s="41" t="n">
        <v>4</v>
      </c>
      <c r="F39" s="41" t="inlineStr"/>
      <c r="G39" s="41" t="n">
        <v>25</v>
      </c>
      <c r="H39" s="41" t="n">
        <v>35</v>
      </c>
      <c r="I39" s="41" t="n">
        <v>45</v>
      </c>
      <c r="J39" s="41" t="n">
        <v>60</v>
      </c>
      <c r="K39" s="41" t="n">
        <v>60</v>
      </c>
      <c r="L39" s="41" t="n">
        <v>60</v>
      </c>
      <c r="M39" s="41" t="n">
        <v>60</v>
      </c>
      <c r="N39" s="41" t="n">
        <v>60</v>
      </c>
      <c r="O39" s="41" t="n">
        <v>0</v>
      </c>
      <c r="P39" s="41" t="n">
        <v>0.3</v>
      </c>
      <c r="Q39" s="41" t="n">
        <v>0.7</v>
      </c>
      <c r="R39" s="41" t="n">
        <v>1</v>
      </c>
      <c r="S39" s="41" t="n">
        <v>1</v>
      </c>
      <c r="T39" s="41" t="n">
        <v>1</v>
      </c>
      <c r="U39" s="41" t="n">
        <v>1</v>
      </c>
      <c r="V39" s="41" t="n">
        <v>1</v>
      </c>
    </row>
    <row r="40">
      <c r="A40" s="41" t="inlineStr">
        <is>
          <t>population_support_fish_ibi|Southern River - Southern</t>
        </is>
      </c>
      <c r="B40" s="41" t="inlineStr">
        <is>
          <t>population-support-fish-ibi</t>
        </is>
      </c>
      <c r="C40" s="41" t="inlineStr">
        <is>
          <t>Fish IBI</t>
        </is>
      </c>
      <c r="D40" s="41" t="inlineStr">
        <is>
          <t>Southern River - Southern</t>
        </is>
      </c>
      <c r="E40" s="41" t="n">
        <v>4</v>
      </c>
      <c r="F40" s="41" t="inlineStr"/>
      <c r="G40" s="41" t="n">
        <v>38</v>
      </c>
      <c r="H40" s="41" t="n">
        <v>49</v>
      </c>
      <c r="I40" s="41" t="n">
        <v>60</v>
      </c>
      <c r="J40" s="41" t="n">
        <v>71</v>
      </c>
      <c r="K40" s="41" t="n">
        <v>71</v>
      </c>
      <c r="L40" s="41" t="n">
        <v>71</v>
      </c>
      <c r="M40" s="41" t="n">
        <v>71</v>
      </c>
      <c r="N40" s="41" t="n">
        <v>71</v>
      </c>
      <c r="O40" s="41" t="n">
        <v>0</v>
      </c>
      <c r="P40" s="41" t="n">
        <v>0.3</v>
      </c>
      <c r="Q40" s="41" t="n">
        <v>0.7</v>
      </c>
      <c r="R40" s="41" t="n">
        <v>1</v>
      </c>
      <c r="S40" s="41" t="n">
        <v>1</v>
      </c>
      <c r="T40" s="41" t="n">
        <v>1</v>
      </c>
      <c r="U40" s="41" t="n">
        <v>1</v>
      </c>
      <c r="V40" s="41" t="n">
        <v>1</v>
      </c>
    </row>
    <row r="41">
      <c r="A41" s="41" t="inlineStr">
        <is>
          <t>population_support_fish_ibi|Southern Streams - Southern</t>
        </is>
      </c>
      <c r="B41" s="41" t="inlineStr">
        <is>
          <t>population-support-fish-ibi</t>
        </is>
      </c>
      <c r="C41" s="41" t="inlineStr">
        <is>
          <t>Fish IBI</t>
        </is>
      </c>
      <c r="D41" s="41" t="inlineStr">
        <is>
          <t>Southern Streams - Southern</t>
        </is>
      </c>
      <c r="E41" s="41" t="n">
        <v>4</v>
      </c>
      <c r="F41" s="41" t="inlineStr"/>
      <c r="G41" s="41" t="n">
        <v>35</v>
      </c>
      <c r="H41" s="41" t="n">
        <v>50</v>
      </c>
      <c r="I41" s="41" t="n">
        <v>59</v>
      </c>
      <c r="J41" s="41" t="n">
        <v>66</v>
      </c>
      <c r="K41" s="41" t="n">
        <v>66</v>
      </c>
      <c r="L41" s="41" t="n">
        <v>66</v>
      </c>
      <c r="M41" s="41" t="n">
        <v>66</v>
      </c>
      <c r="N41" s="41" t="n">
        <v>66</v>
      </c>
      <c r="O41" s="41" t="n">
        <v>0</v>
      </c>
      <c r="P41" s="41" t="n">
        <v>0.3</v>
      </c>
      <c r="Q41" s="41" t="n">
        <v>0.7</v>
      </c>
      <c r="R41" s="41" t="n">
        <v>1</v>
      </c>
      <c r="S41" s="41" t="n">
        <v>1</v>
      </c>
      <c r="T41" s="41" t="n">
        <v>1</v>
      </c>
      <c r="U41" s="41" t="n">
        <v>1</v>
      </c>
      <c r="V41" s="41" t="n">
        <v>1</v>
      </c>
    </row>
    <row r="42">
      <c r="A42" s="41" t="inlineStr">
        <is>
          <t>population_support_fish_ibi|Southern Headwaters - Southern</t>
        </is>
      </c>
      <c r="B42" s="41" t="inlineStr">
        <is>
          <t>population-support-fish-ibi</t>
        </is>
      </c>
      <c r="C42" s="41" t="inlineStr">
        <is>
          <t>Fish IBI</t>
        </is>
      </c>
      <c r="D42" s="41" t="inlineStr">
        <is>
          <t>Southern Headwaters - Southern</t>
        </is>
      </c>
      <c r="E42" s="41" t="n">
        <v>4</v>
      </c>
      <c r="F42" s="41" t="inlineStr"/>
      <c r="G42" s="41" t="n">
        <v>33</v>
      </c>
      <c r="H42" s="41" t="n">
        <v>55</v>
      </c>
      <c r="I42" s="41" t="n">
        <v>62</v>
      </c>
      <c r="J42" s="41" t="n">
        <v>74</v>
      </c>
      <c r="K42" s="41" t="n">
        <v>74</v>
      </c>
      <c r="L42" s="41" t="n">
        <v>74</v>
      </c>
      <c r="M42" s="41" t="n">
        <v>74</v>
      </c>
      <c r="N42" s="41" t="n">
        <v>74</v>
      </c>
      <c r="O42" s="41" t="n">
        <v>0</v>
      </c>
      <c r="P42" s="41" t="n">
        <v>0.3</v>
      </c>
      <c r="Q42" s="41" t="n">
        <v>0.7</v>
      </c>
      <c r="R42" s="41" t="n">
        <v>1</v>
      </c>
      <c r="S42" s="41" t="n">
        <v>1</v>
      </c>
      <c r="T42" s="41" t="n">
        <v>1</v>
      </c>
      <c r="U42" s="41" t="n">
        <v>1</v>
      </c>
      <c r="V42" s="41" t="n">
        <v>1</v>
      </c>
    </row>
    <row r="43">
      <c r="A43" s="41" t="inlineStr">
        <is>
          <t>population_support_fish_ibi|Southern Coldwater - Southern</t>
        </is>
      </c>
      <c r="B43" s="41" t="inlineStr">
        <is>
          <t>population-support-fish-ibi</t>
        </is>
      </c>
      <c r="C43" s="41" t="inlineStr">
        <is>
          <t>Fish IBI</t>
        </is>
      </c>
      <c r="D43" s="41" t="inlineStr">
        <is>
          <t>Southern Coldwater - Southern</t>
        </is>
      </c>
      <c r="E43" s="41" t="n">
        <v>4</v>
      </c>
      <c r="F43" s="41" t="inlineStr"/>
      <c r="G43" s="41" t="n">
        <v>37</v>
      </c>
      <c r="H43" s="41" t="n">
        <v>50</v>
      </c>
      <c r="I43" s="41" t="n">
        <v>63</v>
      </c>
      <c r="J43" s="41" t="n">
        <v>82</v>
      </c>
      <c r="K43" s="41" t="n">
        <v>82</v>
      </c>
      <c r="L43" s="41" t="n">
        <v>82</v>
      </c>
      <c r="M43" s="41" t="n">
        <v>82</v>
      </c>
      <c r="N43" s="41" t="n">
        <v>82</v>
      </c>
      <c r="O43" s="41" t="n">
        <v>0</v>
      </c>
      <c r="P43" s="41" t="n">
        <v>0.3</v>
      </c>
      <c r="Q43" s="41" t="n">
        <v>0.7</v>
      </c>
      <c r="R43" s="41" t="n">
        <v>1</v>
      </c>
      <c r="S43" s="41" t="n">
        <v>1</v>
      </c>
      <c r="T43" s="41" t="n">
        <v>1</v>
      </c>
      <c r="U43" s="41" t="n">
        <v>1</v>
      </c>
      <c r="V43" s="41" t="n">
        <v>1</v>
      </c>
    </row>
    <row r="44">
      <c r="A44" s="41" t="inlineStr">
        <is>
          <t>population_support_fish_ibi|Low Gradient - Low Gradient</t>
        </is>
      </c>
      <c r="B44" s="41" t="inlineStr">
        <is>
          <t>population-support-fish-ibi</t>
        </is>
      </c>
      <c r="C44" s="41" t="inlineStr">
        <is>
          <t>Fish IBI</t>
        </is>
      </c>
      <c r="D44" s="41" t="inlineStr">
        <is>
          <t>Low Gradient - Low Gradient</t>
        </is>
      </c>
      <c r="E44" s="41" t="n">
        <v>4</v>
      </c>
      <c r="F44" s="41" t="inlineStr"/>
      <c r="G44" s="41" t="n">
        <v>15</v>
      </c>
      <c r="H44" s="41" t="n">
        <v>42</v>
      </c>
      <c r="I44" s="41" t="n">
        <v>52</v>
      </c>
      <c r="J44" s="41" t="n">
        <v>70</v>
      </c>
      <c r="K44" s="41" t="n">
        <v>70</v>
      </c>
      <c r="L44" s="41" t="n">
        <v>70</v>
      </c>
      <c r="M44" s="41" t="n">
        <v>70</v>
      </c>
      <c r="N44" s="41" t="n">
        <v>70</v>
      </c>
      <c r="O44" s="41" t="n">
        <v>0</v>
      </c>
      <c r="P44" s="41" t="n">
        <v>0.3</v>
      </c>
      <c r="Q44" s="41" t="n">
        <v>0.7</v>
      </c>
      <c r="R44" s="41" t="n">
        <v>1</v>
      </c>
      <c r="S44" s="41" t="n">
        <v>1</v>
      </c>
      <c r="T44" s="41" t="n">
        <v>1</v>
      </c>
      <c r="U44" s="41" t="n">
        <v>1</v>
      </c>
      <c r="V44" s="41" t="n">
        <v>1</v>
      </c>
    </row>
    <row r="45">
      <c r="A45" s="41" t="inlineStr">
        <is>
          <t>population_support_macroinvertebrate_ibi|Northern Forest Rivers - Northern</t>
        </is>
      </c>
      <c r="B45" s="41" t="inlineStr">
        <is>
          <t>population-support-macroinvertebrate-ibi</t>
        </is>
      </c>
      <c r="C45" s="41" t="inlineStr">
        <is>
          <t>Macroinvertebrate IBI</t>
        </is>
      </c>
      <c r="D45" s="41" t="inlineStr">
        <is>
          <t>Northern Forest Rivers - Northern</t>
        </is>
      </c>
      <c r="E45" s="41" t="n">
        <v>4</v>
      </c>
      <c r="F45" s="41" t="inlineStr"/>
      <c r="G45" s="41" t="n">
        <v>38.2</v>
      </c>
      <c r="H45" s="41" t="n">
        <v>49</v>
      </c>
      <c r="I45" s="41" t="n">
        <v>59.8</v>
      </c>
      <c r="J45" s="41" t="n">
        <v>77</v>
      </c>
      <c r="K45" s="41" t="n">
        <v>77</v>
      </c>
      <c r="L45" s="41" t="n">
        <v>77</v>
      </c>
      <c r="M45" s="41" t="n">
        <v>77</v>
      </c>
      <c r="N45" s="41" t="n">
        <v>77</v>
      </c>
      <c r="O45" s="41" t="n">
        <v>0</v>
      </c>
      <c r="P45" s="41" t="n">
        <v>0.3</v>
      </c>
      <c r="Q45" s="41" t="n">
        <v>0.7</v>
      </c>
      <c r="R45" s="41" t="n">
        <v>1</v>
      </c>
      <c r="S45" s="41" t="n">
        <v>1</v>
      </c>
      <c r="T45" s="41" t="n">
        <v>1</v>
      </c>
      <c r="U45" s="41" t="n">
        <v>1</v>
      </c>
      <c r="V45" s="41" t="n">
        <v>1</v>
      </c>
    </row>
    <row r="46">
      <c r="A46" s="41" t="inlineStr">
        <is>
          <t>population_support_macroinvertebrate_ibi|Northern Forest Streams Riffle-run - Northern</t>
        </is>
      </c>
      <c r="B46" s="41" t="inlineStr">
        <is>
          <t>population-support-macroinvertebrate-ibi</t>
        </is>
      </c>
      <c r="C46" s="41" t="inlineStr">
        <is>
          <t>Macroinvertebrate IBI</t>
        </is>
      </c>
      <c r="D46" s="41" t="inlineStr">
        <is>
          <t>Northern Forest Streams Riffle-run - Northern</t>
        </is>
      </c>
      <c r="E46" s="41" t="n">
        <v>4</v>
      </c>
      <c r="F46" s="41" t="inlineStr"/>
      <c r="G46" s="41" t="n">
        <v>40.4</v>
      </c>
      <c r="H46" s="41" t="n">
        <v>53</v>
      </c>
      <c r="I46" s="41" t="n">
        <v>65.59999999999999</v>
      </c>
      <c r="J46" s="41" t="n">
        <v>82</v>
      </c>
      <c r="K46" s="41" t="n">
        <v>82</v>
      </c>
      <c r="L46" s="41" t="n">
        <v>82</v>
      </c>
      <c r="M46" s="41" t="n">
        <v>82</v>
      </c>
      <c r="N46" s="41" t="n">
        <v>82</v>
      </c>
      <c r="O46" s="41" t="n">
        <v>0</v>
      </c>
      <c r="P46" s="41" t="n">
        <v>0.3</v>
      </c>
      <c r="Q46" s="41" t="n">
        <v>0.7</v>
      </c>
      <c r="R46" s="41" t="n">
        <v>1</v>
      </c>
      <c r="S46" s="41" t="n">
        <v>1</v>
      </c>
      <c r="T46" s="41" t="n">
        <v>1</v>
      </c>
      <c r="U46" s="41" t="n">
        <v>1</v>
      </c>
      <c r="V46" s="41" t="n">
        <v>1</v>
      </c>
    </row>
    <row r="47">
      <c r="A47" s="41" t="inlineStr">
        <is>
          <t>population_support_macroinvertebrate_ibi|Northern Forest Streams Glide-pool - Northern</t>
        </is>
      </c>
      <c r="B47" s="41" t="inlineStr">
        <is>
          <t>population-support-macroinvertebrate-ibi</t>
        </is>
      </c>
      <c r="C47" s="41" t="inlineStr">
        <is>
          <t>Macroinvertebrate IBI</t>
        </is>
      </c>
      <c r="D47" s="41" t="inlineStr">
        <is>
          <t>Northern Forest Streams Glide-pool - Northern</t>
        </is>
      </c>
      <c r="E47" s="41" t="n">
        <v>4</v>
      </c>
      <c r="F47" s="41" t="inlineStr"/>
      <c r="G47" s="41" t="n">
        <v>37</v>
      </c>
      <c r="H47" s="41" t="n">
        <v>51</v>
      </c>
      <c r="I47" s="41" t="n">
        <v>64.59999999999999</v>
      </c>
      <c r="J47" s="41" t="n">
        <v>76</v>
      </c>
      <c r="K47" s="41" t="n">
        <v>76</v>
      </c>
      <c r="L47" s="41" t="n">
        <v>76</v>
      </c>
      <c r="M47" s="41" t="n">
        <v>76</v>
      </c>
      <c r="N47" s="41" t="n">
        <v>76</v>
      </c>
      <c r="O47" s="41" t="n">
        <v>0</v>
      </c>
      <c r="P47" s="41" t="n">
        <v>0.3</v>
      </c>
      <c r="Q47" s="41" t="n">
        <v>0.7</v>
      </c>
      <c r="R47" s="41" t="n">
        <v>1</v>
      </c>
      <c r="S47" s="41" t="n">
        <v>1</v>
      </c>
      <c r="T47" s="41" t="n">
        <v>1</v>
      </c>
      <c r="U47" s="41" t="n">
        <v>1</v>
      </c>
      <c r="V47" s="41" t="n">
        <v>1</v>
      </c>
    </row>
    <row r="48">
      <c r="A48" s="41" t="inlineStr">
        <is>
          <t>population_support_macroinvertebrate_ibi|Northern Coldwater - Northern</t>
        </is>
      </c>
      <c r="B48" s="41" t="inlineStr">
        <is>
          <t>population-support-macroinvertebrate-ibi</t>
        </is>
      </c>
      <c r="C48" s="41" t="inlineStr">
        <is>
          <t>Macroinvertebrate IBI</t>
        </is>
      </c>
      <c r="D48" s="41" t="inlineStr">
        <is>
          <t>Northern Coldwater - Northern</t>
        </is>
      </c>
      <c r="E48" s="41" t="n">
        <v>4</v>
      </c>
      <c r="F48" s="41" t="inlineStr"/>
      <c r="G48" s="41" t="n">
        <v>19.6</v>
      </c>
      <c r="H48" s="41" t="n">
        <v>32</v>
      </c>
      <c r="I48" s="41" t="n">
        <v>44.4</v>
      </c>
      <c r="J48" s="41" t="n">
        <v>52</v>
      </c>
      <c r="K48" s="41" t="n">
        <v>52</v>
      </c>
      <c r="L48" s="41" t="n">
        <v>52</v>
      </c>
      <c r="M48" s="41" t="n">
        <v>52</v>
      </c>
      <c r="N48" s="41" t="n">
        <v>52</v>
      </c>
      <c r="O48" s="41" t="n">
        <v>0</v>
      </c>
      <c r="P48" s="41" t="n">
        <v>0.3</v>
      </c>
      <c r="Q48" s="41" t="n">
        <v>0.7</v>
      </c>
      <c r="R48" s="41" t="n">
        <v>1</v>
      </c>
      <c r="S48" s="41" t="n">
        <v>1</v>
      </c>
      <c r="T48" s="41" t="n">
        <v>1</v>
      </c>
      <c r="U48" s="41" t="n">
        <v>1</v>
      </c>
      <c r="V48" s="41" t="n">
        <v>1</v>
      </c>
    </row>
    <row r="49">
      <c r="A49" s="41" t="inlineStr">
        <is>
          <t>population_support_macroinvertebrate_ibi|Southern Forest Streams Riffle-run - Southern</t>
        </is>
      </c>
      <c r="B49" s="41" t="inlineStr">
        <is>
          <t>population-support-macroinvertebrate-ibi</t>
        </is>
      </c>
      <c r="C49" s="41" t="inlineStr">
        <is>
          <t>Macroinvertebrate IBI</t>
        </is>
      </c>
      <c r="D49" s="41" t="inlineStr">
        <is>
          <t>Southern Forest Streams Riffle-run - Southern</t>
        </is>
      </c>
      <c r="E49" s="41" t="n">
        <v>4</v>
      </c>
      <c r="F49" s="41" t="inlineStr"/>
      <c r="G49" s="41" t="n">
        <v>24</v>
      </c>
      <c r="H49" s="41" t="n">
        <v>37</v>
      </c>
      <c r="I49" s="41" t="n">
        <v>49.6</v>
      </c>
      <c r="J49" s="41" t="n">
        <v>62</v>
      </c>
      <c r="K49" s="41" t="n">
        <v>62</v>
      </c>
      <c r="L49" s="41" t="n">
        <v>62</v>
      </c>
      <c r="M49" s="41" t="n">
        <v>62</v>
      </c>
      <c r="N49" s="41" t="n">
        <v>62</v>
      </c>
      <c r="O49" s="41" t="n">
        <v>0</v>
      </c>
      <c r="P49" s="41" t="n">
        <v>0.3</v>
      </c>
      <c r="Q49" s="41" t="n">
        <v>0.7</v>
      </c>
      <c r="R49" s="41" t="n">
        <v>1</v>
      </c>
      <c r="S49" s="41" t="n">
        <v>1</v>
      </c>
      <c r="T49" s="41" t="n">
        <v>1</v>
      </c>
      <c r="U49" s="41" t="n">
        <v>1</v>
      </c>
      <c r="V49" s="41" t="n">
        <v>1</v>
      </c>
    </row>
    <row r="50">
      <c r="A50" s="41" t="inlineStr">
        <is>
          <t>population_support_macroinvertebrate_ibi|Southern Forest Streams Glide-pool - Southern</t>
        </is>
      </c>
      <c r="B50" s="41" t="inlineStr">
        <is>
          <t>population-support-macroinvertebrate-ibi</t>
        </is>
      </c>
      <c r="C50" s="41" t="inlineStr">
        <is>
          <t>Macroinvertebrate IBI</t>
        </is>
      </c>
      <c r="D50" s="41" t="inlineStr">
        <is>
          <t>Southern Forest Streams Glide-pool - Southern</t>
        </is>
      </c>
      <c r="E50" s="41" t="n">
        <v>4</v>
      </c>
      <c r="F50" s="41" t="inlineStr"/>
      <c r="G50" s="41" t="n">
        <v>29.4</v>
      </c>
      <c r="H50" s="41" t="n">
        <v>43</v>
      </c>
      <c r="I50" s="41" t="n">
        <v>56.6</v>
      </c>
      <c r="J50" s="41" t="n">
        <v>66</v>
      </c>
      <c r="K50" s="41" t="n">
        <v>66</v>
      </c>
      <c r="L50" s="41" t="n">
        <v>66</v>
      </c>
      <c r="M50" s="41" t="n">
        <v>66</v>
      </c>
      <c r="N50" s="41" t="n">
        <v>66</v>
      </c>
      <c r="O50" s="41" t="n">
        <v>0</v>
      </c>
      <c r="P50" s="41" t="n">
        <v>0.3</v>
      </c>
      <c r="Q50" s="41" t="n">
        <v>0.7</v>
      </c>
      <c r="R50" s="41" t="n">
        <v>1</v>
      </c>
      <c r="S50" s="41" t="n">
        <v>1</v>
      </c>
      <c r="T50" s="41" t="n">
        <v>1</v>
      </c>
      <c r="U50" s="41" t="n">
        <v>1</v>
      </c>
      <c r="V50" s="41" t="n">
        <v>1</v>
      </c>
    </row>
    <row r="51">
      <c r="A51" s="41" t="inlineStr">
        <is>
          <t>population_support_macroinvertebrate_ibi|Southern Coldwater - Southern</t>
        </is>
      </c>
      <c r="B51" s="41" t="inlineStr">
        <is>
          <t>population-support-macroinvertebrate-ibi</t>
        </is>
      </c>
      <c r="C51" s="41" t="inlineStr">
        <is>
          <t>Macroinvertebrate IBI</t>
        </is>
      </c>
      <c r="D51" s="41" t="inlineStr">
        <is>
          <t>Southern Coldwater - Southern</t>
        </is>
      </c>
      <c r="E51" s="41" t="n">
        <v>4</v>
      </c>
      <c r="F51" s="41" t="inlineStr"/>
      <c r="G51" s="41" t="n">
        <v>29.2</v>
      </c>
      <c r="H51" s="41" t="n">
        <v>43</v>
      </c>
      <c r="I51" s="41" t="n">
        <v>56.8</v>
      </c>
      <c r="J51" s="41" t="n">
        <v>72</v>
      </c>
      <c r="K51" s="41" t="n">
        <v>72</v>
      </c>
      <c r="L51" s="41" t="n">
        <v>72</v>
      </c>
      <c r="M51" s="41" t="n">
        <v>72</v>
      </c>
      <c r="N51" s="41" t="n">
        <v>72</v>
      </c>
      <c r="O51" s="41" t="n">
        <v>0</v>
      </c>
      <c r="P51" s="41" t="n">
        <v>0.3</v>
      </c>
      <c r="Q51" s="41" t="n">
        <v>0.7</v>
      </c>
      <c r="R51" s="41" t="n">
        <v>1</v>
      </c>
      <c r="S51" s="41" t="n">
        <v>1</v>
      </c>
      <c r="T51" s="41" t="n">
        <v>1</v>
      </c>
      <c r="U51" s="41" t="n">
        <v>1</v>
      </c>
      <c r="V51" s="41" t="n">
        <v>1</v>
      </c>
    </row>
    <row r="52">
      <c r="A52" s="41" t="inlineStr">
        <is>
          <t>population_support_macroinvertebrate_ibi|Prairie Forest Rivers - Prairie</t>
        </is>
      </c>
      <c r="B52" s="41" t="inlineStr">
        <is>
          <t>population-support-macroinvertebrate-ibi</t>
        </is>
      </c>
      <c r="C52" s="41" t="inlineStr">
        <is>
          <t>Macroinvertebrate IBI</t>
        </is>
      </c>
      <c r="D52" s="41" t="inlineStr">
        <is>
          <t>Prairie Forest Rivers - Prairie</t>
        </is>
      </c>
      <c r="E52" s="41" t="n">
        <v>4</v>
      </c>
      <c r="F52" s="41" t="inlineStr"/>
      <c r="G52" s="41" t="n">
        <v>20.2</v>
      </c>
      <c r="H52" s="41" t="n">
        <v>31</v>
      </c>
      <c r="I52" s="41" t="n">
        <v>41.8</v>
      </c>
      <c r="J52" s="41" t="n">
        <v>63</v>
      </c>
      <c r="K52" s="41" t="n">
        <v>63</v>
      </c>
      <c r="L52" s="41" t="n">
        <v>63</v>
      </c>
      <c r="M52" s="41" t="n">
        <v>63</v>
      </c>
      <c r="N52" s="41" t="n">
        <v>63</v>
      </c>
      <c r="O52" s="41" t="n">
        <v>0</v>
      </c>
      <c r="P52" s="41" t="n">
        <v>0.3</v>
      </c>
      <c r="Q52" s="41" t="n">
        <v>0.7</v>
      </c>
      <c r="R52" s="41" t="n">
        <v>1</v>
      </c>
      <c r="S52" s="41" t="n">
        <v>1</v>
      </c>
      <c r="T52" s="41" t="n">
        <v>1</v>
      </c>
      <c r="U52" s="41" t="n">
        <v>1</v>
      </c>
      <c r="V52" s="41" t="n">
        <v>1</v>
      </c>
    </row>
    <row r="53">
      <c r="A53" s="41" t="inlineStr">
        <is>
          <t>population_support_macroinvertebrate_ibi|Prairie Streams Glide-Pool - Prairie</t>
        </is>
      </c>
      <c r="B53" s="41" t="inlineStr">
        <is>
          <t>population-support-macroinvertebrate-ibi</t>
        </is>
      </c>
      <c r="C53" s="41" t="inlineStr">
        <is>
          <t>Macroinvertebrate IBI</t>
        </is>
      </c>
      <c r="D53" s="41" t="inlineStr">
        <is>
          <t>Prairie Streams Glide-Pool - Prairie</t>
        </is>
      </c>
      <c r="E53" s="41" t="n">
        <v>4</v>
      </c>
      <c r="F53" s="41" t="inlineStr"/>
      <c r="G53" s="41" t="n">
        <v>27.4</v>
      </c>
      <c r="H53" s="41" t="n">
        <v>41</v>
      </c>
      <c r="I53" s="41" t="n">
        <v>54.6</v>
      </c>
      <c r="J53" s="41" t="n">
        <v>69</v>
      </c>
      <c r="K53" s="41" t="n">
        <v>69</v>
      </c>
      <c r="L53" s="41" t="n">
        <v>69</v>
      </c>
      <c r="M53" s="41" t="n">
        <v>69</v>
      </c>
      <c r="N53" s="41" t="n">
        <v>69</v>
      </c>
      <c r="O53" s="41" t="n">
        <v>0</v>
      </c>
      <c r="P53" s="41" t="n">
        <v>0.3</v>
      </c>
      <c r="Q53" s="41" t="n">
        <v>0.7</v>
      </c>
      <c r="R53" s="41" t="n">
        <v>1</v>
      </c>
      <c r="S53" s="41" t="n">
        <v>1</v>
      </c>
      <c r="T53" s="41" t="n">
        <v>1</v>
      </c>
      <c r="U53" s="41" t="n">
        <v>1</v>
      </c>
      <c r="V53" s="41" t="n">
        <v>1</v>
      </c>
    </row>
    <row r="56">
      <c r="A56" s="70" t="inlineStr">
        <is>
          <t>Curve sets by metric</t>
        </is>
      </c>
    </row>
    <row r="57">
      <c r="A57" s="41" t="inlineStr">
        <is>
          <t>C Streams</t>
        </is>
      </c>
      <c r="B57" s="5" t="inlineStr">
        <is>
          <t>Entrenchment Ratio (ER)</t>
        </is>
      </c>
    </row>
    <row r="58">
      <c r="A58" s="41" t="inlineStr">
        <is>
          <t>B Streams</t>
        </is>
      </c>
      <c r="B58" s="5" t="inlineStr">
        <is>
          <t>Entrenchment Ratio (ER)</t>
        </is>
      </c>
    </row>
    <row r="59">
      <c r="A59" s="41" t="inlineStr">
        <is>
          <t>E Streams</t>
        </is>
      </c>
      <c r="B59" s="5" t="inlineStr">
        <is>
          <t>Entrenchment Ratio (ER)</t>
        </is>
      </c>
    </row>
    <row r="60">
      <c r="A60" s="41" t="inlineStr">
        <is>
          <t>Woody vegetation is a natural component of riparian zone</t>
        </is>
      </c>
      <c r="B60" s="5" t="inlineStr">
        <is>
          <t>Canopy Cover</t>
        </is>
      </c>
    </row>
    <row r="61">
      <c r="A61" s="41" t="inlineStr">
        <is>
          <t>Woody vegetation is not a natural component of riparian zone</t>
        </is>
      </c>
      <c r="B61" s="5" t="inlineStr">
        <is>
          <t>Canopy Cover</t>
        </is>
      </c>
    </row>
    <row r="62">
      <c r="A62" s="41" t="inlineStr">
        <is>
          <t>Unconfined Alluvial Valleys</t>
        </is>
      </c>
      <c r="B62" s="5" t="inlineStr">
        <is>
          <t>Effective Vegetated Riparian Area</t>
        </is>
      </c>
    </row>
    <row r="63">
      <c r="A63" s="41" t="inlineStr">
        <is>
          <t>Confined Alluvial or Colluvial/V-Shaped Valleys</t>
        </is>
      </c>
      <c r="B63" s="5" t="inlineStr">
        <is>
          <t>Effective Vegetated Riparian Area</t>
        </is>
      </c>
    </row>
    <row r="64">
      <c r="A64" s="41" t="inlineStr">
        <is>
          <t>2A</t>
        </is>
      </c>
      <c r="B64" s="5" t="inlineStr">
        <is>
          <t>DO</t>
        </is>
      </c>
    </row>
    <row r="65">
      <c r="A65" s="41" t="inlineStr">
        <is>
          <t>2B/2Bd</t>
        </is>
      </c>
      <c r="B65" s="5" t="inlineStr">
        <is>
          <t>DO</t>
        </is>
      </c>
    </row>
    <row r="66">
      <c r="A66" s="41" t="inlineStr">
        <is>
          <t>2A / -</t>
        </is>
      </c>
      <c r="B66" s="5" t="inlineStr">
        <is>
          <t>TSS</t>
        </is>
      </c>
    </row>
    <row r="67">
      <c r="A67" s="41" t="inlineStr">
        <is>
          <t>2B/2Bd - North</t>
        </is>
      </c>
      <c r="B67" s="5" t="inlineStr">
        <is>
          <t>TSS</t>
        </is>
      </c>
    </row>
    <row r="68">
      <c r="A68" s="41" t="inlineStr">
        <is>
          <t>2B/2Bd - Central</t>
        </is>
      </c>
      <c r="B68" s="5" t="inlineStr">
        <is>
          <t>TSS</t>
        </is>
      </c>
    </row>
    <row r="69">
      <c r="A69" s="41" t="inlineStr">
        <is>
          <t>2B/2Bd - South</t>
        </is>
      </c>
      <c r="B69" s="5" t="inlineStr">
        <is>
          <t>TSS</t>
        </is>
      </c>
    </row>
    <row r="70">
      <c r="A70" s="41" t="inlineStr">
        <is>
          <t>A and B Streams</t>
        </is>
      </c>
      <c r="B70" s="5" t="inlineStr">
        <is>
          <t>Percent Riffle</t>
        </is>
      </c>
    </row>
    <row r="71">
      <c r="A71" s="41" t="inlineStr">
        <is>
          <t>C and E Stream Types</t>
        </is>
      </c>
      <c r="B71" s="5" t="inlineStr">
        <is>
          <t>Percent Riffle</t>
        </is>
      </c>
    </row>
    <row r="72">
      <c r="A72" s="41" t="inlineStr">
        <is>
          <t>A and B Stream Types</t>
        </is>
      </c>
      <c r="B72" s="5" t="inlineStr">
        <is>
          <t>Pool Spacing Ratio</t>
        </is>
      </c>
    </row>
    <row r="73">
      <c r="A73" s="41" t="inlineStr">
        <is>
          <t>Bc Stream Types</t>
        </is>
      </c>
      <c r="B73" s="5" t="inlineStr">
        <is>
          <t>Pool Spacing Ratio</t>
        </is>
      </c>
    </row>
    <row r="74">
      <c r="A74" s="41" t="inlineStr">
        <is>
          <t>C and E Streams</t>
        </is>
      </c>
      <c r="B74" s="5" t="inlineStr">
        <is>
          <t>Pool Spacing Ratio</t>
        </is>
      </c>
    </row>
    <row r="75">
      <c r="A75" s="41" t="inlineStr">
        <is>
          <t>Northern Rivers - Northern</t>
        </is>
      </c>
      <c r="B75" s="5" t="inlineStr">
        <is>
          <t>Fish IBI</t>
        </is>
      </c>
    </row>
    <row r="76">
      <c r="A76" s="41" t="inlineStr">
        <is>
          <t>Northern Streams - Northern</t>
        </is>
      </c>
      <c r="B76" s="5" t="inlineStr">
        <is>
          <t>Fish IBI</t>
        </is>
      </c>
    </row>
    <row r="77">
      <c r="A77" s="41" t="inlineStr">
        <is>
          <t>Northern Headwaters - Northern</t>
        </is>
      </c>
      <c r="B77" s="5" t="inlineStr">
        <is>
          <t>Fish IBI</t>
        </is>
      </c>
    </row>
    <row r="78">
      <c r="A78" s="41" t="inlineStr">
        <is>
          <t>Northern Coldwater - Northern</t>
        </is>
      </c>
      <c r="B78" s="5" t="inlineStr">
        <is>
          <t>Fish IBI</t>
        </is>
      </c>
    </row>
    <row r="79">
      <c r="A79" s="41" t="inlineStr">
        <is>
          <t>Southern River - Southern</t>
        </is>
      </c>
      <c r="B79" s="5" t="inlineStr">
        <is>
          <t>Fish IBI</t>
        </is>
      </c>
    </row>
    <row r="80">
      <c r="A80" s="41" t="inlineStr">
        <is>
          <t>Southern Streams - Southern</t>
        </is>
      </c>
      <c r="B80" s="5" t="inlineStr">
        <is>
          <t>Fish IBI</t>
        </is>
      </c>
    </row>
    <row r="81">
      <c r="A81" s="41" t="inlineStr">
        <is>
          <t>Southern Headwaters - Southern</t>
        </is>
      </c>
      <c r="B81" s="5" t="inlineStr">
        <is>
          <t>Fish IBI</t>
        </is>
      </c>
    </row>
    <row r="82">
      <c r="A82" s="41" t="inlineStr">
        <is>
          <t>Southern Coldwater - Southern</t>
        </is>
      </c>
      <c r="B82" s="5" t="inlineStr">
        <is>
          <t>Fish IBI</t>
        </is>
      </c>
    </row>
    <row r="83">
      <c r="A83" s="41" t="inlineStr">
        <is>
          <t>Low Gradient - Low Gradient</t>
        </is>
      </c>
      <c r="B83" s="5" t="inlineStr">
        <is>
          <t>Fish IBI</t>
        </is>
      </c>
    </row>
    <row r="84">
      <c r="A84" s="41" t="inlineStr">
        <is>
          <t>Northern Forest Rivers - Northern</t>
        </is>
      </c>
      <c r="B84" s="5" t="inlineStr">
        <is>
          <t>Macroinvertebrate IBI</t>
        </is>
      </c>
    </row>
    <row r="85">
      <c r="A85" s="41" t="inlineStr">
        <is>
          <t>Northern Forest Streams Riffle-run - Northern</t>
        </is>
      </c>
      <c r="B85" s="5" t="inlineStr">
        <is>
          <t>Macroinvertebrate IBI</t>
        </is>
      </c>
    </row>
    <row r="86">
      <c r="A86" s="41" t="inlineStr">
        <is>
          <t>Northern Forest Streams Glide-pool - Northern</t>
        </is>
      </c>
      <c r="B86" s="5" t="inlineStr">
        <is>
          <t>Macroinvertebrate IBI</t>
        </is>
      </c>
    </row>
    <row r="87">
      <c r="A87" s="41" t="inlineStr">
        <is>
          <t>Northern Coldwater - Northern</t>
        </is>
      </c>
      <c r="B87" s="5" t="inlineStr">
        <is>
          <t>Macroinvertebrate IBI</t>
        </is>
      </c>
    </row>
    <row r="88">
      <c r="A88" s="41" t="inlineStr">
        <is>
          <t>Southern Forest Streams Riffle-run - Southern</t>
        </is>
      </c>
      <c r="B88" s="5" t="inlineStr">
        <is>
          <t>Macroinvertebrate IBI</t>
        </is>
      </c>
    </row>
    <row r="89">
      <c r="A89" s="41" t="inlineStr">
        <is>
          <t>Southern Forest Streams Glide-pool - Southern</t>
        </is>
      </c>
      <c r="B89" s="5" t="inlineStr">
        <is>
          <t>Macroinvertebrate IBI</t>
        </is>
      </c>
    </row>
    <row r="90">
      <c r="A90" s="41" t="inlineStr">
        <is>
          <t>Southern Coldwater - Southern</t>
        </is>
      </c>
      <c r="B90" s="5" t="inlineStr">
        <is>
          <t>Macroinvertebrate IBI</t>
        </is>
      </c>
    </row>
    <row r="91">
      <c r="A91" s="41" t="inlineStr">
        <is>
          <t>Prairie Forest Rivers - Prairie</t>
        </is>
      </c>
      <c r="B91" s="5" t="inlineStr">
        <is>
          <t>Macroinvertebrate IBI</t>
        </is>
      </c>
    </row>
    <row r="92">
      <c r="A92" s="41" t="inlineStr">
        <is>
          <t>Prairie Streams Glide-Pool - Prairie</t>
        </is>
      </c>
      <c r="B92" s="5" t="inlineStr">
        <is>
          <t>Macroinvertebrate IBI</t>
        </is>
      </c>
    </row>
    <row r="95">
      <c r="A95" s="70" t="inlineStr">
        <is>
          <t>Condition classes</t>
        </is>
      </c>
    </row>
    <row r="96">
      <c r="A96" t="inlineStr">
        <is>
          <t>Metric index: at or below 0.39 Non-Functioning, at or below 0.69 Functioning At-Risk, above Functioning.</t>
        </is>
      </c>
    </row>
    <row r="97">
      <c r="A97" t="inlineStr">
        <is>
          <t>Function score (0 to 15): at or below 5 Non-Functioning, at or below 10 Functioning At-Risk, above Functioning.</t>
        </is>
      </c>
    </row>
    <row r="98">
      <c r="A9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mn-sqt-adapted</t>
        </is>
      </c>
    </row>
    <row r="5">
      <c r="A5" s="41" t="inlineStr">
        <is>
          <t>Assessment name</t>
        </is>
      </c>
      <c r="B5" s="41" t="inlineStr">
        <is>
          <t>MN SQT Adapted</t>
        </is>
      </c>
    </row>
    <row r="6">
      <c r="A6" s="41" t="inlineStr">
        <is>
          <t>Version</t>
        </is>
      </c>
      <c r="B6" s="41" t="n">
        <v>2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sha256:63bcc01398fb30358ace1dea1e03e5087126d7222494bce9e82e8d700beabb6c</t>
        </is>
      </c>
    </row>
    <row r="9">
      <c r="A9" s="41" t="inlineStr">
        <is>
          <t>Region</t>
        </is>
      </c>
      <c r="B9" s="41" t="inlineStr">
        <is>
          <t>state MN Minnesota</t>
        </is>
      </c>
    </row>
    <row r="10">
      <c r="A10" s="41" t="inlineStr">
        <is>
          <t>Source</t>
        </is>
      </c>
      <c r="B10" s="41" t="inlineStr">
        <is>
          <t>Minnesota SQT</t>
        </is>
      </c>
    </row>
    <row r="11">
      <c r="A11" s="41" t="inlineStr">
        <is>
          <t>Reference method</t>
        </is>
      </c>
      <c r="B11" s="41" t="inlineStr"/>
    </row>
    <row r="12">
      <c r="A12" s="41" t="inlineStr">
        <is>
          <t>Reference screen</t>
        </is>
      </c>
      <c r="B12" s="41" t="inlineStr"/>
    </row>
    <row r="13">
      <c r="A13" s="41" t="inlineStr">
        <is>
          <t>Scoring method</t>
        </is>
      </c>
      <c r="B13" s="41" t="inlineStr"/>
    </row>
    <row r="14">
      <c r="A14" s="41" t="inlineStr">
        <is>
          <t>Functions scored</t>
        </is>
      </c>
      <c r="B14" s="41" t="n">
        <v>10</v>
      </c>
    </row>
    <row r="15">
      <c r="A15" s="41" t="inlineStr">
        <is>
          <t>Metrics</t>
        </is>
      </c>
      <c r="B15" s="41" t="n">
        <v>22</v>
      </c>
    </row>
    <row r="16">
      <c r="A16" s="41" t="inlineStr">
        <is>
          <t>Function coverage</t>
        </is>
      </c>
      <c r="B16" s="41" t="inlineStr">
        <is>
          <t>This assessment covers 10 of 20 STAF functions (10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Water &amp; soil quality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Habitat provision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Population support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4">
      <c r="A14" s="70" t="inlineStr">
        <is>
          <t>Outcome</t>
        </is>
      </c>
      <c r="B14" s="70" t="inlineStr">
        <is>
          <t>Score</t>
        </is>
      </c>
      <c r="C14" s="70" t="inlineStr">
        <is>
          <t>Non-Functioning (0.00-0.39)</t>
        </is>
      </c>
      <c r="D14" s="70" t="inlineStr">
        <is>
          <t>Functioning At-Risk (0.40-0.69)</t>
        </is>
      </c>
      <c r="E14" s="70" t="inlineStr">
        <is>
          <t>Functioning (0.70-1.00)</t>
        </is>
      </c>
    </row>
    <row r="15">
      <c r="A15" t="inlineStr">
        <is>
          <t>Physical</t>
        </is>
      </c>
      <c r="B15">
        <f>'Results'!$B$16</f>
        <v/>
      </c>
      <c r="C15" s="72">
        <f>IF('ChartData'!$B$15&lt;=0.39,'ChartData'!$B$15,NA())</f>
        <v/>
      </c>
      <c r="D15" s="72">
        <f>IF(AND('ChartData'!$B$15&gt;0.39,'ChartData'!$B$15&lt;=0.69),'ChartData'!$B$15,NA())</f>
        <v/>
      </c>
      <c r="E15" s="72">
        <f>IF('ChartData'!$B$15&gt;0.69,'ChartData'!$B$15,NA())</f>
        <v/>
      </c>
    </row>
    <row r="16">
      <c r="A16" t="inlineStr">
        <is>
          <t>Chemical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Biological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2026-09-24T15:33:28Z</dcterms:created>
  <dcterms:modified xmlns:dcterms="http://purl.org/dc/terms/" xmlns:xsi="http://www.w3.org/2001/XMLSchema-instance" xsi:type="dcterms:W3CDTF">2026-09-24T15:33:28Z</dcterms:modified>
  <cp:lastModifiedBy>DEEP</cp:lastModifiedBy>
  <cp:contentStatus>Preliminary</cp:contentStatus>
</cp:coreProperties>
</file>