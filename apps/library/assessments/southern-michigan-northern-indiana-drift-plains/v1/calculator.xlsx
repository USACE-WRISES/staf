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'Reference'!$A$5:$A$38</definedName>
    <definedName name="curve_x1">'Reference'!$G$5:$G$38</definedName>
    <definedName name="curve_y1">'Reference'!$O$5:$O$38</definedName>
    <definedName name="curve_x2">'Reference'!$H$5:$H$38</definedName>
    <definedName name="curve_y2">'Reference'!$P$5:$P$38</definedName>
    <definedName name="curve_x3">'Reference'!$I$5:$I$38</definedName>
    <definedName name="curve_y3">'Reference'!$Q$5:$Q$38</definedName>
    <definedName name="curve_x4">'Reference'!$J$5:$J$38</definedName>
    <definedName name="curve_y4">'Reference'!$R$5:$R$38</definedName>
    <definedName name="curve_x5">'Reference'!$K$5:$K$38</definedName>
    <definedName name="curve_y5">'Reference'!$S$5:$S$38</definedName>
    <definedName name="curve_x6">'Reference'!$L$5:$L$38</definedName>
    <definedName name="curve_y6">'Reference'!$T$5:$T$38</definedName>
    <definedName name="curve_x7">'Reference'!$M$5:$M$38</definedName>
    <definedName name="curve_y7">'Reference'!$U$5:$U$38</definedName>
    <definedName name="curve_x8">'Reference'!$N$5:$N$38</definedName>
    <definedName name="curve_y8">'Reference'!$V$5:$V$38</definedName>
    <definedName name="strata_spring_phab_bfwd_rat">'Reference'!$A$42:$A$44</definedName>
    <definedName name="strata_spring_phab_xbkf_h">'Reference'!$A$45:$A$47</definedName>
    <definedName name="strata_spring_phab_lrbs_use">'Reference'!$A$48:$A$50</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cond">'Metrics'!$V$26</definedName>
    <definedName name="idx_spring_phab_xfc_nat">'Metrics'!$V$27</definedName>
    <definedName name="idx_spring_fish_nat_lithpind">'Metrics'!$V$28</definedName>
    <definedName name="idx_spring_fish_nat_tolrpind">'Metrics'!$V$29</definedName>
    <definedName name="idx_spring_bent_mmi_bent">'Metrics'!$V$30</definedName>
    <definedName name="idx_spring_bent_ept_ntax">'Metrics'!$V$31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st_spring_phab_bfwd_rat">'DEEP Score'!$F$21</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cond">'DEEP Score'!$E$39</definedName>
    <definedName name="in_spring_phab_xfc_nat">'DEEP Score'!$E$40</definedName>
    <definedName name="in_spring_fish_nat_lithpind">'DEEP Score'!$E$41</definedName>
    <definedName name="in_spring_fish_nat_tolrpind">'DEEP Score'!$E$42</definedName>
    <definedName name="in_spring_bent_mmi_bent">'DEEP Score'!$E$43</definedName>
    <definedName name="in_spring_bent_ept_ntax">'DEEP Score'!$E$44</definedName>
    <definedName name="in_spring_nid_dams_1mi">'DEEP Score'!$E$45</definedName>
    <definedName name="site_notes">'DEEP Score'!$A$60</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0" fillId="4" borderId="9"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11" applyAlignment="1" pivotButton="0" quotePrefix="0" xfId="0">
      <alignment horizontal="center" vertical="center" wrapText="1"/>
    </xf>
    <xf numFmtId="0" fontId="3" fillId="9" borderId="5"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Southern Michigan/Northern Indiana Drift Plains reference assessment</t>
        </is>
      </c>
    </row>
    <row r="4" ht="30" customHeight="1">
      <c r="A4" s="3" t="inlineStr">
        <is>
          <t>This workbook scores one detailed assessment. It carries the assessment's metrics and their reference curves, and it scores exactly as the DEEP web application does.</t>
        </is>
      </c>
    </row>
    <row r="5" ht="135" customHeight="1">
      <c r="A5" s="3" t="inlineStr">
        <is>
          <t>Reference condition. Reference condition is set by a fixed landscape-pressure screen, never by a score. 17 borrow comparable least-disturbed stations from a wider region, stating the region and the transfer risk. 9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17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Southern Michigan/Northern Indiana Drift Plains reference assessment</t>
        </is>
      </c>
    </row>
    <row r="3">
      <c r="A3" s="4" t="inlineStr">
        <is>
          <t>Version 1 | USEPA NRSA 2013-24 (L3 ecoregion 56),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14" t="n"/>
      <c r="F21" s="42" t="inlineStr">
        <is>
          <t>All streams (pooled)</t>
        </is>
      </c>
      <c r="G21" s="16">
        <f>IF('Metrics'!$V$12="","",'Metrics'!$V$12)</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43" t="inlineStr">
        <is>
          <t>All streams (pooled)</t>
        </is>
      </c>
      <c r="G22" s="25">
        <f>IF('Metrics'!$V$13="","",'Metrics'!$V$13)</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4" t="inlineStr">
        <is>
          <t>Geomorphology</t>
        </is>
      </c>
      <c r="B25" s="11" t="inlineStr">
        <is>
          <t>Channel evolution</t>
        </is>
      </c>
      <c r="C25" s="12" t="inlineStr">
        <is>
          <t>Bankfull width:depth ratio</t>
        </is>
      </c>
      <c r="D25" s="13" t="inlineStr"/>
      <c r="E25" s="37">
        <f>IF('DEEP Score'!$E$21="","",'DEEP Score'!$E$21)</f>
        <v/>
      </c>
      <c r="F25" s="38">
        <f>IF('DEEP Score'!$F$21="","",'DEEP Score'!$F$21)</f>
        <v/>
      </c>
      <c r="G25" s="16">
        <f>IF('Metrics'!$V$12="","",'Metrics'!$V$12)</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5">
        <f>IF('DEEP Score'!$E$22="","",'DEEP Score'!$E$22)</f>
        <v/>
      </c>
      <c r="F26" s="46">
        <f>IF('DEEP Score'!$F$22="","",'DEEP Score'!$F$22)</f>
        <v/>
      </c>
      <c r="G26" s="25">
        <f>IF('Metrics'!$V$13="","",'Metrics'!$V$13)</f>
        <v/>
      </c>
      <c r="H26" s="20" t="n"/>
      <c r="I26" s="26" t="n"/>
    </row>
    <row r="27">
      <c r="A27" s="44"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4" t="inlineStr">
        <is>
          <t>Geomorphology</t>
        </is>
      </c>
      <c r="B29" s="11" t="inlineStr">
        <is>
          <t>Sediment continuity</t>
        </is>
      </c>
      <c r="C29" s="12" t="inlineStr">
        <is>
          <t>Relative bed stability</t>
        </is>
      </c>
      <c r="D29" s="13" t="inlineStr">
        <is>
          <t>log</t>
        </is>
      </c>
      <c r="E29" s="14" t="n"/>
      <c r="F29" s="42" t="inlineStr">
        <is>
          <t>All streams (pooled)</t>
        </is>
      </c>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5">
        <f>IF('DEEP Score'!$E$23="","",'DEEP Score'!$E$23)</f>
        <v/>
      </c>
      <c r="F30" s="46" t="inlineStr"/>
      <c r="G30" s="25">
        <f>IF('Metrics'!$V$14="","",'Metrics'!$V$14)</f>
        <v/>
      </c>
      <c r="H30" s="20" t="n"/>
      <c r="I30" s="26" t="n"/>
    </row>
    <row r="31">
      <c r="A31" s="44" t="inlineStr">
        <is>
          <t>Geomorphology</t>
        </is>
      </c>
      <c r="B31" s="11" t="inlineStr">
        <is>
          <t>Bed composition and bedform dynamics</t>
        </is>
      </c>
      <c r="C31" s="12" t="inlineStr">
        <is>
          <t>Embeddedness</t>
        </is>
      </c>
      <c r="D31" s="13" t="inlineStr">
        <is>
          <t>%</t>
        </is>
      </c>
      <c r="E31" s="37">
        <f>IF('DEEP Score'!$E$24="","",'DEEP Score'!$E$24)</f>
        <v/>
      </c>
      <c r="F31" s="38" t="inlineStr"/>
      <c r="G31" s="16">
        <f>IF('Metrics'!$V$15="","",'Metrics'!$V$15)</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IF('Metrics'!$V$19="","",'Metrics'!$V$19)</f>
        <v/>
      </c>
      <c r="H32" s="20" t="n"/>
      <c r="I32" s="26" t="n"/>
    </row>
    <row r="33">
      <c r="A33" s="47" t="inlineStr">
        <is>
          <t>Physicochemistry</t>
        </is>
      </c>
      <c r="B33" s="11" t="inlineStr">
        <is>
          <t>Light &amp; thermal regime</t>
        </is>
      </c>
      <c r="C33" s="12" t="inlineStr">
        <is>
          <t>Chlorophyll a</t>
        </is>
      </c>
      <c r="D33" s="13" t="inlineStr">
        <is>
          <t>ug/L</t>
        </is>
      </c>
      <c r="E33" s="14" t="n"/>
      <c r="F33" s="15" t="inlineStr"/>
      <c r="G33" s="16">
        <f>IF('Metrics'!$V$20="","",'Metrics'!$V$20)</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24" t="inlineStr"/>
      <c r="G34" s="25">
        <f>IF('Metrics'!$V$21="","",'Metrics'!$V$21)</f>
        <v/>
      </c>
      <c r="H34" s="20" t="n"/>
      <c r="I34" s="26" t="n"/>
    </row>
    <row r="35">
      <c r="A35" s="48" t="inlineStr">
        <is>
          <t>Physicochemistry</t>
        </is>
      </c>
      <c r="B35" s="28" t="inlineStr">
        <is>
          <t>Carbon processing</t>
        </is>
      </c>
      <c r="C35" s="29" t="inlineStr">
        <is>
          <t>Riparian veg cover, woody</t>
        </is>
      </c>
      <c r="D35" s="30" t="inlineStr">
        <is>
          <t>frac</t>
        </is>
      </c>
      <c r="E35" s="31" t="n"/>
      <c r="F35" s="32" t="inlineStr"/>
      <c r="G35" s="33">
        <f>IF('Metrics'!$V$22="","",'Metrics'!$V$22)</f>
        <v/>
      </c>
      <c r="H35" s="34">
        <f>IF('Results'!$B$17="","",'Results'!$B$17)</f>
        <v/>
      </c>
      <c r="I35" s="35">
        <f>IF('DEEP Score'!$H$35="","",IF('DEEP Score'!$H$35&lt;=5,"Non-Functioning",IF('DEEP Score'!$H$35&lt;=10,"Functioning At-Risk","Functioning")))</f>
        <v/>
      </c>
    </row>
    <row r="36">
      <c r="A36" s="47" t="inlineStr">
        <is>
          <t>Physicochemistry</t>
        </is>
      </c>
      <c r="B36" s="11" t="inlineStr">
        <is>
          <t>Nutrient cycling</t>
        </is>
      </c>
      <c r="C36" s="12" t="inlineStr">
        <is>
          <t>Total nitrogen</t>
        </is>
      </c>
      <c r="D36" s="13" t="inlineStr">
        <is>
          <t>mg N/L</t>
        </is>
      </c>
      <c r="E36" s="14" t="n"/>
      <c r="F36" s="15" t="inlineStr"/>
      <c r="G36" s="16">
        <f>IF('Metrics'!$V$23="","",'Metrics'!$V$23)</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IF('Metrics'!$V$24="","",'Metrics'!$V$24)</f>
        <v/>
      </c>
      <c r="H37" s="20" t="n"/>
      <c r="I37" s="26" t="n"/>
    </row>
    <row r="38">
      <c r="A38" s="47" t="inlineStr">
        <is>
          <t>Physicochemistry</t>
        </is>
      </c>
      <c r="B38" s="11" t="inlineStr">
        <is>
          <t>Water &amp; soil quality</t>
        </is>
      </c>
      <c r="C38" s="12" t="inlineStr">
        <is>
          <t>pH</t>
        </is>
      </c>
      <c r="D38" s="13" t="inlineStr">
        <is>
          <t>Std. Units</t>
        </is>
      </c>
      <c r="E38" s="14" t="n"/>
      <c r="F38" s="15" t="inlineStr"/>
      <c r="G38" s="16">
        <f>IF('Metrics'!$V$25="","",'Metrics'!$V$25)</f>
        <v/>
      </c>
      <c r="H38" s="17">
        <f>IF('Results'!$B$19="","",'Results'!$B$19)</f>
        <v/>
      </c>
      <c r="I38" s="18">
        <f>IF('DEEP Score'!$H$38="","",IF('DEEP Score'!$H$38&lt;=5,"Non-Functioning",IF('DEEP Score'!$H$38&lt;=10,"Functioning At-Risk","Functioning")))</f>
        <v/>
      </c>
    </row>
    <row r="39">
      <c r="A39" s="19" t="n"/>
      <c r="B39" s="20" t="n"/>
      <c r="C39" s="21" t="inlineStr">
        <is>
          <t>Specific conductivity</t>
        </is>
      </c>
      <c r="D39" s="22" t="inlineStr">
        <is>
          <t>uS/cm</t>
        </is>
      </c>
      <c r="E39" s="23" t="n"/>
      <c r="F39" s="24" t="inlineStr"/>
      <c r="G39" s="25">
        <f>IF('Metrics'!$V$26="","",'Metrics'!$V$26)</f>
        <v/>
      </c>
      <c r="H39" s="20" t="n"/>
      <c r="I39" s="26" t="n"/>
    </row>
    <row r="40">
      <c r="A40" s="49" t="inlineStr">
        <is>
          <t>Biology</t>
        </is>
      </c>
      <c r="B40" s="28" t="inlineStr">
        <is>
          <t>Habitat provision</t>
        </is>
      </c>
      <c r="C40" s="29" t="inlineStr">
        <is>
          <t>Natural fish cover</t>
        </is>
      </c>
      <c r="D40" s="30" t="inlineStr">
        <is>
          <t>frac</t>
        </is>
      </c>
      <c r="E40" s="31" t="n"/>
      <c r="F40" s="32" t="inlineStr"/>
      <c r="G40" s="33">
        <f>IF('Metrics'!$V$27="","",'Metrics'!$V$27)</f>
        <v/>
      </c>
      <c r="H40" s="34">
        <f>IF('Results'!$B$20="","",'Results'!$B$20)</f>
        <v/>
      </c>
      <c r="I40" s="35">
        <f>IF('DEEP Score'!$H$40="","",IF('DEEP Score'!$H$40&lt;=5,"Non-Functioning",IF('DEEP Score'!$H$40&lt;=10,"Functioning At-Risk","Functioning")))</f>
        <v/>
      </c>
    </row>
    <row r="41">
      <c r="A41" s="50" t="inlineStr">
        <is>
          <t>Biology</t>
        </is>
      </c>
      <c r="B41" s="11" t="inlineStr">
        <is>
          <t>Population support</t>
        </is>
      </c>
      <c r="C41" s="12" t="inlineStr">
        <is>
          <t>Simple lithophil fish individuals</t>
        </is>
      </c>
      <c r="D41" s="13" t="inlineStr">
        <is>
          <t>%</t>
        </is>
      </c>
      <c r="E41" s="14" t="n"/>
      <c r="F41" s="15" t="inlineStr"/>
      <c r="G41" s="16">
        <f>IF('Metrics'!$V$28="","",'Metrics'!$V$28)</f>
        <v/>
      </c>
      <c r="H41" s="17">
        <f>IF('Results'!$B$21="","",'Results'!$B$21)</f>
        <v/>
      </c>
      <c r="I41" s="18">
        <f>IF('DEEP Score'!$H$41="","",IF('DEEP Score'!$H$41&lt;=5,"Non-Functioning",IF('DEEP Score'!$H$41&lt;=10,"Functioning At-Risk","Functioning")))</f>
        <v/>
      </c>
    </row>
    <row r="42">
      <c r="A42" s="19" t="n"/>
      <c r="B42" s="20" t="n"/>
      <c r="C42" s="21" t="inlineStr">
        <is>
          <t>Tolerant native fish individuals</t>
        </is>
      </c>
      <c r="D42" s="22" t="inlineStr">
        <is>
          <t>%</t>
        </is>
      </c>
      <c r="E42" s="23" t="n"/>
      <c r="F42" s="24" t="inlineStr"/>
      <c r="G42" s="25">
        <f>IF('Metrics'!$V$29="","",'Metrics'!$V$29)</f>
        <v/>
      </c>
      <c r="H42" s="20" t="n"/>
      <c r="I42" s="26" t="n"/>
    </row>
    <row r="43">
      <c r="A43" s="50" t="inlineStr">
        <is>
          <t>Biology</t>
        </is>
      </c>
      <c r="B43" s="11" t="inlineStr">
        <is>
          <t>Community dynamics</t>
        </is>
      </c>
      <c r="C43" s="12" t="inlineStr">
        <is>
          <t>Benthic macroinvertebrate MMI</t>
        </is>
      </c>
      <c r="D43" s="13" t="inlineStr">
        <is>
          <t>MMI points</t>
        </is>
      </c>
      <c r="E43" s="14" t="n"/>
      <c r="F43" s="15" t="inlineStr"/>
      <c r="G43" s="16">
        <f>IF('Metrics'!$V$30="","",'Metrics'!$V$30)</f>
        <v/>
      </c>
      <c r="H43" s="17">
        <f>IF('Results'!$B$22="","",'Results'!$B$22)</f>
        <v/>
      </c>
      <c r="I43" s="18">
        <f>IF('DEEP Score'!$H$43="","",IF('DEEP Score'!$H$43&lt;=5,"Non-Functioning",IF('DEEP Score'!$H$43&lt;=10,"Functioning At-Risk","Functioning")))</f>
        <v/>
      </c>
    </row>
    <row r="44">
      <c r="A44" s="19" t="n"/>
      <c r="B44" s="20" t="n"/>
      <c r="C44" s="21" t="inlineStr">
        <is>
          <t>EPT taxa richness</t>
        </is>
      </c>
      <c r="D44" s="22" t="inlineStr"/>
      <c r="E44" s="23" t="n"/>
      <c r="F44" s="24" t="inlineStr"/>
      <c r="G44" s="25">
        <f>IF('Metrics'!$V$31="","",'Metrics'!$V$31)</f>
        <v/>
      </c>
      <c r="H44" s="20" t="n"/>
      <c r="I44" s="26" t="n"/>
    </row>
    <row r="45">
      <c r="A45" s="49" t="inlineStr">
        <is>
          <t>Biology</t>
        </is>
      </c>
      <c r="B45" s="28" t="inlineStr">
        <is>
          <t>Watershed connectivity</t>
        </is>
      </c>
      <c r="C45" s="29" t="inlineStr">
        <is>
          <t>Mapped dams within one mile</t>
        </is>
      </c>
      <c r="D45" s="30" t="inlineStr">
        <is>
          <t>dams</t>
        </is>
      </c>
      <c r="E45" s="31" t="n"/>
      <c r="F45" s="32" t="inlineStr"/>
      <c r="G45" s="33">
        <f>IF('Metrics'!$V$32="","",'Metrics'!$V$32)</f>
        <v/>
      </c>
      <c r="H45" s="34">
        <f>IF('Results'!$B$23="","",'Results'!$B$23)</f>
        <v/>
      </c>
      <c r="I45" s="35">
        <f>IF('DEEP Score'!$H$45="","",IF('DEEP Score'!$H$45&lt;=5,"Non-Functioning",IF('DEEP Score'!$H$45&lt;=10,"Functioning At-Risk","Functioning")))</f>
        <v/>
      </c>
    </row>
    <row r="47">
      <c r="A47" s="51" t="inlineStr">
        <is>
          <t>Summary</t>
        </is>
      </c>
    </row>
    <row r="48">
      <c r="A48" s="9" t="inlineStr">
        <is>
          <t>Outcome</t>
        </is>
      </c>
      <c r="B48" s="9" t="inlineStr">
        <is>
          <t>Sub-index (0 to 1)</t>
        </is>
      </c>
      <c r="C48" s="9" t="inlineStr">
        <is>
          <t>Condition</t>
        </is>
      </c>
    </row>
    <row r="49">
      <c r="A49" s="52" t="inlineStr">
        <is>
          <t>Physical</t>
        </is>
      </c>
      <c r="B49" s="53">
        <f>'Results'!$B$26</f>
        <v/>
      </c>
      <c r="C49" s="54">
        <f>IF('DEEP Score'!$B$49&lt;=0.39,"Non-Functioning",IF('DEEP Score'!$B$49&lt;=0.69,"Functioning At-Risk","Functioning"))</f>
        <v/>
      </c>
    </row>
    <row r="50">
      <c r="A50" s="52" t="inlineStr">
        <is>
          <t>Chemical</t>
        </is>
      </c>
      <c r="B50" s="53">
        <f>'Results'!$B$27</f>
        <v/>
      </c>
      <c r="C50" s="54">
        <f>IF('DEEP Score'!$B$50&lt;=0.39,"Non-Functioning",IF('DEEP Score'!$B$50&lt;=0.69,"Functioning At-Risk","Functioning"))</f>
        <v/>
      </c>
    </row>
    <row r="51">
      <c r="A51" s="52" t="inlineStr">
        <is>
          <t>Biological</t>
        </is>
      </c>
      <c r="B51" s="53">
        <f>'Results'!$B$28</f>
        <v/>
      </c>
      <c r="C51" s="54">
        <f>IF('DEEP Score'!$B$51&lt;=0.39,"Non-Functioning",IF('DEEP Score'!$B$51&lt;=0.69,"Functioning At-Risk","Functioning"))</f>
        <v/>
      </c>
    </row>
    <row r="52" ht="30" customHeight="1">
      <c r="A52" s="55" t="inlineStr">
        <is>
          <t>Ecosystem Condition Index</t>
        </is>
      </c>
      <c r="B52" s="56">
        <f>'Results'!$B$29</f>
        <v/>
      </c>
      <c r="C52" s="54">
        <f>IF('DEEP Score'!$B$52&lt;=0.39,"Non-Functioning",IF('DEEP Score'!$B$52&lt;=0.69,"Functioning At-Risk","Functioning"))</f>
        <v/>
      </c>
    </row>
    <row r="53">
      <c r="A53" s="4" t="inlineStr">
        <is>
          <t xml:space="preserve">Functions with a score: </t>
        </is>
      </c>
      <c r="B53" s="4">
        <f>COUNT('Results'!$B$4:$B$23)&amp;" of 20"</f>
        <v/>
      </c>
    </row>
    <row r="54">
      <c r="A54" s="4" t="inlineStr">
        <is>
          <t>This assessment covers 20 of 20 STAF functions.</t>
        </is>
      </c>
    </row>
    <row r="56">
      <c r="A56" s="57" t="inlineStr">
        <is>
          <t>Withheld for insufficient reference support (not scored)</t>
        </is>
      </c>
    </row>
    <row r="57">
      <c r="A57" t="inlineStr">
        <is>
          <t>Fast-water / riffle habitat</t>
        </is>
      </c>
      <c r="C57" s="4" t="inlineStr">
        <is>
          <t>Habitat provision</t>
        </is>
      </c>
    </row>
    <row r="59">
      <c r="A59" s="5" t="inlineStr">
        <is>
          <t>Notes</t>
        </is>
      </c>
    </row>
    <row r="60">
      <c r="A60" s="58" t="n"/>
      <c r="B60" s="59" t="n"/>
      <c r="C60" s="59" t="n"/>
      <c r="D60" s="59" t="n"/>
      <c r="E60" s="59" t="n"/>
      <c r="F60" s="59" t="n"/>
      <c r="G60" s="59" t="n"/>
      <c r="H60" s="59" t="n"/>
      <c r="I60" s="60" t="n"/>
    </row>
    <row r="61">
      <c r="A61" s="61" t="n"/>
      <c r="B61" s="62" t="n"/>
      <c r="C61" s="62" t="n"/>
      <c r="D61" s="62" t="n"/>
      <c r="E61" s="62" t="n"/>
      <c r="F61" s="62" t="n"/>
      <c r="G61" s="62" t="n"/>
      <c r="H61" s="62" t="n"/>
      <c r="I61" s="63" t="n"/>
    </row>
    <row r="62">
      <c r="A62" s="61" t="n"/>
      <c r="B62" s="62" t="n"/>
      <c r="C62" s="62" t="n"/>
      <c r="D62" s="62" t="n"/>
      <c r="E62" s="62" t="n"/>
      <c r="F62" s="62" t="n"/>
      <c r="G62" s="62" t="n"/>
      <c r="H62" s="62" t="n"/>
      <c r="I62" s="63" t="n"/>
    </row>
    <row r="63">
      <c r="A63" s="61" t="n"/>
      <c r="B63" s="62" t="n"/>
      <c r="C63" s="62" t="n"/>
      <c r="D63" s="62" t="n"/>
      <c r="E63" s="62" t="n"/>
      <c r="F63" s="62" t="n"/>
      <c r="G63" s="62" t="n"/>
      <c r="H63" s="62" t="n"/>
      <c r="I63" s="63" t="n"/>
    </row>
    <row r="64">
      <c r="A64" s="61" t="n"/>
      <c r="B64" s="62" t="n"/>
      <c r="C64" s="62" t="n"/>
      <c r="D64" s="62" t="n"/>
      <c r="E64" s="62" t="n"/>
      <c r="F64" s="62" t="n"/>
      <c r="G64" s="62" t="n"/>
      <c r="H64" s="62" t="n"/>
      <c r="I64" s="63" t="n"/>
    </row>
    <row r="65">
      <c r="A65" s="64" t="n"/>
      <c r="B65" s="65" t="n"/>
      <c r="C65" s="65" t="n"/>
      <c r="D65" s="65" t="n"/>
      <c r="E65" s="65" t="n"/>
      <c r="F65" s="65" t="n"/>
      <c r="G65" s="65" t="n"/>
      <c r="H65" s="65" t="n"/>
      <c r="I65" s="66" t="n"/>
    </row>
  </sheetData>
  <sheetProtection selectLockedCells="0" selectUnlockedCells="0" sheet="1" objects="0" insertRows="1" insertHyperlinks="1" autoFilter="1" scenarios="0" formatColumns="1" deleteColumns="1" insertColumns="1" pivotTables="1" deleteRows="1" formatCells="1" formatRows="1" sort="1" password="CB3B"/>
  <mergeCells count="62">
    <mergeCell ref="B27:B28"/>
    <mergeCell ref="H29:H30"/>
    <mergeCell ref="B43:B44"/>
    <mergeCell ref="H43:H44"/>
    <mergeCell ref="B12:B13"/>
    <mergeCell ref="B18:B19"/>
    <mergeCell ref="H38:H39"/>
    <mergeCell ref="B8:D8"/>
    <mergeCell ref="I36:I37"/>
    <mergeCell ref="I16:I17"/>
    <mergeCell ref="A41:A42"/>
    <mergeCell ref="A36:A37"/>
    <mergeCell ref="A16:A17"/>
    <mergeCell ref="H21:H22"/>
    <mergeCell ref="H41:H42"/>
    <mergeCell ref="I41:I42"/>
    <mergeCell ref="H31:H32"/>
    <mergeCell ref="B38:B39"/>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I43:I44"/>
    <mergeCell ref="A21:A22"/>
    <mergeCell ref="B5:D5"/>
    <mergeCell ref="H27:H28"/>
    <mergeCell ref="A60:I65"/>
    <mergeCell ref="H16:H17"/>
    <mergeCell ref="B36:B37"/>
    <mergeCell ref="H12:H13"/>
    <mergeCell ref="A33:A34"/>
    <mergeCell ref="A29:A30"/>
    <mergeCell ref="B33:B34"/>
    <mergeCell ref="A23:A24"/>
    <mergeCell ref="I38:I39"/>
    <mergeCell ref="I29:I30"/>
    <mergeCell ref="I23:I24"/>
    <mergeCell ref="B7:D7"/>
    <mergeCell ref="H18:H19"/>
    <mergeCell ref="A43:A44"/>
    <mergeCell ref="A38:A39"/>
    <mergeCell ref="I31:I32"/>
    <mergeCell ref="H33:H34"/>
    <mergeCell ref="B25:B26"/>
    <mergeCell ref="B41:B42"/>
    <mergeCell ref="B16:B17"/>
    <mergeCell ref="H23:H24"/>
    <mergeCell ref="A31:A32"/>
    <mergeCell ref="H25:H26"/>
    <mergeCell ref="B21:B22"/>
    <mergeCell ref="I27:I28"/>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3">
    <dataValidation sqref="F21"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Residual pool depth</t>
        </is>
      </c>
      <c r="B11" s="69">
        <f>IF('DEEP Score'!$E$19="","",'DEEP Score'!$E$19)</f>
        <v/>
      </c>
      <c r="C11" s="69">
        <f>""</f>
        <v/>
      </c>
      <c r="D11" s="69">
        <f>"spring_phab_rp100_cm|"&amp;'Metrics'!$C$11</f>
        <v/>
      </c>
      <c r="E11" s="69">
        <f>IFERROR(MATCH('Metrics'!$D$11,curve_key,0),MATCH("spring_phab_rp100_cm|",curve_key,0))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width:depth ratio</t>
        </is>
      </c>
      <c r="B12" s="69">
        <f>IF('DEEP Score'!$E$21="","",'DEEP Score'!$E$21)</f>
        <v/>
      </c>
      <c r="C12" s="69">
        <f>IF('DEEP Score'!$F$21="","All streams (pooled)",'DEEP Score'!$F$21)</f>
        <v/>
      </c>
      <c r="D12" s="69">
        <f>"spring_phab_bfwd_rat|"&amp;'Metrics'!$C$12</f>
        <v/>
      </c>
      <c r="E12" s="69">
        <f>IFERROR(MATCH('Metrics'!$D$12,curve_key,0),MATCH("spring_phab_bfwd_rat|All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IF('DEEP Score'!$F$22="","All streams (pooled)",'DEEP Score'!$F$22)</f>
        <v/>
      </c>
      <c r="D13" s="69">
        <f>"spring_phab_xbkf_h|"&amp;'Metrics'!$C$13</f>
        <v/>
      </c>
      <c r="E13" s="69">
        <f>IFERROR(MATCH('Metrics'!$D$13,curve_key,0),MATCH("spring_phab_xbkf_h|All streams (pooled)",curve_key,0))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IF('DEEP Score'!$F$29="","All streams (pooled)",'DEEP Score'!$F$29)</f>
        <v/>
      </c>
      <c r="D18" s="69">
        <f>"spring_phab_lrbs_use|"&amp;'Metrics'!$C$18</f>
        <v/>
      </c>
      <c r="E18" s="69">
        <f>IFERROR(MATCH('Metrics'!$D$18,curve_key,0),MATCH("spring_phab_lrbs_use|All streams (pooled)",curve_key,0))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Large wood volume</t>
        </is>
      </c>
      <c r="B19" s="69">
        <f>IF('DEEP Score'!$E$32="","",'DEEP Score'!$E$32)</f>
        <v/>
      </c>
      <c r="C19" s="69">
        <f>""</f>
        <v/>
      </c>
      <c r="D19" s="69">
        <f>"spring_phab_lwdeqvolm100|"&amp;'Metrics'!$C$19</f>
        <v/>
      </c>
      <c r="E19" s="69">
        <f>IFERROR(MATCH('Metrics'!$D$19,curve_key,0),MATCH("spring_phab_lwdeqvolm100|",curve_key,0))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Chlorophyll a</t>
        </is>
      </c>
      <c r="B20" s="69">
        <f>IF('DEEP Score'!$E$33="","",'DEEP Score'!$E$33)</f>
        <v/>
      </c>
      <c r="C20" s="69">
        <f>""</f>
        <v/>
      </c>
      <c r="D20" s="69">
        <f>"spring_chem_chla|"&amp;'Metrics'!$C$20</f>
        <v/>
      </c>
      <c r="E20" s="69">
        <f>IFERROR(MATCH('Metrics'!$D$20,curve_key,0),MATCH("spring_chem_chla|",curve_key,0))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Canopy density, mid-channel</t>
        </is>
      </c>
      <c r="B21" s="69">
        <f>IF('DEEP Score'!$E$34="","",'DEEP Score'!$E$34)</f>
        <v/>
      </c>
      <c r="C21" s="69">
        <f>""</f>
        <v/>
      </c>
      <c r="D21" s="69">
        <f>"spring_phab_xcdenmid|"&amp;'Metrics'!$C$21</f>
        <v/>
      </c>
      <c r="E21" s="69">
        <f>IFERROR(MATCH('Metrics'!$D$21,curve_key,0),MATCH("spring_phab_xcdenmid|",curve_key,0))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Riparian veg cover, woody</t>
        </is>
      </c>
      <c r="B22" s="69">
        <f>IF('DEEP Score'!$E$35="","",'DEEP Score'!$E$35)</f>
        <v/>
      </c>
      <c r="C22" s="69">
        <f>""</f>
        <v/>
      </c>
      <c r="D22" s="69">
        <f>"spring_phab_xcmgw|"&amp;'Metrics'!$C$22</f>
        <v/>
      </c>
      <c r="E22" s="69">
        <f>IFERROR(MATCH('Metrics'!$D$22,curve_key,0),MATCH("spring_phab_xcmgw|",curve_key,0))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Score'!$E$36="","",'DEEP Score'!$E$36)</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phosphorus</t>
        </is>
      </c>
      <c r="B24" s="69">
        <f>IF('DEEP Score'!$E$37="","",'DEEP Score'!$E$37)</f>
        <v/>
      </c>
      <c r="C24" s="69">
        <f>""</f>
        <v/>
      </c>
      <c r="D24" s="69">
        <f>"spring_chem_ptl|"&amp;'Metrics'!$C$24</f>
        <v/>
      </c>
      <c r="E24" s="69">
        <f>IFERROR(MATCH('Metrics'!$D$24,curve_key,0),MATCH("spring_chem_ptl|",curve_key,0))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pH</t>
        </is>
      </c>
      <c r="B25" s="69">
        <f>IF('DEEP Score'!$E$38="","",'DEEP Score'!$E$38)</f>
        <v/>
      </c>
      <c r="C25" s="69">
        <f>""</f>
        <v/>
      </c>
      <c r="D25" s="69">
        <f>"spring_chem_ph|"&amp;'Metrics'!$C$25</f>
        <v/>
      </c>
      <c r="E25" s="69">
        <f>IFERROR(MATCH('Metrics'!$D$25,curve_key,0),MATCH("spring_chem_ph|",curve_key,0))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Specific conductivity</t>
        </is>
      </c>
      <c r="B26" s="69">
        <f>IF('DEEP Score'!$E$39="","",'DEEP Score'!$E$39)</f>
        <v/>
      </c>
      <c r="C26" s="69">
        <f>""</f>
        <v/>
      </c>
      <c r="D26" s="69">
        <f>"spring_chem_cond|"&amp;'Metrics'!$C$26</f>
        <v/>
      </c>
      <c r="E26" s="69">
        <f>IFERROR(MATCH('Metrics'!$D$26,curve_key,0),MATCH("spring_chem_cond|",curve_key,0))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Natural fish cover</t>
        </is>
      </c>
      <c r="B27" s="69">
        <f>IF('DEEP Score'!$E$40="","",'DEEP Score'!$E$40)</f>
        <v/>
      </c>
      <c r="C27" s="69">
        <f>""</f>
        <v/>
      </c>
      <c r="D27" s="69">
        <f>"spring_phab_xfc_nat|"&amp;'Metrics'!$C$27</f>
        <v/>
      </c>
      <c r="E27" s="69">
        <f>IFERROR(MATCH('Metrics'!$D$27,curve_key,0),MATCH("spring_phab_xfc_nat|",curve_key,0))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Simple lithophil fish individuals</t>
        </is>
      </c>
      <c r="B28" s="69">
        <f>IF('DEEP Score'!$E$41="","",'DEEP Score'!$E$41)</f>
        <v/>
      </c>
      <c r="C28" s="69">
        <f>""</f>
        <v/>
      </c>
      <c r="D28" s="69">
        <f>"spring_fish_nat_lithpind|"&amp;'Metrics'!$C$28</f>
        <v/>
      </c>
      <c r="E28" s="69">
        <f>IFERROR(MATCH('Metrics'!$D$28,curve_key,0),MATCH("spring_fish_nat_lithpind|",curve_key,0))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Tolerant native fish individuals</t>
        </is>
      </c>
      <c r="B29" s="69">
        <f>IF('DEEP Score'!$E$42="","",'DEEP Score'!$E$42)</f>
        <v/>
      </c>
      <c r="C29" s="69">
        <f>""</f>
        <v/>
      </c>
      <c r="D29" s="69">
        <f>"spring_fish_nat_tolrpind|"&amp;'Metrics'!$C$29</f>
        <v/>
      </c>
      <c r="E29" s="69">
        <f>IFERROR(MATCH('Metrics'!$D$29,curve_key,0),MATCH("spring_fish_nat_tolrpind|",curve_key,0))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Benthic macroinvertebrate MMI</t>
        </is>
      </c>
      <c r="B30" s="69">
        <f>IF('DEEP Score'!$E$43="","",'DEEP Score'!$E$43)</f>
        <v/>
      </c>
      <c r="C30" s="69">
        <f>""</f>
        <v/>
      </c>
      <c r="D30" s="69">
        <f>"spring_bent_mmi_bent|"&amp;'Metrics'!$C$30</f>
        <v/>
      </c>
      <c r="E30" s="69">
        <f>IFERROR(MATCH('Metrics'!$D$30,curve_key,0),MATCH("spring_bent_mmi_bent|",curve_key,0))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EPT taxa richness</t>
        </is>
      </c>
      <c r="B31" s="69">
        <f>IF('DEEP Score'!$E$44="","",'DEEP Score'!$E$44)</f>
        <v/>
      </c>
      <c r="C31" s="69">
        <f>""</f>
        <v/>
      </c>
      <c r="D31" s="69">
        <f>"spring_bent_ept_ntax|"&amp;'Metrics'!$C$31</f>
        <v/>
      </c>
      <c r="E31" s="69">
        <f>IFERROR(MATCH('Metrics'!$D$31,curve_key,0),MATCH("spring_bent_ept_ntax|",curve_key,0))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Mapped dams within one mile</t>
        </is>
      </c>
      <c r="B32" s="69">
        <f>IF('DEEP Score'!$E$45="","",'DEEP Score'!$E$45)</f>
        <v/>
      </c>
      <c r="C32" s="69">
        <f>""</f>
        <v/>
      </c>
      <c r="D32" s="69">
        <f>"spring_nid_dams_1mi|"&amp;'Metrics'!$C$32</f>
        <v/>
      </c>
      <c r="E32" s="69">
        <f>IFERROR(MATCH('Metrics'!$D$32,curve_key,0),MATCH("spring_nid_dams_1mi|",curve_key,0))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Score'!G40:G40)=0,"",SUM('DEEP Score'!G40:G40)/COUNT('DEEP Score'!G40:G40)*15)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Score'!G41:G42)=0,"",SUM('DEEP Score'!G41:G42)/COUNT('DEEP Score'!G41:G42)*15)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Score'!G43:G44)=0,"",SUM('DEEP Score'!G43:G44)/COUNT('DEEP Score'!G43:G44)*15)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Score'!G45:G45)=0,"",SUM('DEEP Score'!G45:G45)/COUNT('DEEP Score'!G45:G45)*15)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5" t="inlineStr">
        <is>
          <t>Outcome</t>
        </is>
      </c>
      <c r="B25" s="5"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6"/>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t>
        </is>
      </c>
      <c r="D7" s="68" t="inlineStr"/>
      <c r="E7" s="68" t="n">
        <v>5</v>
      </c>
      <c r="F7" s="68" t="inlineStr">
        <is>
          <t>22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8" t="n">
        <v>0</v>
      </c>
      <c r="H7" s="68" t="n">
        <v>0.5635714285714285</v>
      </c>
      <c r="I7" s="68" t="n">
        <v>1.315</v>
      </c>
      <c r="J7" s="68" t="n">
        <v>19.8375</v>
      </c>
      <c r="K7" s="68" t="n">
        <v>29.09875</v>
      </c>
      <c r="L7" s="68" t="n">
        <v>29.09875</v>
      </c>
      <c r="M7" s="68" t="n">
        <v>29.09875</v>
      </c>
      <c r="N7" s="68" t="n">
        <v>29.09875</v>
      </c>
      <c r="O7" s="68" t="n">
        <v>0</v>
      </c>
      <c r="P7" s="68" t="n">
        <v>0.3</v>
      </c>
      <c r="Q7" s="68" t="n">
        <v>0.7</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22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8" t="n">
        <v>0</v>
      </c>
      <c r="H9" s="68" t="n">
        <v>19.28442857142857</v>
      </c>
      <c r="I9" s="68" t="n">
        <v>44.997</v>
      </c>
      <c r="J9" s="68" t="n">
        <v>53.735975</v>
      </c>
      <c r="K9" s="68" t="n">
        <v>58.10546249999999</v>
      </c>
      <c r="L9" s="68" t="n">
        <v>58.10546249999999</v>
      </c>
      <c r="M9" s="68" t="n">
        <v>58.10546249999999</v>
      </c>
      <c r="N9" s="68" t="n">
        <v>58.10546249999999</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spring_phab_rp100_cm|</t>
        </is>
      </c>
      <c r="B11" s="68" t="inlineStr">
        <is>
          <t>spring-phab-rp100-cm</t>
        </is>
      </c>
      <c r="C11" s="68" t="inlineStr">
        <is>
          <t>Residual pool depth</t>
        </is>
      </c>
      <c r="D11" s="68" t="inlineStr"/>
      <c r="E11" s="68" t="n">
        <v>5</v>
      </c>
      <c r="F11" s="68" t="inlineStr">
        <is>
          <t>45 least-disturbed stations borrowed from Level II ecoregion 8.1 (Mixed Wood Plains) under the regional screen (agriculture at most 25 percent), transfer risk moderate</t>
        </is>
      </c>
      <c r="G11" s="68" t="n">
        <v>0</v>
      </c>
      <c r="H11" s="68" t="n">
        <v>6.050418172563825</v>
      </c>
      <c r="I11" s="68" t="n">
        <v>14.11764240264893</v>
      </c>
      <c r="J11" s="68" t="n">
        <v>32.49433135986328</v>
      </c>
      <c r="K11" s="68" t="n">
        <v>41.68267583847046</v>
      </c>
      <c r="L11" s="68" t="n">
        <v>41.68267583847046</v>
      </c>
      <c r="M11" s="68" t="n">
        <v>41.68267583847046</v>
      </c>
      <c r="N11" s="68" t="n">
        <v>41.68267583847046</v>
      </c>
      <c r="O11" s="68" t="n">
        <v>0</v>
      </c>
      <c r="P11" s="68" t="n">
        <v>0.3</v>
      </c>
      <c r="Q11" s="68" t="n">
        <v>0.7</v>
      </c>
      <c r="R11" s="68" t="n">
        <v>1</v>
      </c>
      <c r="S11" s="68" t="n">
        <v>1</v>
      </c>
      <c r="T11" s="68" t="n">
        <v>1</v>
      </c>
      <c r="U11" s="68" t="n">
        <v>1</v>
      </c>
      <c r="V11" s="68" t="n">
        <v>1</v>
      </c>
    </row>
    <row r="12">
      <c r="A12" s="68" t="inlineStr">
        <is>
          <t>spring_phab_bfwd_rat|All streams (pooled)</t>
        </is>
      </c>
      <c r="B12" s="68" t="inlineStr">
        <is>
          <t>spring-phab-bfwd-rat</t>
        </is>
      </c>
      <c r="C12" s="68" t="inlineStr">
        <is>
          <t>Bankfull width:depth ratio</t>
        </is>
      </c>
      <c r="D12" s="68" t="inlineStr">
        <is>
          <t>All streams (pooled)</t>
        </is>
      </c>
      <c r="E12" s="68" t="n">
        <v>7</v>
      </c>
      <c r="F12" s="68"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8" t="n">
        <v>0</v>
      </c>
      <c r="H12" s="68" t="n">
        <v>4.020894032716751</v>
      </c>
      <c r="I12" s="68" t="n">
        <v>7.787969946861267</v>
      </c>
      <c r="J12" s="68" t="n">
        <v>18.55104398727417</v>
      </c>
      <c r="K12" s="68" t="n">
        <v>22.31811990141869</v>
      </c>
      <c r="L12" s="68" t="n">
        <v>29.31411802768707</v>
      </c>
      <c r="M12" s="68" t="n">
        <v>40.07719206809998</v>
      </c>
      <c r="N12" s="68" t="n">
        <v>40.07719206809998</v>
      </c>
      <c r="O12" s="68" t="n">
        <v>0</v>
      </c>
      <c r="P12" s="68" t="n">
        <v>0.7</v>
      </c>
      <c r="Q12" s="68" t="n">
        <v>1</v>
      </c>
      <c r="R12" s="68" t="n">
        <v>1</v>
      </c>
      <c r="S12" s="68" t="n">
        <v>0.7</v>
      </c>
      <c r="T12" s="68" t="n">
        <v>0.3</v>
      </c>
      <c r="U12" s="68" t="n">
        <v>0</v>
      </c>
      <c r="V12" s="68" t="n">
        <v>0</v>
      </c>
    </row>
    <row r="13">
      <c r="A13" s="68" t="inlineStr">
        <is>
          <t>spring_phab_bfwd_rat|Small stream (10 to 100 km2)</t>
        </is>
      </c>
      <c r="B13" s="68" t="inlineStr">
        <is>
          <t>spring-phab-bfwd-rat</t>
        </is>
      </c>
      <c r="C13" s="68" t="inlineStr">
        <is>
          <t>Bankfull width:depth ratio</t>
        </is>
      </c>
      <c r="D13" s="68" t="inlineStr">
        <is>
          <t>Small stream (10 to 100 km2)</t>
        </is>
      </c>
      <c r="E13" s="68" t="n">
        <v>8</v>
      </c>
      <c r="F13" s="68"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8" t="n">
        <v>0</v>
      </c>
      <c r="H13" s="68" t="n">
        <v>4.044816017150879</v>
      </c>
      <c r="I13" s="68" t="n">
        <v>7.558739817142486</v>
      </c>
      <c r="J13" s="68" t="n">
        <v>9.450852632522583</v>
      </c>
      <c r="K13" s="68" t="n">
        <v>14.85688924789429</v>
      </c>
      <c r="L13" s="68" t="n">
        <v>16.74900206327438</v>
      </c>
      <c r="M13" s="68" t="n">
        <v>20.26292586326599</v>
      </c>
      <c r="N13" s="68" t="n">
        <v>25.6689624786377</v>
      </c>
      <c r="O13" s="68" t="n">
        <v>0</v>
      </c>
      <c r="P13" s="68" t="n">
        <v>0.3</v>
      </c>
      <c r="Q13" s="68" t="n">
        <v>0.7</v>
      </c>
      <c r="R13" s="68" t="n">
        <v>1</v>
      </c>
      <c r="S13" s="68" t="n">
        <v>1</v>
      </c>
      <c r="T13" s="68" t="n">
        <v>0.7</v>
      </c>
      <c r="U13" s="68" t="n">
        <v>0.3</v>
      </c>
      <c r="V13" s="68" t="n">
        <v>0</v>
      </c>
    </row>
    <row r="14">
      <c r="A14" s="68" t="inlineStr">
        <is>
          <t>spring_phab_bfwd_rat|Large stream (over 100 km2)</t>
        </is>
      </c>
      <c r="B14" s="68" t="inlineStr">
        <is>
          <t>spring-phab-bfwd-rat</t>
        </is>
      </c>
      <c r="C14" s="68" t="inlineStr">
        <is>
          <t>Bankfull width:depth ratio</t>
        </is>
      </c>
      <c r="D14" s="68" t="inlineStr">
        <is>
          <t>Large stream (over 100 km2)</t>
        </is>
      </c>
      <c r="E14" s="68" t="n">
        <v>7</v>
      </c>
      <c r="F14" s="68"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8" t="n">
        <v>0</v>
      </c>
      <c r="H14" s="68" t="n">
        <v>7.353948032855988</v>
      </c>
      <c r="I14" s="68" t="n">
        <v>12.69133830070496</v>
      </c>
      <c r="J14" s="68" t="n">
        <v>27.94102478027344</v>
      </c>
      <c r="K14" s="68" t="n">
        <v>33.2784150481224</v>
      </c>
      <c r="L14" s="68" t="n">
        <v>43.19071125984192</v>
      </c>
      <c r="M14" s="68" t="n">
        <v>58.4403977394104</v>
      </c>
      <c r="N14" s="68" t="n">
        <v>58.4403977394104</v>
      </c>
      <c r="O14" s="68" t="n">
        <v>0</v>
      </c>
      <c r="P14" s="68" t="n">
        <v>0.7</v>
      </c>
      <c r="Q14" s="68" t="n">
        <v>1</v>
      </c>
      <c r="R14" s="68" t="n">
        <v>1</v>
      </c>
      <c r="S14" s="68" t="n">
        <v>0.7</v>
      </c>
      <c r="T14" s="68" t="n">
        <v>0.3</v>
      </c>
      <c r="U14" s="68" t="n">
        <v>0</v>
      </c>
      <c r="V14" s="68" t="n">
        <v>0</v>
      </c>
    </row>
    <row r="15">
      <c r="A15" s="68" t="inlineStr">
        <is>
          <t>spring_phab_xbkf_h|All streams (pooled)</t>
        </is>
      </c>
      <c r="B15" s="68" t="inlineStr">
        <is>
          <t>spring-phab-xbkf-h</t>
        </is>
      </c>
      <c r="C15" s="68" t="inlineStr">
        <is>
          <t>Bankfull height above channel</t>
        </is>
      </c>
      <c r="D15" s="68" t="inlineStr">
        <is>
          <t>All streams (pooled)</t>
        </is>
      </c>
      <c r="E15" s="68" t="n">
        <v>7</v>
      </c>
      <c r="F15" s="68"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8" t="n">
        <v>0</v>
      </c>
      <c r="H15" s="68" t="n">
        <v>0.08499999772757293</v>
      </c>
      <c r="I15" s="68" t="n">
        <v>0.2027272768318653</v>
      </c>
      <c r="J15" s="68" t="n">
        <v>0.5390909314155579</v>
      </c>
      <c r="K15" s="68" t="n">
        <v>0.6568182105198502</v>
      </c>
      <c r="L15" s="68" t="n">
        <v>0.8754545859992504</v>
      </c>
      <c r="M15" s="68" t="n">
        <v>1.211818240582943</v>
      </c>
      <c r="N15" s="68" t="n">
        <v>1.211818240582943</v>
      </c>
      <c r="O15" s="68" t="n">
        <v>0</v>
      </c>
      <c r="P15" s="68" t="n">
        <v>0.7</v>
      </c>
      <c r="Q15" s="68" t="n">
        <v>1</v>
      </c>
      <c r="R15" s="68" t="n">
        <v>1</v>
      </c>
      <c r="S15" s="68" t="n">
        <v>0.7</v>
      </c>
      <c r="T15" s="68" t="n">
        <v>0.3</v>
      </c>
      <c r="U15" s="68" t="n">
        <v>0</v>
      </c>
      <c r="V15" s="68" t="n">
        <v>0</v>
      </c>
    </row>
    <row r="16">
      <c r="A16" s="68" t="inlineStr">
        <is>
          <t>spring_phab_xbkf_h|Small stream (10 to 100 km2)</t>
        </is>
      </c>
      <c r="B16" s="68" t="inlineStr">
        <is>
          <t>spring-phab-xbkf-h</t>
        </is>
      </c>
      <c r="C16" s="68" t="inlineStr">
        <is>
          <t>Bankfull height above channel</t>
        </is>
      </c>
      <c r="D16" s="68" t="inlineStr">
        <is>
          <t>Small stream (10 to 100 km2)</t>
        </is>
      </c>
      <c r="E16" s="68" t="n">
        <v>8</v>
      </c>
      <c r="F16" s="68"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6" s="68" t="n">
        <v>0</v>
      </c>
      <c r="H16" s="68" t="n">
        <v>0.01318182051181793</v>
      </c>
      <c r="I16" s="68" t="n">
        <v>0.1213181827217341</v>
      </c>
      <c r="J16" s="68" t="n">
        <v>0.1795454546809196</v>
      </c>
      <c r="K16" s="68" t="n">
        <v>0.3459090888500214</v>
      </c>
      <c r="L16" s="68" t="n">
        <v>0.404136360809207</v>
      </c>
      <c r="M16" s="68" t="n">
        <v>0.5122727230191231</v>
      </c>
      <c r="N16" s="68" t="n">
        <v>0.6786363571882248</v>
      </c>
      <c r="O16" s="68" t="n">
        <v>0</v>
      </c>
      <c r="P16" s="68" t="n">
        <v>0.3</v>
      </c>
      <c r="Q16" s="68" t="n">
        <v>0.7</v>
      </c>
      <c r="R16" s="68" t="n">
        <v>1</v>
      </c>
      <c r="S16" s="68" t="n">
        <v>1</v>
      </c>
      <c r="T16" s="68" t="n">
        <v>0.7</v>
      </c>
      <c r="U16" s="68" t="n">
        <v>0.3</v>
      </c>
      <c r="V16" s="68" t="n">
        <v>0</v>
      </c>
    </row>
    <row r="17">
      <c r="A17" s="68" t="inlineStr">
        <is>
          <t>spring_phab_xbkf_h|Large stream (over 100 km2)</t>
        </is>
      </c>
      <c r="B17" s="68" t="inlineStr">
        <is>
          <t>spring-phab-xbkf-h</t>
        </is>
      </c>
      <c r="C17" s="68" t="inlineStr">
        <is>
          <t>Bankfull height above channel</t>
        </is>
      </c>
      <c r="D17" s="68" t="inlineStr">
        <is>
          <t>Large stream (over 100 km2)</t>
        </is>
      </c>
      <c r="E17" s="68" t="n">
        <v>7</v>
      </c>
      <c r="F17" s="68"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7" s="68" t="n">
        <v>0</v>
      </c>
      <c r="H17" s="68" t="n">
        <v>0.1906590856611729</v>
      </c>
      <c r="I17" s="68" t="n">
        <v>0.3486363589763641</v>
      </c>
      <c r="J17" s="68" t="n">
        <v>0.7999999970197678</v>
      </c>
      <c r="K17" s="68" t="n">
        <v>0.9579772703349591</v>
      </c>
      <c r="L17" s="68" t="n">
        <v>1.251363635063171</v>
      </c>
      <c r="M17" s="68" t="n">
        <v>1.702727273106575</v>
      </c>
      <c r="N17" s="68" t="n">
        <v>1.702727273106575</v>
      </c>
      <c r="O17" s="68" t="n">
        <v>0</v>
      </c>
      <c r="P17" s="68" t="n">
        <v>0.7</v>
      </c>
      <c r="Q17" s="68" t="n">
        <v>1</v>
      </c>
      <c r="R17" s="68" t="n">
        <v>1</v>
      </c>
      <c r="S17" s="68" t="n">
        <v>0.7</v>
      </c>
      <c r="T17" s="68" t="n">
        <v>0.3</v>
      </c>
      <c r="U17" s="68" t="n">
        <v>0</v>
      </c>
      <c r="V17" s="68" t="n">
        <v>0</v>
      </c>
    </row>
    <row r="18">
      <c r="A18" s="68" t="inlineStr">
        <is>
          <t>spring_phab_pct_safn|</t>
        </is>
      </c>
      <c r="B18" s="68" t="inlineStr">
        <is>
          <t>spring-phab-pct-safn</t>
        </is>
      </c>
      <c r="C18" s="68" t="inlineStr">
        <is>
          <t>Sand + fines</t>
        </is>
      </c>
      <c r="D18" s="68" t="inlineStr"/>
      <c r="E18" s="68" t="n">
        <v>4</v>
      </c>
      <c r="F18" s="68" t="inlineStr">
        <is>
          <t>46 least-disturbed stations borrowed from Level II ecoregion 8.1 (Mixed Wood Plains) under the regional screen (agriculture at most 25 percent), transfer risk low</t>
        </is>
      </c>
      <c r="G18" s="68" t="n">
        <v>0</v>
      </c>
      <c r="H18" s="68" t="n">
        <v>13.33333301544189</v>
      </c>
      <c r="I18" s="68" t="n">
        <v>91.19047737121582</v>
      </c>
      <c r="J18" s="68" t="n">
        <v>100</v>
      </c>
      <c r="K18" s="68" t="n">
        <v>100</v>
      </c>
      <c r="L18" s="68" t="n">
        <v>100</v>
      </c>
      <c r="M18" s="68" t="n">
        <v>100</v>
      </c>
      <c r="N18" s="68" t="n">
        <v>100</v>
      </c>
      <c r="O18" s="68" t="n">
        <v>1</v>
      </c>
      <c r="P18" s="68" t="n">
        <v>1</v>
      </c>
      <c r="Q18" s="68" t="n">
        <v>0.7</v>
      </c>
      <c r="R18" s="68" t="n">
        <v>0</v>
      </c>
      <c r="S18" s="68" t="n">
        <v>0</v>
      </c>
      <c r="T18" s="68" t="n">
        <v>0</v>
      </c>
      <c r="U18" s="68" t="n">
        <v>0</v>
      </c>
      <c r="V18" s="68" t="n">
        <v>0</v>
      </c>
    </row>
    <row r="19">
      <c r="A19" s="68" t="inlineStr">
        <is>
          <t>spring_phab_xembed|</t>
        </is>
      </c>
      <c r="B19" s="68" t="inlineStr">
        <is>
          <t>spring-phab-xembed</t>
        </is>
      </c>
      <c r="C19" s="68" t="inlineStr">
        <is>
          <t>Embeddedness</t>
        </is>
      </c>
      <c r="D19" s="68" t="inlineStr"/>
      <c r="E19" s="68" t="n">
        <v>4</v>
      </c>
      <c r="F19" s="68" t="inlineStr">
        <is>
          <t>32 least-disturbed stations borrowed from Level II ecoregion 8.1 (Mixed Wood Plains) under the regional screen (agriculture at most 25 percent), transfer risk low</t>
        </is>
      </c>
      <c r="G19" s="68" t="n">
        <v>5.990909099578857</v>
      </c>
      <c r="H19" s="68" t="n">
        <v>33.70454502105713</v>
      </c>
      <c r="I19" s="68" t="n">
        <v>89.13181686401367</v>
      </c>
      <c r="J19" s="68" t="n">
        <v>100</v>
      </c>
      <c r="K19" s="68" t="n">
        <v>100</v>
      </c>
      <c r="L19" s="68" t="n">
        <v>100</v>
      </c>
      <c r="M19" s="68" t="n">
        <v>100</v>
      </c>
      <c r="N19" s="68" t="n">
        <v>100</v>
      </c>
      <c r="O19" s="68" t="n">
        <v>1</v>
      </c>
      <c r="P19" s="68" t="n">
        <v>1</v>
      </c>
      <c r="Q19" s="68" t="n">
        <v>0.7</v>
      </c>
      <c r="R19" s="68" t="n">
        <v>0</v>
      </c>
      <c r="S19" s="68" t="n">
        <v>0</v>
      </c>
      <c r="T19" s="68" t="n">
        <v>0</v>
      </c>
      <c r="U19" s="68" t="n">
        <v>0</v>
      </c>
      <c r="V19" s="68" t="n">
        <v>0</v>
      </c>
    </row>
    <row r="20">
      <c r="A20" s="68" t="inlineStr">
        <is>
          <t>spring_phab_sinu|</t>
        </is>
      </c>
      <c r="B20" s="68" t="inlineStr">
        <is>
          <t>spring-phab-sinu</t>
        </is>
      </c>
      <c r="C20" s="68" t="inlineStr">
        <is>
          <t>Sinuosity</t>
        </is>
      </c>
      <c r="D20" s="68" t="inlineStr"/>
      <c r="E20" s="68" t="n">
        <v>4</v>
      </c>
      <c r="F20" s="68" t="inlineStr">
        <is>
          <t>31 least-disturbed stations borrowed from Level II ecoregion 8.1 (Mixed Wood Plains) under the regional screen (agriculture at most 25 percent), transfer risk moderate</t>
        </is>
      </c>
      <c r="G20" s="68" t="n">
        <v>1</v>
      </c>
      <c r="H20" s="68" t="n">
        <v>1.084621250629425</v>
      </c>
      <c r="I20" s="68" t="n">
        <v>1.280153512954712</v>
      </c>
      <c r="J20" s="68" t="n">
        <v>1.377919644117355</v>
      </c>
      <c r="K20" s="68" t="n">
        <v>1.377919644117355</v>
      </c>
      <c r="L20" s="68" t="n">
        <v>1.377919644117355</v>
      </c>
      <c r="M20" s="68" t="n">
        <v>1.377919644117355</v>
      </c>
      <c r="N20" s="68" t="n">
        <v>1.377919644117355</v>
      </c>
      <c r="O20" s="68" t="n">
        <v>0</v>
      </c>
      <c r="P20" s="68" t="n">
        <v>0.7</v>
      </c>
      <c r="Q20" s="68" t="n">
        <v>1</v>
      </c>
      <c r="R20" s="68" t="n">
        <v>1</v>
      </c>
      <c r="S20" s="68" t="n">
        <v>1</v>
      </c>
      <c r="T20" s="68" t="n">
        <v>1</v>
      </c>
      <c r="U20" s="68" t="n">
        <v>1</v>
      </c>
      <c r="V20" s="68" t="n">
        <v>1</v>
      </c>
    </row>
    <row r="21">
      <c r="A21" s="68" t="inlineStr">
        <is>
          <t>spring_phab_xbka|</t>
        </is>
      </c>
      <c r="B21" s="68" t="inlineStr">
        <is>
          <t>spring-phab-xbka</t>
        </is>
      </c>
      <c r="C21" s="68" t="inlineStr">
        <is>
          <t>Bank angle</t>
        </is>
      </c>
      <c r="D21" s="68" t="inlineStr"/>
      <c r="E21" s="68" t="n">
        <v>7</v>
      </c>
      <c r="F21" s="68" t="inlineStr">
        <is>
          <t>73 least-disturbed stations borrowed from NARS-9 region UMW under the regional screen (agriculture at most 25 percent), transfer risk moderate</t>
        </is>
      </c>
      <c r="G21" s="68" t="n">
        <v>0</v>
      </c>
      <c r="H21" s="68" t="n">
        <v>9.309091138839722</v>
      </c>
      <c r="I21" s="68" t="n">
        <v>15.22727298736572</v>
      </c>
      <c r="J21" s="68" t="n">
        <v>32.1363639831543</v>
      </c>
      <c r="K21" s="68" t="n">
        <v>38.0545458316803</v>
      </c>
      <c r="L21" s="68" t="n">
        <v>49.04545497894287</v>
      </c>
      <c r="M21" s="68" t="n">
        <v>65.95454597473145</v>
      </c>
      <c r="N21" s="68" t="n">
        <v>65.95454597473145</v>
      </c>
      <c r="O21" s="68" t="n">
        <v>0.7</v>
      </c>
      <c r="P21" s="68" t="n">
        <v>0.7</v>
      </c>
      <c r="Q21" s="68" t="n">
        <v>1</v>
      </c>
      <c r="R21" s="68" t="n">
        <v>1</v>
      </c>
      <c r="S21" s="68" t="n">
        <v>0.7</v>
      </c>
      <c r="T21" s="68" t="n">
        <v>0.3</v>
      </c>
      <c r="U21" s="68" t="n">
        <v>0</v>
      </c>
      <c r="V21" s="68" t="n">
        <v>0</v>
      </c>
    </row>
    <row r="22">
      <c r="A22" s="68" t="inlineStr">
        <is>
          <t>spring_phab_lrbs_use|All streams (pooled)</t>
        </is>
      </c>
      <c r="B22" s="68" t="inlineStr">
        <is>
          <t>spring-phab-lrbs-use</t>
        </is>
      </c>
      <c r="C22" s="68" t="inlineStr">
        <is>
          <t>Relative bed stability</t>
        </is>
      </c>
      <c r="D22" s="68" t="inlineStr">
        <is>
          <t>All streams (pooled)</t>
        </is>
      </c>
      <c r="E22" s="68" t="n">
        <v>8</v>
      </c>
      <c r="F22" s="68" t="inlineStr">
        <is>
          <t>48 least-disturbed stations borrowed from Level I ecoregion 8 (Eastern Temperate Forests) under the regional screen (agriculture at most 25 percent), transfer risk high</t>
        </is>
      </c>
      <c r="G22" s="68" t="n">
        <v>-4.259647689759731</v>
      </c>
      <c r="H22" s="68" t="n">
        <v>-2.75902658328414</v>
      </c>
      <c r="I22" s="68" t="n">
        <v>-1.783622864075005</v>
      </c>
      <c r="J22" s="68" t="n">
        <v>-1.258405476808548</v>
      </c>
      <c r="K22" s="68" t="n">
        <v>0.2422156296670437</v>
      </c>
      <c r="L22" s="68" t="n">
        <v>0.7674330169335007</v>
      </c>
      <c r="M22" s="68" t="n">
        <v>1.742836736142635</v>
      </c>
      <c r="N22" s="68" t="n">
        <v>3.243457842618227</v>
      </c>
      <c r="O22" s="68" t="n">
        <v>0</v>
      </c>
      <c r="P22" s="68" t="n">
        <v>0.3</v>
      </c>
      <c r="Q22" s="68" t="n">
        <v>0.7</v>
      </c>
      <c r="R22" s="68" t="n">
        <v>1</v>
      </c>
      <c r="S22" s="68" t="n">
        <v>1</v>
      </c>
      <c r="T22" s="68" t="n">
        <v>0.7</v>
      </c>
      <c r="U22" s="68" t="n">
        <v>0.3</v>
      </c>
      <c r="V22" s="68" t="n">
        <v>0</v>
      </c>
    </row>
    <row r="23">
      <c r="A23" s="68" t="inlineStr">
        <is>
          <t>spring_phab_lrbs_use|Small stream (10 to 100 km2)</t>
        </is>
      </c>
      <c r="B23" s="68" t="inlineStr">
        <is>
          <t>spring-phab-lrbs-use</t>
        </is>
      </c>
      <c r="C23" s="68" t="inlineStr">
        <is>
          <t>Relative bed stability</t>
        </is>
      </c>
      <c r="D23" s="68" t="inlineStr">
        <is>
          <t>Small stream (10 to 100 km2)</t>
        </is>
      </c>
      <c r="E23" s="68" t="n">
        <v>8</v>
      </c>
      <c r="F23" s="68" t="inlineStr">
        <is>
          <t>48 least-disturbed stations borrowed from Level I ecoregion 8 (Eastern Temperate Forests) under the regional screen (agriculture at most 25 percent), transfer risk high</t>
        </is>
      </c>
      <c r="G23" s="68" t="n">
        <v>-3.333901844918728</v>
      </c>
      <c r="H23" s="68" t="n">
        <v>-2.181118126958609</v>
      </c>
      <c r="I23" s="68" t="n">
        <v>-1.431808710284531</v>
      </c>
      <c r="J23" s="68" t="n">
        <v>-1.028334408998489</v>
      </c>
      <c r="K23" s="68" t="n">
        <v>0.1244493089616299</v>
      </c>
      <c r="L23" s="68" t="n">
        <v>0.5279236102476716</v>
      </c>
      <c r="M23" s="68" t="n">
        <v>1.277233026921749</v>
      </c>
      <c r="N23" s="68" t="n">
        <v>2.430016744881868</v>
      </c>
      <c r="O23" s="68" t="n">
        <v>0</v>
      </c>
      <c r="P23" s="68" t="n">
        <v>0.3</v>
      </c>
      <c r="Q23" s="68" t="n">
        <v>0.7</v>
      </c>
      <c r="R23" s="68" t="n">
        <v>1</v>
      </c>
      <c r="S23" s="68" t="n">
        <v>1</v>
      </c>
      <c r="T23" s="68" t="n">
        <v>0.7</v>
      </c>
      <c r="U23" s="68" t="n">
        <v>0.3</v>
      </c>
      <c r="V23" s="68" t="n">
        <v>0</v>
      </c>
    </row>
    <row r="24">
      <c r="A24" s="68" t="inlineStr">
        <is>
          <t>spring_phab_lrbs_use|Large stream (over 100 km2)</t>
        </is>
      </c>
      <c r="B24" s="68" t="inlineStr">
        <is>
          <t>spring-phab-lrbs-use</t>
        </is>
      </c>
      <c r="C24" s="68" t="inlineStr">
        <is>
          <t>Relative bed stability</t>
        </is>
      </c>
      <c r="D24" s="68" t="inlineStr">
        <is>
          <t>Large stream (over 100 km2)</t>
        </is>
      </c>
      <c r="E24" s="68" t="n">
        <v>8</v>
      </c>
      <c r="F24" s="68" t="inlineStr">
        <is>
          <t>48 least-disturbed stations borrowed from Level I ecoregion 8 (Eastern Temperate Forests) under the regional screen (agriculture at most 25 percent), transfer risk high</t>
        </is>
      </c>
      <c r="G24" s="68" t="n">
        <v>-3.76850526034832</v>
      </c>
      <c r="H24" s="68" t="n">
        <v>-2.328000143170357</v>
      </c>
      <c r="I24" s="68" t="n">
        <v>-1.39167181700468</v>
      </c>
      <c r="J24" s="68" t="n">
        <v>-0.8874950259923935</v>
      </c>
      <c r="K24" s="68" t="n">
        <v>0.5530100911855698</v>
      </c>
      <c r="L24" s="68" t="n">
        <v>1.057186882197857</v>
      </c>
      <c r="M24" s="68" t="n">
        <v>1.993515208363533</v>
      </c>
      <c r="N24" s="68" t="n">
        <v>3.434020325541496</v>
      </c>
      <c r="O24" s="68" t="n">
        <v>0</v>
      </c>
      <c r="P24" s="68" t="n">
        <v>0.3</v>
      </c>
      <c r="Q24" s="68" t="n">
        <v>0.7</v>
      </c>
      <c r="R24" s="68" t="n">
        <v>1</v>
      </c>
      <c r="S24" s="68" t="n">
        <v>1</v>
      </c>
      <c r="T24" s="68" t="n">
        <v>0.7</v>
      </c>
      <c r="U24" s="68" t="n">
        <v>0.3</v>
      </c>
      <c r="V24" s="68" t="n">
        <v>0</v>
      </c>
    </row>
    <row r="25">
      <c r="A25" s="68" t="inlineStr">
        <is>
          <t>spring_phab_lwdeqvolm100|</t>
        </is>
      </c>
      <c r="B25" s="68" t="inlineStr">
        <is>
          <t>spring-phab-lwdeqvolm100</t>
        </is>
      </c>
      <c r="C25" s="68" t="inlineStr">
        <is>
          <t>Large wood volume</t>
        </is>
      </c>
      <c r="D25" s="68" t="inlineStr"/>
      <c r="E25" s="68" t="n">
        <v>5</v>
      </c>
      <c r="F25" s="68" t="inlineStr">
        <is>
          <t>Reference curve fitted to comparable least-disturbed stations drawn from the national pool, because this ecoregion and its parents hold too few of their own.</t>
        </is>
      </c>
      <c r="G25" s="68" t="n">
        <v>0</v>
      </c>
      <c r="H25" s="68" t="n">
        <v>0.3032142839261464</v>
      </c>
      <c r="I25" s="68" t="n">
        <v>0.7074999958276749</v>
      </c>
      <c r="J25" s="68" t="n">
        <v>15.14078807830811</v>
      </c>
      <c r="K25" s="68" t="n">
        <v>22.35743211954832</v>
      </c>
      <c r="L25" s="68" t="n">
        <v>22.35743211954832</v>
      </c>
      <c r="M25" s="68" t="n">
        <v>22.35743211954832</v>
      </c>
      <c r="N25" s="68" t="n">
        <v>22.35743211954832</v>
      </c>
      <c r="O25" s="68" t="n">
        <v>0</v>
      </c>
      <c r="P25" s="68" t="n">
        <v>0.3</v>
      </c>
      <c r="Q25" s="68" t="n">
        <v>0.7</v>
      </c>
      <c r="R25" s="68" t="n">
        <v>1</v>
      </c>
      <c r="S25" s="68" t="n">
        <v>1</v>
      </c>
      <c r="T25" s="68" t="n">
        <v>1</v>
      </c>
      <c r="U25" s="68" t="n">
        <v>1</v>
      </c>
      <c r="V25" s="68" t="n">
        <v>1</v>
      </c>
    </row>
    <row r="26">
      <c r="A26" s="68" t="inlineStr">
        <is>
          <t>spring_chem_chla|</t>
        </is>
      </c>
      <c r="B26" s="68" t="inlineStr">
        <is>
          <t>spring-chem-chla</t>
        </is>
      </c>
      <c r="C26" s="68" t="inlineStr">
        <is>
          <t>Chlorophyll a</t>
        </is>
      </c>
      <c r="D26" s="68" t="inlineStr"/>
      <c r="E26" s="68" t="n">
        <v>5</v>
      </c>
      <c r="F26" s="68" t="inlineStr">
        <is>
          <t>86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0.42 of evaluation regions; two thirds required; net optimism +0.20, at most 0.05 allowed); confidence capped at 39.</t>
        </is>
      </c>
      <c r="G26" s="68" t="n">
        <v>0.1009999811649323</v>
      </c>
      <c r="H26" s="68" t="n">
        <v>0.9490000009536743</v>
      </c>
      <c r="I26" s="68" t="n">
        <v>2.645000040531158</v>
      </c>
      <c r="J26" s="68" t="n">
        <v>5.189000099897385</v>
      </c>
      <c r="K26" s="68" t="n">
        <v>6.885000139474869</v>
      </c>
      <c r="L26" s="68" t="n">
        <v>6.885000139474869</v>
      </c>
      <c r="M26" s="68" t="n">
        <v>6.885000139474869</v>
      </c>
      <c r="N26" s="68" t="n">
        <v>6.885000139474869</v>
      </c>
      <c r="O26" s="68" t="n">
        <v>1</v>
      </c>
      <c r="P26" s="68" t="n">
        <v>1</v>
      </c>
      <c r="Q26" s="68" t="n">
        <v>0.7</v>
      </c>
      <c r="R26" s="68" t="n">
        <v>0.3</v>
      </c>
      <c r="S26" s="68" t="n">
        <v>0</v>
      </c>
      <c r="T26" s="68" t="n">
        <v>0</v>
      </c>
      <c r="U26" s="68" t="n">
        <v>0</v>
      </c>
      <c r="V26" s="68" t="n">
        <v>0</v>
      </c>
    </row>
    <row r="27">
      <c r="A27" s="68" t="inlineStr">
        <is>
          <t>spring_phab_xcdenmid|</t>
        </is>
      </c>
      <c r="B27" s="68" t="inlineStr">
        <is>
          <t>spring-phab-xcdenmid</t>
        </is>
      </c>
      <c r="C27" s="68" t="inlineStr">
        <is>
          <t>Canopy density, mid-channel</t>
        </is>
      </c>
      <c r="D27" s="68" t="inlineStr"/>
      <c r="E27" s="68" t="n">
        <v>5</v>
      </c>
      <c r="F27" s="68" t="inlineStr">
        <is>
          <t>32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7" s="68" t="n">
        <v>0</v>
      </c>
      <c r="H27" s="68" t="n">
        <v>16.70168086460658</v>
      </c>
      <c r="I27" s="68" t="n">
        <v>38.97058868408203</v>
      </c>
      <c r="J27" s="68" t="n">
        <v>89.73930168151855</v>
      </c>
      <c r="K27" s="68" t="n">
        <v>100</v>
      </c>
      <c r="L27" s="68" t="n">
        <v>100</v>
      </c>
      <c r="M27" s="68" t="n">
        <v>100</v>
      </c>
      <c r="N27" s="68" t="n">
        <v>100</v>
      </c>
      <c r="O27" s="68" t="n">
        <v>0</v>
      </c>
      <c r="P27" s="68" t="n">
        <v>0.3</v>
      </c>
      <c r="Q27" s="68" t="n">
        <v>0.7</v>
      </c>
      <c r="R27" s="68" t="n">
        <v>1</v>
      </c>
      <c r="S27" s="68" t="n">
        <v>1</v>
      </c>
      <c r="T27" s="68" t="n">
        <v>1</v>
      </c>
      <c r="U27" s="68" t="n">
        <v>1</v>
      </c>
      <c r="V27" s="68" t="n">
        <v>1</v>
      </c>
    </row>
    <row r="28">
      <c r="A28" s="68" t="inlineStr">
        <is>
          <t>spring_phab_xcmgw|</t>
        </is>
      </c>
      <c r="B28" s="68" t="inlineStr">
        <is>
          <t>spring-phab-xcmgw</t>
        </is>
      </c>
      <c r="C28" s="68" t="inlineStr">
        <is>
          <t>Riparian veg cover, woody</t>
        </is>
      </c>
      <c r="D28" s="68" t="inlineStr"/>
      <c r="E28" s="68" t="n">
        <v>5</v>
      </c>
      <c r="F28" s="68" t="inlineStr">
        <is>
          <t>26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8" s="68" t="n">
        <v>0</v>
      </c>
      <c r="H28" s="68" t="n">
        <v>0.2911120163542883</v>
      </c>
      <c r="I28" s="68" t="n">
        <v>0.6792613714933395</v>
      </c>
      <c r="J28" s="68" t="n">
        <v>1.412215918302536</v>
      </c>
      <c r="K28" s="68" t="n">
        <v>1.778693191707134</v>
      </c>
      <c r="L28" s="68" t="n">
        <v>1.778693191707134</v>
      </c>
      <c r="M28" s="68" t="n">
        <v>1.778693191707134</v>
      </c>
      <c r="N28" s="68" t="n">
        <v>1.778693191707134</v>
      </c>
      <c r="O28" s="68" t="n">
        <v>0</v>
      </c>
      <c r="P28" s="68" t="n">
        <v>0.3</v>
      </c>
      <c r="Q28" s="68" t="n">
        <v>0.7</v>
      </c>
      <c r="R28" s="68" t="n">
        <v>1</v>
      </c>
      <c r="S28" s="68" t="n">
        <v>1</v>
      </c>
      <c r="T28" s="68" t="n">
        <v>1</v>
      </c>
      <c r="U28" s="68" t="n">
        <v>1</v>
      </c>
      <c r="V28" s="68" t="n">
        <v>1</v>
      </c>
    </row>
    <row r="29">
      <c r="A29" s="68" t="inlineStr">
        <is>
          <t>spring_chem_ntl|</t>
        </is>
      </c>
      <c r="B29" s="68" t="inlineStr">
        <is>
          <t>spring-chem-ntl</t>
        </is>
      </c>
      <c r="C29" s="68" t="inlineStr">
        <is>
          <t>Total nitrogen</t>
        </is>
      </c>
      <c r="D29" s="68" t="inlineStr"/>
      <c r="E29" s="68" t="n">
        <v>4</v>
      </c>
      <c r="F29" s="68" t="inlineStr">
        <is>
          <t>Scored against a published criterion rather than against stations from this ecoregion. The criterion carries its own definition of reference, which need not match this assessment's.</t>
        </is>
      </c>
      <c r="G29" s="68" t="n">
        <v>0</v>
      </c>
      <c r="H29" s="68" t="n">
        <v>0.5835</v>
      </c>
      <c r="I29" s="68" t="n">
        <v>1.024</v>
      </c>
      <c r="J29" s="68" t="n">
        <v>1.59665</v>
      </c>
      <c r="K29" s="68" t="n">
        <v>1.59665</v>
      </c>
      <c r="L29" s="68" t="n">
        <v>1.59665</v>
      </c>
      <c r="M29" s="68" t="n">
        <v>1.59665</v>
      </c>
      <c r="N29" s="68" t="n">
        <v>1.59665</v>
      </c>
      <c r="O29" s="68" t="n">
        <v>1</v>
      </c>
      <c r="P29" s="68" t="n">
        <v>0.6899999999999999</v>
      </c>
      <c r="Q29" s="68" t="n">
        <v>0.39</v>
      </c>
      <c r="R29" s="68" t="n">
        <v>0</v>
      </c>
      <c r="S29" s="68" t="n">
        <v>0</v>
      </c>
      <c r="T29" s="68" t="n">
        <v>0</v>
      </c>
      <c r="U29" s="68" t="n">
        <v>0</v>
      </c>
      <c r="V29" s="68" t="n">
        <v>0</v>
      </c>
    </row>
    <row r="30">
      <c r="A30" s="68" t="inlineStr">
        <is>
          <t>spring_chem_ptl|</t>
        </is>
      </c>
      <c r="B30" s="68" t="inlineStr">
        <is>
          <t>spring-chem-ptl</t>
        </is>
      </c>
      <c r="C30" s="68" t="inlineStr">
        <is>
          <t>Total phosphorus</t>
        </is>
      </c>
      <c r="D30" s="68" t="inlineStr"/>
      <c r="E30" s="68" t="n">
        <v>4</v>
      </c>
      <c r="F30" s="68" t="inlineStr">
        <is>
          <t>Scored against a published criterion rather than against stations from this ecoregion. The criterion carries its own definition of reference, which need not match this assessment's.</t>
        </is>
      </c>
      <c r="G30" s="68" t="n">
        <v>0</v>
      </c>
      <c r="H30" s="68" t="n">
        <v>36.35</v>
      </c>
      <c r="I30" s="68" t="n">
        <v>49.9</v>
      </c>
      <c r="J30" s="68" t="n">
        <v>67.515</v>
      </c>
      <c r="K30" s="68" t="n">
        <v>67.515</v>
      </c>
      <c r="L30" s="68" t="n">
        <v>67.515</v>
      </c>
      <c r="M30" s="68" t="n">
        <v>67.515</v>
      </c>
      <c r="N30" s="68" t="n">
        <v>67.515</v>
      </c>
      <c r="O30" s="68" t="n">
        <v>1</v>
      </c>
      <c r="P30" s="68" t="n">
        <v>0.6899999999999999</v>
      </c>
      <c r="Q30" s="68" t="n">
        <v>0.39</v>
      </c>
      <c r="R30" s="68" t="n">
        <v>0</v>
      </c>
      <c r="S30" s="68" t="n">
        <v>0</v>
      </c>
      <c r="T30" s="68" t="n">
        <v>0</v>
      </c>
      <c r="U30" s="68" t="n">
        <v>0</v>
      </c>
      <c r="V30" s="68" t="n">
        <v>0</v>
      </c>
    </row>
    <row r="31">
      <c r="A31" s="68" t="inlineStr">
        <is>
          <t>spring_chem_ph|</t>
        </is>
      </c>
      <c r="B31" s="68" t="inlineStr">
        <is>
          <t>spring-chem-ph</t>
        </is>
      </c>
      <c r="C31" s="68" t="inlineStr">
        <is>
          <t>pH</t>
        </is>
      </c>
      <c r="D31" s="68" t="inlineStr"/>
      <c r="E31" s="68" t="n">
        <v>8</v>
      </c>
      <c r="F31" s="68" t="inlineStr">
        <is>
          <t>86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confidence capped at 39.</t>
        </is>
      </c>
      <c r="G31" s="68" t="n">
        <v>6.347500443458557</v>
      </c>
      <c r="H31" s="68" t="n">
        <v>6.947500228881836</v>
      </c>
      <c r="I31" s="68" t="n">
        <v>7.337500089406968</v>
      </c>
      <c r="J31" s="68" t="n">
        <v>7.547500014305115</v>
      </c>
      <c r="K31" s="68" t="n">
        <v>8.147499799728394</v>
      </c>
      <c r="L31" s="68" t="n">
        <v>8.357499724626541</v>
      </c>
      <c r="M31" s="68" t="n">
        <v>8.747499585151672</v>
      </c>
      <c r="N31" s="68" t="n">
        <v>9.347499370574951</v>
      </c>
      <c r="O31" s="68" t="n">
        <v>0</v>
      </c>
      <c r="P31" s="68" t="n">
        <v>0.3</v>
      </c>
      <c r="Q31" s="68" t="n">
        <v>0.7</v>
      </c>
      <c r="R31" s="68" t="n">
        <v>1</v>
      </c>
      <c r="S31" s="68" t="n">
        <v>1</v>
      </c>
      <c r="T31" s="68" t="n">
        <v>0.7</v>
      </c>
      <c r="U31" s="68" t="n">
        <v>0.3</v>
      </c>
      <c r="V31" s="68" t="n">
        <v>0</v>
      </c>
    </row>
    <row r="32">
      <c r="A32" s="68" t="inlineStr">
        <is>
          <t>spring_chem_cond|</t>
        </is>
      </c>
      <c r="B32" s="68" t="inlineStr">
        <is>
          <t>spring-chem-cond</t>
        </is>
      </c>
      <c r="C32" s="68" t="inlineStr">
        <is>
          <t>Specific conductivity</t>
        </is>
      </c>
      <c r="D32" s="68" t="inlineStr"/>
      <c r="E32" s="68" t="n">
        <v>4</v>
      </c>
      <c r="F32" s="68" t="inlineStr">
        <is>
          <t>Scored against a published criterion rather than against stations from this ecoregion. The criterion carries its own definition of reference, which need not match this assessment's.</t>
        </is>
      </c>
      <c r="G32" s="68" t="n">
        <v>0</v>
      </c>
      <c r="H32" s="68" t="n">
        <v>500.05</v>
      </c>
      <c r="I32" s="68" t="n">
        <v>1000.05</v>
      </c>
      <c r="J32" s="68" t="n">
        <v>1650.05</v>
      </c>
      <c r="K32" s="68" t="n">
        <v>1650.05</v>
      </c>
      <c r="L32" s="68" t="n">
        <v>1650.05</v>
      </c>
      <c r="M32" s="68" t="n">
        <v>1650.05</v>
      </c>
      <c r="N32" s="68" t="n">
        <v>1650.05</v>
      </c>
      <c r="O32" s="68" t="n">
        <v>1</v>
      </c>
      <c r="P32" s="68" t="n">
        <v>0.6899999999999999</v>
      </c>
      <c r="Q32" s="68" t="n">
        <v>0.39</v>
      </c>
      <c r="R32" s="68" t="n">
        <v>0</v>
      </c>
      <c r="S32" s="68" t="n">
        <v>0</v>
      </c>
      <c r="T32" s="68" t="n">
        <v>0</v>
      </c>
      <c r="U32" s="68" t="n">
        <v>0</v>
      </c>
      <c r="V32" s="68" t="n">
        <v>0</v>
      </c>
    </row>
    <row r="33">
      <c r="A33" s="68" t="inlineStr">
        <is>
          <t>spring_phab_xfc_nat|</t>
        </is>
      </c>
      <c r="B33" s="68" t="inlineStr">
        <is>
          <t>spring-phab-xfc-nat</t>
        </is>
      </c>
      <c r="C33" s="68" t="inlineStr">
        <is>
          <t>Natural fish cover</t>
        </is>
      </c>
      <c r="D33" s="68" t="inlineStr"/>
      <c r="E33" s="68" t="n">
        <v>5</v>
      </c>
      <c r="F33" s="68" t="inlineStr">
        <is>
          <t>26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3" s="68" t="n">
        <v>0</v>
      </c>
      <c r="H33" s="68" t="n">
        <v>0.1044642834791115</v>
      </c>
      <c r="I33" s="68" t="n">
        <v>0.2437499947845936</v>
      </c>
      <c r="J33" s="68" t="n">
        <v>0.6542613804340363</v>
      </c>
      <c r="K33" s="68" t="n">
        <v>0.8595170732587576</v>
      </c>
      <c r="L33" s="68" t="n">
        <v>0.8595170732587576</v>
      </c>
      <c r="M33" s="68" t="n">
        <v>0.8595170732587576</v>
      </c>
      <c r="N33" s="68" t="n">
        <v>0.8595170732587576</v>
      </c>
      <c r="O33" s="68" t="n">
        <v>0</v>
      </c>
      <c r="P33" s="68" t="n">
        <v>0.3</v>
      </c>
      <c r="Q33" s="68" t="n">
        <v>0.7</v>
      </c>
      <c r="R33" s="68" t="n">
        <v>1</v>
      </c>
      <c r="S33" s="68" t="n">
        <v>1</v>
      </c>
      <c r="T33" s="68" t="n">
        <v>1</v>
      </c>
      <c r="U33" s="68" t="n">
        <v>1</v>
      </c>
      <c r="V33" s="68" t="n">
        <v>1</v>
      </c>
    </row>
    <row r="34">
      <c r="A34" s="68" t="inlineStr">
        <is>
          <t>spring_fish_nat_lithpind|</t>
        </is>
      </c>
      <c r="B34" s="68" t="inlineStr">
        <is>
          <t>spring-fish-nat-lithpind</t>
        </is>
      </c>
      <c r="C34" s="68" t="inlineStr">
        <is>
          <t>Simple lithophil fish individuals</t>
        </is>
      </c>
      <c r="D34" s="68" t="inlineStr"/>
      <c r="E34" s="68" t="n">
        <v>5</v>
      </c>
      <c r="F34" s="68" t="inlineStr">
        <is>
          <t>Reference curve fitted to comparable least-disturbed stations drawn from the national pool, because this ecoregion and its parents hold too few of their own.</t>
        </is>
      </c>
      <c r="G34" s="68" t="n">
        <v>0</v>
      </c>
      <c r="H34" s="68" t="n">
        <v>5.24571418762207</v>
      </c>
      <c r="I34" s="68" t="n">
        <v>12.23999977111816</v>
      </c>
      <c r="J34" s="68" t="n">
        <v>66.66999816894531</v>
      </c>
      <c r="K34" s="68" t="n">
        <v>93.88499736785889</v>
      </c>
      <c r="L34" s="68" t="n">
        <v>93.88499736785889</v>
      </c>
      <c r="M34" s="68" t="n">
        <v>93.88499736785889</v>
      </c>
      <c r="N34" s="68" t="n">
        <v>93.88499736785889</v>
      </c>
      <c r="O34" s="68" t="n">
        <v>0</v>
      </c>
      <c r="P34" s="68" t="n">
        <v>0.3</v>
      </c>
      <c r="Q34" s="68" t="n">
        <v>0.7</v>
      </c>
      <c r="R34" s="68" t="n">
        <v>1</v>
      </c>
      <c r="S34" s="68" t="n">
        <v>1</v>
      </c>
      <c r="T34" s="68" t="n">
        <v>1</v>
      </c>
      <c r="U34" s="68" t="n">
        <v>1</v>
      </c>
      <c r="V34" s="68" t="n">
        <v>1</v>
      </c>
    </row>
    <row r="35">
      <c r="A35" s="68" t="inlineStr">
        <is>
          <t>spring_fish_nat_tolrpind|</t>
        </is>
      </c>
      <c r="B35" s="68" t="inlineStr">
        <is>
          <t>spring-fish-nat-tolrpind</t>
        </is>
      </c>
      <c r="C35" s="68" t="inlineStr">
        <is>
          <t>Tolerant native fish individuals</t>
        </is>
      </c>
      <c r="D35" s="68" t="inlineStr"/>
      <c r="E35" s="68" t="n">
        <v>5</v>
      </c>
      <c r="F35" s="68" t="inlineStr">
        <is>
          <t>Reference curve fitted to comparable least-disturbed stations drawn from the national pool, because this ecoregion and its parents hold too few of their own.</t>
        </is>
      </c>
      <c r="G35" s="68" t="n">
        <v>0</v>
      </c>
      <c r="H35" s="68" t="n">
        <v>4.550000190734863</v>
      </c>
      <c r="I35" s="68" t="n">
        <v>34.61999893188477</v>
      </c>
      <c r="J35" s="68" t="n">
        <v>79.72499704360962</v>
      </c>
      <c r="K35" s="68" t="n">
        <v>100</v>
      </c>
      <c r="L35" s="68" t="n">
        <v>100</v>
      </c>
      <c r="M35" s="68" t="n">
        <v>100</v>
      </c>
      <c r="N35" s="68" t="n">
        <v>100</v>
      </c>
      <c r="O35" s="68" t="n">
        <v>1</v>
      </c>
      <c r="P35" s="68" t="n">
        <v>1</v>
      </c>
      <c r="Q35" s="68" t="n">
        <v>0.7</v>
      </c>
      <c r="R35" s="68" t="n">
        <v>0.3</v>
      </c>
      <c r="S35" s="68" t="n">
        <v>0</v>
      </c>
      <c r="T35" s="68" t="n">
        <v>0</v>
      </c>
      <c r="U35" s="68" t="n">
        <v>0</v>
      </c>
      <c r="V35" s="68" t="n">
        <v>0</v>
      </c>
    </row>
    <row r="36">
      <c r="A36" s="68" t="inlineStr">
        <is>
          <t>spring_bent_mmi_bent|</t>
        </is>
      </c>
      <c r="B36" s="68" t="inlineStr">
        <is>
          <t>spring-bent-mmi-bent</t>
        </is>
      </c>
      <c r="C36" s="68" t="inlineStr">
        <is>
          <t>Benthic macroinvertebrate MMI</t>
        </is>
      </c>
      <c r="D36" s="68" t="inlineStr"/>
      <c r="E36" s="68" t="n">
        <v>4</v>
      </c>
      <c r="F36" s="68" t="inlineStr">
        <is>
          <t>Scored against a published criterion rather than against stations from this ecoregion. The criterion carries its own definition of reference, which need not match this assessment's.</t>
        </is>
      </c>
      <c r="G36" s="68" t="n">
        <v>4.235</v>
      </c>
      <c r="H36" s="68" t="n">
        <v>22.695</v>
      </c>
      <c r="I36" s="68" t="n">
        <v>36.895</v>
      </c>
      <c r="J36" s="68" t="n">
        <v>51.568333</v>
      </c>
      <c r="K36" s="68" t="n">
        <v>51.568333</v>
      </c>
      <c r="L36" s="68" t="n">
        <v>51.568333</v>
      </c>
      <c r="M36" s="68" t="n">
        <v>51.568333</v>
      </c>
      <c r="N36" s="68" t="n">
        <v>51.568333</v>
      </c>
      <c r="O36" s="68" t="n">
        <v>0</v>
      </c>
      <c r="P36" s="68" t="n">
        <v>0.39</v>
      </c>
      <c r="Q36" s="68" t="n">
        <v>0.6899999999999999</v>
      </c>
      <c r="R36" s="68" t="n">
        <v>1</v>
      </c>
      <c r="S36" s="68" t="n">
        <v>1</v>
      </c>
      <c r="T36" s="68" t="n">
        <v>1</v>
      </c>
      <c r="U36" s="68" t="n">
        <v>1</v>
      </c>
      <c r="V36" s="68" t="n">
        <v>1</v>
      </c>
    </row>
    <row r="37">
      <c r="A37" s="68" t="inlineStr">
        <is>
          <t>spring_bent_ept_ntax|</t>
        </is>
      </c>
      <c r="B37" s="68" t="inlineStr">
        <is>
          <t>spring-bent-ept-ntax</t>
        </is>
      </c>
      <c r="C37" s="68" t="inlineStr">
        <is>
          <t>EPT taxa richness</t>
        </is>
      </c>
      <c r="D37" s="68" t="inlineStr"/>
      <c r="E37" s="68" t="n">
        <v>5</v>
      </c>
      <c r="F37" s="68"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0.42 of evaluation regions; two thirds required); confidence capped at 39.</t>
        </is>
      </c>
      <c r="G37" s="68" t="n">
        <v>0</v>
      </c>
      <c r="H37" s="68" t="n">
        <v>3.857142857142857</v>
      </c>
      <c r="I37" s="68" t="n">
        <v>9</v>
      </c>
      <c r="J37" s="68" t="n">
        <v>16</v>
      </c>
      <c r="K37" s="68" t="n">
        <v>19.5</v>
      </c>
      <c r="L37" s="68" t="n">
        <v>19.5</v>
      </c>
      <c r="M37" s="68" t="n">
        <v>19.5</v>
      </c>
      <c r="N37" s="68" t="n">
        <v>19.5</v>
      </c>
      <c r="O37" s="68" t="n">
        <v>0</v>
      </c>
      <c r="P37" s="68" t="n">
        <v>0.3</v>
      </c>
      <c r="Q37" s="68" t="n">
        <v>0.7</v>
      </c>
      <c r="R37" s="68" t="n">
        <v>1</v>
      </c>
      <c r="S37" s="68" t="n">
        <v>1</v>
      </c>
      <c r="T37" s="68" t="n">
        <v>1</v>
      </c>
      <c r="U37" s="68" t="n">
        <v>1</v>
      </c>
      <c r="V37" s="68" t="n">
        <v>1</v>
      </c>
    </row>
    <row r="38">
      <c r="A38" s="68" t="inlineStr">
        <is>
          <t>spring_nid_dams_1mi|</t>
        </is>
      </c>
      <c r="B38" s="68" t="inlineStr">
        <is>
          <t>spring-nid-dams-1mi</t>
        </is>
      </c>
      <c r="C38" s="68" t="inlineStr">
        <is>
          <t>Mapped dams within one mile</t>
        </is>
      </c>
      <c r="D38" s="68" t="inlineStr"/>
      <c r="E38" s="68" t="n">
        <v>4</v>
      </c>
      <c r="F38" s="68" t="inlineStr">
        <is>
          <t>Fixed criteria, the same in every region</t>
        </is>
      </c>
      <c r="G38" s="68" t="n">
        <v>0</v>
      </c>
      <c r="H38" s="68" t="n">
        <v>1</v>
      </c>
      <c r="I38" s="68" t="n">
        <v>2</v>
      </c>
      <c r="J38" s="68" t="n">
        <v>3</v>
      </c>
      <c r="K38" s="68" t="n">
        <v>3</v>
      </c>
      <c r="L38" s="68" t="n">
        <v>3</v>
      </c>
      <c r="M38" s="68" t="n">
        <v>3</v>
      </c>
      <c r="N38" s="68" t="n">
        <v>3</v>
      </c>
      <c r="O38" s="68" t="n">
        <v>1</v>
      </c>
      <c r="P38" s="68" t="n">
        <v>0.545</v>
      </c>
      <c r="Q38" s="68" t="n">
        <v>0.195</v>
      </c>
      <c r="R38" s="68" t="n">
        <v>0</v>
      </c>
      <c r="S38" s="68" t="n">
        <v>0</v>
      </c>
      <c r="T38" s="68" t="n">
        <v>0</v>
      </c>
      <c r="U38" s="68" t="n">
        <v>0</v>
      </c>
      <c r="V38" s="68" t="n">
        <v>0</v>
      </c>
    </row>
    <row r="41">
      <c r="A41" s="57" t="inlineStr">
        <is>
          <t>Curve sets by metric</t>
        </is>
      </c>
    </row>
    <row r="42">
      <c r="A42" s="68" t="inlineStr">
        <is>
          <t>All streams (pooled)</t>
        </is>
      </c>
      <c r="B42" s="4" t="inlineStr">
        <is>
          <t>Bankfull width:depth ratio</t>
        </is>
      </c>
    </row>
    <row r="43">
      <c r="A43" s="68" t="inlineStr">
        <is>
          <t>Small stream (10 to 100 km2)</t>
        </is>
      </c>
      <c r="B43" s="4" t="inlineStr">
        <is>
          <t>Bankfull width:depth ratio</t>
        </is>
      </c>
    </row>
    <row r="44">
      <c r="A44" s="68" t="inlineStr">
        <is>
          <t>Large stream (over 100 km2)</t>
        </is>
      </c>
      <c r="B44" s="4" t="inlineStr">
        <is>
          <t>Bankfull width:depth ratio</t>
        </is>
      </c>
    </row>
    <row r="45">
      <c r="A45" s="68" t="inlineStr">
        <is>
          <t>All streams (pooled)</t>
        </is>
      </c>
      <c r="B45" s="4" t="inlineStr">
        <is>
          <t>Bankfull height above channel</t>
        </is>
      </c>
    </row>
    <row r="46">
      <c r="A46" s="68" t="inlineStr">
        <is>
          <t>Small stream (10 to 100 km2)</t>
        </is>
      </c>
      <c r="B46" s="4" t="inlineStr">
        <is>
          <t>Bankfull height above channel</t>
        </is>
      </c>
    </row>
    <row r="47">
      <c r="A47" s="68" t="inlineStr">
        <is>
          <t>Large stream (over 100 km2)</t>
        </is>
      </c>
      <c r="B47" s="4" t="inlineStr">
        <is>
          <t>Bankfull height above channel</t>
        </is>
      </c>
    </row>
    <row r="48">
      <c r="A48" s="68" t="inlineStr">
        <is>
          <t>All streams (pooled)</t>
        </is>
      </c>
      <c r="B48" s="4" t="inlineStr">
        <is>
          <t>Relative bed stability</t>
        </is>
      </c>
    </row>
    <row r="49">
      <c r="A49" s="68" t="inlineStr">
        <is>
          <t>Small stream (10 to 100 km2)</t>
        </is>
      </c>
      <c r="B49" s="4" t="inlineStr">
        <is>
          <t>Relative bed stability</t>
        </is>
      </c>
    </row>
    <row r="50">
      <c r="A50" s="68" t="inlineStr">
        <is>
          <t>Large stream (over 100 km2)</t>
        </is>
      </c>
      <c r="B50" s="4" t="inlineStr">
        <is>
          <t>Relative bed stability</t>
        </is>
      </c>
    </row>
    <row r="53">
      <c r="A53" s="57" t="inlineStr">
        <is>
          <t>Condition classes</t>
        </is>
      </c>
    </row>
    <row r="54">
      <c r="A54" t="inlineStr">
        <is>
          <t>Metric index: at or below 0.39 Non-Functioning, at or below 0.69 Functioning At-Risk, above Functioning.</t>
        </is>
      </c>
    </row>
    <row r="55">
      <c r="A55" t="inlineStr">
        <is>
          <t>Function score (0 to 15): at or below 5 Non-Functioning, at or below 10 Functioning At-Risk, above Functioning.</t>
        </is>
      </c>
    </row>
    <row r="56">
      <c r="A56"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3">
      <c r="A3" s="5" t="inlineStr">
        <is>
          <t>Item</t>
        </is>
      </c>
      <c r="B3" s="5" t="inlineStr">
        <is>
          <t>Value</t>
        </is>
      </c>
    </row>
    <row r="4">
      <c r="A4" s="68" t="inlineStr">
        <is>
          <t>Assessment id</t>
        </is>
      </c>
      <c r="B4" s="68" t="inlineStr">
        <is>
          <t>southern-michigan-northern-indiana-drift-plains</t>
        </is>
      </c>
    </row>
    <row r="5">
      <c r="A5" s="68" t="inlineStr">
        <is>
          <t>Assessment name</t>
        </is>
      </c>
      <c r="B5" s="68" t="inlineStr">
        <is>
          <t>Southern Michigan/Northern Indiana Drift Plains reference assessment</t>
        </is>
      </c>
    </row>
    <row r="6">
      <c r="A6" s="68" t="inlineStr">
        <is>
          <t>Version</t>
        </is>
      </c>
      <c r="B6" s="68" t="n">
        <v>1</v>
      </c>
    </row>
    <row r="7">
      <c r="A7" s="68" t="inlineStr">
        <is>
          <t>Lifecycle status</t>
        </is>
      </c>
      <c r="B7" s="68" t="inlineStr"/>
    </row>
    <row r="8">
      <c r="A8" s="68" t="inlineStr">
        <is>
          <t>Content digest</t>
        </is>
      </c>
      <c r="B8" s="68" t="inlineStr">
        <is>
          <t>sha256:ce867283331e82b389853145b2b381e0a6d12e26c4507893a2b10a028235bf43</t>
        </is>
      </c>
    </row>
    <row r="9">
      <c r="A9" s="68" t="inlineStr">
        <is>
          <t>Region</t>
        </is>
      </c>
      <c r="B9" s="68" t="inlineStr">
        <is>
          <t>ecoregion 56 Southern Michigan/Northern Indiana Drift Plains</t>
        </is>
      </c>
    </row>
    <row r="10">
      <c r="A10" s="68" t="inlineStr">
        <is>
          <t>Source</t>
        </is>
      </c>
      <c r="B10" s="68" t="inlineStr">
        <is>
          <t>USEPA NRSA 2013-24 (L3 ecoregion 56),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28</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1.0</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2026-09-30T07:06:06Z</dcterms:created>
  <dcterms:modified xmlns:dcterms="http://purl.org/dc/terms/" xmlns:xsi="http://www.w3.org/2001/XMLSchema-instance" xsi:type="dcterms:W3CDTF">2026-09-30T07:06:06Z</dcterms:modified>
  <cp:lastModifiedBy>DEEP</cp:lastModifiedBy>
</cp:coreProperties>
</file>