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'Reference'!$A$5:$A$52</definedName>
    <definedName name="curve_x1">'Reference'!$G$5:$G$52</definedName>
    <definedName name="curve_y1">'Reference'!$O$5:$O$52</definedName>
    <definedName name="curve_x2">'Reference'!$H$5:$H$52</definedName>
    <definedName name="curve_y2">'Reference'!$P$5:$P$52</definedName>
    <definedName name="curve_x3">'Reference'!$I$5:$I$52</definedName>
    <definedName name="curve_y3">'Reference'!$Q$5:$Q$52</definedName>
    <definedName name="curve_x4">'Reference'!$J$5:$J$52</definedName>
    <definedName name="curve_y4">'Reference'!$R$5:$R$52</definedName>
    <definedName name="curve_x5">'Reference'!$K$5:$K$52</definedName>
    <definedName name="curve_y5">'Reference'!$S$5:$S$52</definedName>
    <definedName name="curve_x6">'Reference'!$L$5:$L$52</definedName>
    <definedName name="curve_y6">'Reference'!$T$5:$T$52</definedName>
    <definedName name="curve_x7">'Reference'!$M$5:$M$52</definedName>
    <definedName name="curve_y7">'Reference'!$U$5:$U$52</definedName>
    <definedName name="curve_x8">'Reference'!$N$5:$N$52</definedName>
    <definedName name="curve_y8">'Reference'!$V$5:$V$52</definedName>
    <definedName name="strata_spring_pctwet2019ws">'Reference'!$A$56:$A$58</definedName>
    <definedName name="strata_spring_phab_bfwd_rat">'Reference'!$A$59:$A$62</definedName>
    <definedName name="strata_spring_phab_xbkf_h">'Reference'!$A$63:$A$66</definedName>
    <definedName name="strata_spring_phab_lrbs_use">'Reference'!$A$67:$A$70</definedName>
    <definedName name="strata_spring_phab_xcdenmid">'Reference'!$A$71:$A$74</definedName>
    <definedName name="strata_spring_phab_pct_fast">'Reference'!$A$75:$A$76</definedName>
    <definedName name="strata_spring_phab_xfc_nat">'Reference'!$A$77:$A$80</definedName>
    <definedName name="strata_spring_fish_nat_totlntax">'Reference'!$A$81:$A$83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nat_totlntax">'Metrics'!$V$29</definedName>
    <definedName name="idx_spring_bent_ept_ntax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st_spring_fish_nat_totlntax">'DEEP Score'!$F$43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Lakes and Forests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condition is set by a fixed landscape-pressure screen, never by a score. 30 curves are fitted to least-disturbed stations of this ecoregion. 1 borrows comparable least-disturbed stations from a wider region, stating the region and the transfer risk.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Northern Lakes and Forests reference assessment</t>
        </is>
      </c>
    </row>
    <row r="3">
      <c r="A3" s="5" t="inlineStr">
        <is>
          <t>Version 1 | Draft | USEPA NRSA 2013-24 (L3 ecoregion 50), StreamCurves regional analysis, methodology 0.14-provisional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1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2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3">
        <f>IF('DEEP Score'!$E$12="","",'DEEP Score'!$E$12)</f>
        <v/>
      </c>
      <c r="F20" s="44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8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9">
        <f>IF('DEEP Score'!$E$19="","",'DEEP Score'!$E$19)</f>
        <v/>
      </c>
      <c r="F21" s="40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1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8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9">
        <f>IF('DEEP Score'!$E$19="","",'DEEP Score'!$E$19)</f>
        <v/>
      </c>
      <c r="F25" s="40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8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IF('Metrics'!$V$13="","",'Metrics'!$V$13)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6">
        <f>IF('DEEP Score'!$E$24="","",'DEEP Score'!$E$24)</f>
        <v/>
      </c>
      <c r="F32" s="47" t="inlineStr"/>
      <c r="G32" s="26">
        <f>IF('Metrics'!$V$14="","",'Metrics'!$V$14)</f>
        <v/>
      </c>
      <c r="H32" s="21" t="n"/>
      <c r="I32" s="27" t="n"/>
    </row>
    <row r="33">
      <c r="A33" s="49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1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50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7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9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9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1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8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1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1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41" t="inlineStr">
        <is>
          <t>All streams (pooled)</t>
        </is>
      </c>
      <c r="G43" s="26">
        <f>IF('Metrics'!$V$29="","",'Metrics'!$V$29)</f>
        <v/>
      </c>
      <c r="H43" s="21" t="n"/>
      <c r="I43" s="27" t="n"/>
    </row>
    <row r="44">
      <c r="A44" s="51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Tolerant individuals (%) ~ HBI</t>
        </is>
      </c>
      <c r="D45" s="23" t="inlineStr"/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2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7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3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4" t="inlineStr">
        <is>
          <t>Physical</t>
        </is>
      </c>
      <c r="B50" s="55">
        <f>'Results'!$B$26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Chemical</t>
        </is>
      </c>
      <c r="B51" s="55">
        <f>'Results'!$B$27</f>
        <v/>
      </c>
      <c r="C51" s="56">
        <f>IF('DEEP Score'!$B$51&lt;=0.39,"Non-Functioning",IF('DEEP Score'!$B$51&lt;=0.69,"Functioning At-Risk","Functioning"))</f>
        <v/>
      </c>
    </row>
    <row r="52">
      <c r="A52" s="54" t="inlineStr">
        <is>
          <t>Biological</t>
        </is>
      </c>
      <c r="B52" s="55">
        <f>'Results'!$B$28</f>
        <v/>
      </c>
      <c r="C52" s="56">
        <f>IF('DEEP Score'!$B$52&lt;=0.39,"Non-Functioning",IF('DEEP Score'!$B$52&lt;=0.69,"Functioning At-Risk","Functioning"))</f>
        <v/>
      </c>
    </row>
    <row r="53" ht="30" customHeight="1">
      <c r="A53" s="57" t="inlineStr">
        <is>
          <t>Ecosystem Condition Index</t>
        </is>
      </c>
      <c r="B53" s="58">
        <f>'Results'!$B$29</f>
        <v/>
      </c>
      <c r="C53" s="56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6" t="inlineStr">
        <is>
          <t>Notes</t>
        </is>
      </c>
    </row>
    <row r="58">
      <c r="A58" s="59" t="n"/>
      <c r="B58" s="60" t="n"/>
      <c r="C58" s="60" t="n"/>
      <c r="D58" s="60" t="n"/>
      <c r="E58" s="60" t="n"/>
      <c r="F58" s="60" t="n"/>
      <c r="G58" s="60" t="n"/>
      <c r="H58" s="60" t="n"/>
      <c r="I58" s="61" t="n"/>
    </row>
    <row r="59">
      <c r="A59" s="62" t="n"/>
      <c r="B59" s="63" t="n"/>
      <c r="C59" s="63" t="n"/>
      <c r="D59" s="63" t="n"/>
      <c r="E59" s="63" t="n"/>
      <c r="F59" s="63" t="n"/>
      <c r="G59" s="63" t="n"/>
      <c r="H59" s="63" t="n"/>
      <c r="I59" s="64" t="n"/>
    </row>
    <row r="60">
      <c r="A60" s="62" t="n"/>
      <c r="B60" s="63" t="n"/>
      <c r="C60" s="63" t="n"/>
      <c r="D60" s="63" t="n"/>
      <c r="E60" s="63" t="n"/>
      <c r="F60" s="63" t="n"/>
      <c r="G60" s="63" t="n"/>
      <c r="H60" s="63" t="n"/>
      <c r="I60" s="64" t="n"/>
    </row>
    <row r="61">
      <c r="A61" s="62" t="n"/>
      <c r="B61" s="63" t="n"/>
      <c r="C61" s="63" t="n"/>
      <c r="D61" s="63" t="n"/>
      <c r="E61" s="63" t="n"/>
      <c r="F61" s="63" t="n"/>
      <c r="G61" s="63" t="n"/>
      <c r="H61" s="63" t="n"/>
      <c r="I61" s="64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5" t="n"/>
      <c r="B63" s="66" t="n"/>
      <c r="C63" s="66" t="n"/>
      <c r="D63" s="66" t="n"/>
      <c r="E63" s="66" t="n"/>
      <c r="F63" s="66" t="n"/>
      <c r="G63" s="66" t="n"/>
      <c r="H63" s="66" t="n"/>
      <c r="I63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  <dataValidation sqref="F43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IF('DEEP Score'!$F$14="","All streams (pooled)",'DEEP Score'!$F$14)</f>
        <v/>
      </c>
      <c r="D7" s="70">
        <f>"spring_pctwet2019ws|"&amp;'Metrics'!$C$7</f>
        <v/>
      </c>
      <c r="E7" s="70">
        <f>IFERROR(MATCH('Metrics'!$D$7,curve_key,0),MATCH("spring_pctwet2019ws|All streams (pooled)",curve_key,0))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Specific conductivity</t>
        </is>
      </c>
      <c r="B24" s="70">
        <f>IF('DEEP Score'!$E$38="","",'DEEP Score'!$E$38)</f>
        <v/>
      </c>
      <c r="C24" s="70">
        <f>""</f>
        <v/>
      </c>
      <c r="D24" s="70">
        <f>"spring_chem_cond|"&amp;'Metrics'!$C$24</f>
        <v/>
      </c>
      <c r="E24" s="70">
        <f>IFERROR(MATCH('Metrics'!$D$24,curve_key,0),MATCH("spring_chem_cond|",curve_key,0))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Turbidity</t>
        </is>
      </c>
      <c r="B25" s="70">
        <f>IF('DEEP Score'!$E$39="","",'DEEP Score'!$E$39)</f>
        <v/>
      </c>
      <c r="C25" s="70">
        <f>""</f>
        <v/>
      </c>
      <c r="D25" s="70">
        <f>"spring_chem_turb|"&amp;'Metrics'!$C$25</f>
        <v/>
      </c>
      <c r="E25" s="70">
        <f>IFERROR(MATCH('Metrics'!$D$25,curve_key,0),MATCH("spring_chem_turb|",curve_key,0))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Native fish taxa richness</t>
        </is>
      </c>
      <c r="B29" s="70">
        <f>IF('DEEP Score'!$E$43="","",'DEEP Score'!$E$43)</f>
        <v/>
      </c>
      <c r="C29" s="70">
        <f>IF('DEEP Score'!$F$43="","All streams (pooled)",'DEEP Score'!$F$43)</f>
        <v/>
      </c>
      <c r="D29" s="70">
        <f>"spring_fish_nat_totlntax|"&amp;'Metrics'!$C$29</f>
        <v/>
      </c>
      <c r="E29" s="70">
        <f>IFERROR(MATCH('Metrics'!$D$29,curve_key,0),MATCH("spring_fish_nat_totlntax|All streams (pooled)",curve_key,0))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Score'!$E$44="","",'DEEP Score'!$E$44)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Tolerant individuals (%) ~ HBI</t>
        </is>
      </c>
      <c r="B31" s="70">
        <f>IF('DEEP Score'!$E$45="","",'DEEP Score'!$E$45)</f>
        <v/>
      </c>
      <c r="C31" s="70">
        <f>""</f>
        <v/>
      </c>
      <c r="D31" s="70">
        <f>"spring_bent_tolrpind|"&amp;'Metrics'!$C$31</f>
        <v/>
      </c>
      <c r="E31" s="70">
        <f>IFERROR(MATCH('Metrics'!$D$31,curve_key,0),MATCH("spring_bent_tolrpind|",curve_key,0))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8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spring_pctwet2019ws|All streams (pooled)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>
        <is>
          <t>All streams (pooled)</t>
        </is>
      </c>
      <c r="E7" s="69" t="n">
        <v>5</v>
      </c>
      <c r="F7" s="69" t="inlineStr">
        <is>
          <t>56 least-disturbed stations of this ecoregion</t>
        </is>
      </c>
      <c r="G7" s="69" t="n">
        <v>0</v>
      </c>
      <c r="H7" s="69" t="n">
        <v>7.211785714285715</v>
      </c>
      <c r="I7" s="69" t="n">
        <v>16.8275</v>
      </c>
      <c r="J7" s="69" t="n">
        <v>39.185</v>
      </c>
      <c r="K7" s="69" t="n">
        <v>45.89225</v>
      </c>
      <c r="L7" s="69" t="n">
        <v>45.89225</v>
      </c>
      <c r="M7" s="69" t="n">
        <v>45.89225</v>
      </c>
      <c r="N7" s="69" t="n">
        <v>45.89225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spring_pctwet2019ws|Low gradient (under 0.5 percent)</t>
        </is>
      </c>
      <c r="B8" s="69" t="inlineStr">
        <is>
          <t>spring-pctwet2019ws</t>
        </is>
      </c>
      <c r="C8" s="69" t="inlineStr">
        <is>
          <t>Wetland</t>
        </is>
      </c>
      <c r="D8" s="69" t="inlineStr">
        <is>
          <t>Low gradient (under 0.5 percent)</t>
        </is>
      </c>
      <c r="E8" s="69" t="n">
        <v>5</v>
      </c>
      <c r="F8" s="69" t="inlineStr">
        <is>
          <t>56 least-disturbed stations of this ecoregion</t>
        </is>
      </c>
      <c r="G8" s="69" t="n">
        <v>0</v>
      </c>
      <c r="H8" s="69" t="n">
        <v>10.35214285714286</v>
      </c>
      <c r="I8" s="69" t="n">
        <v>24.155</v>
      </c>
      <c r="J8" s="69" t="n">
        <v>45.7425</v>
      </c>
      <c r="K8" s="69" t="n">
        <v>52.21875</v>
      </c>
      <c r="L8" s="69" t="n">
        <v>52.21875</v>
      </c>
      <c r="M8" s="69" t="n">
        <v>52.21875</v>
      </c>
      <c r="N8" s="69" t="n">
        <v>52.21875</v>
      </c>
      <c r="O8" s="69" t="n">
        <v>0</v>
      </c>
      <c r="P8" s="69" t="n">
        <v>0.3</v>
      </c>
      <c r="Q8" s="69" t="n">
        <v>0.7</v>
      </c>
      <c r="R8" s="69" t="n">
        <v>1</v>
      </c>
      <c r="S8" s="69" t="n">
        <v>1</v>
      </c>
      <c r="T8" s="69" t="n">
        <v>1</v>
      </c>
      <c r="U8" s="69" t="n">
        <v>1</v>
      </c>
      <c r="V8" s="69" t="n">
        <v>1</v>
      </c>
    </row>
    <row r="9">
      <c r="A9" s="69" t="inlineStr">
        <is>
          <t>spring_pctwet2019ws|Moderate gradient (0.5 to 2 percent)</t>
        </is>
      </c>
      <c r="B9" s="69" t="inlineStr">
        <is>
          <t>spring-pctwet2019ws</t>
        </is>
      </c>
      <c r="C9" s="69" t="inlineStr">
        <is>
          <t>Wetland</t>
        </is>
      </c>
      <c r="D9" s="69" t="inlineStr">
        <is>
          <t>Moderate gradient (0.5 to 2 percent)</t>
        </is>
      </c>
      <c r="E9" s="69" t="n">
        <v>5</v>
      </c>
      <c r="F9" s="69" t="inlineStr">
        <is>
          <t>56 least-disturbed stations of this ecoregion</t>
        </is>
      </c>
      <c r="G9" s="69" t="n">
        <v>0</v>
      </c>
      <c r="H9" s="69" t="n">
        <v>3.223928571428571</v>
      </c>
      <c r="I9" s="69" t="n">
        <v>7.5225</v>
      </c>
      <c r="J9" s="69" t="n">
        <v>25.28</v>
      </c>
      <c r="K9" s="69" t="n">
        <v>30.60725</v>
      </c>
      <c r="L9" s="69" t="n">
        <v>30.60725</v>
      </c>
      <c r="M9" s="69" t="n">
        <v>30.60725</v>
      </c>
      <c r="N9" s="69" t="n">
        <v>30.60725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spring_rddensws|</t>
        </is>
      </c>
      <c r="B10" s="69" t="inlineStr">
        <is>
          <t>spring-rddensws</t>
        </is>
      </c>
      <c r="C10" s="69" t="inlineStr">
        <is>
          <t>Road density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1</v>
      </c>
      <c r="I10" s="69" t="n">
        <v>3</v>
      </c>
      <c r="J10" s="69" t="n">
        <v>5.6</v>
      </c>
      <c r="K10" s="69" t="n">
        <v>5.6</v>
      </c>
      <c r="L10" s="69" t="n">
        <v>5.6</v>
      </c>
      <c r="M10" s="69" t="n">
        <v>5.6</v>
      </c>
      <c r="N10" s="69" t="n">
        <v>5.6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spring_bfiws|</t>
        </is>
      </c>
      <c r="B11" s="69" t="inlineStr">
        <is>
          <t>spring-bfiws</t>
        </is>
      </c>
      <c r="C11" s="69" t="inlineStr">
        <is>
          <t>Base flow index</t>
        </is>
      </c>
      <c r="D11" s="69" t="inlineStr"/>
      <c r="E11" s="69" t="n">
        <v>5</v>
      </c>
      <c r="F11" s="69" t="inlineStr">
        <is>
          <t>56 least-disturbed stations of this ecoregion</t>
        </is>
      </c>
      <c r="G11" s="69" t="n">
        <v>0</v>
      </c>
      <c r="H11" s="69" t="n">
        <v>23.57142857142857</v>
      </c>
      <c r="I11" s="69" t="n">
        <v>55</v>
      </c>
      <c r="J11" s="69" t="n">
        <v>67.007825</v>
      </c>
      <c r="K11" s="69" t="n">
        <v>70.61017249999999</v>
      </c>
      <c r="L11" s="69" t="n">
        <v>70.61017249999999</v>
      </c>
      <c r="M11" s="69" t="n">
        <v>70.61017249999999</v>
      </c>
      <c r="N11" s="69" t="n">
        <v>70.61017249999999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spring_dorws|</t>
        </is>
      </c>
      <c r="B12" s="69" t="inlineStr">
        <is>
          <t>spring-dorws</t>
        </is>
      </c>
      <c r="C12" s="69" t="inlineStr">
        <is>
          <t>Degree of regulation</t>
        </is>
      </c>
      <c r="D12" s="69" t="inlineStr"/>
      <c r="E12" s="69" t="n">
        <v>4</v>
      </c>
      <c r="F12" s="69" t="inlineStr">
        <is>
          <t>Fixed criteria, the same in every region</t>
        </is>
      </c>
      <c r="G12" s="69" t="n">
        <v>0</v>
      </c>
      <c r="H12" s="69" t="n">
        <v>2</v>
      </c>
      <c r="I12" s="69" t="n">
        <v>15.005</v>
      </c>
      <c r="J12" s="69" t="n">
        <v>31.9115</v>
      </c>
      <c r="K12" s="69" t="n">
        <v>31.9115</v>
      </c>
      <c r="L12" s="69" t="n">
        <v>31.9115</v>
      </c>
      <c r="M12" s="69" t="n">
        <v>31.9115</v>
      </c>
      <c r="N12" s="69" t="n">
        <v>31.9115</v>
      </c>
      <c r="O12" s="69" t="n">
        <v>1</v>
      </c>
      <c r="P12" s="69" t="n">
        <v>0.6899999999999999</v>
      </c>
      <c r="Q12" s="69" t="n">
        <v>0.39</v>
      </c>
      <c r="R12" s="69" t="n">
        <v>0</v>
      </c>
      <c r="S12" s="69" t="n">
        <v>0</v>
      </c>
      <c r="T12" s="69" t="n">
        <v>0</v>
      </c>
      <c r="U12" s="69" t="n">
        <v>0</v>
      </c>
      <c r="V12" s="69" t="n">
        <v>0</v>
      </c>
    </row>
    <row r="13">
      <c r="A13" s="69" t="inlineStr">
        <is>
          <t>spring_phab_bfwd_rat|All streams (pooled)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All streams (pooled)</t>
        </is>
      </c>
      <c r="E13" s="69" t="n">
        <v>7</v>
      </c>
      <c r="F13" s="69" t="inlineStr">
        <is>
          <t>56 least-disturbed stations of this ecoregion</t>
        </is>
      </c>
      <c r="G13" s="69" t="n">
        <v>0</v>
      </c>
      <c r="H13" s="69" t="n">
        <v>3.285044020414353</v>
      </c>
      <c r="I13" s="69" t="n">
        <v>6.080692410469055</v>
      </c>
      <c r="J13" s="69" t="n">
        <v>14.06825923919678</v>
      </c>
      <c r="K13" s="69" t="n">
        <v>16.86390762925148</v>
      </c>
      <c r="L13" s="69" t="n">
        <v>22.0558260679245</v>
      </c>
      <c r="M13" s="69" t="n">
        <v>30.04339289665222</v>
      </c>
      <c r="N13" s="69" t="n">
        <v>30.04339289665222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spring_phab_bfwd_rat|Headwater (10 km2 and under)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Headwater (10 km2 and under)</t>
        </is>
      </c>
      <c r="E14" s="69" t="n">
        <v>8</v>
      </c>
      <c r="F14" s="69" t="inlineStr">
        <is>
          <t>56 least-disturbed stations of this ecoregion</t>
        </is>
      </c>
      <c r="G14" s="69" t="n">
        <v>0</v>
      </c>
      <c r="H14" s="69" t="n">
        <v>2.002209663391113</v>
      </c>
      <c r="I14" s="69" t="n">
        <v>3.511556172370911</v>
      </c>
      <c r="J14" s="69" t="n">
        <v>4.324281215667725</v>
      </c>
      <c r="K14" s="69" t="n">
        <v>6.646352767944336</v>
      </c>
      <c r="L14" s="69" t="n">
        <v>7.45907781124115</v>
      </c>
      <c r="M14" s="69" t="n">
        <v>8.968424320220947</v>
      </c>
      <c r="N14" s="69" t="n">
        <v>11.29049587249756</v>
      </c>
      <c r="O14" s="69" t="n">
        <v>0</v>
      </c>
      <c r="P14" s="69" t="n">
        <v>0.3</v>
      </c>
      <c r="Q14" s="69" t="n">
        <v>0.7</v>
      </c>
      <c r="R14" s="69" t="n">
        <v>1</v>
      </c>
      <c r="S14" s="69" t="n">
        <v>1</v>
      </c>
      <c r="T14" s="69" t="n">
        <v>0.7</v>
      </c>
      <c r="U14" s="69" t="n">
        <v>0.3</v>
      </c>
      <c r="V14" s="69" t="n">
        <v>0</v>
      </c>
    </row>
    <row r="15">
      <c r="A15" s="69" t="inlineStr">
        <is>
          <t>spring_phab_bfwd_rat|Small stream (10 to 100 km2)</t>
        </is>
      </c>
      <c r="B15" s="69" t="inlineStr">
        <is>
          <t>spring-phab-bfwd-rat</t>
        </is>
      </c>
      <c r="C15" s="69" t="inlineStr">
        <is>
          <t>Bankfull width:depth ratio</t>
        </is>
      </c>
      <c r="D15" s="69" t="inlineStr">
        <is>
          <t>Small stream (10 to 100 km2)</t>
        </is>
      </c>
      <c r="E15" s="69" t="n">
        <v>7</v>
      </c>
      <c r="F15" s="69" t="inlineStr">
        <is>
          <t>56 least-disturbed stations of this ecoregion</t>
        </is>
      </c>
      <c r="G15" s="69" t="n">
        <v>0</v>
      </c>
      <c r="H15" s="69" t="n">
        <v>3.08002359867096</v>
      </c>
      <c r="I15" s="69" t="n">
        <v>6.509458065032959</v>
      </c>
      <c r="J15" s="69" t="n">
        <v>16.30784225463867</v>
      </c>
      <c r="K15" s="69" t="n">
        <v>19.73727672100067</v>
      </c>
      <c r="L15" s="69" t="n">
        <v>26.10622644424438</v>
      </c>
      <c r="M15" s="69" t="n">
        <v>35.9046106338501</v>
      </c>
      <c r="N15" s="69" t="n">
        <v>35.9046106338501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spring_phab_bfwd_rat|Large stream (over 100 km2)</t>
        </is>
      </c>
      <c r="B16" s="69" t="inlineStr">
        <is>
          <t>spring-phab-bfwd-rat</t>
        </is>
      </c>
      <c r="C16" s="69" t="inlineStr">
        <is>
          <t>Bankfull width:depth ratio</t>
        </is>
      </c>
      <c r="D16" s="69" t="inlineStr">
        <is>
          <t>Large stream (over 100 km2)</t>
        </is>
      </c>
      <c r="E16" s="69" t="n">
        <v>7</v>
      </c>
      <c r="F16" s="69" t="inlineStr">
        <is>
          <t>56 least-disturbed stations of this ecoregion</t>
        </is>
      </c>
      <c r="G16" s="69" t="n">
        <v>0</v>
      </c>
      <c r="H16" s="69" t="n">
        <v>3.473315292596817</v>
      </c>
      <c r="I16" s="69" t="n">
        <v>7.033876299858093</v>
      </c>
      <c r="J16" s="69" t="n">
        <v>17.20690774917603</v>
      </c>
      <c r="K16" s="69" t="n">
        <v>20.7674687564373</v>
      </c>
      <c r="L16" s="69" t="n">
        <v>27.37993919849396</v>
      </c>
      <c r="M16" s="69" t="n">
        <v>37.55297064781189</v>
      </c>
      <c r="N16" s="69" t="n">
        <v>37.55297064781189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spring_phab_xbkf_h|All streams (pooled)</t>
        </is>
      </c>
      <c r="B17" s="69" t="inlineStr">
        <is>
          <t>spring-phab-xbkf-h</t>
        </is>
      </c>
      <c r="C17" s="69" t="inlineStr">
        <is>
          <t>Bankfull height above channel</t>
        </is>
      </c>
      <c r="D17" s="69" t="inlineStr">
        <is>
          <t>All streams (pooled)</t>
        </is>
      </c>
      <c r="E17" s="69" t="n">
        <v>7</v>
      </c>
      <c r="F17" s="69" t="inlineStr">
        <is>
          <t>56 least-disturbed stations of this ecoregion</t>
        </is>
      </c>
      <c r="G17" s="69" t="n">
        <v>0</v>
      </c>
      <c r="H17" s="69" t="n">
        <v>0.1300000019371509</v>
      </c>
      <c r="I17" s="69" t="n">
        <v>0.2000000029802322</v>
      </c>
      <c r="J17" s="69" t="n">
        <v>0.4000000059604645</v>
      </c>
      <c r="K17" s="69" t="n">
        <v>0.4700000070035458</v>
      </c>
      <c r="L17" s="69" t="n">
        <v>0.6000000089406967</v>
      </c>
      <c r="M17" s="69" t="n">
        <v>0.800000011920929</v>
      </c>
      <c r="N17" s="69" t="n">
        <v>0.800000011920929</v>
      </c>
      <c r="O17" s="69" t="n">
        <v>0</v>
      </c>
      <c r="P17" s="69" t="n">
        <v>0.7</v>
      </c>
      <c r="Q17" s="69" t="n">
        <v>1</v>
      </c>
      <c r="R17" s="69" t="n">
        <v>1</v>
      </c>
      <c r="S17" s="69" t="n">
        <v>0.7</v>
      </c>
      <c r="T17" s="69" t="n">
        <v>0.3</v>
      </c>
      <c r="U17" s="69" t="n">
        <v>0</v>
      </c>
      <c r="V17" s="69" t="n">
        <v>0</v>
      </c>
    </row>
    <row r="18">
      <c r="A18" s="69" t="inlineStr">
        <is>
          <t>spring_phab_xbkf_h|Headwater (10 km2 and under)</t>
        </is>
      </c>
      <c r="B18" s="69" t="inlineStr">
        <is>
          <t>spring-phab-xbkf-h</t>
        </is>
      </c>
      <c r="C18" s="69" t="inlineStr">
        <is>
          <t>Bankfull height above channel</t>
        </is>
      </c>
      <c r="D18" s="69" t="inlineStr">
        <is>
          <t>Headwater (10 km2 and under)</t>
        </is>
      </c>
      <c r="E18" s="69" t="n">
        <v>7</v>
      </c>
      <c r="F18" s="69" t="inlineStr">
        <is>
          <t>56 least-disturbed stations of this ecoregion</t>
        </is>
      </c>
      <c r="G18" s="69" t="n">
        <v>0</v>
      </c>
      <c r="H18" s="69" t="n">
        <v>0.07136362344026566</v>
      </c>
      <c r="I18" s="69" t="n">
        <v>0.1636363565921783</v>
      </c>
      <c r="J18" s="69" t="n">
        <v>0.4272727370262146</v>
      </c>
      <c r="K18" s="69" t="n">
        <v>0.5195454701781272</v>
      </c>
      <c r="L18" s="69" t="n">
        <v>0.6909091174602509</v>
      </c>
      <c r="M18" s="69" t="n">
        <v>0.9545454978942871</v>
      </c>
      <c r="N18" s="69" t="n">
        <v>0.9545454978942871</v>
      </c>
      <c r="O18" s="69" t="n">
        <v>0</v>
      </c>
      <c r="P18" s="69" t="n">
        <v>0.7</v>
      </c>
      <c r="Q18" s="69" t="n">
        <v>1</v>
      </c>
      <c r="R18" s="69" t="n">
        <v>1</v>
      </c>
      <c r="S18" s="69" t="n">
        <v>0.7</v>
      </c>
      <c r="T18" s="69" t="n">
        <v>0.3</v>
      </c>
      <c r="U18" s="69" t="n">
        <v>0</v>
      </c>
      <c r="V18" s="69" t="n">
        <v>0</v>
      </c>
    </row>
    <row r="19">
      <c r="A19" s="69" t="inlineStr">
        <is>
          <t>spring_phab_xbkf_h|Small stream (10 to 100 km2)</t>
        </is>
      </c>
      <c r="B19" s="69" t="inlineStr">
        <is>
          <t>spring-phab-xbkf-h</t>
        </is>
      </c>
      <c r="C19" s="69" t="inlineStr">
        <is>
          <t>Bankfull height above channel</t>
        </is>
      </c>
      <c r="D19" s="69" t="inlineStr">
        <is>
          <t>Small stream (10 to 100 km2)</t>
        </is>
      </c>
      <c r="E19" s="69" t="n">
        <v>7</v>
      </c>
      <c r="F19" s="69" t="inlineStr">
        <is>
          <t>56 least-disturbed stations of this ecoregion</t>
        </is>
      </c>
      <c r="G19" s="69" t="n">
        <v>0</v>
      </c>
      <c r="H19" s="69" t="n">
        <v>0.1177272662520409</v>
      </c>
      <c r="I19" s="69" t="n">
        <v>0.1909090876579285</v>
      </c>
      <c r="J19" s="69" t="n">
        <v>0.4000000059604645</v>
      </c>
      <c r="K19" s="69" t="n">
        <v>0.4731818273663521</v>
      </c>
      <c r="L19" s="69" t="n">
        <v>0.6090909242630005</v>
      </c>
      <c r="M19" s="69" t="n">
        <v>0.8181818425655365</v>
      </c>
      <c r="N19" s="69" t="n">
        <v>0.8181818425655365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0.7</v>
      </c>
      <c r="T19" s="69" t="n">
        <v>0.3</v>
      </c>
      <c r="U19" s="69" t="n">
        <v>0</v>
      </c>
      <c r="V19" s="69" t="n">
        <v>0</v>
      </c>
    </row>
    <row r="20">
      <c r="A20" s="69" t="inlineStr">
        <is>
          <t>spring_phab_xbkf_h|Large stream (over 100 km2)</t>
        </is>
      </c>
      <c r="B20" s="69" t="inlineStr">
        <is>
          <t>spring-phab-xbkf-h</t>
        </is>
      </c>
      <c r="C20" s="69" t="inlineStr">
        <is>
          <t>Bankfull height above channel</t>
        </is>
      </c>
      <c r="D20" s="69" t="inlineStr">
        <is>
          <t>Large stream (over 100 km2)</t>
        </is>
      </c>
      <c r="E20" s="69" t="n">
        <v>8</v>
      </c>
      <c r="F20" s="69" t="inlineStr">
        <is>
          <t>56 least-disturbed stations of this ecoregion</t>
        </is>
      </c>
      <c r="G20" s="69" t="n">
        <v>0</v>
      </c>
      <c r="H20" s="69" t="n">
        <v>0.09545454382896423</v>
      </c>
      <c r="I20" s="69" t="n">
        <v>0.1870454527437687</v>
      </c>
      <c r="J20" s="69" t="n">
        <v>0.2363636344671249</v>
      </c>
      <c r="K20" s="69" t="n">
        <v>0.3772727251052856</v>
      </c>
      <c r="L20" s="69" t="n">
        <v>0.4265909068286419</v>
      </c>
      <c r="M20" s="69" t="n">
        <v>0.5181818157434464</v>
      </c>
      <c r="N20" s="69" t="n">
        <v>0.6590909063816071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0.7</v>
      </c>
      <c r="U20" s="69" t="n">
        <v>0.3</v>
      </c>
      <c r="V20" s="69" t="n">
        <v>0</v>
      </c>
    </row>
    <row r="21">
      <c r="A21" s="69" t="inlineStr">
        <is>
          <t>spring_phab_pct_safn|</t>
        </is>
      </c>
      <c r="B21" s="69" t="inlineStr">
        <is>
          <t>spring-phab-pct-safn</t>
        </is>
      </c>
      <c r="C21" s="69" t="inlineStr">
        <is>
          <t>Sand + fines</t>
        </is>
      </c>
      <c r="D21" s="69" t="inlineStr"/>
      <c r="E21" s="69" t="n">
        <v>4</v>
      </c>
      <c r="F21" s="69" t="inlineStr">
        <is>
          <t>56 least-disturbed stations of this ecoregion</t>
        </is>
      </c>
      <c r="G21" s="69" t="n">
        <v>25.04761962890625</v>
      </c>
      <c r="H21" s="69" t="n">
        <v>39.0476188659668</v>
      </c>
      <c r="I21" s="69" t="n">
        <v>85.71428298950195</v>
      </c>
      <c r="J21" s="69" t="n">
        <v>100</v>
      </c>
      <c r="K21" s="69" t="n">
        <v>100</v>
      </c>
      <c r="L21" s="69" t="n">
        <v>100</v>
      </c>
      <c r="M21" s="69" t="n">
        <v>100</v>
      </c>
      <c r="N21" s="69" t="n">
        <v>100</v>
      </c>
      <c r="O21" s="69" t="n">
        <v>1</v>
      </c>
      <c r="P21" s="69" t="n">
        <v>1</v>
      </c>
      <c r="Q21" s="69" t="n">
        <v>0.7</v>
      </c>
      <c r="R21" s="69" t="n">
        <v>0</v>
      </c>
      <c r="S21" s="69" t="n">
        <v>0</v>
      </c>
      <c r="T21" s="69" t="n">
        <v>0</v>
      </c>
      <c r="U21" s="69" t="n">
        <v>0</v>
      </c>
      <c r="V21" s="69" t="n">
        <v>0</v>
      </c>
    </row>
    <row r="22">
      <c r="A22" s="69" t="inlineStr">
        <is>
          <t>spring_phab_xembed|</t>
        </is>
      </c>
      <c r="B22" s="69" t="inlineStr">
        <is>
          <t>spring-phab-xembed</t>
        </is>
      </c>
      <c r="C22" s="69" t="inlineStr">
        <is>
          <t>Embeddedness</t>
        </is>
      </c>
      <c r="D22" s="69" t="inlineStr"/>
      <c r="E22" s="69" t="n">
        <v>4</v>
      </c>
      <c r="F22" s="69" t="inlineStr">
        <is>
          <t>51 least-disturbed stations of this ecoregion</t>
        </is>
      </c>
      <c r="G22" s="69" t="n">
        <v>43.1274248123169</v>
      </c>
      <c r="H22" s="69" t="n">
        <v>54.37424278259277</v>
      </c>
      <c r="I22" s="69" t="n">
        <v>91.8636360168457</v>
      </c>
      <c r="J22" s="69" t="n">
        <v>100</v>
      </c>
      <c r="K22" s="69" t="n">
        <v>100</v>
      </c>
      <c r="L22" s="69" t="n">
        <v>100</v>
      </c>
      <c r="M22" s="69" t="n">
        <v>100</v>
      </c>
      <c r="N22" s="69" t="n">
        <v>100</v>
      </c>
      <c r="O22" s="69" t="n">
        <v>1</v>
      </c>
      <c r="P22" s="69" t="n">
        <v>1</v>
      </c>
      <c r="Q22" s="69" t="n">
        <v>0.7</v>
      </c>
      <c r="R22" s="69" t="n">
        <v>0</v>
      </c>
      <c r="S22" s="69" t="n">
        <v>0</v>
      </c>
      <c r="T22" s="69" t="n">
        <v>0</v>
      </c>
      <c r="U22" s="69" t="n">
        <v>0</v>
      </c>
      <c r="V22" s="69" t="n">
        <v>0</v>
      </c>
    </row>
    <row r="23">
      <c r="A23" s="69" t="inlineStr">
        <is>
          <t>spring_phab_sinu|</t>
        </is>
      </c>
      <c r="B23" s="69" t="inlineStr">
        <is>
          <t>spring-phab-sinu</t>
        </is>
      </c>
      <c r="C23" s="69" t="inlineStr">
        <is>
          <t>Sinuosity</t>
        </is>
      </c>
      <c r="D23" s="69" t="inlineStr"/>
      <c r="E23" s="69" t="n">
        <v>4</v>
      </c>
      <c r="F23" s="69" t="inlineStr">
        <is>
          <t>49 least-disturbed stations of this ecoregion</t>
        </is>
      </c>
      <c r="G23" s="69" t="n">
        <v>1</v>
      </c>
      <c r="H23" s="69" t="n">
        <v>1.16289210319519</v>
      </c>
      <c r="I23" s="69" t="n">
        <v>1.49250602722168</v>
      </c>
      <c r="J23" s="69" t="n">
        <v>1.591390204429626</v>
      </c>
      <c r="K23" s="69" t="n">
        <v>1.591390204429626</v>
      </c>
      <c r="L23" s="69" t="n">
        <v>1.591390204429626</v>
      </c>
      <c r="M23" s="69" t="n">
        <v>1.591390204429626</v>
      </c>
      <c r="N23" s="69" t="n">
        <v>1.591390204429626</v>
      </c>
      <c r="O23" s="69" t="n">
        <v>0</v>
      </c>
      <c r="P23" s="69" t="n">
        <v>0.7</v>
      </c>
      <c r="Q23" s="69" t="n">
        <v>1</v>
      </c>
      <c r="R23" s="69" t="n">
        <v>1</v>
      </c>
      <c r="S23" s="69" t="n">
        <v>1</v>
      </c>
      <c r="T23" s="69" t="n">
        <v>1</v>
      </c>
      <c r="U23" s="69" t="n">
        <v>1</v>
      </c>
      <c r="V23" s="69" t="n">
        <v>1</v>
      </c>
    </row>
    <row r="24">
      <c r="A24" s="69" t="inlineStr">
        <is>
          <t>spring_phab_xbka|</t>
        </is>
      </c>
      <c r="B24" s="69" t="inlineStr">
        <is>
          <t>spring-phab-xbka</t>
        </is>
      </c>
      <c r="C24" s="69" t="inlineStr">
        <is>
          <t>Bank angle</t>
        </is>
      </c>
      <c r="D24" s="69" t="inlineStr"/>
      <c r="E24" s="69" t="n">
        <v>7</v>
      </c>
      <c r="F24" s="69" t="inlineStr">
        <is>
          <t>51 least-disturbed stations of this ecoregion</t>
        </is>
      </c>
      <c r="G24" s="69" t="n">
        <v>0</v>
      </c>
      <c r="H24" s="69" t="n">
        <v>7.707954788208008</v>
      </c>
      <c r="I24" s="69" t="n">
        <v>14</v>
      </c>
      <c r="J24" s="69" t="n">
        <v>31.97727203369141</v>
      </c>
      <c r="K24" s="69" t="n">
        <v>38.2693172454834</v>
      </c>
      <c r="L24" s="69" t="n">
        <v>49.95454406738281</v>
      </c>
      <c r="M24" s="69" t="n">
        <v>67.93181610107422</v>
      </c>
      <c r="N24" s="69" t="n">
        <v>67.93181610107422</v>
      </c>
      <c r="O24" s="69" t="n">
        <v>0.7</v>
      </c>
      <c r="P24" s="69" t="n">
        <v>0.7</v>
      </c>
      <c r="Q24" s="69" t="n">
        <v>1</v>
      </c>
      <c r="R24" s="69" t="n">
        <v>1</v>
      </c>
      <c r="S24" s="69" t="n">
        <v>0.7</v>
      </c>
      <c r="T24" s="69" t="n">
        <v>0.3</v>
      </c>
      <c r="U24" s="69" t="n">
        <v>0</v>
      </c>
      <c r="V24" s="69" t="n">
        <v>0</v>
      </c>
    </row>
    <row r="25">
      <c r="A25" s="69" t="inlineStr">
        <is>
          <t>spring_phab_lrbs_use|All streams (pooled)</t>
        </is>
      </c>
      <c r="B25" s="69" t="inlineStr">
        <is>
          <t>spring-phab-lrbs-use</t>
        </is>
      </c>
      <c r="C25" s="69" t="inlineStr">
        <is>
          <t>Relative bed stability</t>
        </is>
      </c>
      <c r="D25" s="69" t="inlineStr">
        <is>
          <t>All streams (pooled)</t>
        </is>
      </c>
      <c r="E25" s="69" t="n">
        <v>8</v>
      </c>
      <c r="F25" s="69" t="inlineStr">
        <is>
          <t>56 least-disturbed stations of this ecoregion</t>
        </is>
      </c>
      <c r="G25" s="69" t="n">
        <v>-5.156499102711678</v>
      </c>
      <c r="H25" s="69" t="n">
        <v>-3.572118125855923</v>
      </c>
      <c r="I25" s="69" t="n">
        <v>-2.542270490899682</v>
      </c>
      <c r="J25" s="69" t="n">
        <v>-1.987737149000168</v>
      </c>
      <c r="K25" s="69" t="n">
        <v>-0.403356172144413</v>
      </c>
      <c r="L25" s="69" t="n">
        <v>0.1511771697551012</v>
      </c>
      <c r="M25" s="69" t="n">
        <v>1.181024804711342</v>
      </c>
      <c r="N25" s="69" t="n">
        <v>2.765405781567097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0.7</v>
      </c>
      <c r="U25" s="69" t="n">
        <v>0.3</v>
      </c>
      <c r="V25" s="69" t="n">
        <v>0</v>
      </c>
    </row>
    <row r="26">
      <c r="A26" s="69" t="inlineStr">
        <is>
          <t>spring_phab_lrbs_use|Headwater (10 km2 and under)</t>
        </is>
      </c>
      <c r="B26" s="69" t="inlineStr">
        <is>
          <t>spring-phab-lrbs-use</t>
        </is>
      </c>
      <c r="C26" s="69" t="inlineStr">
        <is>
          <t>Relative bed stability</t>
        </is>
      </c>
      <c r="D26" s="69" t="inlineStr">
        <is>
          <t>Headwater (10 km2 and under)</t>
        </is>
      </c>
      <c r="E26" s="69" t="n">
        <v>8</v>
      </c>
      <c r="F26" s="69" t="inlineStr">
        <is>
          <t>56 least-disturbed stations of this ecoregion</t>
        </is>
      </c>
      <c r="G26" s="69" t="n">
        <v>-5.268816471099854</v>
      </c>
      <c r="H26" s="69" t="n">
        <v>-3.632631599903107</v>
      </c>
      <c r="I26" s="69" t="n">
        <v>-2.569111433625221</v>
      </c>
      <c r="J26" s="69" t="n">
        <v>-1.99644672870636</v>
      </c>
      <c r="K26" s="69" t="n">
        <v>-0.360261857509613</v>
      </c>
      <c r="L26" s="69" t="n">
        <v>0.2124028474092483</v>
      </c>
      <c r="M26" s="69" t="n">
        <v>1.275923013687134</v>
      </c>
      <c r="N26" s="69" t="n">
        <v>2.912107884883881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0.7</v>
      </c>
      <c r="U26" s="69" t="n">
        <v>0.3</v>
      </c>
      <c r="V26" s="69" t="n">
        <v>0</v>
      </c>
    </row>
    <row r="27">
      <c r="A27" s="69" t="inlineStr">
        <is>
          <t>spring_phab_lrbs_use|Small stream (10 to 100 km2)</t>
        </is>
      </c>
      <c r="B27" s="69" t="inlineStr">
        <is>
          <t>spring-phab-lrbs-use</t>
        </is>
      </c>
      <c r="C27" s="69" t="inlineStr">
        <is>
          <t>Relative bed stability</t>
        </is>
      </c>
      <c r="D27" s="69" t="inlineStr">
        <is>
          <t>Small stream (10 to 100 km2)</t>
        </is>
      </c>
      <c r="E27" s="69" t="n">
        <v>8</v>
      </c>
      <c r="F27" s="69" t="inlineStr">
        <is>
          <t>56 least-disturbed stations of this ecoregion</t>
        </is>
      </c>
      <c r="G27" s="69" t="n">
        <v>-5.108130872249603</v>
      </c>
      <c r="H27" s="69" t="n">
        <v>-3.493734806776047</v>
      </c>
      <c r="I27" s="69" t="n">
        <v>-2.444377364218235</v>
      </c>
      <c r="J27" s="69" t="n">
        <v>-1.87933874130249</v>
      </c>
      <c r="K27" s="69" t="n">
        <v>-0.2649426758289337</v>
      </c>
      <c r="L27" s="69" t="n">
        <v>0.300095947086811</v>
      </c>
      <c r="M27" s="69" t="n">
        <v>1.349453389644623</v>
      </c>
      <c r="N27" s="69" t="n">
        <v>2.963849455118179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0.7</v>
      </c>
      <c r="U27" s="69" t="n">
        <v>0.3</v>
      </c>
      <c r="V27" s="69" t="n">
        <v>0</v>
      </c>
    </row>
    <row r="28">
      <c r="A28" s="69" t="inlineStr">
        <is>
          <t>spring_phab_lrbs_use|Large stream (over 100 km2)</t>
        </is>
      </c>
      <c r="B28" s="69" t="inlineStr">
        <is>
          <t>spring-phab-lrbs-use</t>
        </is>
      </c>
      <c r="C28" s="69" t="inlineStr">
        <is>
          <t>Relative bed stability</t>
        </is>
      </c>
      <c r="D28" s="69" t="inlineStr">
        <is>
          <t>Large stream (over 100 km2)</t>
        </is>
      </c>
      <c r="E28" s="69" t="n">
        <v>8</v>
      </c>
      <c r="F28" s="69" t="inlineStr">
        <is>
          <t>56 least-disturbed stations of this ecoregion</t>
        </is>
      </c>
      <c r="G28" s="69" t="n">
        <v>-5.631233662366867</v>
      </c>
      <c r="H28" s="69" t="n">
        <v>-3.929370567202568</v>
      </c>
      <c r="I28" s="69" t="n">
        <v>-2.823159555345774</v>
      </c>
      <c r="J28" s="69" t="n">
        <v>-2.227507472038269</v>
      </c>
      <c r="K28" s="69" t="n">
        <v>-0.52564437687397</v>
      </c>
      <c r="L28" s="69" t="n">
        <v>0.0700077064335346</v>
      </c>
      <c r="M28" s="69" t="n">
        <v>1.176218718290329</v>
      </c>
      <c r="N28" s="69" t="n">
        <v>2.878081813454628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0.7</v>
      </c>
      <c r="U28" s="69" t="n">
        <v>0.3</v>
      </c>
      <c r="V28" s="69" t="n">
        <v>0</v>
      </c>
    </row>
    <row r="29">
      <c r="A29" s="69" t="inlineStr">
        <is>
          <t>spring_phab_lsub_dmm|</t>
        </is>
      </c>
      <c r="B29" s="69" t="inlineStr">
        <is>
          <t>spring-phab-lsub-dmm</t>
        </is>
      </c>
      <c r="C29" s="69" t="inlineStr">
        <is>
          <t>Substrate size</t>
        </is>
      </c>
      <c r="D29" s="69" t="inlineStr"/>
      <c r="E29" s="69" t="n">
        <v>5</v>
      </c>
      <c r="F29" s="69" t="inlineStr">
        <is>
          <t>56 least-disturbed stations of this ecoregion</t>
        </is>
      </c>
      <c r="G29" s="69" t="n">
        <v>-7.306741639971733</v>
      </c>
      <c r="H29" s="69" t="n">
        <v>-4.923773050308228</v>
      </c>
      <c r="I29" s="69" t="n">
        <v>-1.746481597423553</v>
      </c>
      <c r="J29" s="69" t="n">
        <v>0.6364869922399521</v>
      </c>
      <c r="K29" s="69" t="n">
        <v>1.351377569139004</v>
      </c>
      <c r="L29" s="69" t="n">
        <v>1.351377569139004</v>
      </c>
      <c r="M29" s="69" t="n">
        <v>1.351377569139004</v>
      </c>
      <c r="N29" s="69" t="n">
        <v>1.351377569139004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spring_chem_chla|</t>
        </is>
      </c>
      <c r="B30" s="69" t="inlineStr">
        <is>
          <t>spring-chem-chla</t>
        </is>
      </c>
      <c r="C30" s="69" t="inlineStr">
        <is>
          <t>Chlorophyll a</t>
        </is>
      </c>
      <c r="D30" s="69" t="inlineStr"/>
      <c r="E30" s="69" t="n">
        <v>5</v>
      </c>
      <c r="F30" s="69" t="inlineStr">
        <is>
          <t>56 least-disturbed stations of this ecoregion</t>
        </is>
      </c>
      <c r="G30" s="69" t="n">
        <v>0.306799989938736</v>
      </c>
      <c r="H30" s="69" t="n">
        <v>0.8734999895095825</v>
      </c>
      <c r="I30" s="69" t="n">
        <v>2.762499988079071</v>
      </c>
      <c r="J30" s="69" t="n">
        <v>5.281166652838388</v>
      </c>
      <c r="K30" s="69" t="n">
        <v>7.170166651407878</v>
      </c>
      <c r="L30" s="69" t="n">
        <v>7.170166651407878</v>
      </c>
      <c r="M30" s="69" t="n">
        <v>7.170166651407878</v>
      </c>
      <c r="N30" s="69" t="n">
        <v>7.170166651407878</v>
      </c>
      <c r="O30" s="69" t="n">
        <v>1</v>
      </c>
      <c r="P30" s="69" t="n">
        <v>1</v>
      </c>
      <c r="Q30" s="69" t="n">
        <v>0.7</v>
      </c>
      <c r="R30" s="69" t="n">
        <v>0.3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spring_phab_xcdenmid|All streams (pooled)</t>
        </is>
      </c>
      <c r="B31" s="69" t="inlineStr">
        <is>
          <t>spring-phab-xcdenmid</t>
        </is>
      </c>
      <c r="C31" s="69" t="inlineStr">
        <is>
          <t>Canopy density, mid-channel</t>
        </is>
      </c>
      <c r="D31" s="69" t="inlineStr">
        <is>
          <t>All streams (pooled)</t>
        </is>
      </c>
      <c r="E31" s="69" t="n">
        <v>5</v>
      </c>
      <c r="F31" s="69" t="inlineStr">
        <is>
          <t>51 least-disturbed stations of this ecoregion</t>
        </is>
      </c>
      <c r="G31" s="69" t="n">
        <v>0</v>
      </c>
      <c r="H31" s="69" t="n">
        <v>12.60504218510219</v>
      </c>
      <c r="I31" s="69" t="n">
        <v>29.41176509857178</v>
      </c>
      <c r="J31" s="69" t="n">
        <v>85.22727584838867</v>
      </c>
      <c r="K31" s="69" t="n">
        <v>100</v>
      </c>
      <c r="L31" s="69" t="n">
        <v>100</v>
      </c>
      <c r="M31" s="69" t="n">
        <v>100</v>
      </c>
      <c r="N31" s="69" t="n">
        <v>100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spring_phab_xcdenmid|Headwater (10 km2 and under)</t>
        </is>
      </c>
      <c r="B32" s="69" t="inlineStr">
        <is>
          <t>spring-phab-xcdenmid</t>
        </is>
      </c>
      <c r="C32" s="69" t="inlineStr">
        <is>
          <t>Canopy density, mid-channel</t>
        </is>
      </c>
      <c r="D32" s="69" t="inlineStr">
        <is>
          <t>Headwater (10 km2 and under)</t>
        </is>
      </c>
      <c r="E32" s="69" t="n">
        <v>5</v>
      </c>
      <c r="F32" s="69" t="inlineStr">
        <is>
          <t>51 least-disturbed stations of this ecoregion</t>
        </is>
      </c>
      <c r="G32" s="69" t="n">
        <v>0</v>
      </c>
      <c r="H32" s="69" t="n">
        <v>27.84568241664342</v>
      </c>
      <c r="I32" s="69" t="n">
        <v>64.97325897216797</v>
      </c>
      <c r="J32" s="69" t="n">
        <v>94.91978454589844</v>
      </c>
      <c r="K32" s="69" t="n">
        <v>100</v>
      </c>
      <c r="L32" s="69" t="n">
        <v>100</v>
      </c>
      <c r="M32" s="69" t="n">
        <v>100</v>
      </c>
      <c r="N32" s="69" t="n">
        <v>100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spring_phab_xcdenmid|Small stream (10 to 100 km2)</t>
        </is>
      </c>
      <c r="B33" s="69" t="inlineStr">
        <is>
          <t>spring-phab-xcdenmid</t>
        </is>
      </c>
      <c r="C33" s="69" t="inlineStr">
        <is>
          <t>Canopy density, mid-channel</t>
        </is>
      </c>
      <c r="D33" s="69" t="inlineStr">
        <is>
          <t>Small stream (10 to 100 km2)</t>
        </is>
      </c>
      <c r="E33" s="69" t="n">
        <v>5</v>
      </c>
      <c r="F33" s="69" t="inlineStr">
        <is>
          <t>51 least-disturbed stations of this ecoregion</t>
        </is>
      </c>
      <c r="G33" s="69" t="n">
        <v>0</v>
      </c>
      <c r="H33" s="69" t="n">
        <v>11.20129884992327</v>
      </c>
      <c r="I33" s="69" t="n">
        <v>26.1363639831543</v>
      </c>
      <c r="J33" s="69" t="n">
        <v>81.88502883911133</v>
      </c>
      <c r="K33" s="69" t="n">
        <v>98.60962829589843</v>
      </c>
      <c r="L33" s="69" t="n">
        <v>98.60962829589843</v>
      </c>
      <c r="M33" s="69" t="n">
        <v>98.60962829589843</v>
      </c>
      <c r="N33" s="69" t="n">
        <v>98.60962829589843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spring_phab_xcdenmid|Large stream (over 100 km2)</t>
        </is>
      </c>
      <c r="B34" s="69" t="inlineStr">
        <is>
          <t>spring-phab-xcdenmid</t>
        </is>
      </c>
      <c r="C34" s="69" t="inlineStr">
        <is>
          <t>Canopy density, mid-channel</t>
        </is>
      </c>
      <c r="D34" s="69" t="inlineStr">
        <is>
          <t>Large stream (over 100 km2)</t>
        </is>
      </c>
      <c r="E34" s="69" t="n">
        <v>5</v>
      </c>
      <c r="F34" s="69" t="inlineStr">
        <is>
          <t>51 least-disturbed stations of this ecoregion</t>
        </is>
      </c>
      <c r="G34" s="69" t="n">
        <v>0</v>
      </c>
      <c r="H34" s="69" t="n">
        <v>8.050038201468331</v>
      </c>
      <c r="I34" s="69" t="n">
        <v>18.78342247009277</v>
      </c>
      <c r="J34" s="69" t="n">
        <v>47.12566757202148</v>
      </c>
      <c r="K34" s="69" t="n">
        <v>55.6283411026001</v>
      </c>
      <c r="L34" s="69" t="n">
        <v>55.6283411026001</v>
      </c>
      <c r="M34" s="69" t="n">
        <v>55.6283411026001</v>
      </c>
      <c r="N34" s="69" t="n">
        <v>55.6283411026001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spring_phab_xcmgw|</t>
        </is>
      </c>
      <c r="B35" s="69" t="inlineStr">
        <is>
          <t>spring-phab-xcmgw</t>
        </is>
      </c>
      <c r="C35" s="69" t="inlineStr">
        <is>
          <t>Riparian veg cover, woody</t>
        </is>
      </c>
      <c r="D35" s="69" t="inlineStr"/>
      <c r="E35" s="69" t="n">
        <v>5</v>
      </c>
      <c r="F35" s="69" t="inlineStr">
        <is>
          <t>56 least-disturbed stations of this ecoregion</t>
        </is>
      </c>
      <c r="G35" s="69" t="n">
        <v>0</v>
      </c>
      <c r="H35" s="69" t="n">
        <v>0.284902600305421</v>
      </c>
      <c r="I35" s="69" t="n">
        <v>0.6647727340459824</v>
      </c>
      <c r="J35" s="69" t="n">
        <v>1.177840918302536</v>
      </c>
      <c r="K35" s="69" t="n">
        <v>1.331761373579502</v>
      </c>
      <c r="L35" s="69" t="n">
        <v>1.331761373579502</v>
      </c>
      <c r="M35" s="69" t="n">
        <v>1.331761373579502</v>
      </c>
      <c r="N35" s="69" t="n">
        <v>1.331761373579502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spring_chem_ntl|</t>
        </is>
      </c>
      <c r="B36" s="69" t="inlineStr">
        <is>
          <t>spring-chem-ntl</t>
        </is>
      </c>
      <c r="C36" s="69" t="inlineStr">
        <is>
          <t>Total nitrogen</t>
        </is>
      </c>
      <c r="D36" s="69" t="inlineStr"/>
      <c r="E36" s="69" t="n">
        <v>5</v>
      </c>
      <c r="F36" s="69" t="inlineStr">
        <is>
          <t>56 least-disturbed stations of this ecoregion</t>
        </is>
      </c>
      <c r="G36" s="69" t="n">
        <v>0.1941750228404999</v>
      </c>
      <c r="H36" s="69" t="n">
        <v>0.3300000131130219</v>
      </c>
      <c r="I36" s="69" t="n">
        <v>0.7827499806880951</v>
      </c>
      <c r="J36" s="69" t="n">
        <v>1.386416604121526</v>
      </c>
      <c r="K36" s="69" t="n">
        <v>1.839166571696599</v>
      </c>
      <c r="L36" s="69" t="n">
        <v>1.839166571696599</v>
      </c>
      <c r="M36" s="69" t="n">
        <v>1.839166571696599</v>
      </c>
      <c r="N36" s="69" t="n">
        <v>1.839166571696599</v>
      </c>
      <c r="O36" s="69" t="n">
        <v>1</v>
      </c>
      <c r="P36" s="69" t="n">
        <v>1</v>
      </c>
      <c r="Q36" s="69" t="n">
        <v>0.7</v>
      </c>
      <c r="R36" s="69" t="n">
        <v>0.3</v>
      </c>
      <c r="S36" s="69" t="n">
        <v>0</v>
      </c>
      <c r="T36" s="69" t="n">
        <v>0</v>
      </c>
      <c r="U36" s="69" t="n">
        <v>0</v>
      </c>
      <c r="V36" s="69" t="n">
        <v>0</v>
      </c>
    </row>
    <row r="37">
      <c r="A37" s="69" t="inlineStr">
        <is>
          <t>spring_chem_ptl|</t>
        </is>
      </c>
      <c r="B37" s="69" t="inlineStr">
        <is>
          <t>spring-chem-ptl</t>
        </is>
      </c>
      <c r="C37" s="69" t="inlineStr">
        <is>
          <t>Total phosphorus</t>
        </is>
      </c>
      <c r="D37" s="69" t="inlineStr"/>
      <c r="E37" s="69" t="n">
        <v>5</v>
      </c>
      <c r="F37" s="69" t="inlineStr">
        <is>
          <t>56 least-disturbed stations of this ecoregion</t>
        </is>
      </c>
      <c r="G37" s="69" t="n">
        <v>10.23084988594055</v>
      </c>
      <c r="H37" s="69" t="n">
        <v>18.62949991226196</v>
      </c>
      <c r="I37" s="69" t="n">
        <v>46.625</v>
      </c>
      <c r="J37" s="69" t="n">
        <v>83.95233345031738</v>
      </c>
      <c r="K37" s="69" t="n">
        <v>111.9478335380554</v>
      </c>
      <c r="L37" s="69" t="n">
        <v>111.9478335380554</v>
      </c>
      <c r="M37" s="69" t="n">
        <v>111.9478335380554</v>
      </c>
      <c r="N37" s="69" t="n">
        <v>111.9478335380554</v>
      </c>
      <c r="O37" s="69" t="n">
        <v>1</v>
      </c>
      <c r="P37" s="69" t="n">
        <v>1</v>
      </c>
      <c r="Q37" s="69" t="n">
        <v>0.7</v>
      </c>
      <c r="R37" s="69" t="n">
        <v>0.3</v>
      </c>
      <c r="S37" s="69" t="n">
        <v>0</v>
      </c>
      <c r="T37" s="69" t="n">
        <v>0</v>
      </c>
      <c r="U37" s="69" t="n">
        <v>0</v>
      </c>
      <c r="V37" s="69" t="n">
        <v>0</v>
      </c>
    </row>
    <row r="38">
      <c r="A38" s="69" t="inlineStr">
        <is>
          <t>spring_chem_cond|</t>
        </is>
      </c>
      <c r="B38" s="69" t="inlineStr">
        <is>
          <t>spring-chem-cond</t>
        </is>
      </c>
      <c r="C38" s="69" t="inlineStr">
        <is>
          <t>Specific conductivity</t>
        </is>
      </c>
      <c r="D38" s="69" t="inlineStr"/>
      <c r="E38" s="69" t="n">
        <v>5</v>
      </c>
      <c r="F38" s="69" t="inlineStr">
        <is>
          <t>56 least-disturbed stations of this ecoregion</t>
        </is>
      </c>
      <c r="G38" s="69" t="n">
        <v>22.44750099182129</v>
      </c>
      <c r="H38" s="69" t="n">
        <v>75.82500076293945</v>
      </c>
      <c r="I38" s="69" t="n">
        <v>253.75</v>
      </c>
      <c r="J38" s="69" t="n">
        <v>490.9833323160807</v>
      </c>
      <c r="K38" s="69" t="n">
        <v>668.9083315531414</v>
      </c>
      <c r="L38" s="69" t="n">
        <v>668.9083315531414</v>
      </c>
      <c r="M38" s="69" t="n">
        <v>668.9083315531414</v>
      </c>
      <c r="N38" s="69" t="n">
        <v>668.9083315531414</v>
      </c>
      <c r="O38" s="69" t="n">
        <v>1</v>
      </c>
      <c r="P38" s="69" t="n">
        <v>1</v>
      </c>
      <c r="Q38" s="69" t="n">
        <v>0.7</v>
      </c>
      <c r="R38" s="69" t="n">
        <v>0.3</v>
      </c>
      <c r="S38" s="69" t="n">
        <v>0</v>
      </c>
      <c r="T38" s="69" t="n">
        <v>0</v>
      </c>
      <c r="U38" s="69" t="n">
        <v>0</v>
      </c>
      <c r="V38" s="69" t="n">
        <v>0</v>
      </c>
    </row>
    <row r="39">
      <c r="A39" s="69" t="inlineStr">
        <is>
          <t>spring_chem_turb|</t>
        </is>
      </c>
      <c r="B39" s="69" t="inlineStr">
        <is>
          <t>spring-chem-turb</t>
        </is>
      </c>
      <c r="C39" s="69" t="inlineStr">
        <is>
          <t>Turbidity</t>
        </is>
      </c>
      <c r="D39" s="69" t="inlineStr"/>
      <c r="E39" s="69" t="n">
        <v>5</v>
      </c>
      <c r="F39" s="69" t="inlineStr">
        <is>
          <t>56 least-disturbed stations of this ecoregion</t>
        </is>
      </c>
      <c r="G39" s="69" t="n">
        <v>0.4050000190734864</v>
      </c>
      <c r="H39" s="69" t="n">
        <v>1.259999990463257</v>
      </c>
      <c r="I39" s="69" t="n">
        <v>4.109999895095825</v>
      </c>
      <c r="J39" s="69" t="n">
        <v>7.909999767939249</v>
      </c>
      <c r="K39" s="69" t="n">
        <v>10.75999967257182</v>
      </c>
      <c r="L39" s="69" t="n">
        <v>10.75999967257182</v>
      </c>
      <c r="M39" s="69" t="n">
        <v>10.75999967257182</v>
      </c>
      <c r="N39" s="69" t="n">
        <v>10.75999967257182</v>
      </c>
      <c r="O39" s="69" t="n">
        <v>1</v>
      </c>
      <c r="P39" s="69" t="n">
        <v>1</v>
      </c>
      <c r="Q39" s="69" t="n">
        <v>0.7</v>
      </c>
      <c r="R39" s="69" t="n">
        <v>0.3</v>
      </c>
      <c r="S39" s="69" t="n">
        <v>0</v>
      </c>
      <c r="T39" s="69" t="n">
        <v>0</v>
      </c>
      <c r="U39" s="69" t="n">
        <v>0</v>
      </c>
      <c r="V39" s="69" t="n">
        <v>0</v>
      </c>
    </row>
    <row r="40">
      <c r="A40" s="69" t="inlineStr">
        <is>
          <t>spring_phab_pct_fast|All streams (pooled)</t>
        </is>
      </c>
      <c r="B40" s="69" t="inlineStr">
        <is>
          <t>spring-phab-pct-fast</t>
        </is>
      </c>
      <c r="C40" s="69" t="inlineStr">
        <is>
          <t>Fast-water / riffle habitat</t>
        </is>
      </c>
      <c r="D40" s="69" t="inlineStr">
        <is>
          <t>All streams (pooled)</t>
        </is>
      </c>
      <c r="E40" s="69" t="n">
        <v>2</v>
      </c>
      <c r="F40" s="69" t="inlineStr">
        <is>
          <t>56 least-disturbed stations of this ecoregion</t>
        </is>
      </c>
      <c r="G40" s="69" t="n">
        <v>0</v>
      </c>
      <c r="H40" s="69" t="n">
        <v>35.58333301544189</v>
      </c>
      <c r="I40" s="69" t="n">
        <v>35.58333301544189</v>
      </c>
      <c r="J40" s="69" t="n">
        <v>35.58333301544189</v>
      </c>
      <c r="K40" s="69" t="n">
        <v>35.58333301544189</v>
      </c>
      <c r="L40" s="69" t="n">
        <v>35.58333301544189</v>
      </c>
      <c r="M40" s="69" t="n">
        <v>35.58333301544189</v>
      </c>
      <c r="N40" s="69" t="n">
        <v>35.58333301544189</v>
      </c>
      <c r="O40" s="69" t="n">
        <v>0</v>
      </c>
      <c r="P40" s="69" t="n">
        <v>1</v>
      </c>
      <c r="Q40" s="69" t="n">
        <v>1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spring_phab_pct_fast|Moderate gradient (0.5 to 2 percent)</t>
        </is>
      </c>
      <c r="B41" s="69" t="inlineStr">
        <is>
          <t>spring-phab-pct-fast</t>
        </is>
      </c>
      <c r="C41" s="69" t="inlineStr">
        <is>
          <t>Fast-water / riffle habitat</t>
        </is>
      </c>
      <c r="D41" s="69" t="inlineStr">
        <is>
          <t>Moderate gradient (0.5 to 2 percent)</t>
        </is>
      </c>
      <c r="E41" s="69" t="n">
        <v>5</v>
      </c>
      <c r="F41" s="69" t="inlineStr">
        <is>
          <t>56 least-disturbed stations of this ecoregion</t>
        </is>
      </c>
      <c r="G41" s="69" t="n">
        <v>0</v>
      </c>
      <c r="H41" s="69" t="n">
        <v>3.214285612106323</v>
      </c>
      <c r="I41" s="69" t="n">
        <v>7.499999761581421</v>
      </c>
      <c r="J41" s="69" t="n">
        <v>40.75000095367432</v>
      </c>
      <c r="K41" s="69" t="n">
        <v>50.72500131130219</v>
      </c>
      <c r="L41" s="69" t="n">
        <v>50.72500131130219</v>
      </c>
      <c r="M41" s="69" t="n">
        <v>50.72500131130219</v>
      </c>
      <c r="N41" s="69" t="n">
        <v>50.72500131130219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spring_phab_xfc_nat|All streams (pooled)</t>
        </is>
      </c>
      <c r="B42" s="69" t="inlineStr">
        <is>
          <t>spring-phab-xfc-nat</t>
        </is>
      </c>
      <c r="C42" s="69" t="inlineStr">
        <is>
          <t>Natural fish cover</t>
        </is>
      </c>
      <c r="D42" s="69" t="inlineStr">
        <is>
          <t>All streams (pooled)</t>
        </is>
      </c>
      <c r="E42" s="69" t="n">
        <v>5</v>
      </c>
      <c r="F42" s="69" t="inlineStr">
        <is>
          <t>56 least-disturbed stations of this ecoregion</t>
        </is>
      </c>
      <c r="G42" s="69" t="n">
        <v>0</v>
      </c>
      <c r="H42" s="69" t="n">
        <v>0.09963473943727356</v>
      </c>
      <c r="I42" s="69" t="n">
        <v>0.2324810586869717</v>
      </c>
      <c r="J42" s="69" t="n">
        <v>0.4426136389374733</v>
      </c>
      <c r="K42" s="69" t="n">
        <v>0.5056534130126238</v>
      </c>
      <c r="L42" s="69" t="n">
        <v>0.5056534130126238</v>
      </c>
      <c r="M42" s="69" t="n">
        <v>0.5056534130126238</v>
      </c>
      <c r="N42" s="69" t="n">
        <v>0.5056534130126238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spring_phab_xfc_nat|Headwater (10 km2 and under)</t>
        </is>
      </c>
      <c r="B43" s="69" t="inlineStr">
        <is>
          <t>spring-phab-xfc-nat</t>
        </is>
      </c>
      <c r="C43" s="69" t="inlineStr">
        <is>
          <t>Natural fish cover</t>
        </is>
      </c>
      <c r="D43" s="69" t="inlineStr">
        <is>
          <t>Headwater (10 km2 and under)</t>
        </is>
      </c>
      <c r="E43" s="69" t="n">
        <v>5</v>
      </c>
      <c r="F43" s="69" t="inlineStr">
        <is>
          <t>56 least-disturbed stations of this ecoregion</t>
        </is>
      </c>
      <c r="G43" s="69" t="n">
        <v>0</v>
      </c>
      <c r="H43" s="69" t="n">
        <v>0.0857142869915281</v>
      </c>
      <c r="I43" s="69" t="n">
        <v>0.2000000029802322</v>
      </c>
      <c r="J43" s="69" t="n">
        <v>0.3590908944606781</v>
      </c>
      <c r="K43" s="69" t="n">
        <v>0.4068181619048118</v>
      </c>
      <c r="L43" s="69" t="n">
        <v>0.4068181619048118</v>
      </c>
      <c r="M43" s="69" t="n">
        <v>0.4068181619048118</v>
      </c>
      <c r="N43" s="69" t="n">
        <v>0.4068181619048118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spring_phab_xfc_nat|Small stream (10 to 100 km2)</t>
        </is>
      </c>
      <c r="B44" s="69" t="inlineStr">
        <is>
          <t>spring-phab-xfc-nat</t>
        </is>
      </c>
      <c r="C44" s="69" t="inlineStr">
        <is>
          <t>Natural fish cover</t>
        </is>
      </c>
      <c r="D44" s="69" t="inlineStr">
        <is>
          <t>Small stream (10 to 100 km2)</t>
        </is>
      </c>
      <c r="E44" s="69" t="n">
        <v>5</v>
      </c>
      <c r="F44" s="69" t="inlineStr">
        <is>
          <t>56 least-disturbed stations of this ecoregion</t>
        </is>
      </c>
      <c r="G44" s="69" t="n">
        <v>0</v>
      </c>
      <c r="H44" s="69" t="n">
        <v>0.1383116841316223</v>
      </c>
      <c r="I44" s="69" t="n">
        <v>0.3227272629737854</v>
      </c>
      <c r="J44" s="69" t="n">
        <v>0.543181836605072</v>
      </c>
      <c r="K44" s="69" t="n">
        <v>0.609318208694458</v>
      </c>
      <c r="L44" s="69" t="n">
        <v>0.609318208694458</v>
      </c>
      <c r="M44" s="69" t="n">
        <v>0.609318208694458</v>
      </c>
      <c r="N44" s="69" t="n">
        <v>0.609318208694458</v>
      </c>
      <c r="O44" s="69" t="n">
        <v>0</v>
      </c>
      <c r="P44" s="69" t="n">
        <v>0.3</v>
      </c>
      <c r="Q44" s="69" t="n">
        <v>0.7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spring_phab_xfc_nat|Large stream (over 100 km2)</t>
        </is>
      </c>
      <c r="B45" s="69" t="inlineStr">
        <is>
          <t>spring-phab-xfc-nat</t>
        </is>
      </c>
      <c r="C45" s="69" t="inlineStr">
        <is>
          <t>Natural fish cover</t>
        </is>
      </c>
      <c r="D45" s="69" t="inlineStr">
        <is>
          <t>Large stream (over 100 km2)</t>
        </is>
      </c>
      <c r="E45" s="69" t="n">
        <v>5</v>
      </c>
      <c r="F45" s="69" t="inlineStr">
        <is>
          <t>56 least-disturbed stations of this ecoregion</t>
        </is>
      </c>
      <c r="G45" s="69" t="n">
        <v>0</v>
      </c>
      <c r="H45" s="69" t="n">
        <v>0.1006899348327092</v>
      </c>
      <c r="I45" s="69" t="n">
        <v>0.2349431812763214</v>
      </c>
      <c r="J45" s="69" t="n">
        <v>0.4357954561710358</v>
      </c>
      <c r="K45" s="69" t="n">
        <v>0.4960511386394501</v>
      </c>
      <c r="L45" s="69" t="n">
        <v>0.4960511386394501</v>
      </c>
      <c r="M45" s="69" t="n">
        <v>0.4960511386394501</v>
      </c>
      <c r="N45" s="69" t="n">
        <v>0.4960511386394501</v>
      </c>
      <c r="O45" s="69" t="n">
        <v>0</v>
      </c>
      <c r="P45" s="69" t="n">
        <v>0.3</v>
      </c>
      <c r="Q45" s="69" t="n">
        <v>0.7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spring_bent_totlntax|</t>
        </is>
      </c>
      <c r="B46" s="69" t="inlineStr">
        <is>
          <t>spring-bent-totlntax</t>
        </is>
      </c>
      <c r="C46" s="69" t="inlineStr">
        <is>
          <t>Benthic total taxa richness</t>
        </is>
      </c>
      <c r="D46" s="69" t="inlineStr"/>
      <c r="E46" s="69" t="n">
        <v>5</v>
      </c>
      <c r="F46" s="69" t="inlineStr">
        <is>
          <t>56 least-disturbed stations of this ecoregion</t>
        </is>
      </c>
      <c r="G46" s="69" t="n">
        <v>0</v>
      </c>
      <c r="H46" s="69" t="n">
        <v>13.17857142857143</v>
      </c>
      <c r="I46" s="69" t="n">
        <v>30.75</v>
      </c>
      <c r="J46" s="69" t="n">
        <v>47.25</v>
      </c>
      <c r="K46" s="69" t="n">
        <v>52.2</v>
      </c>
      <c r="L46" s="69" t="n">
        <v>52.2</v>
      </c>
      <c r="M46" s="69" t="n">
        <v>52.2</v>
      </c>
      <c r="N46" s="69" t="n">
        <v>52.2</v>
      </c>
      <c r="O46" s="69" t="n">
        <v>0</v>
      </c>
      <c r="P46" s="69" t="n">
        <v>0.3</v>
      </c>
      <c r="Q46" s="69" t="n">
        <v>0.7</v>
      </c>
      <c r="R46" s="69" t="n">
        <v>1</v>
      </c>
      <c r="S46" s="69" t="n">
        <v>1</v>
      </c>
      <c r="T46" s="69" t="n">
        <v>1</v>
      </c>
      <c r="U46" s="69" t="n">
        <v>1</v>
      </c>
      <c r="V46" s="69" t="n">
        <v>1</v>
      </c>
    </row>
    <row r="47">
      <c r="A47" s="69" t="inlineStr">
        <is>
          <t>spring_fish_nat_totlntax|All streams (pooled)</t>
        </is>
      </c>
      <c r="B47" s="69" t="inlineStr">
        <is>
          <t>spring-fish-nat-totlntax</t>
        </is>
      </c>
      <c r="C47" s="69" t="inlineStr">
        <is>
          <t>Native fish taxa richness</t>
        </is>
      </c>
      <c r="D47" s="69" t="inlineStr">
        <is>
          <t>All streams (pooled)</t>
        </is>
      </c>
      <c r="E47" s="69" t="n">
        <v>5</v>
      </c>
      <c r="F47" s="69" t="inlineStr">
        <is>
          <t>51 least-disturbed stations of this ecoregion</t>
        </is>
      </c>
      <c r="G47" s="69" t="n">
        <v>0</v>
      </c>
      <c r="H47" s="69" t="n">
        <v>1.5</v>
      </c>
      <c r="I47" s="69" t="n">
        <v>3.5</v>
      </c>
      <c r="J47" s="69" t="n">
        <v>8.5</v>
      </c>
      <c r="K47" s="69" t="n">
        <v>10</v>
      </c>
      <c r="L47" s="69" t="n">
        <v>10</v>
      </c>
      <c r="M47" s="69" t="n">
        <v>10</v>
      </c>
      <c r="N47" s="69" t="n">
        <v>10</v>
      </c>
      <c r="O47" s="69" t="n">
        <v>0</v>
      </c>
      <c r="P47" s="69" t="n">
        <v>0.3</v>
      </c>
      <c r="Q47" s="69" t="n">
        <v>0.7</v>
      </c>
      <c r="R47" s="69" t="n">
        <v>1</v>
      </c>
      <c r="S47" s="69" t="n">
        <v>1</v>
      </c>
      <c r="T47" s="69" t="n">
        <v>1</v>
      </c>
      <c r="U47" s="69" t="n">
        <v>1</v>
      </c>
      <c r="V47" s="69" t="n">
        <v>1</v>
      </c>
    </row>
    <row r="48">
      <c r="A48" s="69" t="inlineStr">
        <is>
          <t>spring_fish_nat_totlntax|Low gradient (under 0.5 percent)</t>
        </is>
      </c>
      <c r="B48" s="69" t="inlineStr">
        <is>
          <t>spring-fish-nat-totlntax</t>
        </is>
      </c>
      <c r="C48" s="69" t="inlineStr">
        <is>
          <t>Native fish taxa richness</t>
        </is>
      </c>
      <c r="D48" s="69" t="inlineStr">
        <is>
          <t>Low gradient (under 0.5 percent)</t>
        </is>
      </c>
      <c r="E48" s="69" t="n">
        <v>5</v>
      </c>
      <c r="F48" s="69" t="inlineStr">
        <is>
          <t>51 least-disturbed stations of this ecoregion</t>
        </is>
      </c>
      <c r="G48" s="69" t="n">
        <v>0</v>
      </c>
      <c r="H48" s="69" t="n">
        <v>2.035714285714286</v>
      </c>
      <c r="I48" s="69" t="n">
        <v>4.75</v>
      </c>
      <c r="J48" s="69" t="n">
        <v>10</v>
      </c>
      <c r="K48" s="69" t="n">
        <v>11.575</v>
      </c>
      <c r="L48" s="69" t="n">
        <v>11.575</v>
      </c>
      <c r="M48" s="69" t="n">
        <v>11.575</v>
      </c>
      <c r="N48" s="69" t="n">
        <v>11.575</v>
      </c>
      <c r="O48" s="69" t="n">
        <v>0</v>
      </c>
      <c r="P48" s="69" t="n">
        <v>0.3</v>
      </c>
      <c r="Q48" s="69" t="n">
        <v>0.7</v>
      </c>
      <c r="R48" s="69" t="n">
        <v>1</v>
      </c>
      <c r="S48" s="69" t="n">
        <v>1</v>
      </c>
      <c r="T48" s="69" t="n">
        <v>1</v>
      </c>
      <c r="U48" s="69" t="n">
        <v>1</v>
      </c>
      <c r="V48" s="69" t="n">
        <v>1</v>
      </c>
    </row>
    <row r="49">
      <c r="A49" s="69" t="inlineStr">
        <is>
          <t>spring_fish_nat_totlntax|Moderate gradient (0.5 to 2 percent)</t>
        </is>
      </c>
      <c r="B49" s="69" t="inlineStr">
        <is>
          <t>spring-fish-nat-totlntax</t>
        </is>
      </c>
      <c r="C49" s="69" t="inlineStr">
        <is>
          <t>Native fish taxa richness</t>
        </is>
      </c>
      <c r="D49" s="69" t="inlineStr">
        <is>
          <t>Moderate gradient (0.5 to 2 percent)</t>
        </is>
      </c>
      <c r="E49" s="69" t="n">
        <v>5</v>
      </c>
      <c r="F49" s="69" t="inlineStr">
        <is>
          <t>51 least-disturbed stations of this ecoregion</t>
        </is>
      </c>
      <c r="G49" s="69" t="n">
        <v>0</v>
      </c>
      <c r="H49" s="69" t="n">
        <v>1.285714285714286</v>
      </c>
      <c r="I49" s="69" t="n">
        <v>3</v>
      </c>
      <c r="J49" s="69" t="n">
        <v>5.75</v>
      </c>
      <c r="K49" s="69" t="n">
        <v>6.575</v>
      </c>
      <c r="L49" s="69" t="n">
        <v>6.575</v>
      </c>
      <c r="M49" s="69" t="n">
        <v>6.575</v>
      </c>
      <c r="N49" s="69" t="n">
        <v>6.575</v>
      </c>
      <c r="O49" s="69" t="n">
        <v>0</v>
      </c>
      <c r="P49" s="69" t="n">
        <v>0.3</v>
      </c>
      <c r="Q49" s="69" t="n">
        <v>0.7</v>
      </c>
      <c r="R49" s="69" t="n">
        <v>1</v>
      </c>
      <c r="S49" s="69" t="n">
        <v>1</v>
      </c>
      <c r="T49" s="69" t="n">
        <v>1</v>
      </c>
      <c r="U49" s="69" t="n">
        <v>1</v>
      </c>
      <c r="V49" s="69" t="n">
        <v>1</v>
      </c>
    </row>
    <row r="50">
      <c r="A50" s="69" t="inlineStr">
        <is>
          <t>spring_bent_ept_ntax|</t>
        </is>
      </c>
      <c r="B50" s="69" t="inlineStr">
        <is>
          <t>spring-bent-ept-ntax</t>
        </is>
      </c>
      <c r="C50" s="69" t="inlineStr">
        <is>
          <t>EPT taxa richness</t>
        </is>
      </c>
      <c r="D50" s="69" t="inlineStr"/>
      <c r="E50" s="69" t="n">
        <v>5</v>
      </c>
      <c r="F50" s="69" t="inlineStr">
        <is>
          <t>56 least-disturbed stations of this ecoregion</t>
        </is>
      </c>
      <c r="G50" s="69" t="n">
        <v>0</v>
      </c>
      <c r="H50" s="69" t="n">
        <v>2.142857142857143</v>
      </c>
      <c r="I50" s="69" t="n">
        <v>5</v>
      </c>
      <c r="J50" s="69" t="n">
        <v>14</v>
      </c>
      <c r="K50" s="69" t="n">
        <v>16.7</v>
      </c>
      <c r="L50" s="69" t="n">
        <v>16.7</v>
      </c>
      <c r="M50" s="69" t="n">
        <v>16.7</v>
      </c>
      <c r="N50" s="69" t="n">
        <v>16.7</v>
      </c>
      <c r="O50" s="69" t="n">
        <v>0</v>
      </c>
      <c r="P50" s="69" t="n">
        <v>0.3</v>
      </c>
      <c r="Q50" s="69" t="n">
        <v>0.7</v>
      </c>
      <c r="R50" s="69" t="n">
        <v>1</v>
      </c>
      <c r="S50" s="69" t="n">
        <v>1</v>
      </c>
      <c r="T50" s="69" t="n">
        <v>1</v>
      </c>
      <c r="U50" s="69" t="n">
        <v>1</v>
      </c>
      <c r="V50" s="69" t="n">
        <v>1</v>
      </c>
    </row>
    <row r="51">
      <c r="A51" s="69" t="inlineStr">
        <is>
          <t>spring_bent_tolrpind|</t>
        </is>
      </c>
      <c r="B51" s="69" t="inlineStr">
        <is>
          <t>spring-bent-tolrpind</t>
        </is>
      </c>
      <c r="C51" s="69" t="inlineStr">
        <is>
          <t>Tolerant individuals (%) ~ HBI</t>
        </is>
      </c>
      <c r="D51" s="69" t="inlineStr"/>
      <c r="E51" s="69" t="n">
        <v>5</v>
      </c>
      <c r="F51" s="69" t="inlineStr">
        <is>
          <t>56 least-disturbed stations of this ecoregion</t>
        </is>
      </c>
      <c r="G51" s="69" t="n">
        <v>0.8592498302459717</v>
      </c>
      <c r="H51" s="69" t="n">
        <v>7.917500019073486</v>
      </c>
      <c r="I51" s="69" t="n">
        <v>31.44500064849854</v>
      </c>
      <c r="J51" s="69" t="n">
        <v>62.81500148773193</v>
      </c>
      <c r="K51" s="69" t="n">
        <v>86.34250211715698</v>
      </c>
      <c r="L51" s="69" t="n">
        <v>86.34250211715698</v>
      </c>
      <c r="M51" s="69" t="n">
        <v>86.34250211715698</v>
      </c>
      <c r="N51" s="69" t="n">
        <v>86.34250211715698</v>
      </c>
      <c r="O51" s="69" t="n">
        <v>1</v>
      </c>
      <c r="P51" s="69" t="n">
        <v>1</v>
      </c>
      <c r="Q51" s="69" t="n">
        <v>0.7</v>
      </c>
      <c r="R51" s="69" t="n">
        <v>0.3</v>
      </c>
      <c r="S51" s="69" t="n">
        <v>0</v>
      </c>
      <c r="T51" s="69" t="n">
        <v>0</v>
      </c>
      <c r="U51" s="69" t="n">
        <v>0</v>
      </c>
      <c r="V51" s="69" t="n">
        <v>0</v>
      </c>
    </row>
    <row r="52">
      <c r="A52" s="69" t="inlineStr">
        <is>
          <t>spring_nid_dams_1mi|</t>
        </is>
      </c>
      <c r="B52" s="69" t="inlineStr">
        <is>
          <t>spring-nid-dams-1mi</t>
        </is>
      </c>
      <c r="C52" s="69" t="inlineStr">
        <is>
          <t>Mapped dams within one mile</t>
        </is>
      </c>
      <c r="D52" s="69" t="inlineStr"/>
      <c r="E52" s="69" t="n">
        <v>4</v>
      </c>
      <c r="F52" s="69" t="inlineStr">
        <is>
          <t>Fixed criteria, the same in every region</t>
        </is>
      </c>
      <c r="G52" s="69" t="n">
        <v>0</v>
      </c>
      <c r="H52" s="69" t="n">
        <v>1</v>
      </c>
      <c r="I52" s="69" t="n">
        <v>2</v>
      </c>
      <c r="J52" s="69" t="n">
        <v>3</v>
      </c>
      <c r="K52" s="69" t="n">
        <v>3</v>
      </c>
      <c r="L52" s="69" t="n">
        <v>3</v>
      </c>
      <c r="M52" s="69" t="n">
        <v>3</v>
      </c>
      <c r="N52" s="69" t="n">
        <v>3</v>
      </c>
      <c r="O52" s="69" t="n">
        <v>1</v>
      </c>
      <c r="P52" s="69" t="n">
        <v>0.545</v>
      </c>
      <c r="Q52" s="69" t="n">
        <v>0.195</v>
      </c>
      <c r="R52" s="69" t="n">
        <v>0</v>
      </c>
      <c r="S52" s="69" t="n">
        <v>0</v>
      </c>
      <c r="T52" s="69" t="n">
        <v>0</v>
      </c>
      <c r="U52" s="69" t="n">
        <v>0</v>
      </c>
      <c r="V52" s="69" t="n">
        <v>0</v>
      </c>
    </row>
    <row r="55">
      <c r="A55" s="72" t="inlineStr">
        <is>
          <t>Curve sets by metric</t>
        </is>
      </c>
    </row>
    <row r="56">
      <c r="A56" s="69" t="inlineStr">
        <is>
          <t>All streams (pooled)</t>
        </is>
      </c>
      <c r="B56" s="5" t="inlineStr">
        <is>
          <t>Wetland</t>
        </is>
      </c>
    </row>
    <row r="57">
      <c r="A57" s="69" t="inlineStr">
        <is>
          <t>Low gradient (under 0.5 percent)</t>
        </is>
      </c>
      <c r="B57" s="5" t="inlineStr">
        <is>
          <t>Wetland</t>
        </is>
      </c>
    </row>
    <row r="58">
      <c r="A58" s="69" t="inlineStr">
        <is>
          <t>Moderate gradient (0.5 to 2 percent)</t>
        </is>
      </c>
      <c r="B58" s="5" t="inlineStr">
        <is>
          <t>Wetland</t>
        </is>
      </c>
    </row>
    <row r="59">
      <c r="A59" s="69" t="inlineStr">
        <is>
          <t>All streams (pooled)</t>
        </is>
      </c>
      <c r="B59" s="5" t="inlineStr">
        <is>
          <t>Bankfull width:depth ratio</t>
        </is>
      </c>
    </row>
    <row r="60">
      <c r="A60" s="69" t="inlineStr">
        <is>
          <t>Headwater (10 km2 and under)</t>
        </is>
      </c>
      <c r="B60" s="5" t="inlineStr">
        <is>
          <t>Bankfull width:depth ratio</t>
        </is>
      </c>
    </row>
    <row r="61">
      <c r="A61" s="69" t="inlineStr">
        <is>
          <t>Small stream (10 to 100 km2)</t>
        </is>
      </c>
      <c r="B61" s="5" t="inlineStr">
        <is>
          <t>Bankfull width:depth ratio</t>
        </is>
      </c>
    </row>
    <row r="62">
      <c r="A62" s="69" t="inlineStr">
        <is>
          <t>Large stream (over 100 km2)</t>
        </is>
      </c>
      <c r="B62" s="5" t="inlineStr">
        <is>
          <t>Bankfull width:depth ratio</t>
        </is>
      </c>
    </row>
    <row r="63">
      <c r="A63" s="69" t="inlineStr">
        <is>
          <t>All streams (pooled)</t>
        </is>
      </c>
      <c r="B63" s="5" t="inlineStr">
        <is>
          <t>Bankfull height above channel</t>
        </is>
      </c>
    </row>
    <row r="64">
      <c r="A64" s="69" t="inlineStr">
        <is>
          <t>Headwater (10 km2 and under)</t>
        </is>
      </c>
      <c r="B64" s="5" t="inlineStr">
        <is>
          <t>Bankfull height above channel</t>
        </is>
      </c>
    </row>
    <row r="65">
      <c r="A65" s="69" t="inlineStr">
        <is>
          <t>Small stream (10 to 100 km2)</t>
        </is>
      </c>
      <c r="B65" s="5" t="inlineStr">
        <is>
          <t>Bankfull height above channel</t>
        </is>
      </c>
    </row>
    <row r="66">
      <c r="A66" s="69" t="inlineStr">
        <is>
          <t>Large stream (over 100 km2)</t>
        </is>
      </c>
      <c r="B66" s="5" t="inlineStr">
        <is>
          <t>Bankfull height above channel</t>
        </is>
      </c>
    </row>
    <row r="67">
      <c r="A67" s="69" t="inlineStr">
        <is>
          <t>All streams (pooled)</t>
        </is>
      </c>
      <c r="B67" s="5" t="inlineStr">
        <is>
          <t>Relative bed stability</t>
        </is>
      </c>
    </row>
    <row r="68">
      <c r="A68" s="69" t="inlineStr">
        <is>
          <t>Headwater (10 km2 and under)</t>
        </is>
      </c>
      <c r="B68" s="5" t="inlineStr">
        <is>
          <t>Relative bed stability</t>
        </is>
      </c>
    </row>
    <row r="69">
      <c r="A69" s="69" t="inlineStr">
        <is>
          <t>Small stream (10 to 100 km2)</t>
        </is>
      </c>
      <c r="B69" s="5" t="inlineStr">
        <is>
          <t>Relative bed stability</t>
        </is>
      </c>
    </row>
    <row r="70">
      <c r="A70" s="69" t="inlineStr">
        <is>
          <t>Large stream (over 100 km2)</t>
        </is>
      </c>
      <c r="B70" s="5" t="inlineStr">
        <is>
          <t>Relative bed stability</t>
        </is>
      </c>
    </row>
    <row r="71">
      <c r="A71" s="69" t="inlineStr">
        <is>
          <t>All streams (pooled)</t>
        </is>
      </c>
      <c r="B71" s="5" t="inlineStr">
        <is>
          <t>Canopy density, mid-channel</t>
        </is>
      </c>
    </row>
    <row r="72">
      <c r="A72" s="69" t="inlineStr">
        <is>
          <t>Headwater (10 km2 and under)</t>
        </is>
      </c>
      <c r="B72" s="5" t="inlineStr">
        <is>
          <t>Canopy density, mid-channel</t>
        </is>
      </c>
    </row>
    <row r="73">
      <c r="A73" s="69" t="inlineStr">
        <is>
          <t>Small stream (10 to 100 km2)</t>
        </is>
      </c>
      <c r="B73" s="5" t="inlineStr">
        <is>
          <t>Canopy density, mid-channel</t>
        </is>
      </c>
    </row>
    <row r="74">
      <c r="A74" s="69" t="inlineStr">
        <is>
          <t>Large stream (over 100 km2)</t>
        </is>
      </c>
      <c r="B74" s="5" t="inlineStr">
        <is>
          <t>Canopy density, mid-channel</t>
        </is>
      </c>
    </row>
    <row r="75">
      <c r="A75" s="69" t="inlineStr">
        <is>
          <t>All streams (pooled)</t>
        </is>
      </c>
      <c r="B75" s="5" t="inlineStr">
        <is>
          <t>Fast-water / riffle habitat</t>
        </is>
      </c>
    </row>
    <row r="76">
      <c r="A76" s="69" t="inlineStr">
        <is>
          <t>Moderate gradient (0.5 to 2 percent)</t>
        </is>
      </c>
      <c r="B76" s="5" t="inlineStr">
        <is>
          <t>Fast-water / riffle habitat</t>
        </is>
      </c>
    </row>
    <row r="77">
      <c r="A77" s="69" t="inlineStr">
        <is>
          <t>All streams (pooled)</t>
        </is>
      </c>
      <c r="B77" s="5" t="inlineStr">
        <is>
          <t>Natural fish cover</t>
        </is>
      </c>
    </row>
    <row r="78">
      <c r="A78" s="69" t="inlineStr">
        <is>
          <t>Headwater (10 km2 and under)</t>
        </is>
      </c>
      <c r="B78" s="5" t="inlineStr">
        <is>
          <t>Natural fish cover</t>
        </is>
      </c>
    </row>
    <row r="79">
      <c r="A79" s="69" t="inlineStr">
        <is>
          <t>Small stream (10 to 100 km2)</t>
        </is>
      </c>
      <c r="B79" s="5" t="inlineStr">
        <is>
          <t>Natural fish cover</t>
        </is>
      </c>
    </row>
    <row r="80">
      <c r="A80" s="69" t="inlineStr">
        <is>
          <t>Large stream (over 100 km2)</t>
        </is>
      </c>
      <c r="B80" s="5" t="inlineStr">
        <is>
          <t>Natural fish cover</t>
        </is>
      </c>
    </row>
    <row r="81">
      <c r="A81" s="69" t="inlineStr">
        <is>
          <t>All streams (pooled)</t>
        </is>
      </c>
      <c r="B81" s="5" t="inlineStr">
        <is>
          <t>Native fish taxa richness</t>
        </is>
      </c>
    </row>
    <row r="82">
      <c r="A82" s="69" t="inlineStr">
        <is>
          <t>Low gradient (under 0.5 percent)</t>
        </is>
      </c>
      <c r="B82" s="5" t="inlineStr">
        <is>
          <t>Native fish taxa richness</t>
        </is>
      </c>
    </row>
    <row r="83">
      <c r="A83" s="69" t="inlineStr">
        <is>
          <t>Moderate gradient (0.5 to 2 percent)</t>
        </is>
      </c>
      <c r="B83" s="5" t="inlineStr">
        <is>
          <t>Native fish taxa richness</t>
        </is>
      </c>
    </row>
    <row r="86">
      <c r="A86" s="72" t="inlineStr">
        <is>
          <t>Condition classes</t>
        </is>
      </c>
    </row>
    <row r="87">
      <c r="A87" t="inlineStr">
        <is>
          <t>Metric index: at or below 0.39 Non-Functioning, at or below 0.69 Functioning At-Risk, above Functioning.</t>
        </is>
      </c>
    </row>
    <row r="88">
      <c r="A88" t="inlineStr">
        <is>
          <t>Function score (0 to 15): at or below 5 Non-Functioning, at or below 10 Functioning At-Risk, above Functioning.</t>
        </is>
      </c>
    </row>
    <row r="89">
      <c r="A8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northern-lakes-and-forests</t>
        </is>
      </c>
    </row>
    <row r="5">
      <c r="A5" s="69" t="inlineStr">
        <is>
          <t>Assessment name</t>
        </is>
      </c>
      <c r="B5" s="69" t="inlineStr">
        <is>
          <t>Northern Lakes and Forests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sha256:7d8d5bed086c24c7ac118c4008ca58ae2190f42e4209dca35415d0fa8e24277a</t>
        </is>
      </c>
    </row>
    <row r="9">
      <c r="A9" s="69" t="inlineStr">
        <is>
          <t>Region</t>
        </is>
      </c>
      <c r="B9" s="69" t="inlineStr">
        <is>
          <t>ecoregion 50 Northern Lakes and Forests</t>
        </is>
      </c>
    </row>
    <row r="10">
      <c r="A10" s="69" t="inlineStr">
        <is>
          <t>Source</t>
        </is>
      </c>
      <c r="B10" s="69" t="inlineStr">
        <is>
          <t>USEPA NRSA 2013-24 (L3 ecoregion 50), StreamCurves regional analysis, methodology 0.14-provisional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2" t="inlineStr">
        <is>
          <t>Function</t>
        </is>
      </c>
      <c r="B2" s="72" t="inlineStr">
        <is>
          <t>Score</t>
        </is>
      </c>
      <c r="C2" s="72" t="inlineStr">
        <is>
          <t>Non-Functioning (0-5)</t>
        </is>
      </c>
      <c r="D2" s="72" t="inlineStr">
        <is>
          <t>Functioning At-Risk (6-10)</t>
        </is>
      </c>
      <c r="E2" s="7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72" t="inlineStr">
        <is>
          <t>Outcome</t>
        </is>
      </c>
      <c r="B24" s="72" t="inlineStr">
        <is>
          <t>Score</t>
        </is>
      </c>
      <c r="C24" s="72" t="inlineStr">
        <is>
          <t>Non-Functioning (0.00-0.39)</t>
        </is>
      </c>
      <c r="D24" s="72" t="inlineStr">
        <is>
          <t>Functioning At-Risk (0.40-0.69)</t>
        </is>
      </c>
      <c r="E24" s="72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2026-09-23T01:39:34Z</dcterms:created>
  <dcterms:modified xmlns:dcterms="http://purl.org/dc/terms/" xmlns:xsi="http://www.w3.org/2001/XMLSchema-instance" xsi:type="dcterms:W3CDTF">2026-09-23T01:39:34Z</dcterms:modified>
  <cp:lastModifiedBy>DEEP</cp:lastModifiedBy>
  <cp:contentStatus>Draft</cp:contentStatus>
</cp:coreProperties>
</file>