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ctwet2019ws">'Reference'!$A$52:$A$54</definedName>
    <definedName name="strata_spring_phab_bfwd_rat">'Reference'!$A$55:$A$58</definedName>
    <definedName name="strata_spring_phab_xbkf_h">'Reference'!$A$59:$A$62</definedName>
    <definedName name="strata_spring_phab_lrbs_use">'Reference'!$A$63:$A$66</definedName>
    <definedName name="strata_spring_phab_xcdenmid">'Reference'!$A$67:$A$70</definedName>
    <definedName name="strata_spring_phab_xfc_nat">'Reference'!$A$71:$A$74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xfc_nat">'Metrics'!$V$26</definedName>
    <definedName name="idx_spring_phab_pct_fas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xfc_nat">'DEEP Score'!$E$40</definedName>
    <definedName name="st_spring_phab_xfc_nat">'DEEP Score'!$F$40</definedName>
    <definedName name="in_spring_phab_pct_fast">'DEEP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Lakes and Forests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20 curves are fitted to least-disturbed stations of this ecoregion. 3 curves are fitted to this ecoregion's own streams under the documented regional screen, which relaxes agriculture only. 4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Lakes and Forests reference assessment</t>
        </is>
      </c>
    </row>
    <row r="3">
      <c r="A3" s="5" t="inlineStr">
        <is>
          <t>Version 2 | Draft | USEPA NRSA 2013-24 (L3 ecoregion 50),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39">
        <f>IF('DEEP Score'!$E$19="","",'DEEP Score'!$E$19)</f>
        <v/>
      </c>
      <c r="F21" s="40">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IF('Metrics'!$V$12="","",'Metrics'!$V$12)</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5" t="inlineStr">
        <is>
          <t>Geomorphology</t>
        </is>
      </c>
      <c r="B25" s="12" t="inlineStr">
        <is>
          <t>Channel evolution</t>
        </is>
      </c>
      <c r="C25" s="13" t="inlineStr">
        <is>
          <t>Bankfull width:depth ratio</t>
        </is>
      </c>
      <c r="D25" s="14" t="inlineStr"/>
      <c r="E25" s="39">
        <f>IF('DEEP Score'!$E$19="","",'DEEP Score'!$E$19)</f>
        <v/>
      </c>
      <c r="F25" s="40">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IF('Metrics'!$V$12="","",'Metrics'!$V$12)</f>
        <v/>
      </c>
      <c r="H26" s="21" t="n"/>
      <c r="I26" s="27" t="n"/>
    </row>
    <row r="27">
      <c r="A27" s="45"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5" t="inlineStr">
        <is>
          <t>Geomorphology</t>
        </is>
      </c>
      <c r="B29" s="12" t="inlineStr">
        <is>
          <t>Sediment continuity</t>
        </is>
      </c>
      <c r="C29" s="13" t="inlineStr">
        <is>
          <t>Relative bed stability</t>
        </is>
      </c>
      <c r="D29" s="14" t="inlineStr">
        <is>
          <t>log</t>
        </is>
      </c>
      <c r="E29" s="15" t="n"/>
      <c r="F29" s="48"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IF('Metrics'!$V$13="","",'Metrics'!$V$13)</f>
        <v/>
      </c>
      <c r="H30" s="21" t="n"/>
      <c r="I30" s="27" t="n"/>
    </row>
    <row r="31">
      <c r="A31" s="45" t="inlineStr">
        <is>
          <t>Geomorphology</t>
        </is>
      </c>
      <c r="B31" s="12" t="inlineStr">
        <is>
          <t>Bed composition and bedform dynamics</t>
        </is>
      </c>
      <c r="C31" s="13" t="inlineStr">
        <is>
          <t>Large wood volume</t>
        </is>
      </c>
      <c r="D31" s="14" t="inlineStr">
        <is>
          <t>m3/100m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6">
        <f>IF('DEEP Score'!$E$24="","",'DEEP Score'!$E$24)</f>
        <v/>
      </c>
      <c r="F32" s="47" t="inlineStr"/>
      <c r="G32" s="26">
        <f>IF('Metrics'!$V$14="","",'Metrics'!$V$14)</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1" t="inlineStr">
        <is>
          <t>All streams (pooled)</t>
        </is>
      </c>
      <c r="G34" s="26">
        <f>IF('Metrics'!$V$20="","",'Metrics'!$V$20)</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IF('Metrics'!$V$21="","",'Metrics'!$V$21)</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9"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1" t="inlineStr">
        <is>
          <t>Biology</t>
        </is>
      </c>
      <c r="B40" s="12" t="inlineStr">
        <is>
          <t>Habitat provision</t>
        </is>
      </c>
      <c r="C40" s="13" t="inlineStr">
        <is>
          <t>Natural fish cover</t>
        </is>
      </c>
      <c r="D40" s="14" t="inlineStr">
        <is>
          <t>frac</t>
        </is>
      </c>
      <c r="E40" s="15" t="n"/>
      <c r="F40" s="48"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IF('Metrics'!$V$27="","",'Metrics'!$V$27)</f>
        <v/>
      </c>
      <c r="H41" s="21" t="n"/>
      <c r="I41" s="27" t="n"/>
    </row>
    <row r="42">
      <c r="A42" s="52" t="inlineStr">
        <is>
          <t>Biology</t>
        </is>
      </c>
      <c r="B42" s="29" t="inlineStr">
        <is>
          <t>Population support</t>
        </is>
      </c>
      <c r="C42" s="30" t="inlineStr">
        <is>
          <t>Benthic total taxa richness</t>
        </is>
      </c>
      <c r="D42" s="31" t="inlineStr"/>
      <c r="E42" s="32" t="n"/>
      <c r="F42" s="37" t="inlineStr"/>
      <c r="G42" s="34">
        <f>IF('Metrics'!$V$28="","",'Metrics'!$V$28)</f>
        <v/>
      </c>
      <c r="H42" s="35">
        <f>IF('Results'!$B$21="","",'Results'!$B$21)</f>
        <v/>
      </c>
      <c r="I42" s="36">
        <f>IF('DEEP Score'!$H$42="","",IF('DEEP Score'!$H$42&lt;=5,"Non-Functioning",IF('DEEP Score'!$H$42&lt;=10,"Functioning At-Risk","Functioning")))</f>
        <v/>
      </c>
    </row>
    <row r="43">
      <c r="A43" s="51" t="inlineStr">
        <is>
          <t>Biology</t>
        </is>
      </c>
      <c r="B43" s="12" t="inlineStr">
        <is>
          <t>Community dynamics</t>
        </is>
      </c>
      <c r="C43" s="13" t="inlineStr">
        <is>
          <t>Shannon diversity (H')</t>
        </is>
      </c>
      <c r="D43" s="14" t="inlineStr">
        <is>
          <t>H'</t>
        </is>
      </c>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52" t="inlineStr">
        <is>
          <t>Biology</t>
        </is>
      </c>
      <c r="B45" s="29" t="inlineStr">
        <is>
          <t>Watershed connectivity</t>
        </is>
      </c>
      <c r="C45" s="30" t="inlineStr">
        <is>
          <t>Mapped dams within one mile</t>
        </is>
      </c>
      <c r="D45" s="31" t="inlineStr">
        <is>
          <t>dams</t>
        </is>
      </c>
      <c r="E45" s="32" t="n"/>
      <c r="F45" s="37" t="inlineStr"/>
      <c r="G45" s="34">
        <f>IF('Metrics'!$V$31="","",'Metrics'!$V$31)</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Native fish taxa richness</t>
        </is>
      </c>
      <c r="C57" s="5" t="inlineStr">
        <is>
          <t>Population support</t>
        </is>
      </c>
    </row>
    <row r="59">
      <c r="A59" s="6" t="inlineStr">
        <is>
          <t>Notes</t>
        </is>
      </c>
    </row>
    <row r="60">
      <c r="A60" s="60" t="n"/>
      <c r="B60" s="61" t="n"/>
      <c r="C60" s="61" t="n"/>
      <c r="D60" s="61" t="n"/>
      <c r="E60" s="61" t="n"/>
      <c r="F60" s="61" t="n"/>
      <c r="G60" s="61" t="n"/>
      <c r="H60" s="61" t="n"/>
      <c r="I60" s="62" t="n"/>
    </row>
    <row r="61">
      <c r="A61" s="63" t="n"/>
      <c r="B61" s="64" t="n"/>
      <c r="C61" s="64" t="n"/>
      <c r="D61" s="64" t="n"/>
      <c r="E61" s="64" t="n"/>
      <c r="F61" s="64" t="n"/>
      <c r="G61" s="64" t="n"/>
      <c r="H61" s="64" t="n"/>
      <c r="I61" s="65"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6" t="n"/>
      <c r="B65" s="67" t="n"/>
      <c r="C65" s="67" t="n"/>
      <c r="D65" s="67" t="n"/>
      <c r="E65" s="67" t="n"/>
      <c r="F65" s="67" t="n"/>
      <c r="G65" s="67" t="n"/>
      <c r="H65" s="67" t="n"/>
      <c r="I65"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Bankfull width:depth ratio</t>
        </is>
      </c>
      <c r="B11" s="71">
        <f>IF('DEEP Score'!$E$19="","",'DEEP Score'!$E$19)</f>
        <v/>
      </c>
      <c r="C11" s="71">
        <f>IF('DEEP Score'!$F$19="","All streams (pooled)",'DEEP Score'!$F$19)</f>
        <v/>
      </c>
      <c r="D11" s="71">
        <f>"spring_phab_bfwd_rat|"&amp;'Metrics'!$C$11</f>
        <v/>
      </c>
      <c r="E11" s="71">
        <f>IFERROR(MATCH('Metrics'!$D$11,curve_key,0),MATCH("spring_phab_bfwd_rat|All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height above channel</t>
        </is>
      </c>
      <c r="B12" s="71">
        <f>IF('DEEP Score'!$E$22="","",'DEEP Score'!$E$22)</f>
        <v/>
      </c>
      <c r="C12" s="71">
        <f>IF('DEEP Score'!$F$22="","All streams (pooled)",'DEEP Score'!$F$22)</f>
        <v/>
      </c>
      <c r="D12" s="71">
        <f>"spring_phab_xbkf_h|"&amp;'Metrics'!$C$12</f>
        <v/>
      </c>
      <c r="E12" s="71">
        <f>IFERROR(MATCH('Metrics'!$D$12,curve_key,0),MATCH("spring_phab_xbkf_h|All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Sand + fines</t>
        </is>
      </c>
      <c r="B13" s="71">
        <f>IF('DEEP Score'!$E$23="","",'DEEP Score'!$E$23)</f>
        <v/>
      </c>
      <c r="C13" s="71">
        <f>""</f>
        <v/>
      </c>
      <c r="D13" s="71">
        <f>"spring_phab_pct_safn|"&amp;'Metrics'!$C$13</f>
        <v/>
      </c>
      <c r="E13" s="71">
        <f>IFERROR(MATCH('Metrics'!$D$13,curve_key,0),MATCH("spring_phab_pct_safn|",curve_key,0))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Embeddedness</t>
        </is>
      </c>
      <c r="B14" s="71">
        <f>IF('DEEP Score'!$E$24="","",'DEEP Score'!$E$24)</f>
        <v/>
      </c>
      <c r="C14" s="71">
        <f>""</f>
        <v/>
      </c>
      <c r="D14" s="71">
        <f>"spring_phab_xembed|"&amp;'Metrics'!$C$14</f>
        <v/>
      </c>
      <c r="E14" s="71">
        <f>IFERROR(MATCH('Metrics'!$D$14,curve_key,0),MATCH("spring_phab_xembed|",curve_key,0))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Sinuosity</t>
        </is>
      </c>
      <c r="B15" s="71">
        <f>IF('DEEP Score'!$E$27="","",'DEEP Score'!$E$27)</f>
        <v/>
      </c>
      <c r="C15" s="71">
        <f>""</f>
        <v/>
      </c>
      <c r="D15" s="71">
        <f>"spring_phab_sinu|"&amp;'Metrics'!$C$15</f>
        <v/>
      </c>
      <c r="E15" s="71">
        <f>IFERROR(MATCH('Metrics'!$D$15,curve_key,0),MATCH("spring_phab_sinu|",curve_key,0))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Bank angle</t>
        </is>
      </c>
      <c r="B16" s="71">
        <f>IF('DEEP Score'!$E$28="","",'DEEP Score'!$E$28)</f>
        <v/>
      </c>
      <c r="C16" s="71">
        <f>""</f>
        <v/>
      </c>
      <c r="D16" s="71">
        <f>"spring_phab_xbka|"&amp;'Metrics'!$C$16</f>
        <v/>
      </c>
      <c r="E16" s="71">
        <f>IFERROR(MATCH('Metrics'!$D$16,curve_key,0),MATCH("spring_phab_xbka|",curve_key,0))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Relative bed stability</t>
        </is>
      </c>
      <c r="B17" s="71">
        <f>IF('DEEP Score'!$E$29="","",'DEEP Score'!$E$29)</f>
        <v/>
      </c>
      <c r="C17" s="71">
        <f>IF('DEEP Score'!$F$29="","All streams (pooled)",'DEEP Score'!$F$29)</f>
        <v/>
      </c>
      <c r="D17" s="71">
        <f>"spring_phab_lrbs_use|"&amp;'Metrics'!$C$17</f>
        <v/>
      </c>
      <c r="E17" s="71">
        <f>IFERROR(MATCH('Metrics'!$D$17,curve_key,0),MATCH("spring_phab_lrbs_use|All streams (pooled)",curve_key,0))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Large wood volume</t>
        </is>
      </c>
      <c r="B18" s="71">
        <f>IF('DEEP Score'!$E$31="","",'DEEP Score'!$E$31)</f>
        <v/>
      </c>
      <c r="C18" s="71">
        <f>""</f>
        <v/>
      </c>
      <c r="D18" s="71">
        <f>"spring_phab_lwdeqvolm100|"&amp;'Metrics'!$C$18</f>
        <v/>
      </c>
      <c r="E18" s="71">
        <f>IFERROR(MATCH('Metrics'!$D$18,curve_key,0),MATCH("spring_phab_lwdeqvolm100|",curve_key,0))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Chlorophyll a</t>
        </is>
      </c>
      <c r="B19" s="71">
        <f>IF('DEEP Score'!$E$33="","",'DEEP Score'!$E$33)</f>
        <v/>
      </c>
      <c r="C19" s="71">
        <f>""</f>
        <v/>
      </c>
      <c r="D19" s="71">
        <f>"spring_chem_chla|"&amp;'Metrics'!$C$19</f>
        <v/>
      </c>
      <c r="E19" s="71">
        <f>IFERROR(MATCH('Metrics'!$D$19,curve_key,0),MATCH("spring_chem_chla|",curve_key,0))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Score'!$E$34="","",'DEEP Score'!$E$34)</f>
        <v/>
      </c>
      <c r="C20" s="71">
        <f>IF('DEEP Score'!$F$34="","All streams (pooled)",'DEEP Score'!$F$34)</f>
        <v/>
      </c>
      <c r="D20" s="71">
        <f>"spring_phab_xcdenmid|"&amp;'Metrics'!$C$20</f>
        <v/>
      </c>
      <c r="E20" s="71">
        <f>IFERROR(MATCH('Metrics'!$D$20,curve_key,0),MATCH("spring_phab_xcdenmid|All streams (pooled)",curve_key,0))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Score'!$E$35="","",'DEEP Score'!$E$35)</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Score'!$E$36="","",'DEEP Score'!$E$36)</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Score'!$E$37="","",'DEEP Score'!$E$37)</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Specific conductivity</t>
        </is>
      </c>
      <c r="B24" s="71">
        <f>IF('DEEP Score'!$E$38="","",'DEEP Score'!$E$38)</f>
        <v/>
      </c>
      <c r="C24" s="71">
        <f>""</f>
        <v/>
      </c>
      <c r="D24" s="71">
        <f>"spring_chem_cond|"&amp;'Metrics'!$C$24</f>
        <v/>
      </c>
      <c r="E24" s="71">
        <f>IFERROR(MATCH('Metrics'!$D$24,curve_key,0),MATCH("spring_chem_cond|",curve_key,0))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Score'!$E$39="","",'DEEP Score'!$E$39)</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Natural fish cover</t>
        </is>
      </c>
      <c r="B26" s="71">
        <f>IF('DEEP Score'!$E$40="","",'DEEP Score'!$E$40)</f>
        <v/>
      </c>
      <c r="C26" s="71">
        <f>IF('DEEP Score'!$F$40="","All streams (pooled)",'DEEP Score'!$F$40)</f>
        <v/>
      </c>
      <c r="D26" s="71">
        <f>"spring_phab_xfc_nat|"&amp;'Metrics'!$C$26</f>
        <v/>
      </c>
      <c r="E26" s="71">
        <f>IFERROR(MATCH('Metrics'!$D$26,curve_key,0),MATCH("spring_phab_xfc_nat|All streams (pooled)",curve_key,0))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Fast-water / riffle habitat</t>
        </is>
      </c>
      <c r="B27" s="71">
        <f>IF('DEEP Score'!$E$41="","",'DEEP Score'!$E$41)</f>
        <v/>
      </c>
      <c r="C27" s="71">
        <f>""</f>
        <v/>
      </c>
      <c r="D27" s="71">
        <f>"spring_phab_pct_fast|"&amp;'Metrics'!$C$27</f>
        <v/>
      </c>
      <c r="E27" s="71">
        <f>IFERROR(MATCH('Metrics'!$D$27,curve_key,0),MATCH("spring_phab_pct_fast|",curve_key,0))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Score'!$E$42="","",'DEEP Score'!$E$42)</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Shannon diversity (H')</t>
        </is>
      </c>
      <c r="B29" s="71">
        <f>IF('DEEP Score'!$E$43="","",'DEEP Score'!$E$43)</f>
        <v/>
      </c>
      <c r="C29" s="71">
        <f>""</f>
        <v/>
      </c>
      <c r="D29" s="71">
        <f>"spring_bent_hprime|"&amp;'Metrics'!$C$29</f>
        <v/>
      </c>
      <c r="E29" s="71">
        <f>IFERROR(MATCH('Metrics'!$D$29,curve_key,0),MATCH("spring_bent_hprime|",curve_key,0))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Tolerant individuals (%) ~ HBI</t>
        </is>
      </c>
      <c r="B30" s="71">
        <f>IF('DEEP Score'!$E$44="","",'DEEP Score'!$E$44)</f>
        <v/>
      </c>
      <c r="C30" s="71">
        <f>""</f>
        <v/>
      </c>
      <c r="D30" s="71">
        <f>"spring_bent_tolrpind|"&amp;'Metrics'!$C$30</f>
        <v/>
      </c>
      <c r="E30" s="71">
        <f>IFERROR(MATCH('Metrics'!$D$30,curve_key,0),MATCH("spring_bent_tolrpind|",curve_key,0))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Mapped dams within one mile</t>
        </is>
      </c>
      <c r="B31" s="71">
        <f>IF('DEEP Score'!$E$45="","",'DEEP Score'!$E$45)</f>
        <v/>
      </c>
      <c r="C31" s="71">
        <f>""</f>
        <v/>
      </c>
      <c r="D31" s="71">
        <f>"spring_nid_dams_1mi|"&amp;'Metrics'!$C$31</f>
        <v/>
      </c>
      <c r="E31" s="71">
        <f>IFERROR(MATCH('Metrics'!$D$31,curve_key,0),MATCH("spring_nid_dams_1mi|",curve_key,0))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Score'!G40:G41)=0,"",SUM('DEEP Score'!G40:G41)/COUNT('DEEP Score'!G40:G41)*15)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Score'!G42:G42)=0,"",SUM('DEEP Score'!G42:G42)/COUNT('DEEP Score'!G42:G42)*15)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94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70" t="n">
        <v>0</v>
      </c>
      <c r="H7" s="70" t="n">
        <v>7.158214285714286</v>
      </c>
      <c r="I7" s="70" t="n">
        <v>16.7025</v>
      </c>
      <c r="J7" s="70" t="n">
        <v>40.3875</v>
      </c>
      <c r="K7" s="70" t="n">
        <v>52.22999999999999</v>
      </c>
      <c r="L7" s="70" t="n">
        <v>52.22999999999999</v>
      </c>
      <c r="M7" s="70" t="n">
        <v>52.22999999999999</v>
      </c>
      <c r="N7" s="70" t="n">
        <v>52.22999999999999</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94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8" s="70" t="n">
        <v>0</v>
      </c>
      <c r="H8" s="70" t="n">
        <v>8.724642857142857</v>
      </c>
      <c r="I8" s="70" t="n">
        <v>20.3575</v>
      </c>
      <c r="J8" s="70" t="n">
        <v>43.6875</v>
      </c>
      <c r="K8" s="70" t="n">
        <v>55.3525</v>
      </c>
      <c r="L8" s="70" t="n">
        <v>55.3525</v>
      </c>
      <c r="M8" s="70" t="n">
        <v>55.3525</v>
      </c>
      <c r="N8" s="70" t="n">
        <v>55.3525</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94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9" s="70" t="n">
        <v>0</v>
      </c>
      <c r="H9" s="70" t="n">
        <v>3.315</v>
      </c>
      <c r="I9" s="70" t="n">
        <v>7.735</v>
      </c>
      <c r="J9" s="70" t="n">
        <v>26.26</v>
      </c>
      <c r="K9" s="70" t="n">
        <v>35.52249999999999</v>
      </c>
      <c r="L9" s="70" t="n">
        <v>35.52249999999999</v>
      </c>
      <c r="M9" s="70" t="n">
        <v>35.52249999999999</v>
      </c>
      <c r="N9" s="70" t="n">
        <v>35.52249999999999</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100 least-disturbed stations borrowed from Level II ecoregion 5.2 (Mixed Wood Shield)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70" t="n">
        <v>0</v>
      </c>
      <c r="H11" s="70" t="n">
        <v>23.57142857142857</v>
      </c>
      <c r="I11" s="70" t="n">
        <v>55</v>
      </c>
      <c r="J11" s="70" t="n">
        <v>67.97915</v>
      </c>
      <c r="K11" s="70" t="n">
        <v>74.46872500000001</v>
      </c>
      <c r="L11" s="70" t="n">
        <v>74.46872500000001</v>
      </c>
      <c r="M11" s="70" t="n">
        <v>74.46872500000001</v>
      </c>
      <c r="N11" s="70" t="n">
        <v>74.46872500000001</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spring_phab_bfwd_rat|All streams (pooled)</t>
        </is>
      </c>
      <c r="B13" s="70" t="inlineStr">
        <is>
          <t>spring-phab-bfwd-rat</t>
        </is>
      </c>
      <c r="C13" s="70" t="inlineStr">
        <is>
          <t>Bankfull width:depth ratio</t>
        </is>
      </c>
      <c r="D13" s="70" t="inlineStr">
        <is>
          <t>All streams (pooled)</t>
        </is>
      </c>
      <c r="E13" s="70" t="n">
        <v>7</v>
      </c>
      <c r="F13" s="70" t="inlineStr">
        <is>
          <t>56 least-disturbed stations of this ecoregion</t>
        </is>
      </c>
      <c r="G13" s="70" t="n">
        <v>0</v>
      </c>
      <c r="H13" s="70" t="n">
        <v>3.285044020414353</v>
      </c>
      <c r="I13" s="70" t="n">
        <v>6.080692410469055</v>
      </c>
      <c r="J13" s="70" t="n">
        <v>14.06825923919678</v>
      </c>
      <c r="K13" s="70" t="n">
        <v>16.86390762925148</v>
      </c>
      <c r="L13" s="70" t="n">
        <v>22.0558260679245</v>
      </c>
      <c r="M13" s="70" t="n">
        <v>30.04339289665222</v>
      </c>
      <c r="N13" s="70" t="n">
        <v>30.04339289665222</v>
      </c>
      <c r="O13" s="70" t="n">
        <v>0</v>
      </c>
      <c r="P13" s="70" t="n">
        <v>0.7</v>
      </c>
      <c r="Q13" s="70" t="n">
        <v>1</v>
      </c>
      <c r="R13" s="70" t="n">
        <v>1</v>
      </c>
      <c r="S13" s="70" t="n">
        <v>0.7</v>
      </c>
      <c r="T13" s="70" t="n">
        <v>0.3</v>
      </c>
      <c r="U13" s="70" t="n">
        <v>0</v>
      </c>
      <c r="V13" s="70" t="n">
        <v>0</v>
      </c>
    </row>
    <row r="14">
      <c r="A14" s="70" t="inlineStr">
        <is>
          <t>spring_phab_bfwd_rat|Headwater (10 km2 and under)</t>
        </is>
      </c>
      <c r="B14" s="70" t="inlineStr">
        <is>
          <t>spring-phab-bfwd-rat</t>
        </is>
      </c>
      <c r="C14" s="70" t="inlineStr">
        <is>
          <t>Bankfull width:depth ratio</t>
        </is>
      </c>
      <c r="D14" s="70" t="inlineStr">
        <is>
          <t>Headwater (10 km2 and under)</t>
        </is>
      </c>
      <c r="E14" s="70" t="n">
        <v>8</v>
      </c>
      <c r="F14" s="70" t="inlineStr">
        <is>
          <t>56 least-disturbed stations of this ecoregion</t>
        </is>
      </c>
      <c r="G14" s="70" t="n">
        <v>0</v>
      </c>
      <c r="H14" s="70" t="n">
        <v>2.002209663391113</v>
      </c>
      <c r="I14" s="70" t="n">
        <v>3.511556172370911</v>
      </c>
      <c r="J14" s="70" t="n">
        <v>4.324281215667725</v>
      </c>
      <c r="K14" s="70" t="n">
        <v>6.646352767944336</v>
      </c>
      <c r="L14" s="70" t="n">
        <v>7.45907781124115</v>
      </c>
      <c r="M14" s="70" t="n">
        <v>8.968424320220947</v>
      </c>
      <c r="N14" s="70" t="n">
        <v>11.29049587249756</v>
      </c>
      <c r="O14" s="70" t="n">
        <v>0</v>
      </c>
      <c r="P14" s="70" t="n">
        <v>0.3</v>
      </c>
      <c r="Q14" s="70" t="n">
        <v>0.7</v>
      </c>
      <c r="R14" s="70" t="n">
        <v>1</v>
      </c>
      <c r="S14" s="70" t="n">
        <v>1</v>
      </c>
      <c r="T14" s="70" t="n">
        <v>0.7</v>
      </c>
      <c r="U14" s="70" t="n">
        <v>0.3</v>
      </c>
      <c r="V14" s="70" t="n">
        <v>0</v>
      </c>
    </row>
    <row r="15">
      <c r="A15" s="70" t="inlineStr">
        <is>
          <t>spring_phab_bfwd_rat|Small stream (10 to 100 km2)</t>
        </is>
      </c>
      <c r="B15" s="70" t="inlineStr">
        <is>
          <t>spring-phab-bfwd-rat</t>
        </is>
      </c>
      <c r="C15" s="70" t="inlineStr">
        <is>
          <t>Bankfull width:depth ratio</t>
        </is>
      </c>
      <c r="D15" s="70" t="inlineStr">
        <is>
          <t>Small stream (10 to 100 km2)</t>
        </is>
      </c>
      <c r="E15" s="70" t="n">
        <v>7</v>
      </c>
      <c r="F15" s="70" t="inlineStr">
        <is>
          <t>56 least-disturbed stations of this ecoregion</t>
        </is>
      </c>
      <c r="G15" s="70" t="n">
        <v>0</v>
      </c>
      <c r="H15" s="70" t="n">
        <v>3.08002359867096</v>
      </c>
      <c r="I15" s="70" t="n">
        <v>6.509458065032959</v>
      </c>
      <c r="J15" s="70" t="n">
        <v>16.30784225463867</v>
      </c>
      <c r="K15" s="70" t="n">
        <v>19.73727672100067</v>
      </c>
      <c r="L15" s="70" t="n">
        <v>26.10622644424438</v>
      </c>
      <c r="M15" s="70" t="n">
        <v>35.9046106338501</v>
      </c>
      <c r="N15" s="70" t="n">
        <v>35.9046106338501</v>
      </c>
      <c r="O15" s="70" t="n">
        <v>0</v>
      </c>
      <c r="P15" s="70" t="n">
        <v>0.7</v>
      </c>
      <c r="Q15" s="70" t="n">
        <v>1</v>
      </c>
      <c r="R15" s="70" t="n">
        <v>1</v>
      </c>
      <c r="S15" s="70" t="n">
        <v>0.7</v>
      </c>
      <c r="T15" s="70" t="n">
        <v>0.3</v>
      </c>
      <c r="U15" s="70" t="n">
        <v>0</v>
      </c>
      <c r="V15" s="70" t="n">
        <v>0</v>
      </c>
    </row>
    <row r="16">
      <c r="A16" s="70" t="inlineStr">
        <is>
          <t>spring_phab_bfwd_rat|Large stream (over 100 km2)</t>
        </is>
      </c>
      <c r="B16" s="70" t="inlineStr">
        <is>
          <t>spring-phab-bfwd-rat</t>
        </is>
      </c>
      <c r="C16" s="70" t="inlineStr">
        <is>
          <t>Bankfull width:depth ratio</t>
        </is>
      </c>
      <c r="D16" s="70" t="inlineStr">
        <is>
          <t>Large stream (over 100 km2)</t>
        </is>
      </c>
      <c r="E16" s="70" t="n">
        <v>7</v>
      </c>
      <c r="F16" s="70" t="inlineStr">
        <is>
          <t>56 least-disturbed stations of this ecoregion</t>
        </is>
      </c>
      <c r="G16" s="70" t="n">
        <v>0</v>
      </c>
      <c r="H16" s="70" t="n">
        <v>3.473315292596817</v>
      </c>
      <c r="I16" s="70" t="n">
        <v>7.033876299858093</v>
      </c>
      <c r="J16" s="70" t="n">
        <v>17.20690774917603</v>
      </c>
      <c r="K16" s="70" t="n">
        <v>20.7674687564373</v>
      </c>
      <c r="L16" s="70" t="n">
        <v>27.37993919849396</v>
      </c>
      <c r="M16" s="70" t="n">
        <v>37.55297064781189</v>
      </c>
      <c r="N16" s="70" t="n">
        <v>37.55297064781189</v>
      </c>
      <c r="O16" s="70" t="n">
        <v>0</v>
      </c>
      <c r="P16" s="70" t="n">
        <v>0.7</v>
      </c>
      <c r="Q16" s="70" t="n">
        <v>1</v>
      </c>
      <c r="R16" s="70" t="n">
        <v>1</v>
      </c>
      <c r="S16" s="70" t="n">
        <v>0.7</v>
      </c>
      <c r="T16" s="70" t="n">
        <v>0.3</v>
      </c>
      <c r="U16" s="70" t="n">
        <v>0</v>
      </c>
      <c r="V16" s="70" t="n">
        <v>0</v>
      </c>
    </row>
    <row r="17">
      <c r="A17" s="70" t="inlineStr">
        <is>
          <t>spring_phab_xbkf_h|All streams (pooled)</t>
        </is>
      </c>
      <c r="B17" s="70" t="inlineStr">
        <is>
          <t>spring-phab-xbkf-h</t>
        </is>
      </c>
      <c r="C17" s="70" t="inlineStr">
        <is>
          <t>Bankfull height above channel</t>
        </is>
      </c>
      <c r="D17" s="70" t="inlineStr">
        <is>
          <t>All streams (pooled)</t>
        </is>
      </c>
      <c r="E17" s="70" t="n">
        <v>7</v>
      </c>
      <c r="F17" s="70" t="inlineStr">
        <is>
          <t>56 least-disturbed stations of this ecoregion</t>
        </is>
      </c>
      <c r="G17" s="70" t="n">
        <v>0</v>
      </c>
      <c r="H17" s="70" t="n">
        <v>0.1300000019371509</v>
      </c>
      <c r="I17" s="70" t="n">
        <v>0.2000000029802322</v>
      </c>
      <c r="J17" s="70" t="n">
        <v>0.4000000059604645</v>
      </c>
      <c r="K17" s="70" t="n">
        <v>0.4700000070035458</v>
      </c>
      <c r="L17" s="70" t="n">
        <v>0.6000000089406967</v>
      </c>
      <c r="M17" s="70" t="n">
        <v>0.800000011920929</v>
      </c>
      <c r="N17" s="70" t="n">
        <v>0.800000011920929</v>
      </c>
      <c r="O17" s="70" t="n">
        <v>0</v>
      </c>
      <c r="P17" s="70" t="n">
        <v>0.7</v>
      </c>
      <c r="Q17" s="70" t="n">
        <v>1</v>
      </c>
      <c r="R17" s="70" t="n">
        <v>1</v>
      </c>
      <c r="S17" s="70" t="n">
        <v>0.7</v>
      </c>
      <c r="T17" s="70" t="n">
        <v>0.3</v>
      </c>
      <c r="U17" s="70" t="n">
        <v>0</v>
      </c>
      <c r="V17" s="70" t="n">
        <v>0</v>
      </c>
    </row>
    <row r="18">
      <c r="A18" s="70" t="inlineStr">
        <is>
          <t>spring_phab_xbkf_h|Headwater (10 km2 and under)</t>
        </is>
      </c>
      <c r="B18" s="70" t="inlineStr">
        <is>
          <t>spring-phab-xbkf-h</t>
        </is>
      </c>
      <c r="C18" s="70" t="inlineStr">
        <is>
          <t>Bankfull height above channel</t>
        </is>
      </c>
      <c r="D18" s="70" t="inlineStr">
        <is>
          <t>Headwater (10 km2 and under)</t>
        </is>
      </c>
      <c r="E18" s="70" t="n">
        <v>7</v>
      </c>
      <c r="F18" s="70" t="inlineStr">
        <is>
          <t>56 least-disturbed stations of this ecoregion</t>
        </is>
      </c>
      <c r="G18" s="70" t="n">
        <v>0</v>
      </c>
      <c r="H18" s="70" t="n">
        <v>0.07136362344026566</v>
      </c>
      <c r="I18" s="70" t="n">
        <v>0.1636363565921783</v>
      </c>
      <c r="J18" s="70" t="n">
        <v>0.4272727370262146</v>
      </c>
      <c r="K18" s="70" t="n">
        <v>0.5195454701781272</v>
      </c>
      <c r="L18" s="70" t="n">
        <v>0.6909091174602509</v>
      </c>
      <c r="M18" s="70" t="n">
        <v>0.9545454978942871</v>
      </c>
      <c r="N18" s="70" t="n">
        <v>0.9545454978942871</v>
      </c>
      <c r="O18" s="70" t="n">
        <v>0</v>
      </c>
      <c r="P18" s="70" t="n">
        <v>0.7</v>
      </c>
      <c r="Q18" s="70" t="n">
        <v>1</v>
      </c>
      <c r="R18" s="70" t="n">
        <v>1</v>
      </c>
      <c r="S18" s="70" t="n">
        <v>0.7</v>
      </c>
      <c r="T18" s="70" t="n">
        <v>0.3</v>
      </c>
      <c r="U18" s="70" t="n">
        <v>0</v>
      </c>
      <c r="V18" s="70" t="n">
        <v>0</v>
      </c>
    </row>
    <row r="19">
      <c r="A19" s="70" t="inlineStr">
        <is>
          <t>spring_phab_xbkf_h|Small stream (10 to 100 km2)</t>
        </is>
      </c>
      <c r="B19" s="70" t="inlineStr">
        <is>
          <t>spring-phab-xbkf-h</t>
        </is>
      </c>
      <c r="C19" s="70" t="inlineStr">
        <is>
          <t>Bankfull height above channel</t>
        </is>
      </c>
      <c r="D19" s="70" t="inlineStr">
        <is>
          <t>Small stream (10 to 100 km2)</t>
        </is>
      </c>
      <c r="E19" s="70" t="n">
        <v>7</v>
      </c>
      <c r="F19" s="70" t="inlineStr">
        <is>
          <t>56 least-disturbed stations of this ecoregion</t>
        </is>
      </c>
      <c r="G19" s="70" t="n">
        <v>0</v>
      </c>
      <c r="H19" s="70" t="n">
        <v>0.1177272662520409</v>
      </c>
      <c r="I19" s="70" t="n">
        <v>0.1909090876579285</v>
      </c>
      <c r="J19" s="70" t="n">
        <v>0.4000000059604645</v>
      </c>
      <c r="K19" s="70" t="n">
        <v>0.4731818273663521</v>
      </c>
      <c r="L19" s="70" t="n">
        <v>0.6090909242630005</v>
      </c>
      <c r="M19" s="70" t="n">
        <v>0.8181818425655365</v>
      </c>
      <c r="N19" s="70" t="n">
        <v>0.8181818425655365</v>
      </c>
      <c r="O19" s="70" t="n">
        <v>0</v>
      </c>
      <c r="P19" s="70" t="n">
        <v>0.7</v>
      </c>
      <c r="Q19" s="70" t="n">
        <v>1</v>
      </c>
      <c r="R19" s="70" t="n">
        <v>1</v>
      </c>
      <c r="S19" s="70" t="n">
        <v>0.7</v>
      </c>
      <c r="T19" s="70" t="n">
        <v>0.3</v>
      </c>
      <c r="U19" s="70" t="n">
        <v>0</v>
      </c>
      <c r="V19" s="70" t="n">
        <v>0</v>
      </c>
    </row>
    <row r="20">
      <c r="A20" s="70" t="inlineStr">
        <is>
          <t>spring_phab_xbkf_h|Large stream (over 100 km2)</t>
        </is>
      </c>
      <c r="B20" s="70" t="inlineStr">
        <is>
          <t>spring-phab-xbkf-h</t>
        </is>
      </c>
      <c r="C20" s="70" t="inlineStr">
        <is>
          <t>Bankfull height above channel</t>
        </is>
      </c>
      <c r="D20" s="70" t="inlineStr">
        <is>
          <t>Large stream (over 100 km2)</t>
        </is>
      </c>
      <c r="E20" s="70" t="n">
        <v>8</v>
      </c>
      <c r="F20" s="70" t="inlineStr">
        <is>
          <t>56 least-disturbed stations of this ecoregion</t>
        </is>
      </c>
      <c r="G20" s="70" t="n">
        <v>0</v>
      </c>
      <c r="H20" s="70" t="n">
        <v>0.09545454382896423</v>
      </c>
      <c r="I20" s="70" t="n">
        <v>0.1870454527437687</v>
      </c>
      <c r="J20" s="70" t="n">
        <v>0.2363636344671249</v>
      </c>
      <c r="K20" s="70" t="n">
        <v>0.3772727251052856</v>
      </c>
      <c r="L20" s="70" t="n">
        <v>0.4265909068286419</v>
      </c>
      <c r="M20" s="70" t="n">
        <v>0.5181818157434464</v>
      </c>
      <c r="N20" s="70" t="n">
        <v>0.6590909063816071</v>
      </c>
      <c r="O20" s="70" t="n">
        <v>0</v>
      </c>
      <c r="P20" s="70" t="n">
        <v>0.3</v>
      </c>
      <c r="Q20" s="70" t="n">
        <v>0.7</v>
      </c>
      <c r="R20" s="70" t="n">
        <v>1</v>
      </c>
      <c r="S20" s="70" t="n">
        <v>1</v>
      </c>
      <c r="T20" s="70" t="n">
        <v>0.7</v>
      </c>
      <c r="U20" s="70" t="n">
        <v>0.3</v>
      </c>
      <c r="V20" s="70" t="n">
        <v>0</v>
      </c>
    </row>
    <row r="21">
      <c r="A21" s="70" t="inlineStr">
        <is>
          <t>spring_phab_pct_safn|</t>
        </is>
      </c>
      <c r="B21" s="70" t="inlineStr">
        <is>
          <t>spring-phab-pct-safn</t>
        </is>
      </c>
      <c r="C21" s="70" t="inlineStr">
        <is>
          <t>Sand + fines</t>
        </is>
      </c>
      <c r="D21" s="70" t="inlineStr"/>
      <c r="E21" s="70" t="n">
        <v>4</v>
      </c>
      <c r="F21" s="70" t="inlineStr">
        <is>
          <t>56 least-disturbed stations of this ecoregion</t>
        </is>
      </c>
      <c r="G21" s="70" t="n">
        <v>15.71428680419922</v>
      </c>
      <c r="H21" s="70" t="n">
        <v>39.0476188659668</v>
      </c>
      <c r="I21" s="70" t="n">
        <v>85.71428298950195</v>
      </c>
      <c r="J21" s="70" t="n">
        <v>100</v>
      </c>
      <c r="K21" s="70" t="n">
        <v>100</v>
      </c>
      <c r="L21" s="70" t="n">
        <v>100</v>
      </c>
      <c r="M21" s="70" t="n">
        <v>100</v>
      </c>
      <c r="N21" s="70" t="n">
        <v>100</v>
      </c>
      <c r="O21" s="70" t="n">
        <v>1</v>
      </c>
      <c r="P21" s="70" t="n">
        <v>1</v>
      </c>
      <c r="Q21" s="70" t="n">
        <v>0.7</v>
      </c>
      <c r="R21" s="70" t="n">
        <v>0</v>
      </c>
      <c r="S21" s="70" t="n">
        <v>0</v>
      </c>
      <c r="T21" s="70" t="n">
        <v>0</v>
      </c>
      <c r="U21" s="70" t="n">
        <v>0</v>
      </c>
      <c r="V21" s="70" t="n">
        <v>0</v>
      </c>
    </row>
    <row r="22">
      <c r="A22" s="70" t="inlineStr">
        <is>
          <t>spring_phab_xembed|</t>
        </is>
      </c>
      <c r="B22" s="70" t="inlineStr">
        <is>
          <t>spring-phab-xembed</t>
        </is>
      </c>
      <c r="C22" s="70" t="inlineStr">
        <is>
          <t>Embeddedness</t>
        </is>
      </c>
      <c r="D22" s="70" t="inlineStr"/>
      <c r="E22" s="70" t="n">
        <v>4</v>
      </c>
      <c r="F22" s="70" t="inlineStr">
        <is>
          <t>51 least-disturbed stations of this ecoregion</t>
        </is>
      </c>
      <c r="G22" s="70" t="n">
        <v>35.62954616546631</v>
      </c>
      <c r="H22" s="70" t="n">
        <v>54.37424278259277</v>
      </c>
      <c r="I22" s="70" t="n">
        <v>91.8636360168457</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spring_phab_sinu|</t>
        </is>
      </c>
      <c r="B23" s="70" t="inlineStr">
        <is>
          <t>spring-phab-sinu</t>
        </is>
      </c>
      <c r="C23" s="70" t="inlineStr">
        <is>
          <t>Sinuosity</t>
        </is>
      </c>
      <c r="D23" s="70" t="inlineStr"/>
      <c r="E23" s="70" t="n">
        <v>4</v>
      </c>
      <c r="F23" s="70" t="inlineStr">
        <is>
          <t>49 least-disturbed stations of this ecoregion</t>
        </is>
      </c>
      <c r="G23" s="70" t="n">
        <v>1</v>
      </c>
      <c r="H23" s="70" t="n">
        <v>1.16289210319519</v>
      </c>
      <c r="I23" s="70" t="n">
        <v>1.49250602722168</v>
      </c>
      <c r="J23" s="70" t="n">
        <v>1.657312989234924</v>
      </c>
      <c r="K23" s="70" t="n">
        <v>1.657312989234924</v>
      </c>
      <c r="L23" s="70" t="n">
        <v>1.657312989234924</v>
      </c>
      <c r="M23" s="70" t="n">
        <v>1.657312989234924</v>
      </c>
      <c r="N23" s="70" t="n">
        <v>1.657312989234924</v>
      </c>
      <c r="O23" s="70" t="n">
        <v>0</v>
      </c>
      <c r="P23" s="70" t="n">
        <v>0.7</v>
      </c>
      <c r="Q23" s="70" t="n">
        <v>1</v>
      </c>
      <c r="R23" s="70" t="n">
        <v>1</v>
      </c>
      <c r="S23" s="70" t="n">
        <v>1</v>
      </c>
      <c r="T23" s="70" t="n">
        <v>1</v>
      </c>
      <c r="U23" s="70" t="n">
        <v>1</v>
      </c>
      <c r="V23" s="70" t="n">
        <v>1</v>
      </c>
    </row>
    <row r="24">
      <c r="A24" s="70" t="inlineStr">
        <is>
          <t>spring_phab_xbka|</t>
        </is>
      </c>
      <c r="B24" s="70" t="inlineStr">
        <is>
          <t>spring-phab-xbka</t>
        </is>
      </c>
      <c r="C24" s="70" t="inlineStr">
        <is>
          <t>Bank angle</t>
        </is>
      </c>
      <c r="D24" s="70" t="inlineStr"/>
      <c r="E24" s="70" t="n">
        <v>7</v>
      </c>
      <c r="F24" s="70" t="inlineStr">
        <is>
          <t>158 least-disturbed stations borrowed from Level I ecoregion 5 (Northern Forests) under the regional screen (agriculture at most 25 percent), transfer risk moderate</t>
        </is>
      </c>
      <c r="G24" s="70" t="n">
        <v>0</v>
      </c>
      <c r="H24" s="70" t="n">
        <v>11.26743996143341</v>
      </c>
      <c r="I24" s="70" t="n">
        <v>18.25000047683716</v>
      </c>
      <c r="J24" s="70" t="n">
        <v>38.20017337799072</v>
      </c>
      <c r="K24" s="70" t="n">
        <v>45.18273389339447</v>
      </c>
      <c r="L24" s="70" t="n">
        <v>58.15034627914429</v>
      </c>
      <c r="M24" s="70" t="n">
        <v>78.10051918029785</v>
      </c>
      <c r="N24" s="70" t="n">
        <v>78.10051918029785</v>
      </c>
      <c r="O24" s="70" t="n">
        <v>0.7</v>
      </c>
      <c r="P24" s="70" t="n">
        <v>0.7</v>
      </c>
      <c r="Q24" s="70" t="n">
        <v>1</v>
      </c>
      <c r="R24" s="70" t="n">
        <v>1</v>
      </c>
      <c r="S24" s="70" t="n">
        <v>0.7</v>
      </c>
      <c r="T24" s="70" t="n">
        <v>0.3</v>
      </c>
      <c r="U24" s="70" t="n">
        <v>0</v>
      </c>
      <c r="V24" s="70" t="n">
        <v>0</v>
      </c>
    </row>
    <row r="25">
      <c r="A25" s="70" t="inlineStr">
        <is>
          <t>spring_phab_lrbs_use|All streams (pooled)</t>
        </is>
      </c>
      <c r="B25" s="70" t="inlineStr">
        <is>
          <t>spring-phab-lrbs-use</t>
        </is>
      </c>
      <c r="C25" s="70" t="inlineStr">
        <is>
          <t>Relative bed stability</t>
        </is>
      </c>
      <c r="D25" s="70" t="inlineStr">
        <is>
          <t>All streams (pooled)</t>
        </is>
      </c>
      <c r="E25" s="70" t="n">
        <v>8</v>
      </c>
      <c r="F25" s="70" t="inlineStr">
        <is>
          <t>56 least-disturbed stations of this ecoregion</t>
        </is>
      </c>
      <c r="G25" s="70" t="n">
        <v>-5.156499102711678</v>
      </c>
      <c r="H25" s="70" t="n">
        <v>-3.572118125855923</v>
      </c>
      <c r="I25" s="70" t="n">
        <v>-2.542270490899682</v>
      </c>
      <c r="J25" s="70" t="n">
        <v>-1.987737149000168</v>
      </c>
      <c r="K25" s="70" t="n">
        <v>-0.403356172144413</v>
      </c>
      <c r="L25" s="70" t="n">
        <v>0.1511771697551012</v>
      </c>
      <c r="M25" s="70" t="n">
        <v>1.181024804711342</v>
      </c>
      <c r="N25" s="70" t="n">
        <v>2.765405781567097</v>
      </c>
      <c r="O25" s="70" t="n">
        <v>0</v>
      </c>
      <c r="P25" s="70" t="n">
        <v>0.3</v>
      </c>
      <c r="Q25" s="70" t="n">
        <v>0.7</v>
      </c>
      <c r="R25" s="70" t="n">
        <v>1</v>
      </c>
      <c r="S25" s="70" t="n">
        <v>1</v>
      </c>
      <c r="T25" s="70" t="n">
        <v>0.7</v>
      </c>
      <c r="U25" s="70" t="n">
        <v>0.3</v>
      </c>
      <c r="V25" s="70" t="n">
        <v>0</v>
      </c>
    </row>
    <row r="26">
      <c r="A26" s="70" t="inlineStr">
        <is>
          <t>spring_phab_lrbs_use|Headwater (10 km2 and under)</t>
        </is>
      </c>
      <c r="B26" s="70" t="inlineStr">
        <is>
          <t>spring-phab-lrbs-use</t>
        </is>
      </c>
      <c r="C26" s="70" t="inlineStr">
        <is>
          <t>Relative bed stability</t>
        </is>
      </c>
      <c r="D26" s="70" t="inlineStr">
        <is>
          <t>Headwater (10 km2 and under)</t>
        </is>
      </c>
      <c r="E26" s="70" t="n">
        <v>8</v>
      </c>
      <c r="F26" s="70" t="inlineStr">
        <is>
          <t>56 least-disturbed stations of this ecoregion</t>
        </is>
      </c>
      <c r="G26" s="70" t="n">
        <v>-5.268816471099854</v>
      </c>
      <c r="H26" s="70" t="n">
        <v>-3.632631599903107</v>
      </c>
      <c r="I26" s="70" t="n">
        <v>-2.569111433625221</v>
      </c>
      <c r="J26" s="70" t="n">
        <v>-1.99644672870636</v>
      </c>
      <c r="K26" s="70" t="n">
        <v>-0.360261857509613</v>
      </c>
      <c r="L26" s="70" t="n">
        <v>0.2124028474092483</v>
      </c>
      <c r="M26" s="70" t="n">
        <v>1.275923013687134</v>
      </c>
      <c r="N26" s="70" t="n">
        <v>2.912107884883881</v>
      </c>
      <c r="O26" s="70" t="n">
        <v>0</v>
      </c>
      <c r="P26" s="70" t="n">
        <v>0.3</v>
      </c>
      <c r="Q26" s="70" t="n">
        <v>0.7</v>
      </c>
      <c r="R26" s="70" t="n">
        <v>1</v>
      </c>
      <c r="S26" s="70" t="n">
        <v>1</v>
      </c>
      <c r="T26" s="70" t="n">
        <v>0.7</v>
      </c>
      <c r="U26" s="70" t="n">
        <v>0.3</v>
      </c>
      <c r="V26" s="70" t="n">
        <v>0</v>
      </c>
    </row>
    <row r="27">
      <c r="A27" s="70" t="inlineStr">
        <is>
          <t>spring_phab_lrbs_use|Small stream (10 to 100 km2)</t>
        </is>
      </c>
      <c r="B27" s="70" t="inlineStr">
        <is>
          <t>spring-phab-lrbs-use</t>
        </is>
      </c>
      <c r="C27" s="70" t="inlineStr">
        <is>
          <t>Relative bed stability</t>
        </is>
      </c>
      <c r="D27" s="70" t="inlineStr">
        <is>
          <t>Small stream (10 to 100 km2)</t>
        </is>
      </c>
      <c r="E27" s="70" t="n">
        <v>8</v>
      </c>
      <c r="F27" s="70" t="inlineStr">
        <is>
          <t>56 least-disturbed stations of this ecoregion</t>
        </is>
      </c>
      <c r="G27" s="70" t="n">
        <v>-5.108130872249603</v>
      </c>
      <c r="H27" s="70" t="n">
        <v>-3.493734806776047</v>
      </c>
      <c r="I27" s="70" t="n">
        <v>-2.444377364218235</v>
      </c>
      <c r="J27" s="70" t="n">
        <v>-1.87933874130249</v>
      </c>
      <c r="K27" s="70" t="n">
        <v>-0.2649426758289337</v>
      </c>
      <c r="L27" s="70" t="n">
        <v>0.300095947086811</v>
      </c>
      <c r="M27" s="70" t="n">
        <v>1.349453389644623</v>
      </c>
      <c r="N27" s="70" t="n">
        <v>2.963849455118179</v>
      </c>
      <c r="O27" s="70" t="n">
        <v>0</v>
      </c>
      <c r="P27" s="70" t="n">
        <v>0.3</v>
      </c>
      <c r="Q27" s="70" t="n">
        <v>0.7</v>
      </c>
      <c r="R27" s="70" t="n">
        <v>1</v>
      </c>
      <c r="S27" s="70" t="n">
        <v>1</v>
      </c>
      <c r="T27" s="70" t="n">
        <v>0.7</v>
      </c>
      <c r="U27" s="70" t="n">
        <v>0.3</v>
      </c>
      <c r="V27" s="70" t="n">
        <v>0</v>
      </c>
    </row>
    <row r="28">
      <c r="A28" s="70" t="inlineStr">
        <is>
          <t>spring_phab_lrbs_use|Large stream (over 100 km2)</t>
        </is>
      </c>
      <c r="B28" s="70" t="inlineStr">
        <is>
          <t>spring-phab-lrbs-use</t>
        </is>
      </c>
      <c r="C28" s="70" t="inlineStr">
        <is>
          <t>Relative bed stability</t>
        </is>
      </c>
      <c r="D28" s="70" t="inlineStr">
        <is>
          <t>Large stream (over 100 km2)</t>
        </is>
      </c>
      <c r="E28" s="70" t="n">
        <v>8</v>
      </c>
      <c r="F28" s="70" t="inlineStr">
        <is>
          <t>56 least-disturbed stations of this ecoregion</t>
        </is>
      </c>
      <c r="G28" s="70" t="n">
        <v>-5.631233662366867</v>
      </c>
      <c r="H28" s="70" t="n">
        <v>-3.929370567202568</v>
      </c>
      <c r="I28" s="70" t="n">
        <v>-2.823159555345774</v>
      </c>
      <c r="J28" s="70" t="n">
        <v>-2.227507472038269</v>
      </c>
      <c r="K28" s="70" t="n">
        <v>-0.52564437687397</v>
      </c>
      <c r="L28" s="70" t="n">
        <v>0.0700077064335346</v>
      </c>
      <c r="M28" s="70" t="n">
        <v>1.176218718290329</v>
      </c>
      <c r="N28" s="70" t="n">
        <v>2.878081813454628</v>
      </c>
      <c r="O28" s="70" t="n">
        <v>0</v>
      </c>
      <c r="P28" s="70" t="n">
        <v>0.3</v>
      </c>
      <c r="Q28" s="70" t="n">
        <v>0.7</v>
      </c>
      <c r="R28" s="70" t="n">
        <v>1</v>
      </c>
      <c r="S28" s="70" t="n">
        <v>1</v>
      </c>
      <c r="T28" s="70" t="n">
        <v>0.7</v>
      </c>
      <c r="U28" s="70" t="n">
        <v>0.3</v>
      </c>
      <c r="V28" s="70" t="n">
        <v>0</v>
      </c>
    </row>
    <row r="29">
      <c r="A29" s="70" t="inlineStr">
        <is>
          <t>spring_phab_lwdeqvolm100|</t>
        </is>
      </c>
      <c r="B29" s="70" t="inlineStr">
        <is>
          <t>spring-phab-lwdeqvolm100</t>
        </is>
      </c>
      <c r="C29" s="70" t="inlineStr">
        <is>
          <t>Large wood volume</t>
        </is>
      </c>
      <c r="D29" s="70" t="inlineStr"/>
      <c r="E29" s="70" t="n">
        <v>5</v>
      </c>
      <c r="F29" s="70" t="inlineStr">
        <is>
          <t>74 least-disturbed streams of this ecoregion under the regional screen (agriculture at most 25 percent). Scored on a reference pool whose transfer to this ecoregion was not confirmed by the recovery test (class agreement 0.40 of evaluation regions; two thirds required); confidence capped at 39.</t>
        </is>
      </c>
      <c r="G29" s="70" t="n">
        <v>0</v>
      </c>
      <c r="H29" s="70" t="n">
        <v>0.2000000008514949</v>
      </c>
      <c r="I29" s="70" t="n">
        <v>0.4666666686534882</v>
      </c>
      <c r="J29" s="70" t="n">
        <v>5.396346569061279</v>
      </c>
      <c r="K29" s="70" t="n">
        <v>7.861186519265175</v>
      </c>
      <c r="L29" s="70" t="n">
        <v>7.861186519265175</v>
      </c>
      <c r="M29" s="70" t="n">
        <v>7.861186519265175</v>
      </c>
      <c r="N29" s="70" t="n">
        <v>7.861186519265175</v>
      </c>
      <c r="O29" s="70" t="n">
        <v>0</v>
      </c>
      <c r="P29" s="70" t="n">
        <v>0.3</v>
      </c>
      <c r="Q29" s="70" t="n">
        <v>0.7</v>
      </c>
      <c r="R29" s="70" t="n">
        <v>1</v>
      </c>
      <c r="S29" s="70" t="n">
        <v>1</v>
      </c>
      <c r="T29" s="70" t="n">
        <v>1</v>
      </c>
      <c r="U29" s="70" t="n">
        <v>1</v>
      </c>
      <c r="V29" s="70" t="n">
        <v>1</v>
      </c>
    </row>
    <row r="30">
      <c r="A30" s="70" t="inlineStr">
        <is>
          <t>spring_chem_chla|</t>
        </is>
      </c>
      <c r="B30" s="70" t="inlineStr">
        <is>
          <t>spring-chem-chla</t>
        </is>
      </c>
      <c r="C30" s="70" t="inlineStr">
        <is>
          <t>Chlorophyll a</t>
        </is>
      </c>
      <c r="D30" s="70" t="inlineStr"/>
      <c r="E30" s="70" t="n">
        <v>5</v>
      </c>
      <c r="F30" s="70" t="inlineStr">
        <is>
          <t>56 least-disturbed stations of this ecoregion</t>
        </is>
      </c>
      <c r="G30" s="70" t="n">
        <v>0</v>
      </c>
      <c r="H30" s="70" t="n">
        <v>0.8734999895095825</v>
      </c>
      <c r="I30" s="70" t="n">
        <v>2.762499988079071</v>
      </c>
      <c r="J30" s="70" t="n">
        <v>5.595999985933304</v>
      </c>
      <c r="K30" s="70" t="n">
        <v>7.484999984502792</v>
      </c>
      <c r="L30" s="70" t="n">
        <v>7.484999984502792</v>
      </c>
      <c r="M30" s="70" t="n">
        <v>7.484999984502792</v>
      </c>
      <c r="N30" s="70" t="n">
        <v>7.484999984502792</v>
      </c>
      <c r="O30" s="70" t="n">
        <v>1</v>
      </c>
      <c r="P30" s="70" t="n">
        <v>1</v>
      </c>
      <c r="Q30" s="70" t="n">
        <v>0.7</v>
      </c>
      <c r="R30" s="70" t="n">
        <v>0.3</v>
      </c>
      <c r="S30" s="70" t="n">
        <v>0</v>
      </c>
      <c r="T30" s="70" t="n">
        <v>0</v>
      </c>
      <c r="U30" s="70" t="n">
        <v>0</v>
      </c>
      <c r="V30" s="70" t="n">
        <v>0</v>
      </c>
    </row>
    <row r="31">
      <c r="A31" s="70" t="inlineStr">
        <is>
          <t>spring_phab_xcdenmid|All streams (pooled)</t>
        </is>
      </c>
      <c r="B31" s="70" t="inlineStr">
        <is>
          <t>spring-phab-xcdenmid</t>
        </is>
      </c>
      <c r="C31" s="70" t="inlineStr">
        <is>
          <t>Canopy density, mid-channel</t>
        </is>
      </c>
      <c r="D31" s="70" t="inlineStr">
        <is>
          <t>All streams (pooled)</t>
        </is>
      </c>
      <c r="E31" s="70" t="n">
        <v>5</v>
      </c>
      <c r="F31" s="70" t="inlineStr">
        <is>
          <t>51 least-disturbed stations of this ecoregion</t>
        </is>
      </c>
      <c r="G31" s="70" t="n">
        <v>0</v>
      </c>
      <c r="H31" s="70" t="n">
        <v>12.60504218510219</v>
      </c>
      <c r="I31" s="70" t="n">
        <v>29.41176509857178</v>
      </c>
      <c r="J31" s="70" t="n">
        <v>85.22727584838867</v>
      </c>
      <c r="K31" s="70" t="n">
        <v>100</v>
      </c>
      <c r="L31" s="70" t="n">
        <v>100</v>
      </c>
      <c r="M31" s="70" t="n">
        <v>100</v>
      </c>
      <c r="N31" s="70" t="n">
        <v>100</v>
      </c>
      <c r="O31" s="70" t="n">
        <v>0</v>
      </c>
      <c r="P31" s="70" t="n">
        <v>0.3</v>
      </c>
      <c r="Q31" s="70" t="n">
        <v>0.7</v>
      </c>
      <c r="R31" s="70" t="n">
        <v>1</v>
      </c>
      <c r="S31" s="70" t="n">
        <v>1</v>
      </c>
      <c r="T31" s="70" t="n">
        <v>1</v>
      </c>
      <c r="U31" s="70" t="n">
        <v>1</v>
      </c>
      <c r="V31" s="70" t="n">
        <v>1</v>
      </c>
    </row>
    <row r="32">
      <c r="A32" s="70" t="inlineStr">
        <is>
          <t>spring_phab_xcdenmid|Headwater (10 km2 and under)</t>
        </is>
      </c>
      <c r="B32" s="70" t="inlineStr">
        <is>
          <t>spring-phab-xcdenmid</t>
        </is>
      </c>
      <c r="C32" s="70" t="inlineStr">
        <is>
          <t>Canopy density, mid-channel</t>
        </is>
      </c>
      <c r="D32" s="70" t="inlineStr">
        <is>
          <t>Headwater (10 km2 and under)</t>
        </is>
      </c>
      <c r="E32" s="70" t="n">
        <v>5</v>
      </c>
      <c r="F32" s="70" t="inlineStr">
        <is>
          <t>51 least-disturbed stations of this ecoregion</t>
        </is>
      </c>
      <c r="G32" s="70" t="n">
        <v>0</v>
      </c>
      <c r="H32" s="70" t="n">
        <v>27.84568241664342</v>
      </c>
      <c r="I32" s="70" t="n">
        <v>64.97325897216797</v>
      </c>
      <c r="J32" s="70" t="n">
        <v>94.91978454589844</v>
      </c>
      <c r="K32" s="70" t="n">
        <v>100</v>
      </c>
      <c r="L32" s="70" t="n">
        <v>100</v>
      </c>
      <c r="M32" s="70" t="n">
        <v>100</v>
      </c>
      <c r="N32" s="70" t="n">
        <v>100</v>
      </c>
      <c r="O32" s="70" t="n">
        <v>0</v>
      </c>
      <c r="P32" s="70" t="n">
        <v>0.3</v>
      </c>
      <c r="Q32" s="70" t="n">
        <v>0.7</v>
      </c>
      <c r="R32" s="70" t="n">
        <v>1</v>
      </c>
      <c r="S32" s="70" t="n">
        <v>1</v>
      </c>
      <c r="T32" s="70" t="n">
        <v>1</v>
      </c>
      <c r="U32" s="70" t="n">
        <v>1</v>
      </c>
      <c r="V32" s="70" t="n">
        <v>1</v>
      </c>
    </row>
    <row r="33">
      <c r="A33" s="70" t="inlineStr">
        <is>
          <t>spring_phab_xcdenmid|Small stream (10 to 100 km2)</t>
        </is>
      </c>
      <c r="B33" s="70" t="inlineStr">
        <is>
          <t>spring-phab-xcdenmid</t>
        </is>
      </c>
      <c r="C33" s="70" t="inlineStr">
        <is>
          <t>Canopy density, mid-channel</t>
        </is>
      </c>
      <c r="D33" s="70" t="inlineStr">
        <is>
          <t>Small stream (10 to 100 km2)</t>
        </is>
      </c>
      <c r="E33" s="70" t="n">
        <v>5</v>
      </c>
      <c r="F33" s="70" t="inlineStr">
        <is>
          <t>51 least-disturbed stations of this ecoregion</t>
        </is>
      </c>
      <c r="G33" s="70" t="n">
        <v>0</v>
      </c>
      <c r="H33" s="70" t="n">
        <v>11.20129884992327</v>
      </c>
      <c r="I33" s="70" t="n">
        <v>26.1363639831543</v>
      </c>
      <c r="J33" s="70" t="n">
        <v>81.88502883911133</v>
      </c>
      <c r="K33" s="70" t="n">
        <v>100</v>
      </c>
      <c r="L33" s="70" t="n">
        <v>100</v>
      </c>
      <c r="M33" s="70" t="n">
        <v>100</v>
      </c>
      <c r="N33" s="70" t="n">
        <v>100</v>
      </c>
      <c r="O33" s="70" t="n">
        <v>0</v>
      </c>
      <c r="P33" s="70" t="n">
        <v>0.3</v>
      </c>
      <c r="Q33" s="70" t="n">
        <v>0.7</v>
      </c>
      <c r="R33" s="70" t="n">
        <v>1</v>
      </c>
      <c r="S33" s="70" t="n">
        <v>1</v>
      </c>
      <c r="T33" s="70" t="n">
        <v>1</v>
      </c>
      <c r="U33" s="70" t="n">
        <v>1</v>
      </c>
      <c r="V33" s="70" t="n">
        <v>1</v>
      </c>
    </row>
    <row r="34">
      <c r="A34" s="70" t="inlineStr">
        <is>
          <t>spring_phab_xcdenmid|Large stream (over 100 km2)</t>
        </is>
      </c>
      <c r="B34" s="70" t="inlineStr">
        <is>
          <t>spring-phab-xcdenmid</t>
        </is>
      </c>
      <c r="C34" s="70" t="inlineStr">
        <is>
          <t>Canopy density, mid-channel</t>
        </is>
      </c>
      <c r="D34" s="70" t="inlineStr">
        <is>
          <t>Large stream (over 100 km2)</t>
        </is>
      </c>
      <c r="E34" s="70" t="n">
        <v>5</v>
      </c>
      <c r="F34" s="70" t="inlineStr">
        <is>
          <t>51 least-disturbed stations of this ecoregion</t>
        </is>
      </c>
      <c r="G34" s="70" t="n">
        <v>0</v>
      </c>
      <c r="H34" s="70" t="n">
        <v>8.050038201468331</v>
      </c>
      <c r="I34" s="70" t="n">
        <v>18.78342247009277</v>
      </c>
      <c r="J34" s="70" t="n">
        <v>47.12566757202148</v>
      </c>
      <c r="K34" s="70" t="n">
        <v>61.29679012298584</v>
      </c>
      <c r="L34" s="70" t="n">
        <v>61.29679012298584</v>
      </c>
      <c r="M34" s="70" t="n">
        <v>61.29679012298584</v>
      </c>
      <c r="N34" s="70" t="n">
        <v>61.29679012298584</v>
      </c>
      <c r="O34" s="70" t="n">
        <v>0</v>
      </c>
      <c r="P34" s="70" t="n">
        <v>0.3</v>
      </c>
      <c r="Q34" s="70" t="n">
        <v>0.7</v>
      </c>
      <c r="R34" s="70" t="n">
        <v>1</v>
      </c>
      <c r="S34" s="70" t="n">
        <v>1</v>
      </c>
      <c r="T34" s="70" t="n">
        <v>1</v>
      </c>
      <c r="U34" s="70" t="n">
        <v>1</v>
      </c>
      <c r="V34" s="70" t="n">
        <v>1</v>
      </c>
    </row>
    <row r="35">
      <c r="A35" s="70" t="inlineStr">
        <is>
          <t>spring_phab_xcmgw|</t>
        </is>
      </c>
      <c r="B35" s="70" t="inlineStr">
        <is>
          <t>spring-phab-xcmgw</t>
        </is>
      </c>
      <c r="C35" s="70" t="inlineStr">
        <is>
          <t>Riparian veg cover, woody</t>
        </is>
      </c>
      <c r="D35" s="70" t="inlineStr"/>
      <c r="E35" s="70" t="n">
        <v>5</v>
      </c>
      <c r="F35" s="70" t="inlineStr">
        <is>
          <t>56 least-disturbed stations of this ecoregion</t>
        </is>
      </c>
      <c r="G35" s="70" t="n">
        <v>0</v>
      </c>
      <c r="H35" s="70" t="n">
        <v>0.284902600305421</v>
      </c>
      <c r="I35" s="70" t="n">
        <v>0.6647727340459824</v>
      </c>
      <c r="J35" s="70" t="n">
        <v>1.177840918302536</v>
      </c>
      <c r="K35" s="70" t="n">
        <v>1.434375010430813</v>
      </c>
      <c r="L35" s="70" t="n">
        <v>1.434375010430813</v>
      </c>
      <c r="M35" s="70" t="n">
        <v>1.434375010430813</v>
      </c>
      <c r="N35" s="70" t="n">
        <v>1.434375010430813</v>
      </c>
      <c r="O35" s="70" t="n">
        <v>0</v>
      </c>
      <c r="P35" s="70" t="n">
        <v>0.3</v>
      </c>
      <c r="Q35" s="70" t="n">
        <v>0.7</v>
      </c>
      <c r="R35" s="70" t="n">
        <v>1</v>
      </c>
      <c r="S35" s="70" t="n">
        <v>1</v>
      </c>
      <c r="T35" s="70" t="n">
        <v>1</v>
      </c>
      <c r="U35" s="70" t="n">
        <v>1</v>
      </c>
      <c r="V35" s="70" t="n">
        <v>1</v>
      </c>
    </row>
    <row r="36">
      <c r="A36" s="70" t="inlineStr">
        <is>
          <t>spring_chem_ntl|</t>
        </is>
      </c>
      <c r="B36" s="70" t="inlineStr">
        <is>
          <t>spring-chem-ntl</t>
        </is>
      </c>
      <c r="C36" s="70" t="inlineStr">
        <is>
          <t>Total nitrogen</t>
        </is>
      </c>
      <c r="D36" s="70" t="inlineStr"/>
      <c r="E36" s="70" t="n">
        <v>5</v>
      </c>
      <c r="F36" s="70" t="inlineStr">
        <is>
          <t>56 least-disturbed stations of this ecoregion</t>
        </is>
      </c>
      <c r="G36" s="70" t="n">
        <v>0.1036250293254852</v>
      </c>
      <c r="H36" s="70" t="n">
        <v>0.3300000131130219</v>
      </c>
      <c r="I36" s="70" t="n">
        <v>0.7827499806880951</v>
      </c>
      <c r="J36" s="70" t="n">
        <v>1.461874932050705</v>
      </c>
      <c r="K36" s="70" t="n">
        <v>1.914624899625778</v>
      </c>
      <c r="L36" s="70" t="n">
        <v>1.914624899625778</v>
      </c>
      <c r="M36" s="70" t="n">
        <v>1.914624899625778</v>
      </c>
      <c r="N36" s="70" t="n">
        <v>1.914624899625778</v>
      </c>
      <c r="O36" s="70" t="n">
        <v>1</v>
      </c>
      <c r="P36" s="70" t="n">
        <v>1</v>
      </c>
      <c r="Q36" s="70" t="n">
        <v>0.7</v>
      </c>
      <c r="R36" s="70" t="n">
        <v>0.3</v>
      </c>
      <c r="S36" s="70" t="n">
        <v>0</v>
      </c>
      <c r="T36" s="70" t="n">
        <v>0</v>
      </c>
      <c r="U36" s="70" t="n">
        <v>0</v>
      </c>
      <c r="V36" s="70" t="n">
        <v>0</v>
      </c>
    </row>
    <row r="37">
      <c r="A37" s="70" t="inlineStr">
        <is>
          <t>spring_chem_ptl|</t>
        </is>
      </c>
      <c r="B37" s="70" t="inlineStr">
        <is>
          <t>spring-chem-ptl</t>
        </is>
      </c>
      <c r="C37" s="70" t="inlineStr">
        <is>
          <t>Total phosphorus</t>
        </is>
      </c>
      <c r="D37" s="70" t="inlineStr"/>
      <c r="E37" s="70" t="n">
        <v>5</v>
      </c>
      <c r="F37" s="70" t="inlineStr">
        <is>
          <t>56 least-disturbed stations of this ecoregion</t>
        </is>
      </c>
      <c r="G37" s="70" t="n">
        <v>4.631749868392944</v>
      </c>
      <c r="H37" s="70" t="n">
        <v>18.62949991226196</v>
      </c>
      <c r="I37" s="70" t="n">
        <v>46.625</v>
      </c>
      <c r="J37" s="70" t="n">
        <v>88.61825013160706</v>
      </c>
      <c r="K37" s="70" t="n">
        <v>116.6137502193451</v>
      </c>
      <c r="L37" s="70" t="n">
        <v>116.6137502193451</v>
      </c>
      <c r="M37" s="70" t="n">
        <v>116.6137502193451</v>
      </c>
      <c r="N37" s="70" t="n">
        <v>116.6137502193451</v>
      </c>
      <c r="O37" s="70" t="n">
        <v>1</v>
      </c>
      <c r="P37" s="70" t="n">
        <v>1</v>
      </c>
      <c r="Q37" s="70" t="n">
        <v>0.7</v>
      </c>
      <c r="R37" s="70" t="n">
        <v>0.3</v>
      </c>
      <c r="S37" s="70" t="n">
        <v>0</v>
      </c>
      <c r="T37" s="70" t="n">
        <v>0</v>
      </c>
      <c r="U37" s="70" t="n">
        <v>0</v>
      </c>
      <c r="V37" s="70" t="n">
        <v>0</v>
      </c>
    </row>
    <row r="38">
      <c r="A38" s="70" t="inlineStr">
        <is>
          <t>spring_chem_cond|</t>
        </is>
      </c>
      <c r="B38" s="70" t="inlineStr">
        <is>
          <t>spring-chem-cond</t>
        </is>
      </c>
      <c r="C38" s="70" t="inlineStr">
        <is>
          <t>Specific conductivity</t>
        </is>
      </c>
      <c r="D38" s="70" t="inlineStr"/>
      <c r="E38" s="70" t="n">
        <v>5</v>
      </c>
      <c r="F38" s="70" t="inlineStr">
        <is>
          <t>56 least-disturbed stations of this ecoregion</t>
        </is>
      </c>
      <c r="G38" s="70" t="n">
        <v>0</v>
      </c>
      <c r="H38" s="70" t="n">
        <v>75.82500076293945</v>
      </c>
      <c r="I38" s="70" t="n">
        <v>253.75</v>
      </c>
      <c r="J38" s="70" t="n">
        <v>520.6374988555908</v>
      </c>
      <c r="K38" s="70" t="n">
        <v>698.5624980926514</v>
      </c>
      <c r="L38" s="70" t="n">
        <v>698.5624980926514</v>
      </c>
      <c r="M38" s="70" t="n">
        <v>698.5624980926514</v>
      </c>
      <c r="N38" s="70" t="n">
        <v>698.5624980926514</v>
      </c>
      <c r="O38" s="70" t="n">
        <v>1</v>
      </c>
      <c r="P38" s="70" t="n">
        <v>1</v>
      </c>
      <c r="Q38" s="70" t="n">
        <v>0.7</v>
      </c>
      <c r="R38" s="70" t="n">
        <v>0.3</v>
      </c>
      <c r="S38" s="70" t="n">
        <v>0</v>
      </c>
      <c r="T38" s="70" t="n">
        <v>0</v>
      </c>
      <c r="U38" s="70" t="n">
        <v>0</v>
      </c>
      <c r="V38" s="70" t="n">
        <v>0</v>
      </c>
    </row>
    <row r="39">
      <c r="A39" s="70" t="inlineStr">
        <is>
          <t>spring_chem_turb|</t>
        </is>
      </c>
      <c r="B39" s="70" t="inlineStr">
        <is>
          <t>spring-chem-turb</t>
        </is>
      </c>
      <c r="C39" s="70" t="inlineStr">
        <is>
          <t>Turbidity</t>
        </is>
      </c>
      <c r="D39" s="70" t="inlineStr"/>
      <c r="E39" s="70" t="n">
        <v>5</v>
      </c>
      <c r="F39" s="70" t="inlineStr">
        <is>
          <t>56 least-disturbed stations of this ecoregion</t>
        </is>
      </c>
      <c r="G39" s="70" t="n">
        <v>0</v>
      </c>
      <c r="H39" s="70" t="n">
        <v>1.259999990463257</v>
      </c>
      <c r="I39" s="70" t="n">
        <v>4.109999895095825</v>
      </c>
      <c r="J39" s="70" t="n">
        <v>8.384999752044678</v>
      </c>
      <c r="K39" s="70" t="n">
        <v>11.23499965667725</v>
      </c>
      <c r="L39" s="70" t="n">
        <v>11.23499965667725</v>
      </c>
      <c r="M39" s="70" t="n">
        <v>11.23499965667725</v>
      </c>
      <c r="N39" s="70" t="n">
        <v>11.23499965667725</v>
      </c>
      <c r="O39" s="70" t="n">
        <v>1</v>
      </c>
      <c r="P39" s="70" t="n">
        <v>1</v>
      </c>
      <c r="Q39" s="70" t="n">
        <v>0.7</v>
      </c>
      <c r="R39" s="70" t="n">
        <v>0.3</v>
      </c>
      <c r="S39" s="70" t="n">
        <v>0</v>
      </c>
      <c r="T39" s="70" t="n">
        <v>0</v>
      </c>
      <c r="U39" s="70" t="n">
        <v>0</v>
      </c>
      <c r="V39" s="70" t="n">
        <v>0</v>
      </c>
    </row>
    <row r="40">
      <c r="A40" s="70" t="inlineStr">
        <is>
          <t>spring_phab_xfc_nat|All streams (pooled)</t>
        </is>
      </c>
      <c r="B40" s="70" t="inlineStr">
        <is>
          <t>spring-phab-xfc-nat</t>
        </is>
      </c>
      <c r="C40" s="70" t="inlineStr">
        <is>
          <t>Natural fish cover</t>
        </is>
      </c>
      <c r="D40" s="70" t="inlineStr">
        <is>
          <t>All streams (pooled)</t>
        </is>
      </c>
      <c r="E40" s="70" t="n">
        <v>5</v>
      </c>
      <c r="F40" s="70" t="inlineStr">
        <is>
          <t>56 least-disturbed stations of this ecoregion</t>
        </is>
      </c>
      <c r="G40" s="70" t="n">
        <v>0</v>
      </c>
      <c r="H40" s="70" t="n">
        <v>0.09963473943727356</v>
      </c>
      <c r="I40" s="70" t="n">
        <v>0.2324810586869717</v>
      </c>
      <c r="J40" s="70" t="n">
        <v>0.4426136389374733</v>
      </c>
      <c r="K40" s="70" t="n">
        <v>0.5476799290627241</v>
      </c>
      <c r="L40" s="70" t="n">
        <v>0.5476799290627241</v>
      </c>
      <c r="M40" s="70" t="n">
        <v>0.5476799290627241</v>
      </c>
      <c r="N40" s="70" t="n">
        <v>0.5476799290627241</v>
      </c>
      <c r="O40" s="70" t="n">
        <v>0</v>
      </c>
      <c r="P40" s="70" t="n">
        <v>0.3</v>
      </c>
      <c r="Q40" s="70" t="n">
        <v>0.7</v>
      </c>
      <c r="R40" s="70" t="n">
        <v>1</v>
      </c>
      <c r="S40" s="70" t="n">
        <v>1</v>
      </c>
      <c r="T40" s="70" t="n">
        <v>1</v>
      </c>
      <c r="U40" s="70" t="n">
        <v>1</v>
      </c>
      <c r="V40" s="70" t="n">
        <v>1</v>
      </c>
    </row>
    <row r="41">
      <c r="A41" s="70" t="inlineStr">
        <is>
          <t>spring_phab_xfc_nat|Headwater (10 km2 and under)</t>
        </is>
      </c>
      <c r="B41" s="70" t="inlineStr">
        <is>
          <t>spring-phab-xfc-nat</t>
        </is>
      </c>
      <c r="C41" s="70" t="inlineStr">
        <is>
          <t>Natural fish cover</t>
        </is>
      </c>
      <c r="D41" s="70" t="inlineStr">
        <is>
          <t>Headwater (10 km2 and under)</t>
        </is>
      </c>
      <c r="E41" s="70" t="n">
        <v>5</v>
      </c>
      <c r="F41" s="70" t="inlineStr">
        <is>
          <t>56 least-disturbed stations of this ecoregion</t>
        </is>
      </c>
      <c r="G41" s="70" t="n">
        <v>0</v>
      </c>
      <c r="H41" s="70" t="n">
        <v>0.0857142869915281</v>
      </c>
      <c r="I41" s="70" t="n">
        <v>0.2000000029802322</v>
      </c>
      <c r="J41" s="70" t="n">
        <v>0.3590908944606781</v>
      </c>
      <c r="K41" s="70" t="n">
        <v>0.438636340200901</v>
      </c>
      <c r="L41" s="70" t="n">
        <v>0.438636340200901</v>
      </c>
      <c r="M41" s="70" t="n">
        <v>0.438636340200901</v>
      </c>
      <c r="N41" s="70" t="n">
        <v>0.438636340200901</v>
      </c>
      <c r="O41" s="70" t="n">
        <v>0</v>
      </c>
      <c r="P41" s="70" t="n">
        <v>0.3</v>
      </c>
      <c r="Q41" s="70" t="n">
        <v>0.7</v>
      </c>
      <c r="R41" s="70" t="n">
        <v>1</v>
      </c>
      <c r="S41" s="70" t="n">
        <v>1</v>
      </c>
      <c r="T41" s="70" t="n">
        <v>1</v>
      </c>
      <c r="U41" s="70" t="n">
        <v>1</v>
      </c>
      <c r="V41" s="70" t="n">
        <v>1</v>
      </c>
    </row>
    <row r="42">
      <c r="A42" s="70" t="inlineStr">
        <is>
          <t>spring_phab_xfc_nat|Small stream (10 to 100 km2)</t>
        </is>
      </c>
      <c r="B42" s="70" t="inlineStr">
        <is>
          <t>spring-phab-xfc-nat</t>
        </is>
      </c>
      <c r="C42" s="70" t="inlineStr">
        <is>
          <t>Natural fish cover</t>
        </is>
      </c>
      <c r="D42" s="70" t="inlineStr">
        <is>
          <t>Small stream (10 to 100 km2)</t>
        </is>
      </c>
      <c r="E42" s="70" t="n">
        <v>5</v>
      </c>
      <c r="F42" s="70" t="inlineStr">
        <is>
          <t>56 least-disturbed stations of this ecoregion</t>
        </is>
      </c>
      <c r="G42" s="70" t="n">
        <v>0</v>
      </c>
      <c r="H42" s="70" t="n">
        <v>0.1383116841316223</v>
      </c>
      <c r="I42" s="70" t="n">
        <v>0.3227272629737854</v>
      </c>
      <c r="J42" s="70" t="n">
        <v>0.543181836605072</v>
      </c>
      <c r="K42" s="70" t="n">
        <v>0.6534091234207153</v>
      </c>
      <c r="L42" s="70" t="n">
        <v>0.6534091234207153</v>
      </c>
      <c r="M42" s="70" t="n">
        <v>0.6534091234207153</v>
      </c>
      <c r="N42" s="70" t="n">
        <v>0.6534091234207153</v>
      </c>
      <c r="O42" s="70" t="n">
        <v>0</v>
      </c>
      <c r="P42" s="70" t="n">
        <v>0.3</v>
      </c>
      <c r="Q42" s="70" t="n">
        <v>0.7</v>
      </c>
      <c r="R42" s="70" t="n">
        <v>1</v>
      </c>
      <c r="S42" s="70" t="n">
        <v>1</v>
      </c>
      <c r="T42" s="70" t="n">
        <v>1</v>
      </c>
      <c r="U42" s="70" t="n">
        <v>1</v>
      </c>
      <c r="V42" s="70" t="n">
        <v>1</v>
      </c>
    </row>
    <row r="43">
      <c r="A43" s="70" t="inlineStr">
        <is>
          <t>spring_phab_xfc_nat|Large stream (over 100 km2)</t>
        </is>
      </c>
      <c r="B43" s="70" t="inlineStr">
        <is>
          <t>spring-phab-xfc-nat</t>
        </is>
      </c>
      <c r="C43" s="70" t="inlineStr">
        <is>
          <t>Natural fish cover</t>
        </is>
      </c>
      <c r="D43" s="70" t="inlineStr">
        <is>
          <t>Large stream (over 100 km2)</t>
        </is>
      </c>
      <c r="E43" s="70" t="n">
        <v>5</v>
      </c>
      <c r="F43" s="70" t="inlineStr">
        <is>
          <t>56 least-disturbed stations of this ecoregion</t>
        </is>
      </c>
      <c r="G43" s="70" t="n">
        <v>0</v>
      </c>
      <c r="H43" s="70" t="n">
        <v>0.1006899348327092</v>
      </c>
      <c r="I43" s="70" t="n">
        <v>0.2349431812763214</v>
      </c>
      <c r="J43" s="70" t="n">
        <v>0.4357954561710358</v>
      </c>
      <c r="K43" s="70" t="n">
        <v>0.5362215936183929</v>
      </c>
      <c r="L43" s="70" t="n">
        <v>0.5362215936183929</v>
      </c>
      <c r="M43" s="70" t="n">
        <v>0.5362215936183929</v>
      </c>
      <c r="N43" s="70" t="n">
        <v>0.5362215936183929</v>
      </c>
      <c r="O43" s="70" t="n">
        <v>0</v>
      </c>
      <c r="P43" s="70" t="n">
        <v>0.3</v>
      </c>
      <c r="Q43" s="70" t="n">
        <v>0.7</v>
      </c>
      <c r="R43" s="70" t="n">
        <v>1</v>
      </c>
      <c r="S43" s="70" t="n">
        <v>1</v>
      </c>
      <c r="T43" s="70" t="n">
        <v>1</v>
      </c>
      <c r="U43" s="70" t="n">
        <v>1</v>
      </c>
      <c r="V43" s="70" t="n">
        <v>1</v>
      </c>
    </row>
    <row r="44">
      <c r="A44" s="70" t="inlineStr">
        <is>
          <t>spring_phab_pct_fast|</t>
        </is>
      </c>
      <c r="B44" s="70" t="inlineStr">
        <is>
          <t>spring-phab-pct-fast</t>
        </is>
      </c>
      <c r="C44" s="70" t="inlineStr">
        <is>
          <t>Fast-water / riffle habitat</t>
        </is>
      </c>
      <c r="D44" s="70" t="inlineStr"/>
      <c r="E44" s="70" t="n">
        <v>5</v>
      </c>
      <c r="F44"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44" s="70" t="n">
        <v>0</v>
      </c>
      <c r="H44" s="70" t="n">
        <v>1.714285714285714</v>
      </c>
      <c r="I44" s="70" t="n">
        <v>4</v>
      </c>
      <c r="J44" s="70" t="n">
        <v>53.6363639831543</v>
      </c>
      <c r="K44" s="70" t="n">
        <v>78.45454597473145</v>
      </c>
      <c r="L44" s="70" t="n">
        <v>78.45454597473145</v>
      </c>
      <c r="M44" s="70" t="n">
        <v>78.45454597473145</v>
      </c>
      <c r="N44" s="70" t="n">
        <v>78.45454597473145</v>
      </c>
      <c r="O44" s="70" t="n">
        <v>0</v>
      </c>
      <c r="P44" s="70" t="n">
        <v>0.3</v>
      </c>
      <c r="Q44" s="70" t="n">
        <v>0.7</v>
      </c>
      <c r="R44" s="70" t="n">
        <v>1</v>
      </c>
      <c r="S44" s="70" t="n">
        <v>1</v>
      </c>
      <c r="T44" s="70" t="n">
        <v>1</v>
      </c>
      <c r="U44" s="70" t="n">
        <v>1</v>
      </c>
      <c r="V44" s="70" t="n">
        <v>1</v>
      </c>
    </row>
    <row r="45">
      <c r="A45" s="70" t="inlineStr">
        <is>
          <t>spring_bent_totlntax|</t>
        </is>
      </c>
      <c r="B45" s="70" t="inlineStr">
        <is>
          <t>spring-bent-totlntax</t>
        </is>
      </c>
      <c r="C45" s="70" t="inlineStr">
        <is>
          <t>Benthic total taxa richness</t>
        </is>
      </c>
      <c r="D45" s="70" t="inlineStr"/>
      <c r="E45" s="70" t="n">
        <v>5</v>
      </c>
      <c r="F45" s="70" t="inlineStr">
        <is>
          <t>56 least-disturbed stations of this ecoregion</t>
        </is>
      </c>
      <c r="G45" s="70" t="n">
        <v>0</v>
      </c>
      <c r="H45" s="70" t="n">
        <v>13.17857142857143</v>
      </c>
      <c r="I45" s="70" t="n">
        <v>30.75</v>
      </c>
      <c r="J45" s="70" t="n">
        <v>47.25</v>
      </c>
      <c r="K45" s="70" t="n">
        <v>55.5</v>
      </c>
      <c r="L45" s="70" t="n">
        <v>55.5</v>
      </c>
      <c r="M45" s="70" t="n">
        <v>55.5</v>
      </c>
      <c r="N45" s="70" t="n">
        <v>55.5</v>
      </c>
      <c r="O45" s="70" t="n">
        <v>0</v>
      </c>
      <c r="P45" s="70" t="n">
        <v>0.3</v>
      </c>
      <c r="Q45" s="70" t="n">
        <v>0.7</v>
      </c>
      <c r="R45" s="70" t="n">
        <v>1</v>
      </c>
      <c r="S45" s="70" t="n">
        <v>1</v>
      </c>
      <c r="T45" s="70" t="n">
        <v>1</v>
      </c>
      <c r="U45" s="70" t="n">
        <v>1</v>
      </c>
      <c r="V45" s="70" t="n">
        <v>1</v>
      </c>
    </row>
    <row r="46">
      <c r="A46" s="70" t="inlineStr">
        <is>
          <t>spring_bent_hprime|</t>
        </is>
      </c>
      <c r="B46" s="70" t="inlineStr">
        <is>
          <t>spring-bent-hprime</t>
        </is>
      </c>
      <c r="C46" s="70" t="inlineStr">
        <is>
          <t>Shannon diversity (H')</t>
        </is>
      </c>
      <c r="D46" s="70" t="inlineStr"/>
      <c r="E46" s="70" t="n">
        <v>5</v>
      </c>
      <c r="F46" s="70" t="inlineStr">
        <is>
          <t>56 least-disturbed stations of this ecoregion</t>
        </is>
      </c>
      <c r="G46" s="70" t="n">
        <v>0</v>
      </c>
      <c r="H46" s="70" t="n">
        <v>1.087499984673091</v>
      </c>
      <c r="I46" s="70" t="n">
        <v>2.537499964237213</v>
      </c>
      <c r="J46" s="70" t="n">
        <v>3.129999935626984</v>
      </c>
      <c r="K46" s="70" t="n">
        <v>3.426249921321869</v>
      </c>
      <c r="L46" s="70" t="n">
        <v>3.426249921321869</v>
      </c>
      <c r="M46" s="70" t="n">
        <v>3.426249921321869</v>
      </c>
      <c r="N46" s="70" t="n">
        <v>3.426249921321869</v>
      </c>
      <c r="O46" s="70" t="n">
        <v>0</v>
      </c>
      <c r="P46" s="70" t="n">
        <v>0.3</v>
      </c>
      <c r="Q46" s="70" t="n">
        <v>0.7</v>
      </c>
      <c r="R46" s="70" t="n">
        <v>1</v>
      </c>
      <c r="S46" s="70" t="n">
        <v>1</v>
      </c>
      <c r="T46" s="70" t="n">
        <v>1</v>
      </c>
      <c r="U46" s="70" t="n">
        <v>1</v>
      </c>
      <c r="V46" s="70" t="n">
        <v>1</v>
      </c>
    </row>
    <row r="47">
      <c r="A47" s="70" t="inlineStr">
        <is>
          <t>spring_bent_tolrpind|</t>
        </is>
      </c>
      <c r="B47" s="70" t="inlineStr">
        <is>
          <t>spring-bent-tolrpind</t>
        </is>
      </c>
      <c r="C47" s="70" t="inlineStr">
        <is>
          <t>Tolerant individuals (%) ~ HBI</t>
        </is>
      </c>
      <c r="D47" s="70" t="inlineStr"/>
      <c r="E47" s="70" t="n">
        <v>5</v>
      </c>
      <c r="F47" s="70" t="inlineStr">
        <is>
          <t>56 least-disturbed stations of this ecoregion</t>
        </is>
      </c>
      <c r="G47" s="70" t="n">
        <v>0</v>
      </c>
      <c r="H47" s="70" t="n">
        <v>7.917500019073486</v>
      </c>
      <c r="I47" s="70" t="n">
        <v>31.44500064849854</v>
      </c>
      <c r="J47" s="70" t="n">
        <v>66.73625159263611</v>
      </c>
      <c r="K47" s="70" t="n">
        <v>90.26375222206116</v>
      </c>
      <c r="L47" s="70" t="n">
        <v>90.26375222206116</v>
      </c>
      <c r="M47" s="70" t="n">
        <v>90.26375222206116</v>
      </c>
      <c r="N47" s="70" t="n">
        <v>90.26375222206116</v>
      </c>
      <c r="O47" s="70" t="n">
        <v>1</v>
      </c>
      <c r="P47" s="70" t="n">
        <v>1</v>
      </c>
      <c r="Q47" s="70" t="n">
        <v>0.7</v>
      </c>
      <c r="R47" s="70" t="n">
        <v>0.3</v>
      </c>
      <c r="S47" s="70" t="n">
        <v>0</v>
      </c>
      <c r="T47" s="70" t="n">
        <v>0</v>
      </c>
      <c r="U47" s="70" t="n">
        <v>0</v>
      </c>
      <c r="V47" s="70" t="n">
        <v>0</v>
      </c>
    </row>
    <row r="48">
      <c r="A48" s="70" t="inlineStr">
        <is>
          <t>spring_nid_dams_1mi|</t>
        </is>
      </c>
      <c r="B48" s="70" t="inlineStr">
        <is>
          <t>spring-nid-dams-1mi</t>
        </is>
      </c>
      <c r="C48" s="70" t="inlineStr">
        <is>
          <t>Mapped dams within one mile</t>
        </is>
      </c>
      <c r="D48" s="70" t="inlineStr"/>
      <c r="E48" s="70" t="n">
        <v>4</v>
      </c>
      <c r="F48" s="70" t="inlineStr">
        <is>
          <t>Fixed criteria, the same in every region</t>
        </is>
      </c>
      <c r="G48" s="70" t="n">
        <v>0</v>
      </c>
      <c r="H48" s="70" t="n">
        <v>1</v>
      </c>
      <c r="I48" s="70" t="n">
        <v>2</v>
      </c>
      <c r="J48" s="70" t="n">
        <v>3</v>
      </c>
      <c r="K48" s="70" t="n">
        <v>3</v>
      </c>
      <c r="L48" s="70" t="n">
        <v>3</v>
      </c>
      <c r="M48" s="70" t="n">
        <v>3</v>
      </c>
      <c r="N48" s="70" t="n">
        <v>3</v>
      </c>
      <c r="O48" s="70" t="n">
        <v>1</v>
      </c>
      <c r="P48" s="70" t="n">
        <v>0.545</v>
      </c>
      <c r="Q48" s="70" t="n">
        <v>0.195</v>
      </c>
      <c r="R48" s="70" t="n">
        <v>0</v>
      </c>
      <c r="S48" s="70" t="n">
        <v>0</v>
      </c>
      <c r="T48" s="70" t="n">
        <v>0</v>
      </c>
      <c r="U48" s="70" t="n">
        <v>0</v>
      </c>
      <c r="V48" s="70" t="n">
        <v>0</v>
      </c>
    </row>
    <row r="51">
      <c r="A51" s="59" t="inlineStr">
        <is>
          <t>Curve sets by metric</t>
        </is>
      </c>
    </row>
    <row r="52">
      <c r="A52" s="70" t="inlineStr">
        <is>
          <t>All streams (pooled)</t>
        </is>
      </c>
      <c r="B52" s="5" t="inlineStr">
        <is>
          <t>Wetland</t>
        </is>
      </c>
    </row>
    <row r="53">
      <c r="A53" s="70" t="inlineStr">
        <is>
          <t>Low gradient (under 0.5 percent)</t>
        </is>
      </c>
      <c r="B53" s="5" t="inlineStr">
        <is>
          <t>Wetland</t>
        </is>
      </c>
    </row>
    <row r="54">
      <c r="A54" s="70" t="inlineStr">
        <is>
          <t>Moderate gradient (0.5 to 2 percent)</t>
        </is>
      </c>
      <c r="B54" s="5" t="inlineStr">
        <is>
          <t>Wetland</t>
        </is>
      </c>
    </row>
    <row r="55">
      <c r="A55" s="70" t="inlineStr">
        <is>
          <t>All streams (pooled)</t>
        </is>
      </c>
      <c r="B55" s="5" t="inlineStr">
        <is>
          <t>Bankfull width:depth ratio</t>
        </is>
      </c>
    </row>
    <row r="56">
      <c r="A56" s="70" t="inlineStr">
        <is>
          <t>Headwater (10 km2 and under)</t>
        </is>
      </c>
      <c r="B56" s="5" t="inlineStr">
        <is>
          <t>Bankfull width:depth ratio</t>
        </is>
      </c>
    </row>
    <row r="57">
      <c r="A57" s="70" t="inlineStr">
        <is>
          <t>Small stream (10 to 100 km2)</t>
        </is>
      </c>
      <c r="B57" s="5" t="inlineStr">
        <is>
          <t>Bankfull width:depth ratio</t>
        </is>
      </c>
    </row>
    <row r="58">
      <c r="A58" s="70" t="inlineStr">
        <is>
          <t>Large stream (over 100 km2)</t>
        </is>
      </c>
      <c r="B58" s="5" t="inlineStr">
        <is>
          <t>Bankfull width:depth ratio</t>
        </is>
      </c>
    </row>
    <row r="59">
      <c r="A59" s="70" t="inlineStr">
        <is>
          <t>All streams (pooled)</t>
        </is>
      </c>
      <c r="B59" s="5" t="inlineStr">
        <is>
          <t>Bankfull height above channel</t>
        </is>
      </c>
    </row>
    <row r="60">
      <c r="A60" s="70" t="inlineStr">
        <is>
          <t>Headwater (10 km2 and under)</t>
        </is>
      </c>
      <c r="B60" s="5" t="inlineStr">
        <is>
          <t>Bankfull height above channel</t>
        </is>
      </c>
    </row>
    <row r="61">
      <c r="A61" s="70" t="inlineStr">
        <is>
          <t>Small stream (10 to 100 km2)</t>
        </is>
      </c>
      <c r="B61" s="5" t="inlineStr">
        <is>
          <t>Bankfull height above channel</t>
        </is>
      </c>
    </row>
    <row r="62">
      <c r="A62" s="70" t="inlineStr">
        <is>
          <t>Large stream (over 100 km2)</t>
        </is>
      </c>
      <c r="B62" s="5" t="inlineStr">
        <is>
          <t>Bankfull height above channel</t>
        </is>
      </c>
    </row>
    <row r="63">
      <c r="A63" s="70" t="inlineStr">
        <is>
          <t>All streams (pooled)</t>
        </is>
      </c>
      <c r="B63" s="5" t="inlineStr">
        <is>
          <t>Relative bed stability</t>
        </is>
      </c>
    </row>
    <row r="64">
      <c r="A64" s="70" t="inlineStr">
        <is>
          <t>Headwater (10 km2 and under)</t>
        </is>
      </c>
      <c r="B64" s="5" t="inlineStr">
        <is>
          <t>Relative bed stability</t>
        </is>
      </c>
    </row>
    <row r="65">
      <c r="A65" s="70" t="inlineStr">
        <is>
          <t>Small stream (10 to 100 km2)</t>
        </is>
      </c>
      <c r="B65" s="5" t="inlineStr">
        <is>
          <t>Relative bed stability</t>
        </is>
      </c>
    </row>
    <row r="66">
      <c r="A66" s="70" t="inlineStr">
        <is>
          <t>Large stream (over 100 km2)</t>
        </is>
      </c>
      <c r="B66" s="5" t="inlineStr">
        <is>
          <t>Relative bed stability</t>
        </is>
      </c>
    </row>
    <row r="67">
      <c r="A67" s="70" t="inlineStr">
        <is>
          <t>All streams (pooled)</t>
        </is>
      </c>
      <c r="B67" s="5" t="inlineStr">
        <is>
          <t>Canopy density, mid-channel</t>
        </is>
      </c>
    </row>
    <row r="68">
      <c r="A68" s="70" t="inlineStr">
        <is>
          <t>Headwater (10 km2 and under)</t>
        </is>
      </c>
      <c r="B68" s="5" t="inlineStr">
        <is>
          <t>Canopy density, mid-channel</t>
        </is>
      </c>
    </row>
    <row r="69">
      <c r="A69" s="70" t="inlineStr">
        <is>
          <t>Small stream (10 to 100 km2)</t>
        </is>
      </c>
      <c r="B69" s="5" t="inlineStr">
        <is>
          <t>Canopy density, mid-channel</t>
        </is>
      </c>
    </row>
    <row r="70">
      <c r="A70" s="70" t="inlineStr">
        <is>
          <t>Large stream (over 100 km2)</t>
        </is>
      </c>
      <c r="B70" s="5" t="inlineStr">
        <is>
          <t>Canopy density, mid-channel</t>
        </is>
      </c>
    </row>
    <row r="71">
      <c r="A71" s="70" t="inlineStr">
        <is>
          <t>All streams (pooled)</t>
        </is>
      </c>
      <c r="B71" s="5" t="inlineStr">
        <is>
          <t>Natural fish cover</t>
        </is>
      </c>
    </row>
    <row r="72">
      <c r="A72" s="70" t="inlineStr">
        <is>
          <t>Headwater (10 km2 and under)</t>
        </is>
      </c>
      <c r="B72" s="5" t="inlineStr">
        <is>
          <t>Natural fish cover</t>
        </is>
      </c>
    </row>
    <row r="73">
      <c r="A73" s="70" t="inlineStr">
        <is>
          <t>Small stream (10 to 100 km2)</t>
        </is>
      </c>
      <c r="B73" s="5" t="inlineStr">
        <is>
          <t>Natural fish cover</t>
        </is>
      </c>
    </row>
    <row r="74">
      <c r="A74" s="70" t="inlineStr">
        <is>
          <t>Large stream (over 100 km2)</t>
        </is>
      </c>
      <c r="B74" s="5" t="inlineStr">
        <is>
          <t>Natural fish cover</t>
        </is>
      </c>
    </row>
    <row r="77">
      <c r="A77" s="59" t="inlineStr">
        <is>
          <t>Condition classes</t>
        </is>
      </c>
    </row>
    <row r="78">
      <c r="A78" t="inlineStr">
        <is>
          <t>Metric index: at or below 0.39 Non-Functioning, at or below 0.69 Functioning At-Risk, above Functioning.</t>
        </is>
      </c>
    </row>
    <row r="79">
      <c r="A79" t="inlineStr">
        <is>
          <t>Function score (0 to 15): at or below 5 Non-Functioning, at or below 10 Functioning At-Risk, above Functioning.</t>
        </is>
      </c>
    </row>
    <row r="80">
      <c r="A8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northern-lakes-and-forests</t>
        </is>
      </c>
    </row>
    <row r="5">
      <c r="A5" s="70" t="inlineStr">
        <is>
          <t>Assessment name</t>
        </is>
      </c>
      <c r="B5" s="70" t="inlineStr">
        <is>
          <t>Northern Lakes and Forests reference assessment</t>
        </is>
      </c>
    </row>
    <row r="6">
      <c r="A6" s="70" t="inlineStr">
        <is>
          <t>Version</t>
        </is>
      </c>
      <c r="B6" s="70" t="n">
        <v>2</v>
      </c>
    </row>
    <row r="7">
      <c r="A7" s="70" t="inlineStr">
        <is>
          <t>Lifecycle status</t>
        </is>
      </c>
      <c r="B7" s="70" t="inlineStr">
        <is>
          <t>Draft</t>
        </is>
      </c>
    </row>
    <row r="8">
      <c r="A8" s="70" t="inlineStr">
        <is>
          <t>Content digest</t>
        </is>
      </c>
      <c r="B8" s="70" t="inlineStr">
        <is>
          <t>sha256:7ead5bd14988d461b5b3687d466eec875a8eeecd805375e02438fa07b97c866d</t>
        </is>
      </c>
    </row>
    <row r="9">
      <c r="A9" s="70" t="inlineStr">
        <is>
          <t>Region</t>
        </is>
      </c>
      <c r="B9" s="70" t="inlineStr">
        <is>
          <t>ecoregion 50 Northern Lakes and Forests</t>
        </is>
      </c>
    </row>
    <row r="10">
      <c r="A10" s="70" t="inlineStr">
        <is>
          <t>Source</t>
        </is>
      </c>
      <c r="B10" s="70" t="inlineStr">
        <is>
          <t>USEPA NRSA 2013-24 (L3 ecoregion 50),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27</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2026-09-30T07:07:30Z</dcterms:created>
  <dcterms:modified xmlns:dcterms="http://purl.org/dc/terms/" xmlns:xsi="http://www.w3.org/2001/XMLSchema-instance" xsi:type="dcterms:W3CDTF">2026-09-30T07:07:30Z</dcterms:modified>
  <cp:lastModifiedBy>DEEP</cp:lastModifiedBy>
  <cp:contentStatus>Draft</cp:contentStatus>
</cp:coreProperties>
</file>