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'Reference'!$A$5:$A$53</definedName>
    <definedName name="curve_x1">'Reference'!$G$5:$G$53</definedName>
    <definedName name="curve_y1">'Reference'!$O$5:$O$53</definedName>
    <definedName name="curve_x2">'Reference'!$H$5:$H$53</definedName>
    <definedName name="curve_y2">'Reference'!$P$5:$P$53</definedName>
    <definedName name="curve_x3">'Reference'!$I$5:$I$53</definedName>
    <definedName name="curve_y3">'Reference'!$Q$5:$Q$53</definedName>
    <definedName name="curve_x4">'Reference'!$J$5:$J$53</definedName>
    <definedName name="curve_y4">'Reference'!$R$5:$R$53</definedName>
    <definedName name="curve_x5">'Reference'!$K$5:$K$53</definedName>
    <definedName name="curve_y5">'Reference'!$S$5:$S$53</definedName>
    <definedName name="curve_x6">'Reference'!$L$5:$L$53</definedName>
    <definedName name="curve_y6">'Reference'!$T$5:$T$53</definedName>
    <definedName name="curve_x7">'Reference'!$M$5:$M$53</definedName>
    <definedName name="curve_y7">'Reference'!$U$5:$U$53</definedName>
    <definedName name="curve_x8">'Reference'!$N$5:$N$53</definedName>
    <definedName name="curve_y8">'Reference'!$V$5:$V$53</definedName>
    <definedName name="strata_spring_phab_bfwd_rat">'Reference'!$A$57:$A$60</definedName>
    <definedName name="strata_spring_phab_xbkf_h">'Reference'!$A$61:$A$64</definedName>
    <definedName name="strata_spring_phab_lrbs_use">'Reference'!$A$65:$A$68</definedName>
    <definedName name="strata_spring_phab_xcdenmid">'Reference'!$A$69:$A$72</definedName>
    <definedName name="strata_spring_phab_pct_fast">'Reference'!$A$73:$A$76</definedName>
    <definedName name="strata_spring_phab_xfc_nat">'Reference'!$A$77:$A$80</definedName>
    <definedName name="strata_spring_fish_nat_totlntax">'Reference'!$A$81:$A$83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fish_nat_totlntax">'Metrics'!$V$29</definedName>
    <definedName name="idx_spring_ben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fish_nat_totlntax">'DEEP Score'!$E$42</definedName>
    <definedName name="st_spring_fish_nat_totlntax">'DEEP Score'!$F$42</definedName>
    <definedName name="in_spring_bent_totlntax">'DEEP Score'!$E$43</definedName>
    <definedName name="in_spring_bent_ept_ntax">'DEEP Score'!$E$44</definedName>
    <definedName name="in_spring_bent_hprime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 Mountains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20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 Mountains reference assessment</t>
        </is>
      </c>
    </row>
    <row r="3">
      <c r="A3" s="5" t="inlineStr">
        <is>
          <t>Version 1 | Draft | USEPA NRSA 2013-24 (L3 ecoregion 8),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IF('Metrics'!$V$28="","",'Metrics'!$V$28)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Native fish taxa richness</t>
        </is>
      </c>
      <c r="D42" s="14" t="inlineStr"/>
      <c r="E42" s="15" t="n"/>
      <c r="F42" s="47" t="inlineStr">
        <is>
          <t>All streams (pooled)</t>
        </is>
      </c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Benthic total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Shannon diversity (H')</t>
        </is>
      </c>
      <c r="D45" s="23" t="inlineStr">
        <is>
          <t>H'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  <dataValidation sqref="F42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Score'!$E$31="","",'DEEP Score'!$E$31)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Large wood volume</t>
        </is>
      </c>
      <c r="B19" s="70">
        <f>IF('DEEP Score'!$E$32="","",'DEEP Score'!$E$32)</f>
        <v/>
      </c>
      <c r="C19" s="70">
        <f>""</f>
        <v/>
      </c>
      <c r="D19" s="70">
        <f>"spring_phab_lwdeqvolm100|"&amp;'Metrics'!$C$19</f>
        <v/>
      </c>
      <c r="E19" s="70">
        <f>IFERROR(MATCH('Metrics'!$D$19,curve_key,0),MATCH("spring_phab_lwdeqvolm100|",curve_key,0))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IF('DEEP Score'!$F$34="","All streams (pooled)",'DEEP Score'!$F$34)</f>
        <v/>
      </c>
      <c r="D21" s="70">
        <f>"spring_phab_xcdenmid|"&amp;'Metrics'!$C$21</f>
        <v/>
      </c>
      <c r="E21" s="70">
        <f>IFERROR(MATCH('Metrics'!$D$21,curve_key,0),MATCH("spring_phab_xcdenmid|All streams (pooled)",curve_key,0))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pH</t>
        </is>
      </c>
      <c r="B25" s="70">
        <f>IF('DEEP Score'!$E$38="","",'DEEP Score'!$E$38)</f>
        <v/>
      </c>
      <c r="C25" s="70">
        <f>""</f>
        <v/>
      </c>
      <c r="D25" s="70">
        <f>"spring_chem_ph|"&amp;'Metrics'!$C$25</f>
        <v/>
      </c>
      <c r="E25" s="70">
        <f>IFERROR(MATCH('Metrics'!$D$25,curve_key,0),MATCH("spring_chem_ph|",curve_key,0))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Specific conductivity</t>
        </is>
      </c>
      <c r="B26" s="70">
        <f>IF('DEEP Score'!$E$39="","",'DEEP Score'!$E$39)</f>
        <v/>
      </c>
      <c r="C26" s="70">
        <f>""</f>
        <v/>
      </c>
      <c r="D26" s="70">
        <f>"spring_chem_cond|"&amp;'Metrics'!$C$26</f>
        <v/>
      </c>
      <c r="E26" s="70">
        <f>IFERROR(MATCH('Metrics'!$D$26,curve_key,0),MATCH("spring_chem_cond|",curve_key,0))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Fast-water / riffle habitat</t>
        </is>
      </c>
      <c r="B27" s="70">
        <f>IF('DEEP Score'!$E$40="","",'DEEP Score'!$E$40)</f>
        <v/>
      </c>
      <c r="C27" s="70">
        <f>IF('DEEP Score'!$F$40="","All streams (pooled)",'DEEP Score'!$F$40)</f>
        <v/>
      </c>
      <c r="D27" s="70">
        <f>"spring_phab_pct_fast|"&amp;'Metrics'!$C$27</f>
        <v/>
      </c>
      <c r="E27" s="70">
        <f>IFERROR(MATCH('Metrics'!$D$27,curve_key,0),MATCH("spring_phab_pct_fast|All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Natural fish cover</t>
        </is>
      </c>
      <c r="B28" s="70">
        <f>IF('DEEP Score'!$E$41="","",'DEEP Score'!$E$41)</f>
        <v/>
      </c>
      <c r="C28" s="70">
        <f>IF('DEEP Score'!$F$41="","All streams (pooled)",'DEEP Score'!$F$41)</f>
        <v/>
      </c>
      <c r="D28" s="70">
        <f>"spring_phab_xfc_nat|"&amp;'Metrics'!$C$28</f>
        <v/>
      </c>
      <c r="E28" s="70">
        <f>IFERROR(MATCH('Metrics'!$D$28,curve_key,0),MATCH("spring_phab_xfc_nat|All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Native fish taxa richness</t>
        </is>
      </c>
      <c r="B29" s="70">
        <f>IF('DEEP Score'!$E$42="","",'DEEP Score'!$E$42)</f>
        <v/>
      </c>
      <c r="C29" s="70">
        <f>IF('DEEP Score'!$F$42="","All streams (pooled)",'DEEP Score'!$F$42)</f>
        <v/>
      </c>
      <c r="D29" s="70">
        <f>"spring_fish_nat_totlntax|"&amp;'Metrics'!$C$29</f>
        <v/>
      </c>
      <c r="E29" s="70">
        <f>IFERROR(MATCH('Metrics'!$D$29,curve_key,0),MATCH("spring_fish_nat_totlntax|All streams (pooled)",curve_key,0))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Benthic total taxa richness</t>
        </is>
      </c>
      <c r="B30" s="70">
        <f>IF('DEEP Score'!$E$43="","",'DEEP Score'!$E$43)</f>
        <v/>
      </c>
      <c r="C30" s="70">
        <f>""</f>
        <v/>
      </c>
      <c r="D30" s="70">
        <f>"spring_bent_totlntax|"&amp;'Metrics'!$C$30</f>
        <v/>
      </c>
      <c r="E30" s="70">
        <f>IFERROR(MATCH('Metrics'!$D$30,curve_key,0),MATCH("spring_bent_totlntax|",curve_key,0))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EPT taxa richness</t>
        </is>
      </c>
      <c r="B31" s="70">
        <f>IF('DEEP Score'!$E$44="","",'DEEP Score'!$E$44)</f>
        <v/>
      </c>
      <c r="C31" s="70">
        <f>""</f>
        <v/>
      </c>
      <c r="D31" s="70">
        <f>"spring_bent_ept_ntax|"&amp;'Metrics'!$C$31</f>
        <v/>
      </c>
      <c r="E31" s="70">
        <f>IFERROR(MATCH('Metrics'!$D$31,curve_key,0),MATCH("spring_bent_ept_ntax|",curve_key,0))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Shannon diversity (H')</t>
        </is>
      </c>
      <c r="B32" s="70">
        <f>IF('DEEP Score'!$E$45="","",'DEEP Score'!$E$45)</f>
        <v/>
      </c>
      <c r="C32" s="70">
        <f>""</f>
        <v/>
      </c>
      <c r="D32" s="70">
        <f>"spring_bent_hprime|"&amp;'Metrics'!$C$32</f>
        <v/>
      </c>
      <c r="E32" s="70">
        <f>IFERROR(MATCH('Metrics'!$D$32,curve_key,0),MATCH("spring_bent_hprime|",curve_key,0))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9" t="inlineStr">
        <is>
          <t>Mapped dams within one mile</t>
        </is>
      </c>
      <c r="B33" s="70">
        <f>IF('DEEP Score'!$E$46="","",'DEEP Score'!$E$46)</f>
        <v/>
      </c>
      <c r="C33" s="70">
        <f>""</f>
        <v/>
      </c>
      <c r="D33" s="70">
        <f>"spring_nid_dams_1mi|"&amp;'Metrics'!$C$33</f>
        <v/>
      </c>
      <c r="E33" s="70">
        <f>IFERROR(MATCH('Metrics'!$D$33,curve_key,0),MATCH("spring_nid_dams_1mi|",curve_key,0))</f>
        <v/>
      </c>
      <c r="F33" s="70">
        <f>INDEX(curve_x1,'Metrics'!$E$33)</f>
        <v/>
      </c>
      <c r="G33" s="70">
        <f>INDEX(curve_x2,'Metrics'!$E$33)</f>
        <v/>
      </c>
      <c r="H33" s="70">
        <f>INDEX(curve_x3,'Metrics'!$E$33)</f>
        <v/>
      </c>
      <c r="I33" s="70">
        <f>INDEX(curve_x4,'Metrics'!$E$33)</f>
        <v/>
      </c>
      <c r="J33" s="70">
        <f>INDEX(curve_x5,'Metrics'!$E$33)</f>
        <v/>
      </c>
      <c r="K33" s="70">
        <f>INDEX(curve_x6,'Metrics'!$E$33)</f>
        <v/>
      </c>
      <c r="L33" s="70">
        <f>INDEX(curve_x7,'Metrics'!$E$33)</f>
        <v/>
      </c>
      <c r="M33" s="70">
        <f>INDEX(curve_x8,'Metrics'!$E$33)</f>
        <v/>
      </c>
      <c r="N33" s="70">
        <f>INDEX(curve_y1,'Metrics'!$E$33)</f>
        <v/>
      </c>
      <c r="O33" s="70">
        <f>INDEX(curve_y2,'Metrics'!$E$33)</f>
        <v/>
      </c>
      <c r="P33" s="70">
        <f>INDEX(curve_y3,'Metrics'!$E$33)</f>
        <v/>
      </c>
      <c r="Q33" s="70">
        <f>INDEX(curve_y4,'Metrics'!$E$33)</f>
        <v/>
      </c>
      <c r="R33" s="70">
        <f>INDEX(curve_y5,'Metrics'!$E$33)</f>
        <v/>
      </c>
      <c r="S33" s="70">
        <f>INDEX(curve_y6,'Metrics'!$E$33)</f>
        <v/>
      </c>
      <c r="T33" s="70">
        <f>INDEX(curve_y7,'Metrics'!$E$33)</f>
        <v/>
      </c>
      <c r="U33" s="70">
        <f>INDEX(curve_y8,'Metrics'!$E$33)</f>
        <v/>
      </c>
      <c r="V33" s="71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8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225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9" t="n">
        <v>0</v>
      </c>
      <c r="H9" s="69" t="n">
        <v>25.98625714285714</v>
      </c>
      <c r="I9" s="69" t="n">
        <v>60.6346</v>
      </c>
      <c r="J9" s="69" t="n">
        <v>71.7424</v>
      </c>
      <c r="K9" s="69" t="n">
        <v>77.2963</v>
      </c>
      <c r="L9" s="69" t="n">
        <v>77.2963</v>
      </c>
      <c r="M9" s="69" t="n">
        <v>77.2963</v>
      </c>
      <c r="N9" s="69" t="n">
        <v>77.2963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7</v>
      </c>
      <c r="F11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9" t="n">
        <v>0</v>
      </c>
      <c r="H11" s="69" t="n">
        <v>3.721560126543045</v>
      </c>
      <c r="I11" s="69" t="n">
        <v>6.971705317497253</v>
      </c>
      <c r="J11" s="69" t="n">
        <v>16.25783443450928</v>
      </c>
      <c r="K11" s="69" t="n">
        <v>19.50797962546348</v>
      </c>
      <c r="L11" s="69" t="n">
        <v>25.5439635515213</v>
      </c>
      <c r="M11" s="69" t="n">
        <v>34.83009266853333</v>
      </c>
      <c r="N11" s="69" t="n">
        <v>34.83009266853333</v>
      </c>
      <c r="O11" s="69" t="n">
        <v>0</v>
      </c>
      <c r="P11" s="69" t="n">
        <v>0.7</v>
      </c>
      <c r="Q11" s="69" t="n">
        <v>1</v>
      </c>
      <c r="R11" s="69" t="n">
        <v>1</v>
      </c>
      <c r="S11" s="69" t="n">
        <v>0.7</v>
      </c>
      <c r="T11" s="69" t="n">
        <v>0.3</v>
      </c>
      <c r="U11" s="69" t="n">
        <v>0</v>
      </c>
      <c r="V11" s="69" t="n">
        <v>0</v>
      </c>
    </row>
    <row r="12">
      <c r="A12" s="69" t="inlineStr">
        <is>
          <t>spring_phab_bfwd_rat|Headwater (10 km2 and under)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Headwater (10 km2 and under)</t>
        </is>
      </c>
      <c r="E12" s="69" t="n">
        <v>8</v>
      </c>
      <c r="F12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9" t="n">
        <v>0</v>
      </c>
      <c r="H12" s="69" t="n">
        <v>1.43529748916626</v>
      </c>
      <c r="I12" s="69" t="n">
        <v>3.783292126655579</v>
      </c>
      <c r="J12" s="69" t="n">
        <v>5.04759693145752</v>
      </c>
      <c r="K12" s="69" t="n">
        <v>8.659896373748779</v>
      </c>
      <c r="L12" s="69" t="n">
        <v>9.924201178550721</v>
      </c>
      <c r="M12" s="69" t="n">
        <v>12.27219581604004</v>
      </c>
      <c r="N12" s="69" t="n">
        <v>15.8844952583313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0.7</v>
      </c>
      <c r="U12" s="69" t="n">
        <v>0.3</v>
      </c>
      <c r="V12" s="69" t="n">
        <v>0</v>
      </c>
    </row>
    <row r="13">
      <c r="A13" s="69" t="inlineStr">
        <is>
          <t>spring_phab_bfwd_rat|Small stream (10 to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Small stream (10 to 100 km2)</t>
        </is>
      </c>
      <c r="E13" s="69" t="n">
        <v>8</v>
      </c>
      <c r="F13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9" t="n">
        <v>0</v>
      </c>
      <c r="H13" s="69" t="n">
        <v>1.604142189025879</v>
      </c>
      <c r="I13" s="69" t="n">
        <v>4.99192088842392</v>
      </c>
      <c r="J13" s="69" t="n">
        <v>6.816109418869019</v>
      </c>
      <c r="K13" s="69" t="n">
        <v>12.02807664871216</v>
      </c>
      <c r="L13" s="69" t="n">
        <v>13.85226517915726</v>
      </c>
      <c r="M13" s="69" t="n">
        <v>17.2400438785553</v>
      </c>
      <c r="N13" s="69" t="n">
        <v>22.45201110839844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0.7</v>
      </c>
      <c r="U13" s="69" t="n">
        <v>0.3</v>
      </c>
      <c r="V13" s="69" t="n">
        <v>0</v>
      </c>
    </row>
    <row r="14">
      <c r="A14" s="69" t="inlineStr">
        <is>
          <t>spring_phab_bfwd_rat|Large stream (over 100 km2)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>
        <is>
          <t>Large stream (over 100 km2)</t>
        </is>
      </c>
      <c r="E14" s="69" t="n">
        <v>8</v>
      </c>
      <c r="F14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4" s="69" t="n">
        <v>0</v>
      </c>
      <c r="H14" s="69" t="n">
        <v>3.033204078674316</v>
      </c>
      <c r="I14" s="69" t="n">
        <v>10.53352264165878</v>
      </c>
      <c r="J14" s="69" t="n">
        <v>14.57215571403503</v>
      </c>
      <c r="K14" s="69" t="n">
        <v>26.11110734939575</v>
      </c>
      <c r="L14" s="69" t="n">
        <v>30.149740421772</v>
      </c>
      <c r="M14" s="69" t="n">
        <v>37.65005898475647</v>
      </c>
      <c r="N14" s="69" t="n">
        <v>49.18901062011719</v>
      </c>
      <c r="O14" s="69" t="n">
        <v>0</v>
      </c>
      <c r="P14" s="69" t="n">
        <v>0.3</v>
      </c>
      <c r="Q14" s="69" t="n">
        <v>0.7</v>
      </c>
      <c r="R14" s="69" t="n">
        <v>1</v>
      </c>
      <c r="S14" s="69" t="n">
        <v>1</v>
      </c>
      <c r="T14" s="69" t="n">
        <v>0.7</v>
      </c>
      <c r="U14" s="69" t="n">
        <v>0.3</v>
      </c>
      <c r="V14" s="69" t="n">
        <v>0</v>
      </c>
    </row>
    <row r="15">
      <c r="A15" s="69" t="inlineStr">
        <is>
          <t>spring_phab_xbkf_h|All streams (pooled)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All streams (pooled)</t>
        </is>
      </c>
      <c r="E15" s="69" t="n">
        <v>7</v>
      </c>
      <c r="F15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9" t="n">
        <v>0</v>
      </c>
      <c r="H15" s="69" t="n">
        <v>0.1582499817013741</v>
      </c>
      <c r="I15" s="69" t="n">
        <v>0.2904545366764069</v>
      </c>
      <c r="J15" s="69" t="n">
        <v>0.668181836605072</v>
      </c>
      <c r="K15" s="69" t="n">
        <v>0.8003863915801048</v>
      </c>
      <c r="L15" s="69" t="n">
        <v>1.045909136533737</v>
      </c>
      <c r="M15" s="69" t="n">
        <v>1.423636436462402</v>
      </c>
      <c r="N15" s="69" t="n">
        <v>1.423636436462402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spring_phab_xbkf_h|Headwater (10 km2 and under)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Headwater (10 km2 and under)</t>
        </is>
      </c>
      <c r="E16" s="69" t="n">
        <v>8</v>
      </c>
      <c r="F16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9" t="n">
        <v>0</v>
      </c>
      <c r="H16" s="69" t="n">
        <v>0.01818183064460754</v>
      </c>
      <c r="I16" s="69" t="n">
        <v>0.1540909178555012</v>
      </c>
      <c r="J16" s="69" t="n">
        <v>0.2272727340459824</v>
      </c>
      <c r="K16" s="69" t="n">
        <v>0.4363636374473572</v>
      </c>
      <c r="L16" s="69" t="n">
        <v>0.5095454536378383</v>
      </c>
      <c r="M16" s="69" t="n">
        <v>0.645454540848732</v>
      </c>
      <c r="N16" s="69" t="n">
        <v>0.8545454442501068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spring_phab_xbkf_h|Small stream (10 to 100 km2)</t>
        </is>
      </c>
      <c r="B17" s="69" t="inlineStr">
        <is>
          <t>spring-phab-xbkf-h</t>
        </is>
      </c>
      <c r="C17" s="69" t="inlineStr">
        <is>
          <t>Bankfull height above channel</t>
        </is>
      </c>
      <c r="D17" s="69" t="inlineStr">
        <is>
          <t>Small stream (10 to 100 km2)</t>
        </is>
      </c>
      <c r="E17" s="69" t="n">
        <v>8</v>
      </c>
      <c r="F17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7" s="69" t="n">
        <v>0</v>
      </c>
      <c r="H17" s="69" t="n">
        <v>0.07409091293811798</v>
      </c>
      <c r="I17" s="69" t="n">
        <v>0.2091136373579502</v>
      </c>
      <c r="J17" s="69" t="n">
        <v>0.2818181812763214</v>
      </c>
      <c r="K17" s="69" t="n">
        <v>0.4895454496145248</v>
      </c>
      <c r="L17" s="69" t="n">
        <v>0.5622499935328961</v>
      </c>
      <c r="M17" s="69" t="n">
        <v>0.6972727179527283</v>
      </c>
      <c r="N17" s="69" t="n">
        <v>0.9049999862909317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spring_phab_xbkf_h|Large stream (over 100 km2)</t>
        </is>
      </c>
      <c r="B18" s="69" t="inlineStr">
        <is>
          <t>spring-phab-xbkf-h</t>
        </is>
      </c>
      <c r="C18" s="69" t="inlineStr">
        <is>
          <t>Bankfull height above channel</t>
        </is>
      </c>
      <c r="D18" s="69" t="inlineStr">
        <is>
          <t>Large stream (over 100 km2)</t>
        </is>
      </c>
      <c r="E18" s="69" t="n">
        <v>7</v>
      </c>
      <c r="F18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8" s="69" t="n">
        <v>0</v>
      </c>
      <c r="H18" s="69" t="n">
        <v>0.2764999866485596</v>
      </c>
      <c r="I18" s="69" t="n">
        <v>0.4454545378684998</v>
      </c>
      <c r="J18" s="69" t="n">
        <v>0.9281818270683289</v>
      </c>
      <c r="K18" s="69" t="n">
        <v>1.097136378288269</v>
      </c>
      <c r="L18" s="69" t="n">
        <v>1.410909116268158</v>
      </c>
      <c r="M18" s="69" t="n">
        <v>1.893636405467987</v>
      </c>
      <c r="N18" s="69" t="n">
        <v>1.893636405467987</v>
      </c>
      <c r="O18" s="69" t="n">
        <v>0</v>
      </c>
      <c r="P18" s="69" t="n">
        <v>0.7</v>
      </c>
      <c r="Q18" s="69" t="n">
        <v>1</v>
      </c>
      <c r="R18" s="69" t="n">
        <v>1</v>
      </c>
      <c r="S18" s="69" t="n">
        <v>0.7</v>
      </c>
      <c r="T18" s="69" t="n">
        <v>0.3</v>
      </c>
      <c r="U18" s="69" t="n">
        <v>0</v>
      </c>
      <c r="V18" s="69" t="n">
        <v>0</v>
      </c>
    </row>
    <row r="19">
      <c r="A19" s="69" t="inlineStr">
        <is>
          <t>spring_phab_pct_safn|</t>
        </is>
      </c>
      <c r="B19" s="69" t="inlineStr">
        <is>
          <t>spring-phab-pct-safn</t>
        </is>
      </c>
      <c r="C19" s="69" t="inlineStr">
        <is>
          <t>Sand + fines</t>
        </is>
      </c>
      <c r="D19" s="69" t="inlineStr"/>
      <c r="E19" s="69" t="n">
        <v>5</v>
      </c>
      <c r="F19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9" s="69" t="n">
        <v>0</v>
      </c>
      <c r="H19" s="69" t="n">
        <v>3.809523820877075</v>
      </c>
      <c r="I19" s="69" t="n">
        <v>27.29311084747314</v>
      </c>
      <c r="J19" s="69" t="n">
        <v>62.51849138736725</v>
      </c>
      <c r="K19" s="69" t="n">
        <v>86.00207841396332</v>
      </c>
      <c r="L19" s="69" t="n">
        <v>86.00207841396332</v>
      </c>
      <c r="M19" s="69" t="n">
        <v>86.00207841396332</v>
      </c>
      <c r="N19" s="69" t="n">
        <v>86.00207841396332</v>
      </c>
      <c r="O19" s="69" t="n">
        <v>1</v>
      </c>
      <c r="P19" s="69" t="n">
        <v>1</v>
      </c>
      <c r="Q19" s="69" t="n">
        <v>0.7</v>
      </c>
      <c r="R19" s="69" t="n">
        <v>0.3</v>
      </c>
      <c r="S19" s="69" t="n">
        <v>0</v>
      </c>
      <c r="T19" s="69" t="n">
        <v>0</v>
      </c>
      <c r="U19" s="69" t="n">
        <v>0</v>
      </c>
      <c r="V19" s="69" t="n">
        <v>0</v>
      </c>
    </row>
    <row r="20">
      <c r="A20" s="69" t="inlineStr">
        <is>
          <t>spring_phab_xembed|</t>
        </is>
      </c>
      <c r="B20" s="69" t="inlineStr">
        <is>
          <t>spring-phab-xembed</t>
        </is>
      </c>
      <c r="C20" s="69" t="inlineStr">
        <is>
          <t>Embeddedness</t>
        </is>
      </c>
      <c r="D20" s="69" t="inlineStr"/>
      <c r="E20" s="69" t="n">
        <v>5</v>
      </c>
      <c r="F20" s="69" t="inlineStr">
        <is>
          <t>187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0" s="69" t="n">
        <v>10.79545402526855</v>
      </c>
      <c r="H20" s="69" t="n">
        <v>24.8636360168457</v>
      </c>
      <c r="I20" s="69" t="n">
        <v>53</v>
      </c>
      <c r="J20" s="69" t="n">
        <v>95.20454597473145</v>
      </c>
      <c r="K20" s="69" t="n">
        <v>100</v>
      </c>
      <c r="L20" s="69" t="n">
        <v>100</v>
      </c>
      <c r="M20" s="69" t="n">
        <v>100</v>
      </c>
      <c r="N20" s="69" t="n">
        <v>100</v>
      </c>
      <c r="O20" s="69" t="n">
        <v>1</v>
      </c>
      <c r="P20" s="69" t="n">
        <v>1</v>
      </c>
      <c r="Q20" s="69" t="n">
        <v>0.7</v>
      </c>
      <c r="R20" s="69" t="n">
        <v>0.3</v>
      </c>
      <c r="S20" s="69" t="n">
        <v>0</v>
      </c>
      <c r="T20" s="69" t="n">
        <v>0</v>
      </c>
      <c r="U20" s="69" t="n">
        <v>0</v>
      </c>
      <c r="V20" s="69" t="n">
        <v>0</v>
      </c>
    </row>
    <row r="21">
      <c r="A21" s="69" t="inlineStr">
        <is>
          <t>spring_phab_sinu|</t>
        </is>
      </c>
      <c r="B21" s="69" t="inlineStr">
        <is>
          <t>spring-phab-sinu</t>
        </is>
      </c>
      <c r="C21" s="69" t="inlineStr">
        <is>
          <t>Sinuosity</t>
        </is>
      </c>
      <c r="D21" s="69" t="inlineStr"/>
      <c r="E21" s="69" t="n">
        <v>4</v>
      </c>
      <c r="F21" s="69" t="inlineStr">
        <is>
          <t>187 least-disturbed stations borrowed from NARS-9 region WMT under the regional screen (agriculture at most 25 percent), transfer risk high</t>
        </is>
      </c>
      <c r="G21" s="69" t="n">
        <v>1</v>
      </c>
      <c r="H21" s="69" t="n">
        <v>1.068834483623505</v>
      </c>
      <c r="I21" s="69" t="n">
        <v>1.271131992340088</v>
      </c>
      <c r="J21" s="69" t="n">
        <v>1.37228074669838</v>
      </c>
      <c r="K21" s="69" t="n">
        <v>1.37228074669838</v>
      </c>
      <c r="L21" s="69" t="n">
        <v>1.37228074669838</v>
      </c>
      <c r="M21" s="69" t="n">
        <v>1.37228074669838</v>
      </c>
      <c r="N21" s="69" t="n">
        <v>1.37228074669838</v>
      </c>
      <c r="O21" s="69" t="n">
        <v>0</v>
      </c>
      <c r="P21" s="69" t="n">
        <v>0.7</v>
      </c>
      <c r="Q21" s="69" t="n">
        <v>1</v>
      </c>
      <c r="R21" s="69" t="n">
        <v>1</v>
      </c>
      <c r="S21" s="69" t="n">
        <v>1</v>
      </c>
      <c r="T21" s="69" t="n">
        <v>1</v>
      </c>
      <c r="U21" s="69" t="n">
        <v>1</v>
      </c>
      <c r="V21" s="69" t="n">
        <v>1</v>
      </c>
    </row>
    <row r="22">
      <c r="A22" s="69" t="inlineStr">
        <is>
          <t>spring_phab_xbka|</t>
        </is>
      </c>
      <c r="B22" s="69" t="inlineStr">
        <is>
          <t>spring-phab-xbka</t>
        </is>
      </c>
      <c r="C22" s="69" t="inlineStr">
        <is>
          <t>Bank angle</t>
        </is>
      </c>
      <c r="D22" s="69" t="inlineStr"/>
      <c r="E22" s="69" t="n">
        <v>7</v>
      </c>
      <c r="F22" s="69" t="inlineStr">
        <is>
          <t>187 least-disturbed stations borrowed from NARS-9 region WMT under the regional screen (agriculture at most 25 percent), transfer risk moderate</t>
        </is>
      </c>
      <c r="G22" s="69" t="n">
        <v>0</v>
      </c>
      <c r="H22" s="69" t="n">
        <v>17.4215913772583</v>
      </c>
      <c r="I22" s="69" t="n">
        <v>22.8863639831543</v>
      </c>
      <c r="J22" s="69" t="n">
        <v>38.5</v>
      </c>
      <c r="K22" s="69" t="n">
        <v>43.96477260589599</v>
      </c>
      <c r="L22" s="69" t="n">
        <v>54.1136360168457</v>
      </c>
      <c r="M22" s="69" t="n">
        <v>69.72727203369141</v>
      </c>
      <c r="N22" s="69" t="n">
        <v>69.72727203369141</v>
      </c>
      <c r="O22" s="69" t="n">
        <v>0.7</v>
      </c>
      <c r="P22" s="69" t="n">
        <v>0.7</v>
      </c>
      <c r="Q22" s="69" t="n">
        <v>1</v>
      </c>
      <c r="R22" s="69" t="n">
        <v>1</v>
      </c>
      <c r="S22" s="69" t="n">
        <v>0.7</v>
      </c>
      <c r="T22" s="69" t="n">
        <v>0.3</v>
      </c>
      <c r="U22" s="69" t="n">
        <v>0</v>
      </c>
      <c r="V22" s="69" t="n">
        <v>0</v>
      </c>
    </row>
    <row r="23">
      <c r="A23" s="69" t="inlineStr">
        <is>
          <t>spring_phab_lrbs_use|All streams (pooled)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All streams (pooled)</t>
        </is>
      </c>
      <c r="E23" s="69" t="n">
        <v>8</v>
      </c>
      <c r="F23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9" t="n">
        <v>-3.161248456686735</v>
      </c>
      <c r="H23" s="69" t="n">
        <v>-2.131744286045432</v>
      </c>
      <c r="I23" s="69" t="n">
        <v>-1.462566575128585</v>
      </c>
      <c r="J23" s="69" t="n">
        <v>-1.102240115404129</v>
      </c>
      <c r="K23" s="69" t="n">
        <v>-0.07273594476282597</v>
      </c>
      <c r="L23" s="69" t="n">
        <v>0.2875905149616301</v>
      </c>
      <c r="M23" s="69" t="n">
        <v>0.9567682258784771</v>
      </c>
      <c r="N23" s="69" t="n">
        <v>1.98627239651978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spring_phab_lrbs_use|Headwater (10 km2 and under)</t>
        </is>
      </c>
      <c r="B24" s="69" t="inlineStr">
        <is>
          <t>spring-phab-lrbs-use</t>
        </is>
      </c>
      <c r="C24" s="69" t="inlineStr">
        <is>
          <t>Relative bed stability</t>
        </is>
      </c>
      <c r="D24" s="69" t="inlineStr">
        <is>
          <t>Headwater (10 km2 and under)</t>
        </is>
      </c>
      <c r="E24" s="69" t="n">
        <v>8</v>
      </c>
      <c r="F24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4" s="69" t="n">
        <v>-3.520329654216766</v>
      </c>
      <c r="H24" s="69" t="n">
        <v>-2.545660942792892</v>
      </c>
      <c r="I24" s="69" t="n">
        <v>-1.912126280367374</v>
      </c>
      <c r="J24" s="69" t="n">
        <v>-1.570992231369019</v>
      </c>
      <c r="K24" s="69" t="n">
        <v>-0.5963235199451447</v>
      </c>
      <c r="L24" s="69" t="n">
        <v>-0.2551894709467888</v>
      </c>
      <c r="M24" s="69" t="n">
        <v>0.3783451914787292</v>
      </c>
      <c r="N24" s="69" t="n">
        <v>1.353013902902603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spring_phab_lrbs_use|Small stream (10 to 100 km2)</t>
        </is>
      </c>
      <c r="B25" s="69" t="inlineStr">
        <is>
          <t>spring-phab-lrbs-use</t>
        </is>
      </c>
      <c r="C25" s="69" t="inlineStr">
        <is>
          <t>Relative bed stability</t>
        </is>
      </c>
      <c r="D25" s="69" t="inlineStr">
        <is>
          <t>Small stream (10 to 100 km2)</t>
        </is>
      </c>
      <c r="E25" s="69" t="n">
        <v>8</v>
      </c>
      <c r="F25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5" s="69" t="n">
        <v>-2.816685795783997</v>
      </c>
      <c r="H25" s="69" t="n">
        <v>-1.998938620090485</v>
      </c>
      <c r="I25" s="69" t="n">
        <v>-1.467402955889702</v>
      </c>
      <c r="J25" s="69" t="n">
        <v>-1.181191444396973</v>
      </c>
      <c r="K25" s="69" t="n">
        <v>-0.3634442687034607</v>
      </c>
      <c r="L25" s="69" t="n">
        <v>-0.07723275721073153</v>
      </c>
      <c r="M25" s="69" t="n">
        <v>0.4543029069900513</v>
      </c>
      <c r="N25" s="69" t="n">
        <v>1.272050082683563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0.7</v>
      </c>
      <c r="U25" s="69" t="n">
        <v>0.3</v>
      </c>
      <c r="V25" s="69" t="n">
        <v>0</v>
      </c>
    </row>
    <row r="26">
      <c r="A26" s="69" t="inlineStr">
        <is>
          <t>spring_phab_lrbs_use|Large stream (over 100 km2)</t>
        </is>
      </c>
      <c r="B26" s="69" t="inlineStr">
        <is>
          <t>spring-phab-lrbs-use</t>
        </is>
      </c>
      <c r="C26" s="69" t="inlineStr">
        <is>
          <t>Relative bed stability</t>
        </is>
      </c>
      <c r="D26" s="69" t="inlineStr">
        <is>
          <t>Large stream (over 100 km2)</t>
        </is>
      </c>
      <c r="E26" s="69" t="n">
        <v>8</v>
      </c>
      <c r="F26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6" s="69" t="n">
        <v>-2.084504865109921</v>
      </c>
      <c r="H26" s="69" t="n">
        <v>-1.292080000042915</v>
      </c>
      <c r="I26" s="69" t="n">
        <v>-0.777003837749362</v>
      </c>
      <c r="J26" s="69" t="n">
        <v>-0.4996551349759102</v>
      </c>
      <c r="K26" s="69" t="n">
        <v>0.292769730091095</v>
      </c>
      <c r="L26" s="69" t="n">
        <v>0.5701184328645468</v>
      </c>
      <c r="M26" s="69" t="n">
        <v>1.0851945951581</v>
      </c>
      <c r="N26" s="69" t="n">
        <v>1.877619460225105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0.7</v>
      </c>
      <c r="U26" s="69" t="n">
        <v>0.3</v>
      </c>
      <c r="V26" s="69" t="n">
        <v>0</v>
      </c>
    </row>
    <row r="27">
      <c r="A27" s="69" t="inlineStr">
        <is>
          <t>spring_phab_lsub_dmm|</t>
        </is>
      </c>
      <c r="B27" s="69" t="inlineStr">
        <is>
          <t>spring-phab-lsub-dmm</t>
        </is>
      </c>
      <c r="C27" s="69" t="inlineStr">
        <is>
          <t>Substrate size</t>
        </is>
      </c>
      <c r="D27" s="69" t="inlineStr"/>
      <c r="E27" s="69" t="n">
        <v>5</v>
      </c>
      <c r="F27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27" s="69" t="n">
        <v>-1.67988146841526</v>
      </c>
      <c r="H27" s="69" t="n">
        <v>-0.5957303494215012</v>
      </c>
      <c r="I27" s="69" t="n">
        <v>1.030496329069138</v>
      </c>
      <c r="J27" s="69" t="n">
        <v>2.114647448062897</v>
      </c>
      <c r="K27" s="69" t="n">
        <v>2.656723007559776</v>
      </c>
      <c r="L27" s="69" t="n">
        <v>2.656723007559776</v>
      </c>
      <c r="M27" s="69" t="n">
        <v>2.656723007559776</v>
      </c>
      <c r="N27" s="69" t="n">
        <v>2.656723007559776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spring_phab_lwdeqvolm100|</t>
        </is>
      </c>
      <c r="B28" s="69" t="inlineStr">
        <is>
          <t>spring-phab-lwdeqvolm100</t>
        </is>
      </c>
      <c r="C28" s="69" t="inlineStr">
        <is>
          <t>Large wood volume</t>
        </is>
      </c>
      <c r="D28" s="69" t="inlineStr"/>
      <c r="E28" s="69" t="n">
        <v>5</v>
      </c>
      <c r="F28" s="69" t="inlineStr">
        <is>
          <t>Reference curve fitted to comparable least-disturbed stations drawn from the national pool, because this ecoregion and its parents hold too few of their own.</t>
        </is>
      </c>
      <c r="G28" s="69" t="n">
        <v>0</v>
      </c>
      <c r="H28" s="69" t="n">
        <v>0.01560000064117568</v>
      </c>
      <c r="I28" s="69" t="n">
        <v>0.03640000149607658</v>
      </c>
      <c r="J28" s="69" t="n">
        <v>7.022666454315186</v>
      </c>
      <c r="K28" s="69" t="n">
        <v>10.51579968072474</v>
      </c>
      <c r="L28" s="69" t="n">
        <v>10.51579968072474</v>
      </c>
      <c r="M28" s="69" t="n">
        <v>10.51579968072474</v>
      </c>
      <c r="N28" s="69" t="n">
        <v>10.51579968072474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spring_chem_chla|</t>
        </is>
      </c>
      <c r="B29" s="69" t="inlineStr">
        <is>
          <t>spring-chem-chla</t>
        </is>
      </c>
      <c r="C29" s="69" t="inlineStr">
        <is>
          <t>Chlorophyll a</t>
        </is>
      </c>
      <c r="D29" s="69" t="inlineStr"/>
      <c r="E29" s="69" t="n">
        <v>5</v>
      </c>
      <c r="F29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9" s="69" t="n">
        <v>0</v>
      </c>
      <c r="H29" s="69" t="n">
        <v>0.3452500030398369</v>
      </c>
      <c r="I29" s="69" t="n">
        <v>1.222500026226044</v>
      </c>
      <c r="J29" s="69" t="n">
        <v>2.538375061005354</v>
      </c>
      <c r="K29" s="69" t="n">
        <v>3.415625084191561</v>
      </c>
      <c r="L29" s="69" t="n">
        <v>3.415625084191561</v>
      </c>
      <c r="M29" s="69" t="n">
        <v>3.415625084191561</v>
      </c>
      <c r="N29" s="69" t="n">
        <v>3.415625084191561</v>
      </c>
      <c r="O29" s="69" t="n">
        <v>1</v>
      </c>
      <c r="P29" s="69" t="n">
        <v>1</v>
      </c>
      <c r="Q29" s="69" t="n">
        <v>0.7</v>
      </c>
      <c r="R29" s="69" t="n">
        <v>0.3</v>
      </c>
      <c r="S29" s="69" t="n">
        <v>0</v>
      </c>
      <c r="T29" s="69" t="n">
        <v>0</v>
      </c>
      <c r="U29" s="69" t="n">
        <v>0</v>
      </c>
      <c r="V29" s="69" t="n">
        <v>0</v>
      </c>
    </row>
    <row r="30">
      <c r="A30" s="69" t="inlineStr">
        <is>
          <t>spring_phab_xcdenmid|All streams (pooled)</t>
        </is>
      </c>
      <c r="B30" s="69" t="inlineStr">
        <is>
          <t>spring-phab-xcdenmid</t>
        </is>
      </c>
      <c r="C30" s="69" t="inlineStr">
        <is>
          <t>Canopy density, mid-channel</t>
        </is>
      </c>
      <c r="D30" s="69" t="inlineStr">
        <is>
          <t>All streams (pooled)</t>
        </is>
      </c>
      <c r="E30" s="69" t="n">
        <v>5</v>
      </c>
      <c r="F30" s="69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0" s="69" t="n">
        <v>0</v>
      </c>
      <c r="H30" s="69" t="n">
        <v>12.14667647225516</v>
      </c>
      <c r="I30" s="69" t="n">
        <v>28.34224510192871</v>
      </c>
      <c r="J30" s="69" t="n">
        <v>81.81818389892578</v>
      </c>
      <c r="K30" s="69" t="n">
        <v>100</v>
      </c>
      <c r="L30" s="69" t="n">
        <v>100</v>
      </c>
      <c r="M30" s="69" t="n">
        <v>100</v>
      </c>
      <c r="N30" s="69" t="n">
        <v>100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spring_phab_xcdenmid|Headwater (10 km2 and under)</t>
        </is>
      </c>
      <c r="B31" s="69" t="inlineStr">
        <is>
          <t>spring-phab-xcdenmid</t>
        </is>
      </c>
      <c r="C31" s="69" t="inlineStr">
        <is>
          <t>Canopy density, mid-channel</t>
        </is>
      </c>
      <c r="D31" s="69" t="inlineStr">
        <is>
          <t>Headwater (10 km2 and under)</t>
        </is>
      </c>
      <c r="E31" s="69" t="n">
        <v>5</v>
      </c>
      <c r="F31" s="69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1" s="69" t="n">
        <v>0</v>
      </c>
      <c r="H31" s="69" t="n">
        <v>27.04354476928711</v>
      </c>
      <c r="I31" s="69" t="n">
        <v>63.10160446166992</v>
      </c>
      <c r="J31" s="69" t="n">
        <v>91.97860717773438</v>
      </c>
      <c r="K31" s="69" t="n">
        <v>100</v>
      </c>
      <c r="L31" s="69" t="n">
        <v>100</v>
      </c>
      <c r="M31" s="69" t="n">
        <v>100</v>
      </c>
      <c r="N31" s="69" t="n">
        <v>100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spring_phab_xcdenmid|Small stream (10 to 100 km2)</t>
        </is>
      </c>
      <c r="B32" s="69" t="inlineStr">
        <is>
          <t>spring-phab-xcdenmid</t>
        </is>
      </c>
      <c r="C32" s="69" t="inlineStr">
        <is>
          <t>Canopy density, mid-channel</t>
        </is>
      </c>
      <c r="D32" s="69" t="inlineStr">
        <is>
          <t>Small stream (10 to 100 km2)</t>
        </is>
      </c>
      <c r="E32" s="69" t="n">
        <v>5</v>
      </c>
      <c r="F32" s="69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2" s="69" t="n">
        <v>0</v>
      </c>
      <c r="H32" s="69" t="n">
        <v>16.25763947623117</v>
      </c>
      <c r="I32" s="69" t="n">
        <v>37.93449211120605</v>
      </c>
      <c r="J32" s="69" t="n">
        <v>81.01604461669922</v>
      </c>
      <c r="K32" s="69" t="n">
        <v>100</v>
      </c>
      <c r="L32" s="69" t="n">
        <v>100</v>
      </c>
      <c r="M32" s="69" t="n">
        <v>100</v>
      </c>
      <c r="N32" s="69" t="n">
        <v>100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spring_phab_xcdenmid|Large stream (over 100 km2)</t>
        </is>
      </c>
      <c r="B33" s="69" t="inlineStr">
        <is>
          <t>spring-phab-xcdenmid</t>
        </is>
      </c>
      <c r="C33" s="69" t="inlineStr">
        <is>
          <t>Canopy density, mid-channel</t>
        </is>
      </c>
      <c r="D33" s="69" t="inlineStr">
        <is>
          <t>Large stream (over 100 km2)</t>
        </is>
      </c>
      <c r="E33" s="69" t="n">
        <v>5</v>
      </c>
      <c r="F33" s="69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3" s="69" t="n">
        <v>0</v>
      </c>
      <c r="H33" s="69" t="n">
        <v>2.006449443953378</v>
      </c>
      <c r="I33" s="69" t="n">
        <v>4.681715369224548</v>
      </c>
      <c r="J33" s="69" t="n">
        <v>48.45588302612305</v>
      </c>
      <c r="K33" s="69" t="n">
        <v>70.3429668545723</v>
      </c>
      <c r="L33" s="69" t="n">
        <v>70.3429668545723</v>
      </c>
      <c r="M33" s="69" t="n">
        <v>70.3429668545723</v>
      </c>
      <c r="N33" s="69" t="n">
        <v>70.3429668545723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spring_phab_xcmgw|</t>
        </is>
      </c>
      <c r="B34" s="69" t="inlineStr">
        <is>
          <t>spring-phab-xcmgw</t>
        </is>
      </c>
      <c r="C34" s="69" t="inlineStr">
        <is>
          <t>Riparian veg cover, woody</t>
        </is>
      </c>
      <c r="D34" s="69" t="inlineStr"/>
      <c r="E34" s="69" t="n">
        <v>5</v>
      </c>
      <c r="F34" s="69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34" s="69" t="n">
        <v>0</v>
      </c>
      <c r="H34" s="69" t="n">
        <v>0.2727374157735279</v>
      </c>
      <c r="I34" s="69" t="n">
        <v>0.6363873034715652</v>
      </c>
      <c r="J34" s="69" t="n">
        <v>1.176988631486893</v>
      </c>
      <c r="K34" s="69" t="n">
        <v>1.447289295494556</v>
      </c>
      <c r="L34" s="69" t="n">
        <v>1.447289295494556</v>
      </c>
      <c r="M34" s="69" t="n">
        <v>1.447289295494556</v>
      </c>
      <c r="N34" s="69" t="n">
        <v>1.447289295494556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spring_chem_ntl|</t>
        </is>
      </c>
      <c r="B35" s="69" t="inlineStr">
        <is>
          <t>spring-chem-ntl</t>
        </is>
      </c>
      <c r="C35" s="69" t="inlineStr">
        <is>
          <t>Total nitrogen</t>
        </is>
      </c>
      <c r="D35" s="69" t="inlineStr"/>
      <c r="E35" s="69" t="n">
        <v>4</v>
      </c>
      <c r="F35" s="69" t="inlineStr">
        <is>
          <t>Scored against a published criterion rather than against stations from this ecoregion. The criterion carries its own definition of reference, which need not match this assessment's.</t>
        </is>
      </c>
      <c r="G35" s="69" t="n">
        <v>0</v>
      </c>
      <c r="H35" s="69" t="n">
        <v>0.1395</v>
      </c>
      <c r="I35" s="69" t="n">
        <v>0.249</v>
      </c>
      <c r="J35" s="69" t="n">
        <v>0.39135</v>
      </c>
      <c r="K35" s="69" t="n">
        <v>0.39135</v>
      </c>
      <c r="L35" s="69" t="n">
        <v>0.39135</v>
      </c>
      <c r="M35" s="69" t="n">
        <v>0.39135</v>
      </c>
      <c r="N35" s="69" t="n">
        <v>0.39135</v>
      </c>
      <c r="O35" s="69" t="n">
        <v>1</v>
      </c>
      <c r="P35" s="69" t="n">
        <v>0.6899999999999999</v>
      </c>
      <c r="Q35" s="69" t="n">
        <v>0.39</v>
      </c>
      <c r="R35" s="69" t="n">
        <v>0</v>
      </c>
      <c r="S35" s="69" t="n">
        <v>0</v>
      </c>
      <c r="T35" s="69" t="n">
        <v>0</v>
      </c>
      <c r="U35" s="69" t="n">
        <v>0</v>
      </c>
      <c r="V35" s="69" t="n">
        <v>0</v>
      </c>
    </row>
    <row r="36">
      <c r="A36" s="69" t="inlineStr">
        <is>
          <t>spring_chem_ptl|</t>
        </is>
      </c>
      <c r="B36" s="69" t="inlineStr">
        <is>
          <t>spring-chem-ptl</t>
        </is>
      </c>
      <c r="C36" s="69" t="inlineStr">
        <is>
          <t>Total phosphorus</t>
        </is>
      </c>
      <c r="D36" s="69" t="inlineStr"/>
      <c r="E36" s="69" t="n">
        <v>4</v>
      </c>
      <c r="F36" s="69" t="inlineStr">
        <is>
          <t>Scored against a published criterion rather than against stations from this ecoregion. The criterion carries its own definition of reference, which need not match this assessment's.</t>
        </is>
      </c>
      <c r="G36" s="69" t="n">
        <v>0</v>
      </c>
      <c r="H36" s="69" t="n">
        <v>17.75</v>
      </c>
      <c r="I36" s="69" t="n">
        <v>41</v>
      </c>
      <c r="J36" s="69" t="n">
        <v>71.22499999999999</v>
      </c>
      <c r="K36" s="69" t="n">
        <v>71.22499999999999</v>
      </c>
      <c r="L36" s="69" t="n">
        <v>71.22499999999999</v>
      </c>
      <c r="M36" s="69" t="n">
        <v>71.22499999999999</v>
      </c>
      <c r="N36" s="69" t="n">
        <v>71.22499999999999</v>
      </c>
      <c r="O36" s="69" t="n">
        <v>1</v>
      </c>
      <c r="P36" s="69" t="n">
        <v>0.6899999999999999</v>
      </c>
      <c r="Q36" s="69" t="n">
        <v>0.39</v>
      </c>
      <c r="R36" s="69" t="n">
        <v>0</v>
      </c>
      <c r="S36" s="69" t="n">
        <v>0</v>
      </c>
      <c r="T36" s="69" t="n">
        <v>0</v>
      </c>
      <c r="U36" s="69" t="n">
        <v>0</v>
      </c>
      <c r="V36" s="69" t="n">
        <v>0</v>
      </c>
    </row>
    <row r="37">
      <c r="A37" s="69" t="inlineStr">
        <is>
          <t>spring_chem_ph|</t>
        </is>
      </c>
      <c r="B37" s="69" t="inlineStr">
        <is>
          <t>spring-chem-ph</t>
        </is>
      </c>
      <c r="C37" s="69" t="inlineStr">
        <is>
          <t>pH</t>
        </is>
      </c>
      <c r="D37" s="69" t="inlineStr"/>
      <c r="E37" s="69" t="n">
        <v>8</v>
      </c>
      <c r="F37" s="69" t="inlineStr">
        <is>
          <t>225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7" s="69" t="n">
        <v>6.380000591278076</v>
      </c>
      <c r="H37" s="69" t="n">
        <v>6.930000305175781</v>
      </c>
      <c r="I37" s="69" t="n">
        <v>7.287500119209289</v>
      </c>
      <c r="J37" s="69" t="n">
        <v>7.480000019073486</v>
      </c>
      <c r="K37" s="69" t="n">
        <v>8.029999732971191</v>
      </c>
      <c r="L37" s="69" t="n">
        <v>8.222499632835389</v>
      </c>
      <c r="M37" s="69" t="n">
        <v>8.579999446868896</v>
      </c>
      <c r="N37" s="69" t="n">
        <v>9.129999160766602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0.7</v>
      </c>
      <c r="U37" s="69" t="n">
        <v>0.3</v>
      </c>
      <c r="V37" s="69" t="n">
        <v>0</v>
      </c>
    </row>
    <row r="38">
      <c r="A38" s="69" t="inlineStr">
        <is>
          <t>spring_chem_cond|</t>
        </is>
      </c>
      <c r="B38" s="69" t="inlineStr">
        <is>
          <t>spring-chem-cond</t>
        </is>
      </c>
      <c r="C38" s="69" t="inlineStr">
        <is>
          <t>Specific conductivity</t>
        </is>
      </c>
      <c r="D38" s="69" t="inlineStr"/>
      <c r="E38" s="69" t="n">
        <v>4</v>
      </c>
      <c r="F38" s="69" t="inlineStr">
        <is>
          <t>Scored against a published criterion rather than against stations from this ecoregion. The criterion carries its own definition of reference, which need not match this assessment's.</t>
        </is>
      </c>
      <c r="G38" s="69" t="n">
        <v>0</v>
      </c>
      <c r="H38" s="69" t="n">
        <v>500.05</v>
      </c>
      <c r="I38" s="69" t="n">
        <v>1000.05</v>
      </c>
      <c r="J38" s="69" t="n">
        <v>1650.05</v>
      </c>
      <c r="K38" s="69" t="n">
        <v>1650.05</v>
      </c>
      <c r="L38" s="69" t="n">
        <v>1650.05</v>
      </c>
      <c r="M38" s="69" t="n">
        <v>1650.05</v>
      </c>
      <c r="N38" s="69" t="n">
        <v>1650.05</v>
      </c>
      <c r="O38" s="69" t="n">
        <v>1</v>
      </c>
      <c r="P38" s="69" t="n">
        <v>0.6899999999999999</v>
      </c>
      <c r="Q38" s="69" t="n">
        <v>0.39</v>
      </c>
      <c r="R38" s="69" t="n">
        <v>0</v>
      </c>
      <c r="S38" s="69" t="n">
        <v>0</v>
      </c>
      <c r="T38" s="69" t="n">
        <v>0</v>
      </c>
      <c r="U38" s="69" t="n">
        <v>0</v>
      </c>
      <c r="V38" s="69" t="n">
        <v>0</v>
      </c>
    </row>
    <row r="39">
      <c r="A39" s="69" t="inlineStr">
        <is>
          <t>spring_phab_pct_fast|All streams (pooled)</t>
        </is>
      </c>
      <c r="B39" s="69" t="inlineStr">
        <is>
          <t>spring-phab-pct-fast</t>
        </is>
      </c>
      <c r="C39" s="69" t="inlineStr">
        <is>
          <t>Fast-water / riffle habitat</t>
        </is>
      </c>
      <c r="D39" s="69" t="inlineStr">
        <is>
          <t>All streams (pooled)</t>
        </is>
      </c>
      <c r="E39" s="69" t="n">
        <v>5</v>
      </c>
      <c r="F39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9" s="69" t="n">
        <v>0</v>
      </c>
      <c r="H39" s="69" t="n">
        <v>16.56577123914446</v>
      </c>
      <c r="I39" s="69" t="n">
        <v>38.65346622467041</v>
      </c>
      <c r="J39" s="69" t="n">
        <v>90.02475166320801</v>
      </c>
      <c r="K39" s="69" t="n">
        <v>100</v>
      </c>
      <c r="L39" s="69" t="n">
        <v>100</v>
      </c>
      <c r="M39" s="69" t="n">
        <v>100</v>
      </c>
      <c r="N39" s="69" t="n">
        <v>100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spring_phab_pct_fast|Low gradient (under 0.5 percent)</t>
        </is>
      </c>
      <c r="B40" s="69" t="inlineStr">
        <is>
          <t>spring-phab-pct-fast</t>
        </is>
      </c>
      <c r="C40" s="69" t="inlineStr">
        <is>
          <t>Fast-water / riffle habitat</t>
        </is>
      </c>
      <c r="D40" s="69" t="inlineStr">
        <is>
          <t>Low gradient (under 0.5 percent)</t>
        </is>
      </c>
      <c r="E40" s="69" t="n">
        <v>5</v>
      </c>
      <c r="F40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0" s="69" t="n">
        <v>0</v>
      </c>
      <c r="H40" s="69" t="n">
        <v>2.714285680225917</v>
      </c>
      <c r="I40" s="69" t="n">
        <v>6.333333253860474</v>
      </c>
      <c r="J40" s="69" t="n">
        <v>66.5</v>
      </c>
      <c r="K40" s="69" t="n">
        <v>96.58333337306976</v>
      </c>
      <c r="L40" s="69" t="n">
        <v>96.58333337306976</v>
      </c>
      <c r="M40" s="69" t="n">
        <v>96.58333337306976</v>
      </c>
      <c r="N40" s="69" t="n">
        <v>96.58333337306976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spring_phab_pct_fast|Moderate gradient (0.5 to 2 percent)</t>
        </is>
      </c>
      <c r="B41" s="69" t="inlineStr">
        <is>
          <t>spring-phab-pct-fast</t>
        </is>
      </c>
      <c r="C41" s="69" t="inlineStr">
        <is>
          <t>Fast-water / riffle habitat</t>
        </is>
      </c>
      <c r="D41" s="69" t="inlineStr">
        <is>
          <t>Moderate gradient (0.5 to 2 percent)</t>
        </is>
      </c>
      <c r="E41" s="69" t="n">
        <v>5</v>
      </c>
      <c r="F41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1" s="69" t="n">
        <v>0</v>
      </c>
      <c r="H41" s="69" t="n">
        <v>18.18458257402693</v>
      </c>
      <c r="I41" s="69" t="n">
        <v>42.43069267272949</v>
      </c>
      <c r="J41" s="69" t="n">
        <v>91</v>
      </c>
      <c r="K41" s="69" t="n">
        <v>100</v>
      </c>
      <c r="L41" s="69" t="n">
        <v>100</v>
      </c>
      <c r="M41" s="69" t="n">
        <v>100</v>
      </c>
      <c r="N41" s="69" t="n">
        <v>100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spring_phab_pct_fast|Steep (2 percent and above)</t>
        </is>
      </c>
      <c r="B42" s="69" t="inlineStr">
        <is>
          <t>spring-phab-pct-fast</t>
        </is>
      </c>
      <c r="C42" s="69" t="inlineStr">
        <is>
          <t>Fast-water / riffle habitat</t>
        </is>
      </c>
      <c r="D42" s="69" t="inlineStr">
        <is>
          <t>Steep (2 percent and above)</t>
        </is>
      </c>
      <c r="E42" s="69" t="n">
        <v>5</v>
      </c>
      <c r="F42" s="69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2" s="69" t="n">
        <v>0</v>
      </c>
      <c r="H42" s="69" t="n">
        <v>20.42186083112444</v>
      </c>
      <c r="I42" s="69" t="n">
        <v>47.65100860595703</v>
      </c>
      <c r="J42" s="69" t="n">
        <v>90.60402679443359</v>
      </c>
      <c r="K42" s="69" t="n">
        <v>100</v>
      </c>
      <c r="L42" s="69" t="n">
        <v>100</v>
      </c>
      <c r="M42" s="69" t="n">
        <v>100</v>
      </c>
      <c r="N42" s="69" t="n">
        <v>100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spring_phab_xfc_nat|All streams (pooled)</t>
        </is>
      </c>
      <c r="B43" s="69" t="inlineStr">
        <is>
          <t>spring-phab-xfc-nat</t>
        </is>
      </c>
      <c r="C43" s="69" t="inlineStr">
        <is>
          <t>Natural fish cover</t>
        </is>
      </c>
      <c r="D43" s="69" t="inlineStr">
        <is>
          <t>All streams (pooled)</t>
        </is>
      </c>
      <c r="E43" s="69" t="n">
        <v>5</v>
      </c>
      <c r="F43" s="69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3" s="69" t="n">
        <v>0</v>
      </c>
      <c r="H43" s="69" t="n">
        <v>0.1061688320977347</v>
      </c>
      <c r="I43" s="69" t="n">
        <v>0.2477272748947144</v>
      </c>
      <c r="J43" s="69" t="n">
        <v>0.6181818246841431</v>
      </c>
      <c r="K43" s="69" t="n">
        <v>0.8034090995788574</v>
      </c>
      <c r="L43" s="69" t="n">
        <v>0.8034090995788574</v>
      </c>
      <c r="M43" s="69" t="n">
        <v>0.8034090995788574</v>
      </c>
      <c r="N43" s="69" t="n">
        <v>0.8034090995788574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spring_phab_xfc_nat|Headwater (10 km2 and under)</t>
        </is>
      </c>
      <c r="B44" s="69" t="inlineStr">
        <is>
          <t>spring-phab-xfc-nat</t>
        </is>
      </c>
      <c r="C44" s="69" t="inlineStr">
        <is>
          <t>Natural fish cover</t>
        </is>
      </c>
      <c r="D44" s="69" t="inlineStr">
        <is>
          <t>Headwater (10 km2 and under)</t>
        </is>
      </c>
      <c r="E44" s="69" t="n">
        <v>5</v>
      </c>
      <c r="F44" s="69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4" s="69" t="n">
        <v>0</v>
      </c>
      <c r="H44" s="69" t="n">
        <v>0.1560420021414757</v>
      </c>
      <c r="I44" s="69" t="n">
        <v>0.3640980049967766</v>
      </c>
      <c r="J44" s="69" t="n">
        <v>0.7267045676708221</v>
      </c>
      <c r="K44" s="69" t="n">
        <v>0.9080078490078449</v>
      </c>
      <c r="L44" s="69" t="n">
        <v>0.9080078490078449</v>
      </c>
      <c r="M44" s="69" t="n">
        <v>0.9080078490078449</v>
      </c>
      <c r="N44" s="69" t="n">
        <v>0.9080078490078449</v>
      </c>
      <c r="O44" s="69" t="n">
        <v>0</v>
      </c>
      <c r="P44" s="69" t="n">
        <v>0.3</v>
      </c>
      <c r="Q44" s="69" t="n">
        <v>0.7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spring_phab_xfc_nat|Small stream (10 to 100 km2)</t>
        </is>
      </c>
      <c r="B45" s="69" t="inlineStr">
        <is>
          <t>spring-phab-xfc-nat</t>
        </is>
      </c>
      <c r="C45" s="69" t="inlineStr">
        <is>
          <t>Natural fish cover</t>
        </is>
      </c>
      <c r="D45" s="69" t="inlineStr">
        <is>
          <t>Small stream (10 to 100 km2)</t>
        </is>
      </c>
      <c r="E45" s="69" t="n">
        <v>5</v>
      </c>
      <c r="F45" s="69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5" s="69" t="n">
        <v>0</v>
      </c>
      <c r="H45" s="69" t="n">
        <v>0.128490258540426</v>
      </c>
      <c r="I45" s="69" t="n">
        <v>0.299810603260994</v>
      </c>
      <c r="J45" s="69" t="n">
        <v>0.6832792162895203</v>
      </c>
      <c r="K45" s="69" t="n">
        <v>0.8750135228037834</v>
      </c>
      <c r="L45" s="69" t="n">
        <v>0.8750135228037834</v>
      </c>
      <c r="M45" s="69" t="n">
        <v>0.8750135228037834</v>
      </c>
      <c r="N45" s="69" t="n">
        <v>0.8750135228037834</v>
      </c>
      <c r="O45" s="69" t="n">
        <v>0</v>
      </c>
      <c r="P45" s="69" t="n">
        <v>0.3</v>
      </c>
      <c r="Q45" s="69" t="n">
        <v>0.7</v>
      </c>
      <c r="R45" s="69" t="n">
        <v>1</v>
      </c>
      <c r="S45" s="69" t="n">
        <v>1</v>
      </c>
      <c r="T45" s="69" t="n">
        <v>1</v>
      </c>
      <c r="U45" s="69" t="n">
        <v>1</v>
      </c>
      <c r="V45" s="69" t="n">
        <v>1</v>
      </c>
    </row>
    <row r="46">
      <c r="A46" s="69" t="inlineStr">
        <is>
          <t>spring_phab_xfc_nat|Large stream (over 100 km2)</t>
        </is>
      </c>
      <c r="B46" s="69" t="inlineStr">
        <is>
          <t>spring-phab-xfc-nat</t>
        </is>
      </c>
      <c r="C46" s="69" t="inlineStr">
        <is>
          <t>Natural fish cover</t>
        </is>
      </c>
      <c r="D46" s="69" t="inlineStr">
        <is>
          <t>Large stream (over 100 km2)</t>
        </is>
      </c>
      <c r="E46" s="69" t="n">
        <v>5</v>
      </c>
      <c r="F46" s="69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6" s="69" t="n">
        <v>0</v>
      </c>
      <c r="H46" s="69" t="n">
        <v>0.07402597367763519</v>
      </c>
      <c r="I46" s="69" t="n">
        <v>0.1727272719144821</v>
      </c>
      <c r="J46" s="69" t="n">
        <v>0.3772727251052856</v>
      </c>
      <c r="K46" s="69" t="n">
        <v>0.4795454517006874</v>
      </c>
      <c r="L46" s="69" t="n">
        <v>0.4795454517006874</v>
      </c>
      <c r="M46" s="69" t="n">
        <v>0.4795454517006874</v>
      </c>
      <c r="N46" s="69" t="n">
        <v>0.4795454517006874</v>
      </c>
      <c r="O46" s="69" t="n">
        <v>0</v>
      </c>
      <c r="P46" s="69" t="n">
        <v>0.3</v>
      </c>
      <c r="Q46" s="69" t="n">
        <v>0.7</v>
      </c>
      <c r="R46" s="69" t="n">
        <v>1</v>
      </c>
      <c r="S46" s="69" t="n">
        <v>1</v>
      </c>
      <c r="T46" s="69" t="n">
        <v>1</v>
      </c>
      <c r="U46" s="69" t="n">
        <v>1</v>
      </c>
      <c r="V46" s="69" t="n">
        <v>1</v>
      </c>
    </row>
    <row r="47">
      <c r="A47" s="69" t="inlineStr">
        <is>
          <t>spring_fish_nat_totlntax|All streams (pooled)</t>
        </is>
      </c>
      <c r="B47" s="69" t="inlineStr">
        <is>
          <t>spring-fish-nat-totlntax</t>
        </is>
      </c>
      <c r="C47" s="69" t="inlineStr">
        <is>
          <t>Native fish taxa richness</t>
        </is>
      </c>
      <c r="D47" s="69" t="inlineStr">
        <is>
          <t>All streams (pooled)</t>
        </is>
      </c>
      <c r="E47" s="69" t="n">
        <v>5</v>
      </c>
      <c r="F47" s="69" t="inlineStr">
        <is>
          <t>156 least-disturbed stations borrowed from NARS-9 region WMT under the regional screen (agriculture at most 25 percent), transfer risk moderate</t>
        </is>
      </c>
      <c r="G47" s="69" t="n">
        <v>0</v>
      </c>
      <c r="H47" s="69" t="n">
        <v>0.4285714285714285</v>
      </c>
      <c r="I47" s="69" t="n">
        <v>1</v>
      </c>
      <c r="J47" s="69" t="n">
        <v>3</v>
      </c>
      <c r="K47" s="69" t="n">
        <v>4</v>
      </c>
      <c r="L47" s="69" t="n">
        <v>4</v>
      </c>
      <c r="M47" s="69" t="n">
        <v>4</v>
      </c>
      <c r="N47" s="69" t="n">
        <v>4</v>
      </c>
      <c r="O47" s="69" t="n">
        <v>0</v>
      </c>
      <c r="P47" s="69" t="n">
        <v>0.3</v>
      </c>
      <c r="Q47" s="69" t="n">
        <v>0.7</v>
      </c>
      <c r="R47" s="69" t="n">
        <v>1</v>
      </c>
      <c r="S47" s="69" t="n">
        <v>1</v>
      </c>
      <c r="T47" s="69" t="n">
        <v>1</v>
      </c>
      <c r="U47" s="69" t="n">
        <v>1</v>
      </c>
      <c r="V47" s="69" t="n">
        <v>1</v>
      </c>
    </row>
    <row r="48">
      <c r="A48" s="69" t="inlineStr">
        <is>
          <t>spring_fish_nat_totlntax|Low gradient (under 0.5 percent)</t>
        </is>
      </c>
      <c r="B48" s="69" t="inlineStr">
        <is>
          <t>spring-fish-nat-totlntax</t>
        </is>
      </c>
      <c r="C48" s="69" t="inlineStr">
        <is>
          <t>Native fish taxa richness</t>
        </is>
      </c>
      <c r="D48" s="69" t="inlineStr">
        <is>
          <t>Low gradient (under 0.5 percent)</t>
        </is>
      </c>
      <c r="E48" s="69" t="n">
        <v>5</v>
      </c>
      <c r="F48" s="69" t="inlineStr">
        <is>
          <t>156 least-disturbed stations borrowed from NARS-9 region WMT under the regional screen (agriculture at most 25 percent), transfer risk moderate</t>
        </is>
      </c>
      <c r="G48" s="69" t="n">
        <v>0</v>
      </c>
      <c r="H48" s="69" t="n">
        <v>1.285714285714286</v>
      </c>
      <c r="I48" s="69" t="n">
        <v>3</v>
      </c>
      <c r="J48" s="69" t="n">
        <v>6</v>
      </c>
      <c r="K48" s="69" t="n">
        <v>7.5</v>
      </c>
      <c r="L48" s="69" t="n">
        <v>7.5</v>
      </c>
      <c r="M48" s="69" t="n">
        <v>7.5</v>
      </c>
      <c r="N48" s="69" t="n">
        <v>7.5</v>
      </c>
      <c r="O48" s="69" t="n">
        <v>0</v>
      </c>
      <c r="P48" s="69" t="n">
        <v>0.3</v>
      </c>
      <c r="Q48" s="69" t="n">
        <v>0.7</v>
      </c>
      <c r="R48" s="69" t="n">
        <v>1</v>
      </c>
      <c r="S48" s="69" t="n">
        <v>1</v>
      </c>
      <c r="T48" s="69" t="n">
        <v>1</v>
      </c>
      <c r="U48" s="69" t="n">
        <v>1</v>
      </c>
      <c r="V48" s="69" t="n">
        <v>1</v>
      </c>
    </row>
    <row r="49">
      <c r="A49" s="69" t="inlineStr">
        <is>
          <t>spring_fish_nat_totlntax|Moderate gradient (0.5 to 2 percent)</t>
        </is>
      </c>
      <c r="B49" s="69" t="inlineStr">
        <is>
          <t>spring-fish-nat-totlntax</t>
        </is>
      </c>
      <c r="C49" s="69" t="inlineStr">
        <is>
          <t>Native fish taxa richness</t>
        </is>
      </c>
      <c r="D49" s="69" t="inlineStr">
        <is>
          <t>Moderate gradient (0.5 to 2 percent)</t>
        </is>
      </c>
      <c r="E49" s="69" t="n">
        <v>5</v>
      </c>
      <c r="F49" s="69" t="inlineStr">
        <is>
          <t>156 least-disturbed stations borrowed from NARS-9 region WMT under the regional screen (agriculture at most 25 percent), transfer risk moderate</t>
        </is>
      </c>
      <c r="G49" s="69" t="n">
        <v>0</v>
      </c>
      <c r="H49" s="69" t="n">
        <v>0.4285714285714285</v>
      </c>
      <c r="I49" s="69" t="n">
        <v>1</v>
      </c>
      <c r="J49" s="69" t="n">
        <v>4</v>
      </c>
      <c r="K49" s="69" t="n">
        <v>5.5</v>
      </c>
      <c r="L49" s="69" t="n">
        <v>5.5</v>
      </c>
      <c r="M49" s="69" t="n">
        <v>5.5</v>
      </c>
      <c r="N49" s="69" t="n">
        <v>5.5</v>
      </c>
      <c r="O49" s="69" t="n">
        <v>0</v>
      </c>
      <c r="P49" s="69" t="n">
        <v>0.3</v>
      </c>
      <c r="Q49" s="69" t="n">
        <v>0.7</v>
      </c>
      <c r="R49" s="69" t="n">
        <v>1</v>
      </c>
      <c r="S49" s="69" t="n">
        <v>1</v>
      </c>
      <c r="T49" s="69" t="n">
        <v>1</v>
      </c>
      <c r="U49" s="69" t="n">
        <v>1</v>
      </c>
      <c r="V49" s="69" t="n">
        <v>1</v>
      </c>
    </row>
    <row r="50">
      <c r="A50" s="69" t="inlineStr">
        <is>
          <t>spring_bent_totlntax|</t>
        </is>
      </c>
      <c r="B50" s="69" t="inlineStr">
        <is>
          <t>spring-bent-totlntax</t>
        </is>
      </c>
      <c r="C50" s="69" t="inlineStr">
        <is>
          <t>Benthic total taxa richness</t>
        </is>
      </c>
      <c r="D50" s="69" t="inlineStr"/>
      <c r="E50" s="69" t="n">
        <v>5</v>
      </c>
      <c r="F50" s="69" t="inlineStr">
        <is>
          <t>Reference curve fitted to comparable least-disturbed stations drawn from the national pool, because this ecoregion and its parents hold too few of their own.</t>
        </is>
      </c>
      <c r="G50" s="69" t="n">
        <v>0</v>
      </c>
      <c r="H50" s="69" t="n">
        <v>14.14285714285714</v>
      </c>
      <c r="I50" s="69" t="n">
        <v>33</v>
      </c>
      <c r="J50" s="69" t="n">
        <v>44</v>
      </c>
      <c r="K50" s="69" t="n">
        <v>49.5</v>
      </c>
      <c r="L50" s="69" t="n">
        <v>49.5</v>
      </c>
      <c r="M50" s="69" t="n">
        <v>49.5</v>
      </c>
      <c r="N50" s="69" t="n">
        <v>49.5</v>
      </c>
      <c r="O50" s="69" t="n">
        <v>0</v>
      </c>
      <c r="P50" s="69" t="n">
        <v>0.3</v>
      </c>
      <c r="Q50" s="69" t="n">
        <v>0.7</v>
      </c>
      <c r="R50" s="69" t="n">
        <v>1</v>
      </c>
      <c r="S50" s="69" t="n">
        <v>1</v>
      </c>
      <c r="T50" s="69" t="n">
        <v>1</v>
      </c>
      <c r="U50" s="69" t="n">
        <v>1</v>
      </c>
      <c r="V50" s="69" t="n">
        <v>1</v>
      </c>
    </row>
    <row r="51">
      <c r="A51" s="69" t="inlineStr">
        <is>
          <t>spring_bent_ept_ntax|</t>
        </is>
      </c>
      <c r="B51" s="69" t="inlineStr">
        <is>
          <t>spring-bent-ept-ntax</t>
        </is>
      </c>
      <c r="C51" s="69" t="inlineStr">
        <is>
          <t>EPT taxa richness</t>
        </is>
      </c>
      <c r="D51" s="69" t="inlineStr"/>
      <c r="E51" s="69" t="n">
        <v>5</v>
      </c>
      <c r="F51" s="69" t="inlineStr">
        <is>
          <t>238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51" s="69" t="n">
        <v>0</v>
      </c>
      <c r="H51" s="69" t="n">
        <v>5.571428571428571</v>
      </c>
      <c r="I51" s="69" t="n">
        <v>13</v>
      </c>
      <c r="J51" s="69" t="n">
        <v>20</v>
      </c>
      <c r="K51" s="69" t="n">
        <v>23.5</v>
      </c>
      <c r="L51" s="69" t="n">
        <v>23.5</v>
      </c>
      <c r="M51" s="69" t="n">
        <v>23.5</v>
      </c>
      <c r="N51" s="69" t="n">
        <v>23.5</v>
      </c>
      <c r="O51" s="69" t="n">
        <v>0</v>
      </c>
      <c r="P51" s="69" t="n">
        <v>0.3</v>
      </c>
      <c r="Q51" s="69" t="n">
        <v>0.7</v>
      </c>
      <c r="R51" s="69" t="n">
        <v>1</v>
      </c>
      <c r="S51" s="69" t="n">
        <v>1</v>
      </c>
      <c r="T51" s="69" t="n">
        <v>1</v>
      </c>
      <c r="U51" s="69" t="n">
        <v>1</v>
      </c>
      <c r="V51" s="69" t="n">
        <v>1</v>
      </c>
    </row>
    <row r="52">
      <c r="A52" s="69" t="inlineStr">
        <is>
          <t>spring_bent_hprime|</t>
        </is>
      </c>
      <c r="B52" s="69" t="inlineStr">
        <is>
          <t>spring-bent-hprime</t>
        </is>
      </c>
      <c r="C52" s="69" t="inlineStr">
        <is>
          <t>Shannon diversity (H')</t>
        </is>
      </c>
      <c r="D52" s="69" t="inlineStr"/>
      <c r="E52" s="69" t="n">
        <v>5</v>
      </c>
      <c r="F52" s="69" t="inlineStr">
        <is>
          <t>Reference curve fitted to comparable least-disturbed stations drawn from the national pool, because this ecoregion and its parents hold too few of their own.</t>
        </is>
      </c>
      <c r="G52" s="69" t="n">
        <v>0</v>
      </c>
      <c r="H52" s="69" t="n">
        <v>1.098214260169438</v>
      </c>
      <c r="I52" s="69" t="n">
        <v>2.562499940395355</v>
      </c>
      <c r="J52" s="69" t="n">
        <v>3.09499990940094</v>
      </c>
      <c r="K52" s="69" t="n">
        <v>3.361249893903732</v>
      </c>
      <c r="L52" s="69" t="n">
        <v>3.361249893903732</v>
      </c>
      <c r="M52" s="69" t="n">
        <v>3.361249893903732</v>
      </c>
      <c r="N52" s="69" t="n">
        <v>3.361249893903732</v>
      </c>
      <c r="O52" s="69" t="n">
        <v>0</v>
      </c>
      <c r="P52" s="69" t="n">
        <v>0.3</v>
      </c>
      <c r="Q52" s="69" t="n">
        <v>0.7</v>
      </c>
      <c r="R52" s="69" t="n">
        <v>1</v>
      </c>
      <c r="S52" s="69" t="n">
        <v>1</v>
      </c>
      <c r="T52" s="69" t="n">
        <v>1</v>
      </c>
      <c r="U52" s="69" t="n">
        <v>1</v>
      </c>
      <c r="V52" s="69" t="n">
        <v>1</v>
      </c>
    </row>
    <row r="53">
      <c r="A53" s="69" t="inlineStr">
        <is>
          <t>spring_nid_dams_1mi|</t>
        </is>
      </c>
      <c r="B53" s="69" t="inlineStr">
        <is>
          <t>spring-nid-dams-1mi</t>
        </is>
      </c>
      <c r="C53" s="69" t="inlineStr">
        <is>
          <t>Mapped dams within one mile</t>
        </is>
      </c>
      <c r="D53" s="69" t="inlineStr"/>
      <c r="E53" s="69" t="n">
        <v>4</v>
      </c>
      <c r="F53" s="69" t="inlineStr">
        <is>
          <t>Fixed criteria, the same in every region</t>
        </is>
      </c>
      <c r="G53" s="69" t="n">
        <v>0</v>
      </c>
      <c r="H53" s="69" t="n">
        <v>1</v>
      </c>
      <c r="I53" s="69" t="n">
        <v>2</v>
      </c>
      <c r="J53" s="69" t="n">
        <v>3</v>
      </c>
      <c r="K53" s="69" t="n">
        <v>3</v>
      </c>
      <c r="L53" s="69" t="n">
        <v>3</v>
      </c>
      <c r="M53" s="69" t="n">
        <v>3</v>
      </c>
      <c r="N53" s="69" t="n">
        <v>3</v>
      </c>
      <c r="O53" s="69" t="n">
        <v>1</v>
      </c>
      <c r="P53" s="69" t="n">
        <v>0.545</v>
      </c>
      <c r="Q53" s="69" t="n">
        <v>0.195</v>
      </c>
      <c r="R53" s="69" t="n">
        <v>0</v>
      </c>
      <c r="S53" s="69" t="n">
        <v>0</v>
      </c>
      <c r="T53" s="69" t="n">
        <v>0</v>
      </c>
      <c r="U53" s="69" t="n">
        <v>0</v>
      </c>
      <c r="V53" s="69" t="n">
        <v>0</v>
      </c>
    </row>
    <row r="56">
      <c r="A56" s="58" t="inlineStr">
        <is>
          <t>Curve sets by metric</t>
        </is>
      </c>
    </row>
    <row r="57">
      <c r="A57" s="69" t="inlineStr">
        <is>
          <t>All streams (pooled)</t>
        </is>
      </c>
      <c r="B57" s="5" t="inlineStr">
        <is>
          <t>Bankfull width:depth ratio</t>
        </is>
      </c>
    </row>
    <row r="58">
      <c r="A58" s="69" t="inlineStr">
        <is>
          <t>Headwater (10 km2 and under)</t>
        </is>
      </c>
      <c r="B58" s="5" t="inlineStr">
        <is>
          <t>Bankfull width:depth ratio</t>
        </is>
      </c>
    </row>
    <row r="59">
      <c r="A59" s="69" t="inlineStr">
        <is>
          <t>Small stream (10 to 100 km2)</t>
        </is>
      </c>
      <c r="B59" s="5" t="inlineStr">
        <is>
          <t>Bankfull width:depth ratio</t>
        </is>
      </c>
    </row>
    <row r="60">
      <c r="A60" s="69" t="inlineStr">
        <is>
          <t>Large stream (over 100 km2)</t>
        </is>
      </c>
      <c r="B60" s="5" t="inlineStr">
        <is>
          <t>Bankfull width:depth ratio</t>
        </is>
      </c>
    </row>
    <row r="61">
      <c r="A61" s="69" t="inlineStr">
        <is>
          <t>All streams (pooled)</t>
        </is>
      </c>
      <c r="B61" s="5" t="inlineStr">
        <is>
          <t>Bankfull height above channel</t>
        </is>
      </c>
    </row>
    <row r="62">
      <c r="A62" s="69" t="inlineStr">
        <is>
          <t>Headwater (10 km2 and under)</t>
        </is>
      </c>
      <c r="B62" s="5" t="inlineStr">
        <is>
          <t>Bankfull height above channel</t>
        </is>
      </c>
    </row>
    <row r="63">
      <c r="A63" s="69" t="inlineStr">
        <is>
          <t>Small stream (10 to 100 km2)</t>
        </is>
      </c>
      <c r="B63" s="5" t="inlineStr">
        <is>
          <t>Bankfull height above channel</t>
        </is>
      </c>
    </row>
    <row r="64">
      <c r="A64" s="69" t="inlineStr">
        <is>
          <t>Large stream (over 100 km2)</t>
        </is>
      </c>
      <c r="B64" s="5" t="inlineStr">
        <is>
          <t>Bankfull height above channel</t>
        </is>
      </c>
    </row>
    <row r="65">
      <c r="A65" s="69" t="inlineStr">
        <is>
          <t>All streams (pooled)</t>
        </is>
      </c>
      <c r="B65" s="5" t="inlineStr">
        <is>
          <t>Relative bed stability</t>
        </is>
      </c>
    </row>
    <row r="66">
      <c r="A66" s="69" t="inlineStr">
        <is>
          <t>Headwater (10 km2 and under)</t>
        </is>
      </c>
      <c r="B66" s="5" t="inlineStr">
        <is>
          <t>Relative bed stability</t>
        </is>
      </c>
    </row>
    <row r="67">
      <c r="A67" s="69" t="inlineStr">
        <is>
          <t>Small stream (10 to 100 km2)</t>
        </is>
      </c>
      <c r="B67" s="5" t="inlineStr">
        <is>
          <t>Relative bed stability</t>
        </is>
      </c>
    </row>
    <row r="68">
      <c r="A68" s="69" t="inlineStr">
        <is>
          <t>Large stream (over 100 km2)</t>
        </is>
      </c>
      <c r="B68" s="5" t="inlineStr">
        <is>
          <t>Relative bed stability</t>
        </is>
      </c>
    </row>
    <row r="69">
      <c r="A69" s="69" t="inlineStr">
        <is>
          <t>All streams (pooled)</t>
        </is>
      </c>
      <c r="B69" s="5" t="inlineStr">
        <is>
          <t>Canopy density, mid-channel</t>
        </is>
      </c>
    </row>
    <row r="70">
      <c r="A70" s="69" t="inlineStr">
        <is>
          <t>Headwater (10 km2 and under)</t>
        </is>
      </c>
      <c r="B70" s="5" t="inlineStr">
        <is>
          <t>Canopy density, mid-channel</t>
        </is>
      </c>
    </row>
    <row r="71">
      <c r="A71" s="69" t="inlineStr">
        <is>
          <t>Small stream (10 to 100 km2)</t>
        </is>
      </c>
      <c r="B71" s="5" t="inlineStr">
        <is>
          <t>Canopy density, mid-channel</t>
        </is>
      </c>
    </row>
    <row r="72">
      <c r="A72" s="69" t="inlineStr">
        <is>
          <t>Large stream (over 100 km2)</t>
        </is>
      </c>
      <c r="B72" s="5" t="inlineStr">
        <is>
          <t>Canopy density, mid-channel</t>
        </is>
      </c>
    </row>
    <row r="73">
      <c r="A73" s="69" t="inlineStr">
        <is>
          <t>All streams (pooled)</t>
        </is>
      </c>
      <c r="B73" s="5" t="inlineStr">
        <is>
          <t>Fast-water / riffle habitat</t>
        </is>
      </c>
    </row>
    <row r="74">
      <c r="A74" s="69" t="inlineStr">
        <is>
          <t>Low gradient (under 0.5 percent)</t>
        </is>
      </c>
      <c r="B74" s="5" t="inlineStr">
        <is>
          <t>Fast-water / riffle habitat</t>
        </is>
      </c>
    </row>
    <row r="75">
      <c r="A75" s="69" t="inlineStr">
        <is>
          <t>Moderate gradient (0.5 to 2 percent)</t>
        </is>
      </c>
      <c r="B75" s="5" t="inlineStr">
        <is>
          <t>Fast-water / riffle habitat</t>
        </is>
      </c>
    </row>
    <row r="76">
      <c r="A76" s="69" t="inlineStr">
        <is>
          <t>Steep (2 percent and above)</t>
        </is>
      </c>
      <c r="B76" s="5" t="inlineStr">
        <is>
          <t>Fast-water / riffle habitat</t>
        </is>
      </c>
    </row>
    <row r="77">
      <c r="A77" s="69" t="inlineStr">
        <is>
          <t>All streams (pooled)</t>
        </is>
      </c>
      <c r="B77" s="5" t="inlineStr">
        <is>
          <t>Natural fish cover</t>
        </is>
      </c>
    </row>
    <row r="78">
      <c r="A78" s="69" t="inlineStr">
        <is>
          <t>Headwater (10 km2 and under)</t>
        </is>
      </c>
      <c r="B78" s="5" t="inlineStr">
        <is>
          <t>Natural fish cover</t>
        </is>
      </c>
    </row>
    <row r="79">
      <c r="A79" s="69" t="inlineStr">
        <is>
          <t>Small stream (10 to 100 km2)</t>
        </is>
      </c>
      <c r="B79" s="5" t="inlineStr">
        <is>
          <t>Natural fish cover</t>
        </is>
      </c>
    </row>
    <row r="80">
      <c r="A80" s="69" t="inlineStr">
        <is>
          <t>Large stream (over 100 km2)</t>
        </is>
      </c>
      <c r="B80" s="5" t="inlineStr">
        <is>
          <t>Natural fish cover</t>
        </is>
      </c>
    </row>
    <row r="81">
      <c r="A81" s="69" t="inlineStr">
        <is>
          <t>All streams (pooled)</t>
        </is>
      </c>
      <c r="B81" s="5" t="inlineStr">
        <is>
          <t>Native fish taxa richness</t>
        </is>
      </c>
    </row>
    <row r="82">
      <c r="A82" s="69" t="inlineStr">
        <is>
          <t>Low gradient (under 0.5 percent)</t>
        </is>
      </c>
      <c r="B82" s="5" t="inlineStr">
        <is>
          <t>Native fish taxa richness</t>
        </is>
      </c>
    </row>
    <row r="83">
      <c r="A83" s="69" t="inlineStr">
        <is>
          <t>Moderate gradient (0.5 to 2 percent)</t>
        </is>
      </c>
      <c r="B83" s="5" t="inlineStr">
        <is>
          <t>Native fish taxa richness</t>
        </is>
      </c>
    </row>
    <row r="86">
      <c r="A86" s="58" t="inlineStr">
        <is>
          <t>Condition classes</t>
        </is>
      </c>
    </row>
    <row r="87">
      <c r="A87" t="inlineStr">
        <is>
          <t>Metric index: at or below 0.39 Non-Functioning, at or below 0.69 Functioning At-Risk, above Functioning.</t>
        </is>
      </c>
    </row>
    <row r="88">
      <c r="A88" t="inlineStr">
        <is>
          <t>Function score (0 to 15): at or below 5 Non-Functioning, at or below 10 Functioning At-Risk, above Functioning.</t>
        </is>
      </c>
    </row>
    <row r="89">
      <c r="A8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southern-california-mountains</t>
        </is>
      </c>
    </row>
    <row r="5">
      <c r="A5" s="69" t="inlineStr">
        <is>
          <t>Assessment name</t>
        </is>
      </c>
      <c r="B5" s="69" t="inlineStr">
        <is>
          <t>Southern California Mountains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sha256:7835f7893b911d983d2458bd0793454e4de7070e951803c1b3b7bc1ffa18ec89</t>
        </is>
      </c>
    </row>
    <row r="9">
      <c r="A9" s="69" t="inlineStr">
        <is>
          <t>Region</t>
        </is>
      </c>
      <c r="B9" s="69" t="inlineStr">
        <is>
          <t>ecoregion 8 Southern California Mountains</t>
        </is>
      </c>
    </row>
    <row r="10">
      <c r="A10" s="69" t="inlineStr">
        <is>
          <t>Source</t>
        </is>
      </c>
      <c r="B10" s="69" t="inlineStr">
        <is>
          <t>USEPA NRSA 2013-24 (L3 ecoregion 8),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29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2026-09-30T07:06:21Z</dcterms:created>
  <dcterms:modified xmlns:dcterms="http://purl.org/dc/terms/" xmlns:xsi="http://www.w3.org/2001/XMLSchema-instance" xsi:type="dcterms:W3CDTF">2026-09-30T07:06:21Z</dcterms:modified>
  <cp:lastModifiedBy>DEEP</cp:lastModifiedBy>
  <cp:contentStatus>Draft</cp:contentStatus>
</cp:coreProperties>
</file>