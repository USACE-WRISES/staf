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ept_ntax">'DEEP Score'!$E$43</definedName>
    <definedName name="in_spring_bent_tolrpind">'DEEP Score'!$E$44</definedName>
    <definedName name="in_spring_nid_dams_1mi">'DEEP Score'!$E$45</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1">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Basin and Range reference assessment</t>
        </is>
      </c>
    </row>
    <row r="4" ht="30" customHeight="1">
      <c r="A4" s="3" t="inlineStr">
        <is>
          <t>This workbook scores one detailed assessment. It carries the assessment's metrics and their reference curves, and it scores exactly as the DEEP web application does.</t>
        </is>
      </c>
    </row>
    <row r="5" ht="195" customHeight="1">
      <c r="A5" s="3" t="inlineStr">
        <is>
          <t>Reference condition. Reference condition is set by a fixed landscape-pressure screen, never by a score. 16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Basin and Range reference assessment</t>
        </is>
      </c>
    </row>
    <row r="3">
      <c r="A3" s="4" t="inlineStr">
        <is>
          <t>Version 2 | USEPA NRSA 2013-24 (L3 ecoregion 13),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2"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IF('Metrics'!$V$12="","",'Metrics'!$V$12)</f>
        <v/>
      </c>
      <c r="H26" s="20" t="n"/>
      <c r="I26" s="26" t="n"/>
    </row>
    <row r="27">
      <c r="A27" s="42"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IF('Metrics'!$V$13="","",'Metrics'!$V$13)</f>
        <v/>
      </c>
      <c r="H30" s="20" t="n"/>
      <c r="I30" s="26" t="n"/>
    </row>
    <row r="31">
      <c r="A31" s="42" t="inlineStr">
        <is>
          <t>Geomorphology</t>
        </is>
      </c>
      <c r="B31" s="11" t="inlineStr">
        <is>
          <t>Bed composition and bedform dynamics</t>
        </is>
      </c>
      <c r="C31" s="12" t="inlineStr">
        <is>
          <t>Substrate size</t>
        </is>
      </c>
      <c r="D31" s="13" t="inlineStr">
        <is>
          <t>log mm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IF('Metrics'!$V$14="","",'Metrics'!$V$14)</f>
        <v/>
      </c>
      <c r="H32" s="20" t="n"/>
      <c r="I32" s="26" t="n"/>
    </row>
    <row r="33">
      <c r="A33" s="45"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6"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5"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7"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8" t="inlineStr">
        <is>
          <t>Biology</t>
        </is>
      </c>
      <c r="B42" s="28" t="inlineStr">
        <is>
          <t>Population support</t>
        </is>
      </c>
      <c r="C42" s="29" t="inlineStr">
        <is>
          <t>Benthic total taxa richness</t>
        </is>
      </c>
      <c r="D42" s="30" t="inlineStr"/>
      <c r="E42" s="31" t="n"/>
      <c r="F42" s="32" t="inlineStr"/>
      <c r="G42" s="33">
        <f>IF('Metrics'!$V$28="","",'Metrics'!$V$28)</f>
        <v/>
      </c>
      <c r="H42" s="34">
        <f>IF('Results'!$B$21="","",'Results'!$B$21)</f>
        <v/>
      </c>
      <c r="I42" s="35">
        <f>IF('DEEP Score'!$H$42="","",IF('DEEP Score'!$H$42&lt;=5,"Non-Functioning",IF('DEEP Score'!$H$42&lt;=10,"Functioning At-Risk","Functioning")))</f>
        <v/>
      </c>
    </row>
    <row r="43">
      <c r="A43" s="47" t="inlineStr">
        <is>
          <t>Biology</t>
        </is>
      </c>
      <c r="B43" s="11" t="inlineStr">
        <is>
          <t>Community dynamics</t>
        </is>
      </c>
      <c r="C43" s="12" t="inlineStr">
        <is>
          <t>EPT taxa richness</t>
        </is>
      </c>
      <c r="D43" s="13" t="inlineStr"/>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Tolerant individuals (%) ~ HBI</t>
        </is>
      </c>
      <c r="D44" s="22" t="inlineStr"/>
      <c r="E44" s="23" t="n"/>
      <c r="F44" s="24" t="inlineStr"/>
      <c r="G44" s="25">
        <f>IF('Metrics'!$V$30="","",'Metrics'!$V$30)</f>
        <v/>
      </c>
      <c r="H44" s="20" t="n"/>
      <c r="I44" s="26" t="n"/>
    </row>
    <row r="45">
      <c r="A45" s="48" t="inlineStr">
        <is>
          <t>Biology</t>
        </is>
      </c>
      <c r="B45" s="28" t="inlineStr">
        <is>
          <t>Watershed connectivity</t>
        </is>
      </c>
      <c r="C45" s="29" t="inlineStr">
        <is>
          <t>Mapped dams within one mile</t>
        </is>
      </c>
      <c r="D45" s="30" t="inlineStr">
        <is>
          <t>dams</t>
        </is>
      </c>
      <c r="E45" s="31" t="n"/>
      <c r="F45" s="32" t="inlineStr"/>
      <c r="G45" s="33">
        <f>IF('Metrics'!$V$31="","",'Metrics'!$V$31)</f>
        <v/>
      </c>
      <c r="H45" s="34">
        <f>IF('Results'!$B$23="","",'Results'!$B$23)</f>
        <v/>
      </c>
      <c r="I45" s="35">
        <f>IF('DEEP Score'!$H$45="","",IF('DEEP Score'!$H$45&lt;=5,"Non-Functioning",IF('DEEP Score'!$H$45&lt;=10,"Functioning At-Risk","Functioning")))</f>
        <v/>
      </c>
    </row>
    <row r="47">
      <c r="A47" s="49" t="inlineStr">
        <is>
          <t>Summary</t>
        </is>
      </c>
    </row>
    <row r="48">
      <c r="A48" s="9" t="inlineStr">
        <is>
          <t>Outcome</t>
        </is>
      </c>
      <c r="B48" s="9" t="inlineStr">
        <is>
          <t>Sub-index (0 to 1)</t>
        </is>
      </c>
      <c r="C48" s="9" t="inlineStr">
        <is>
          <t>Condition</t>
        </is>
      </c>
    </row>
    <row r="49">
      <c r="A49" s="50" t="inlineStr">
        <is>
          <t>Physical</t>
        </is>
      </c>
      <c r="B49" s="51">
        <f>'Results'!$B$26</f>
        <v/>
      </c>
      <c r="C49" s="52">
        <f>IF('DEEP Score'!$B$49&lt;=0.39,"Non-Functioning",IF('DEEP Score'!$B$49&lt;=0.69,"Functioning At-Risk","Functioning"))</f>
        <v/>
      </c>
    </row>
    <row r="50">
      <c r="A50" s="50" t="inlineStr">
        <is>
          <t>Chemical</t>
        </is>
      </c>
      <c r="B50" s="51">
        <f>'Results'!$B$27</f>
        <v/>
      </c>
      <c r="C50" s="52">
        <f>IF('DEEP Score'!$B$50&lt;=0.39,"Non-Functioning",IF('DEEP Score'!$B$50&lt;=0.69,"Functioning At-Risk","Functioning"))</f>
        <v/>
      </c>
    </row>
    <row r="51">
      <c r="A51" s="50" t="inlineStr">
        <is>
          <t>Biological</t>
        </is>
      </c>
      <c r="B51" s="51">
        <f>'Results'!$B$28</f>
        <v/>
      </c>
      <c r="C51" s="52">
        <f>IF('DEEP Score'!$B$51&lt;=0.39,"Non-Functioning",IF('DEEP Score'!$B$51&lt;=0.69,"Functioning At-Risk","Functioning"))</f>
        <v/>
      </c>
    </row>
    <row r="52" ht="30" customHeight="1">
      <c r="A52" s="53" t="inlineStr">
        <is>
          <t>Ecosystem Condition Index</t>
        </is>
      </c>
      <c r="B52" s="54">
        <f>'Results'!$B$29</f>
        <v/>
      </c>
      <c r="C52" s="52">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5" t="inlineStr">
        <is>
          <t>Withheld for insufficient reference support (not scored)</t>
        </is>
      </c>
    </row>
    <row r="57">
      <c r="A57" t="inlineStr">
        <is>
          <t>Native fish taxa richness</t>
        </is>
      </c>
      <c r="C57" s="4" t="inlineStr">
        <is>
          <t>Population support</t>
        </is>
      </c>
    </row>
    <row r="58">
      <c r="A58" t="inlineStr">
        <is>
          <t>Large wood volume</t>
        </is>
      </c>
      <c r="C58" s="4" t="inlineStr">
        <is>
          <t>Bed composition and bedform dynamics</t>
        </is>
      </c>
    </row>
    <row r="59">
      <c r="A59" t="inlineStr">
        <is>
          <t>Residual pool depth</t>
        </is>
      </c>
      <c r="C59" s="4" t="inlineStr">
        <is>
          <t>Low flow and baseflow dynamics</t>
        </is>
      </c>
    </row>
    <row r="61">
      <c r="A61" s="5" t="inlineStr">
        <is>
          <t>Notes</t>
        </is>
      </c>
    </row>
    <row r="62">
      <c r="A62" s="56" t="n"/>
      <c r="B62" s="57" t="n"/>
      <c r="C62" s="57" t="n"/>
      <c r="D62" s="57" t="n"/>
      <c r="E62" s="57" t="n"/>
      <c r="F62" s="57" t="n"/>
      <c r="G62" s="57" t="n"/>
      <c r="H62" s="57" t="n"/>
      <c r="I62" s="58" t="n"/>
    </row>
    <row r="63">
      <c r="A63" s="59" t="n"/>
      <c r="B63" s="60" t="n"/>
      <c r="C63" s="60" t="n"/>
      <c r="D63" s="60" t="n"/>
      <c r="E63" s="60" t="n"/>
      <c r="F63" s="60" t="n"/>
      <c r="G63" s="60" t="n"/>
      <c r="H63" s="60" t="n"/>
      <c r="I63" s="61" t="n"/>
    </row>
    <row r="64">
      <c r="A64" s="59" t="n"/>
      <c r="B64" s="60" t="n"/>
      <c r="C64" s="60" t="n"/>
      <c r="D64" s="60" t="n"/>
      <c r="E64" s="60" t="n"/>
      <c r="F64" s="60" t="n"/>
      <c r="G64" s="60" t="n"/>
      <c r="H64" s="60" t="n"/>
      <c r="I64" s="61" t="n"/>
    </row>
    <row r="65">
      <c r="A65" s="59" t="n"/>
      <c r="B65" s="60" t="n"/>
      <c r="C65" s="60" t="n"/>
      <c r="D65" s="60" t="n"/>
      <c r="E65" s="60" t="n"/>
      <c r="F65" s="60" t="n"/>
      <c r="G65" s="60" t="n"/>
      <c r="H65" s="60" t="n"/>
      <c r="I65" s="61" t="n"/>
    </row>
    <row r="66">
      <c r="A66" s="59" t="n"/>
      <c r="B66" s="60" t="n"/>
      <c r="C66" s="60" t="n"/>
      <c r="D66" s="60" t="n"/>
      <c r="E66" s="60" t="n"/>
      <c r="F66" s="60" t="n"/>
      <c r="G66" s="60" t="n"/>
      <c r="H66" s="60" t="n"/>
      <c r="I66" s="61" t="n"/>
    </row>
    <row r="67">
      <c r="A67" s="62" t="n"/>
      <c r="B67" s="63" t="n"/>
      <c r="C67" s="63" t="n"/>
      <c r="D67" s="63" t="n"/>
      <c r="E67" s="63" t="n"/>
      <c r="F67" s="63" t="n"/>
      <c r="G67" s="63" t="n"/>
      <c r="H67" s="63" t="n"/>
      <c r="I67" s="64"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 cover of the watershed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Bankfull width:depth ratio</t>
        </is>
      </c>
      <c r="B11" s="67">
        <f>IF('DEEP Score'!$E$19="","",'DEEP Score'!$E$19)</f>
        <v/>
      </c>
      <c r="C11" s="67">
        <f>""</f>
        <v/>
      </c>
      <c r="D11" s="67">
        <f>"spring_phab_bfwd_rat|"&amp;'Metrics'!$C$11</f>
        <v/>
      </c>
      <c r="E11" s="67">
        <f>IFERROR(MATCH('Metrics'!$D$11,curve_key,0),MATCH("spring_phab_bfwd_rat|",curve_key,0))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height above channel</t>
        </is>
      </c>
      <c r="B12" s="67">
        <f>IF('DEEP Score'!$E$22="","",'DEEP Score'!$E$22)</f>
        <v/>
      </c>
      <c r="C12" s="67">
        <f>""</f>
        <v/>
      </c>
      <c r="D12" s="67">
        <f>"spring_phab_xbkf_h|"&amp;'Metrics'!$C$12</f>
        <v/>
      </c>
      <c r="E12" s="67">
        <f>IFERROR(MATCH('Metrics'!$D$12,curve_key,0),MATCH("spring_phab_xbkf_h|",curve_key,0))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Sand + fines</t>
        </is>
      </c>
      <c r="B13" s="67">
        <f>IF('DEEP Score'!$E$23="","",'DEEP Score'!$E$23)</f>
        <v/>
      </c>
      <c r="C13" s="67">
        <f>""</f>
        <v/>
      </c>
      <c r="D13" s="67">
        <f>"spring_phab_pct_safn|"&amp;'Metrics'!$C$13</f>
        <v/>
      </c>
      <c r="E13" s="67">
        <f>IFERROR(MATCH('Metrics'!$D$13,curve_key,0),MATCH("spring_phab_pct_safn|",curve_key,0))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Embeddedness</t>
        </is>
      </c>
      <c r="B14" s="67">
        <f>IF('DEEP Score'!$E$24="","",'DEEP Score'!$E$24)</f>
        <v/>
      </c>
      <c r="C14" s="67">
        <f>""</f>
        <v/>
      </c>
      <c r="D14" s="67">
        <f>"spring_phab_xembed|"&amp;'Metrics'!$C$14</f>
        <v/>
      </c>
      <c r="E14" s="67">
        <f>IFERROR(MATCH('Metrics'!$D$14,curve_key,0),MATCH("spring_phab_xembed|",curve_key,0))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Sinuosity</t>
        </is>
      </c>
      <c r="B15" s="67">
        <f>IF('DEEP Score'!$E$27="","",'DEEP Score'!$E$27)</f>
        <v/>
      </c>
      <c r="C15" s="67">
        <f>""</f>
        <v/>
      </c>
      <c r="D15" s="67">
        <f>"spring_phab_sinu|"&amp;'Metrics'!$C$15</f>
        <v/>
      </c>
      <c r="E15" s="67">
        <f>IFERROR(MATCH('Metrics'!$D$15,curve_key,0),MATCH("spring_phab_sinu|",curve_key,0))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Bank angle</t>
        </is>
      </c>
      <c r="B16" s="67">
        <f>IF('DEEP Score'!$E$28="","",'DEEP Score'!$E$28)</f>
        <v/>
      </c>
      <c r="C16" s="67">
        <f>""</f>
        <v/>
      </c>
      <c r="D16" s="67">
        <f>"spring_phab_xbka|"&amp;'Metrics'!$C$16</f>
        <v/>
      </c>
      <c r="E16" s="67">
        <f>IFERROR(MATCH('Metrics'!$D$16,curve_key,0),MATCH("spring_phab_xbka|",curve_key,0))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Relative bed stability</t>
        </is>
      </c>
      <c r="B17" s="67">
        <f>IF('DEEP Score'!$E$29="","",'DEEP Score'!$E$29)</f>
        <v/>
      </c>
      <c r="C17" s="67">
        <f>""</f>
        <v/>
      </c>
      <c r="D17" s="67">
        <f>"spring_phab_lrbs_use|"&amp;'Metrics'!$C$17</f>
        <v/>
      </c>
      <c r="E17" s="67">
        <f>IFERROR(MATCH('Metrics'!$D$17,curve_key,0),MATCH("spring_phab_lrbs_use|",curve_key,0))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Substrate size</t>
        </is>
      </c>
      <c r="B18" s="67">
        <f>IF('DEEP Score'!$E$31="","",'DEEP Score'!$E$31)</f>
        <v/>
      </c>
      <c r="C18" s="67">
        <f>""</f>
        <v/>
      </c>
      <c r="D18" s="67">
        <f>"spring_phab_lsub_dmm|"&amp;'Metrics'!$C$18</f>
        <v/>
      </c>
      <c r="E18" s="67">
        <f>IFERROR(MATCH('Metrics'!$D$18,curve_key,0),MATCH("spring_phab_lsub_dmm|",curve_key,0))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Chlorophyll a</t>
        </is>
      </c>
      <c r="B19" s="67">
        <f>IF('DEEP Score'!$E$33="","",'DEEP Score'!$E$33)</f>
        <v/>
      </c>
      <c r="C19" s="67">
        <f>""</f>
        <v/>
      </c>
      <c r="D19" s="67">
        <f>"spring_chem_chla|"&amp;'Metrics'!$C$19</f>
        <v/>
      </c>
      <c r="E19" s="67">
        <f>IFERROR(MATCH('Metrics'!$D$19,curve_key,0),MATCH("spring_chem_chla|",curve_key,0))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Canopy density, mid-channel</t>
        </is>
      </c>
      <c r="B20" s="67">
        <f>IF('DEEP Score'!$E$34="","",'DEEP Score'!$E$34)</f>
        <v/>
      </c>
      <c r="C20" s="67">
        <f>""</f>
        <v/>
      </c>
      <c r="D20" s="67">
        <f>"spring_phab_xcdenmid|"&amp;'Metrics'!$C$20</f>
        <v/>
      </c>
      <c r="E20" s="67">
        <f>IFERROR(MATCH('Metrics'!$D$20,curve_key,0),MATCH("spring_phab_xcdenmid|",curve_key,0))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Riparian veg cover, woody</t>
        </is>
      </c>
      <c r="B21" s="67">
        <f>IF('DEEP Score'!$E$35="","",'DEEP Score'!$E$35)</f>
        <v/>
      </c>
      <c r="C21" s="67">
        <f>""</f>
        <v/>
      </c>
      <c r="D21" s="67">
        <f>"spring_phab_xcmgw|"&amp;'Metrics'!$C$21</f>
        <v/>
      </c>
      <c r="E21" s="67">
        <f>IFERROR(MATCH('Metrics'!$D$21,curve_key,0),MATCH("spring_phab_xcmgw|",curve_key,0))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Total nitrogen</t>
        </is>
      </c>
      <c r="B22" s="67">
        <f>IF('DEEP Score'!$E$36="","",'DEEP Score'!$E$36)</f>
        <v/>
      </c>
      <c r="C22" s="67">
        <f>""</f>
        <v/>
      </c>
      <c r="D22" s="67">
        <f>"spring_chem_ntl|"&amp;'Metrics'!$C$22</f>
        <v/>
      </c>
      <c r="E22" s="67">
        <f>IFERROR(MATCH('Metrics'!$D$22,curve_key,0),MATCH("spring_chem_ntl|",curve_key,0))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Score'!$E$37="","",'DEEP Score'!$E$37)</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pH</t>
        </is>
      </c>
      <c r="B24" s="67">
        <f>IF('DEEP Score'!$E$38="","",'DEEP Score'!$E$38)</f>
        <v/>
      </c>
      <c r="C24" s="67">
        <f>""</f>
        <v/>
      </c>
      <c r="D24" s="67">
        <f>"spring_chem_ph|"&amp;'Metrics'!$C$24</f>
        <v/>
      </c>
      <c r="E24" s="67">
        <f>IFERROR(MATCH('Metrics'!$D$24,curve_key,0),MATCH("spring_chem_ph|",curve_key,0))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Turbidity</t>
        </is>
      </c>
      <c r="B25" s="67">
        <f>IF('DEEP Score'!$E$39="","",'DEEP Score'!$E$39)</f>
        <v/>
      </c>
      <c r="C25" s="67">
        <f>""</f>
        <v/>
      </c>
      <c r="D25" s="67">
        <f>"spring_chem_turb|"&amp;'Metrics'!$C$25</f>
        <v/>
      </c>
      <c r="E25" s="67">
        <f>IFERROR(MATCH('Metrics'!$D$25,curve_key,0),MATCH("spring_chem_turb|",curve_key,0))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Fast-water / riffle habitat</t>
        </is>
      </c>
      <c r="B26" s="67">
        <f>IF('DEEP Score'!$E$40="","",'DEEP Score'!$E$40)</f>
        <v/>
      </c>
      <c r="C26" s="67">
        <f>""</f>
        <v/>
      </c>
      <c r="D26" s="67">
        <f>"spring_phab_pct_fast|"&amp;'Metrics'!$C$26</f>
        <v/>
      </c>
      <c r="E26" s="67">
        <f>IFERROR(MATCH('Metrics'!$D$26,curve_key,0),MATCH("spring_phab_pct_fast|",curve_key,0))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Score'!$E$41="","",'DEEP Score'!$E$41)</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Benthic total taxa richness</t>
        </is>
      </c>
      <c r="B28" s="67">
        <f>IF('DEEP Score'!$E$42="","",'DEEP Score'!$E$42)</f>
        <v/>
      </c>
      <c r="C28" s="67">
        <f>""</f>
        <v/>
      </c>
      <c r="D28" s="67">
        <f>"spring_bent_totlntax|"&amp;'Metrics'!$C$28</f>
        <v/>
      </c>
      <c r="E28" s="67">
        <f>IFERROR(MATCH('Metrics'!$D$28,curve_key,0),MATCH("spring_bent_totlntax|",curve_key,0))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EPT taxa richness</t>
        </is>
      </c>
      <c r="B29" s="67">
        <f>IF('DEEP Score'!$E$43="","",'DEEP Score'!$E$43)</f>
        <v/>
      </c>
      <c r="C29" s="67">
        <f>""</f>
        <v/>
      </c>
      <c r="D29" s="67">
        <f>"spring_bent_ept_ntax|"&amp;'Metrics'!$C$29</f>
        <v/>
      </c>
      <c r="E29" s="67">
        <f>IFERROR(MATCH('Metrics'!$D$29,curve_key,0),MATCH("spring_bent_ept_ntax|",curve_key,0))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Tolerant individuals (%) ~ HBI</t>
        </is>
      </c>
      <c r="B30" s="67">
        <f>IF('DEEP Score'!$E$44="","",'DEEP Score'!$E$44)</f>
        <v/>
      </c>
      <c r="C30" s="67">
        <f>""</f>
        <v/>
      </c>
      <c r="D30" s="67">
        <f>"spring_bent_tolrpind|"&amp;'Metrics'!$C$30</f>
        <v/>
      </c>
      <c r="E30" s="67">
        <f>IFERROR(MATCH('Metrics'!$D$30,curve_key,0),MATCH("spring_bent_tolrpind|",curve_key,0))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Mapped dams within one mile</t>
        </is>
      </c>
      <c r="B31" s="67">
        <f>IF('DEEP Score'!$E$45="","",'DEEP Score'!$E$45)</f>
        <v/>
      </c>
      <c r="C31" s="67">
        <f>""</f>
        <v/>
      </c>
      <c r="D31" s="67">
        <f>"spring_nid_dams_1mi|"&amp;'Metrics'!$C$31</f>
        <v/>
      </c>
      <c r="E31" s="67">
        <f>IFERROR(MATCH('Metrics'!$D$31,curve_key,0),MATCH("spring_nid_dams_1mi|",curve_key,0))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Score'!G33:G34)=0,"",SUM('DEEP Score'!G33:G34)/COUNT('DEEP Score'!G33:G34)*15)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Score'!G35:G35)=0,"",SUM('DEEP Score'!G35:G35)/COUNT('DEEP Score'!G35:G35)*15)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Score'!G36:G37)=0,"",SUM('DEEP Score'!G36:G37)/COUNT('DEEP Score'!G36:G37)*15)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Score'!G38:G39)=0,"",SUM('DEEP Score'!G38:G39)/COUNT('DEEP Score'!G38:G39)*15)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Score'!G40:G41)=0,"",SUM('DEEP Score'!G40:G41)/COUNT('DEEP Score'!G40:G41)*15)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Score'!G42:G42)=0,"",SUM('DEEP Score'!G42:G42)/COUNT('DEEP Score'!G42:G42)*15)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Score'!G43:G44)=0,"",SUM('DEEP Score'!G43:G44)/COUNT('DEEP Score'!G43:G44)*15)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Score'!G45:G45)=0,"",SUM('DEEP Score'!G45:G45)/COUNT('DEEP Score'!G45:G45)*15)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0"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 cover of the watershed</t>
        </is>
      </c>
      <c r="D7" s="66" t="inlineStr"/>
      <c r="E7" s="66" t="n">
        <v>4</v>
      </c>
      <c r="F7" s="66" t="inlineStr">
        <is>
          <t>Adopted from EASI's national screening method (provisional)</t>
        </is>
      </c>
      <c r="G7" s="66" t="n">
        <v>0</v>
      </c>
      <c r="H7" s="66" t="n">
        <v>0.995</v>
      </c>
      <c r="I7" s="66" t="n">
        <v>5</v>
      </c>
      <c r="J7" s="66" t="n">
        <v>9.138500000000001</v>
      </c>
      <c r="K7" s="66" t="n">
        <v>9.138500000000001</v>
      </c>
      <c r="L7" s="66" t="n">
        <v>9.138500000000001</v>
      </c>
      <c r="M7" s="66" t="n">
        <v>9.138500000000001</v>
      </c>
      <c r="N7" s="66" t="n">
        <v>9.138500000000001</v>
      </c>
      <c r="O7" s="66" t="n">
        <v>0.315468</v>
      </c>
      <c r="P7" s="66" t="n">
        <v>0.39</v>
      </c>
      <c r="Q7" s="66" t="n">
        <v>0.6899999999999999</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19 least-disturbed stations of this ecoregion</t>
        </is>
      </c>
      <c r="G9" s="66" t="n">
        <v>0</v>
      </c>
      <c r="H9" s="66" t="n">
        <v>28.00579285714286</v>
      </c>
      <c r="I9" s="66" t="n">
        <v>65.34685</v>
      </c>
      <c r="J9" s="66" t="n">
        <v>75.27760000000001</v>
      </c>
      <c r="K9" s="66" t="n">
        <v>80.242975</v>
      </c>
      <c r="L9" s="66" t="n">
        <v>80.242975</v>
      </c>
      <c r="M9" s="66" t="n">
        <v>80.242975</v>
      </c>
      <c r="N9" s="66" t="n">
        <v>80.242975</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spring_phab_bfwd_rat|</t>
        </is>
      </c>
      <c r="B11" s="66" t="inlineStr">
        <is>
          <t>spring-phab-bfwd-rat</t>
        </is>
      </c>
      <c r="C11" s="66" t="inlineStr">
        <is>
          <t>Bankfull width:depth ratio</t>
        </is>
      </c>
      <c r="D11" s="66" t="inlineStr"/>
      <c r="E11" s="66" t="n">
        <v>8</v>
      </c>
      <c r="F11" s="66"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1" s="66" t="n">
        <v>0</v>
      </c>
      <c r="H11" s="66" t="n">
        <v>1.117483854293823</v>
      </c>
      <c r="I11" s="66" t="n">
        <v>3.799720716476441</v>
      </c>
      <c r="J11" s="66" t="n">
        <v>5.244002103805542</v>
      </c>
      <c r="K11" s="66" t="n">
        <v>9.370520353317261</v>
      </c>
      <c r="L11" s="66" t="n">
        <v>10.81480174064636</v>
      </c>
      <c r="M11" s="66" t="n">
        <v>13.49703860282898</v>
      </c>
      <c r="N11" s="66" t="n">
        <v>17.6235568523407</v>
      </c>
      <c r="O11" s="66" t="n">
        <v>0</v>
      </c>
      <c r="P11" s="66" t="n">
        <v>0.3</v>
      </c>
      <c r="Q11" s="66" t="n">
        <v>0.7</v>
      </c>
      <c r="R11" s="66" t="n">
        <v>1</v>
      </c>
      <c r="S11" s="66" t="n">
        <v>1</v>
      </c>
      <c r="T11" s="66" t="n">
        <v>0.7</v>
      </c>
      <c r="U11" s="66" t="n">
        <v>0.3</v>
      </c>
      <c r="V11" s="66" t="n">
        <v>0</v>
      </c>
    </row>
    <row r="12">
      <c r="A12" s="66" t="inlineStr">
        <is>
          <t>spring_phab_xbkf_h|</t>
        </is>
      </c>
      <c r="B12" s="66" t="inlineStr">
        <is>
          <t>spring-phab-xbkf-h</t>
        </is>
      </c>
      <c r="C12" s="66" t="inlineStr">
        <is>
          <t>Bankfull height above channel</t>
        </is>
      </c>
      <c r="D12" s="66" t="inlineStr"/>
      <c r="E12" s="66" t="n">
        <v>7</v>
      </c>
      <c r="F12" s="66" t="inlineStr">
        <is>
          <t>19 least-disturbed stations of this ecoregion</t>
        </is>
      </c>
      <c r="G12" s="66" t="n">
        <v>0</v>
      </c>
      <c r="H12" s="66" t="n">
        <v>0.1472204614430666</v>
      </c>
      <c r="I12" s="66" t="n">
        <v>0.2291363701224327</v>
      </c>
      <c r="J12" s="66" t="n">
        <v>0.4631818234920502</v>
      </c>
      <c r="K12" s="66" t="n">
        <v>0.5450977321714163</v>
      </c>
      <c r="L12" s="66" t="n">
        <v>0.6972272768616676</v>
      </c>
      <c r="M12" s="66" t="n">
        <v>0.9312727302312851</v>
      </c>
      <c r="N12" s="66" t="n">
        <v>0.9312727302312851</v>
      </c>
      <c r="O12" s="66" t="n">
        <v>0</v>
      </c>
      <c r="P12" s="66" t="n">
        <v>0.7</v>
      </c>
      <c r="Q12" s="66" t="n">
        <v>1</v>
      </c>
      <c r="R12" s="66" t="n">
        <v>1</v>
      </c>
      <c r="S12" s="66" t="n">
        <v>0.7</v>
      </c>
      <c r="T12" s="66" t="n">
        <v>0.3</v>
      </c>
      <c r="U12" s="66" t="n">
        <v>0</v>
      </c>
      <c r="V12" s="66" t="n">
        <v>0</v>
      </c>
    </row>
    <row r="13">
      <c r="A13" s="66" t="inlineStr">
        <is>
          <t>spring_phab_pct_safn|</t>
        </is>
      </c>
      <c r="B13" s="66" t="inlineStr">
        <is>
          <t>spring-phab-pct-safn</t>
        </is>
      </c>
      <c r="C13" s="66" t="inlineStr">
        <is>
          <t>Sand + fines</t>
        </is>
      </c>
      <c r="D13" s="66" t="inlineStr"/>
      <c r="E13" s="66" t="n">
        <v>4</v>
      </c>
      <c r="F13" s="66" t="inlineStr">
        <is>
          <t>100 least-disturbed stations borrowed from Level II ecoregion 10.1 (Cold Deserts) under the regional screen (agriculture at most 25 percent), transfer risk low</t>
        </is>
      </c>
      <c r="G13" s="66" t="n">
        <v>7.950309991836548</v>
      </c>
      <c r="H13" s="66" t="n">
        <v>25.5900616645813</v>
      </c>
      <c r="I13" s="66" t="n">
        <v>60.8695650100708</v>
      </c>
      <c r="J13" s="66" t="n">
        <v>100</v>
      </c>
      <c r="K13" s="66" t="n">
        <v>100</v>
      </c>
      <c r="L13" s="66" t="n">
        <v>100</v>
      </c>
      <c r="M13" s="66" t="n">
        <v>100</v>
      </c>
      <c r="N13" s="66" t="n">
        <v>100</v>
      </c>
      <c r="O13" s="66" t="n">
        <v>1</v>
      </c>
      <c r="P13" s="66" t="n">
        <v>1</v>
      </c>
      <c r="Q13" s="66" t="n">
        <v>0.7</v>
      </c>
      <c r="R13" s="66" t="n">
        <v>0</v>
      </c>
      <c r="S13" s="66" t="n">
        <v>0</v>
      </c>
      <c r="T13" s="66" t="n">
        <v>0</v>
      </c>
      <c r="U13" s="66" t="n">
        <v>0</v>
      </c>
      <c r="V13" s="66" t="n">
        <v>0</v>
      </c>
    </row>
    <row r="14">
      <c r="A14" s="66" t="inlineStr">
        <is>
          <t>spring_phab_xembed|</t>
        </is>
      </c>
      <c r="B14" s="66" t="inlineStr">
        <is>
          <t>spring-phab-xembed</t>
        </is>
      </c>
      <c r="C14" s="66" t="inlineStr">
        <is>
          <t>Embeddedness</t>
        </is>
      </c>
      <c r="D14" s="66" t="inlineStr"/>
      <c r="E14" s="66" t="n">
        <v>4</v>
      </c>
      <c r="F14" s="66" t="inlineStr">
        <is>
          <t>19 least-disturbed stations of this ecoregion</t>
        </is>
      </c>
      <c r="G14" s="66" t="n">
        <v>26.22348308563232</v>
      </c>
      <c r="H14" s="66" t="n">
        <v>42.68181800842285</v>
      </c>
      <c r="I14" s="66" t="n">
        <v>75.59848785400391</v>
      </c>
      <c r="J14" s="66" t="n">
        <v>100</v>
      </c>
      <c r="K14" s="66" t="n">
        <v>100</v>
      </c>
      <c r="L14" s="66" t="n">
        <v>100</v>
      </c>
      <c r="M14" s="66" t="n">
        <v>100</v>
      </c>
      <c r="N14" s="66" t="n">
        <v>100</v>
      </c>
      <c r="O14" s="66" t="n">
        <v>1</v>
      </c>
      <c r="P14" s="66" t="n">
        <v>1</v>
      </c>
      <c r="Q14" s="66" t="n">
        <v>0.7</v>
      </c>
      <c r="R14" s="66" t="n">
        <v>0</v>
      </c>
      <c r="S14" s="66" t="n">
        <v>0</v>
      </c>
      <c r="T14" s="66" t="n">
        <v>0</v>
      </c>
      <c r="U14" s="66" t="n">
        <v>0</v>
      </c>
      <c r="V14" s="66" t="n">
        <v>0</v>
      </c>
    </row>
    <row r="15">
      <c r="A15" s="66" t="inlineStr">
        <is>
          <t>spring_phab_sinu|</t>
        </is>
      </c>
      <c r="B15" s="66" t="inlineStr">
        <is>
          <t>spring-phab-sinu</t>
        </is>
      </c>
      <c r="C15" s="66" t="inlineStr">
        <is>
          <t>Sinuosity</t>
        </is>
      </c>
      <c r="D15" s="66" t="inlineStr"/>
      <c r="E15" s="66" t="n">
        <v>4</v>
      </c>
      <c r="F15" s="66" t="inlineStr">
        <is>
          <t>19 least-disturbed stations of this ecoregion</t>
        </is>
      </c>
      <c r="G15" s="66" t="n">
        <v>1</v>
      </c>
      <c r="H15" s="66" t="n">
        <v>1.072807312011719</v>
      </c>
      <c r="I15" s="66" t="n">
        <v>1.290636420249939</v>
      </c>
      <c r="J15" s="66" t="n">
        <v>1.399550974369049</v>
      </c>
      <c r="K15" s="66" t="n">
        <v>1.399550974369049</v>
      </c>
      <c r="L15" s="66" t="n">
        <v>1.399550974369049</v>
      </c>
      <c r="M15" s="66" t="n">
        <v>1.399550974369049</v>
      </c>
      <c r="N15" s="66" t="n">
        <v>1.399550974369049</v>
      </c>
      <c r="O15" s="66" t="n">
        <v>0</v>
      </c>
      <c r="P15" s="66" t="n">
        <v>0.7</v>
      </c>
      <c r="Q15" s="66" t="n">
        <v>1</v>
      </c>
      <c r="R15" s="66" t="n">
        <v>1</v>
      </c>
      <c r="S15" s="66" t="n">
        <v>1</v>
      </c>
      <c r="T15" s="66" t="n">
        <v>1</v>
      </c>
      <c r="U15" s="66" t="n">
        <v>1</v>
      </c>
      <c r="V15" s="66" t="n">
        <v>1</v>
      </c>
    </row>
    <row r="16">
      <c r="A16" s="66" t="inlineStr">
        <is>
          <t>spring_phab_xbka|</t>
        </is>
      </c>
      <c r="B16" s="66" t="inlineStr">
        <is>
          <t>spring-phab-xbka</t>
        </is>
      </c>
      <c r="C16" s="66" t="inlineStr">
        <is>
          <t>Bank angle</t>
        </is>
      </c>
      <c r="D16" s="66" t="inlineStr"/>
      <c r="E16" s="66" t="n">
        <v>7</v>
      </c>
      <c r="F16" s="66" t="inlineStr">
        <is>
          <t>95 least-disturbed stations borrowed from Level II ecoregion 10.1 (Cold Deserts) under the regional screen (agriculture at most 25 percent), transfer risk low</t>
        </is>
      </c>
      <c r="G16" s="66" t="n">
        <v>0</v>
      </c>
      <c r="H16" s="66" t="n">
        <v>15.14852228164673</v>
      </c>
      <c r="I16" s="66" t="n">
        <v>21.95681762695312</v>
      </c>
      <c r="J16" s="66" t="n">
        <v>41.40909004211426</v>
      </c>
      <c r="K16" s="66" t="n">
        <v>48.21738538742066</v>
      </c>
      <c r="L16" s="66" t="n">
        <v>60.86136245727539</v>
      </c>
      <c r="M16" s="66" t="n">
        <v>80.31363487243652</v>
      </c>
      <c r="N16" s="66" t="n">
        <v>80.31363487243652</v>
      </c>
      <c r="O16" s="66" t="n">
        <v>0.7</v>
      </c>
      <c r="P16" s="66" t="n">
        <v>0.7</v>
      </c>
      <c r="Q16" s="66" t="n">
        <v>1</v>
      </c>
      <c r="R16" s="66" t="n">
        <v>1</v>
      </c>
      <c r="S16" s="66" t="n">
        <v>0.7</v>
      </c>
      <c r="T16" s="66" t="n">
        <v>0.3</v>
      </c>
      <c r="U16" s="66" t="n">
        <v>0</v>
      </c>
      <c r="V16" s="66" t="n">
        <v>0</v>
      </c>
    </row>
    <row r="17">
      <c r="A17" s="66" t="inlineStr">
        <is>
          <t>spring_phab_lrbs_use|</t>
        </is>
      </c>
      <c r="B17" s="66" t="inlineStr">
        <is>
          <t>spring-phab-lrbs-use</t>
        </is>
      </c>
      <c r="C17" s="66" t="inlineStr">
        <is>
          <t>Relative bed stability</t>
        </is>
      </c>
      <c r="D17" s="66" t="inlineStr"/>
      <c r="E17" s="66" t="n">
        <v>8</v>
      </c>
      <c r="F17" s="66" t="inlineStr">
        <is>
          <t>19 least-disturbed stations of this ecoregion</t>
        </is>
      </c>
      <c r="G17" s="66" t="n">
        <v>-5.156661510467529</v>
      </c>
      <c r="H17" s="66" t="n">
        <v>-3.785419404506683</v>
      </c>
      <c r="I17" s="66" t="n">
        <v>-2.894112035632133</v>
      </c>
      <c r="J17" s="66" t="n">
        <v>-2.414177298545837</v>
      </c>
      <c r="K17" s="66" t="n">
        <v>-1.042935192584991</v>
      </c>
      <c r="L17" s="66" t="n">
        <v>-0.5630004554986954</v>
      </c>
      <c r="M17" s="66" t="n">
        <v>0.3283069133758545</v>
      </c>
      <c r="N17" s="66" t="n">
        <v>1.6995490193367</v>
      </c>
      <c r="O17" s="66" t="n">
        <v>0</v>
      </c>
      <c r="P17" s="66" t="n">
        <v>0.3</v>
      </c>
      <c r="Q17" s="66" t="n">
        <v>0.7</v>
      </c>
      <c r="R17" s="66" t="n">
        <v>1</v>
      </c>
      <c r="S17" s="66" t="n">
        <v>1</v>
      </c>
      <c r="T17" s="66" t="n">
        <v>0.7</v>
      </c>
      <c r="U17" s="66" t="n">
        <v>0.3</v>
      </c>
      <c r="V17" s="66" t="n">
        <v>0</v>
      </c>
    </row>
    <row r="18">
      <c r="A18" s="66" t="inlineStr">
        <is>
          <t>spring_phab_lsub_dmm|</t>
        </is>
      </c>
      <c r="B18" s="66" t="inlineStr">
        <is>
          <t>spring-phab-lsub-dmm</t>
        </is>
      </c>
      <c r="C18" s="66" t="inlineStr">
        <is>
          <t>Substrate size</t>
        </is>
      </c>
      <c r="D18" s="66" t="inlineStr"/>
      <c r="E18" s="66" t="n">
        <v>5</v>
      </c>
      <c r="F18" s="66" t="inlineStr">
        <is>
          <t>100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6" t="n">
        <v>-3.734070222824812</v>
      </c>
      <c r="H18" s="66" t="n">
        <v>-2.348480526357889</v>
      </c>
      <c r="I18" s="66" t="n">
        <v>-0.270095981657505</v>
      </c>
      <c r="J18" s="66" t="n">
        <v>1.115493714809418</v>
      </c>
      <c r="K18" s="66" t="n">
        <v>1.808288563042879</v>
      </c>
      <c r="L18" s="66" t="n">
        <v>1.808288563042879</v>
      </c>
      <c r="M18" s="66" t="n">
        <v>1.808288563042879</v>
      </c>
      <c r="N18" s="66" t="n">
        <v>1.808288563042879</v>
      </c>
      <c r="O18" s="66" t="n">
        <v>0</v>
      </c>
      <c r="P18" s="66" t="n">
        <v>0.3</v>
      </c>
      <c r="Q18" s="66" t="n">
        <v>0.7</v>
      </c>
      <c r="R18" s="66" t="n">
        <v>1</v>
      </c>
      <c r="S18" s="66" t="n">
        <v>1</v>
      </c>
      <c r="T18" s="66" t="n">
        <v>1</v>
      </c>
      <c r="U18" s="66" t="n">
        <v>1</v>
      </c>
      <c r="V18" s="66" t="n">
        <v>1</v>
      </c>
    </row>
    <row r="19">
      <c r="A19" s="66" t="inlineStr">
        <is>
          <t>spring_chem_chla|</t>
        </is>
      </c>
      <c r="B19" s="66" t="inlineStr">
        <is>
          <t>spring-chem-chla</t>
        </is>
      </c>
      <c r="C19" s="66" t="inlineStr">
        <is>
          <t>Chlorophyll a</t>
        </is>
      </c>
      <c r="D19" s="66" t="inlineStr"/>
      <c r="E19" s="66" t="n">
        <v>5</v>
      </c>
      <c r="F19" s="66" t="inlineStr">
        <is>
          <t>19 least-disturbed stations of this ecoregion</t>
        </is>
      </c>
      <c r="G19" s="66" t="n">
        <v>0.2150000035762787</v>
      </c>
      <c r="H19" s="66" t="n">
        <v>0.6800000071525574</v>
      </c>
      <c r="I19" s="66" t="n">
        <v>1.610000014305115</v>
      </c>
      <c r="J19" s="66" t="n">
        <v>3.005000025033951</v>
      </c>
      <c r="K19" s="66" t="n">
        <v>3.935000032186508</v>
      </c>
      <c r="L19" s="66" t="n">
        <v>3.935000032186508</v>
      </c>
      <c r="M19" s="66" t="n">
        <v>3.935000032186508</v>
      </c>
      <c r="N19" s="66" t="n">
        <v>3.935000032186508</v>
      </c>
      <c r="O19" s="66" t="n">
        <v>1</v>
      </c>
      <c r="P19" s="66" t="n">
        <v>1</v>
      </c>
      <c r="Q19" s="66" t="n">
        <v>0.7</v>
      </c>
      <c r="R19" s="66" t="n">
        <v>0.3</v>
      </c>
      <c r="S19" s="66" t="n">
        <v>0</v>
      </c>
      <c r="T19" s="66" t="n">
        <v>0</v>
      </c>
      <c r="U19" s="66" t="n">
        <v>0</v>
      </c>
      <c r="V19" s="66" t="n">
        <v>0</v>
      </c>
    </row>
    <row r="20">
      <c r="A20" s="66" t="inlineStr">
        <is>
          <t>spring_phab_xcdenmid|</t>
        </is>
      </c>
      <c r="B20" s="66" t="inlineStr">
        <is>
          <t>spring-phab-xcdenmid</t>
        </is>
      </c>
      <c r="C20" s="66" t="inlineStr">
        <is>
          <t>Canopy density, mid-channel</t>
        </is>
      </c>
      <c r="D20" s="66" t="inlineStr"/>
      <c r="E20" s="66" t="n">
        <v>5</v>
      </c>
      <c r="F20" s="66" t="inlineStr">
        <is>
          <t>19 least-disturbed stations of this ecoregion</t>
        </is>
      </c>
      <c r="G20" s="66" t="n">
        <v>0</v>
      </c>
      <c r="H20" s="66" t="n">
        <v>13.43582848140172</v>
      </c>
      <c r="I20" s="66" t="n">
        <v>31.350266456604</v>
      </c>
      <c r="J20" s="66" t="n">
        <v>85.82888031005859</v>
      </c>
      <c r="K20" s="66" t="n">
        <v>100</v>
      </c>
      <c r="L20" s="66" t="n">
        <v>100</v>
      </c>
      <c r="M20" s="66" t="n">
        <v>100</v>
      </c>
      <c r="N20" s="66" t="n">
        <v>100</v>
      </c>
      <c r="O20" s="66" t="n">
        <v>0</v>
      </c>
      <c r="P20" s="66" t="n">
        <v>0.3</v>
      </c>
      <c r="Q20" s="66" t="n">
        <v>0.7</v>
      </c>
      <c r="R20" s="66" t="n">
        <v>1</v>
      </c>
      <c r="S20" s="66" t="n">
        <v>1</v>
      </c>
      <c r="T20" s="66" t="n">
        <v>1</v>
      </c>
      <c r="U20" s="66" t="n">
        <v>1</v>
      </c>
      <c r="V20" s="66" t="n">
        <v>1</v>
      </c>
    </row>
    <row r="21">
      <c r="A21" s="66" t="inlineStr">
        <is>
          <t>spring_phab_xcmgw|</t>
        </is>
      </c>
      <c r="B21" s="66" t="inlineStr">
        <is>
          <t>spring-phab-xcmgw</t>
        </is>
      </c>
      <c r="C21" s="66" t="inlineStr">
        <is>
          <t>Riparian veg cover, woody</t>
        </is>
      </c>
      <c r="D21" s="66" t="inlineStr"/>
      <c r="E21" s="66" t="n">
        <v>5</v>
      </c>
      <c r="F21" s="66" t="inlineStr">
        <is>
          <t>19 least-disturbed stations of this ecoregion</t>
        </is>
      </c>
      <c r="G21" s="66" t="n">
        <v>0</v>
      </c>
      <c r="H21" s="66" t="n">
        <v>0.204058438539505</v>
      </c>
      <c r="I21" s="66" t="n">
        <v>0.4761363565921783</v>
      </c>
      <c r="J21" s="66" t="n">
        <v>1.365340888500214</v>
      </c>
      <c r="K21" s="66" t="n">
        <v>1.809943154454231</v>
      </c>
      <c r="L21" s="66" t="n">
        <v>1.809943154454231</v>
      </c>
      <c r="M21" s="66" t="n">
        <v>1.809943154454231</v>
      </c>
      <c r="N21" s="66" t="n">
        <v>1.809943154454231</v>
      </c>
      <c r="O21" s="66" t="n">
        <v>0</v>
      </c>
      <c r="P21" s="66" t="n">
        <v>0.3</v>
      </c>
      <c r="Q21" s="66" t="n">
        <v>0.7</v>
      </c>
      <c r="R21" s="66" t="n">
        <v>1</v>
      </c>
      <c r="S21" s="66" t="n">
        <v>1</v>
      </c>
      <c r="T21" s="66" t="n">
        <v>1</v>
      </c>
      <c r="U21" s="66" t="n">
        <v>1</v>
      </c>
      <c r="V21" s="66" t="n">
        <v>1</v>
      </c>
    </row>
    <row r="22">
      <c r="A22" s="66" t="inlineStr">
        <is>
          <t>spring_chem_ntl|</t>
        </is>
      </c>
      <c r="B22" s="66" t="inlineStr">
        <is>
          <t>spring-chem-ntl</t>
        </is>
      </c>
      <c r="C22" s="66" t="inlineStr">
        <is>
          <t>Total nitrogen</t>
        </is>
      </c>
      <c r="D22" s="66" t="inlineStr"/>
      <c r="E22" s="66" t="n">
        <v>5</v>
      </c>
      <c r="F22" s="66" t="inlineStr">
        <is>
          <t>19 least-disturbed stations of this ecoregion</t>
        </is>
      </c>
      <c r="G22" s="66" t="n">
        <v>0</v>
      </c>
      <c r="H22" s="66" t="n">
        <v>0.1020000018179417</v>
      </c>
      <c r="I22" s="66" t="n">
        <v>0.3384999930858612</v>
      </c>
      <c r="J22" s="66" t="n">
        <v>0.6932499799877405</v>
      </c>
      <c r="K22" s="66" t="n">
        <v>0.9297499712556601</v>
      </c>
      <c r="L22" s="66" t="n">
        <v>0.9297499712556601</v>
      </c>
      <c r="M22" s="66" t="n">
        <v>0.9297499712556601</v>
      </c>
      <c r="N22" s="66" t="n">
        <v>0.9297499712556601</v>
      </c>
      <c r="O22" s="66" t="n">
        <v>1</v>
      </c>
      <c r="P22" s="66" t="n">
        <v>1</v>
      </c>
      <c r="Q22" s="66" t="n">
        <v>0.7</v>
      </c>
      <c r="R22" s="66" t="n">
        <v>0.3</v>
      </c>
      <c r="S22" s="66" t="n">
        <v>0</v>
      </c>
      <c r="T22" s="66" t="n">
        <v>0</v>
      </c>
      <c r="U22" s="66" t="n">
        <v>0</v>
      </c>
      <c r="V22" s="66" t="n">
        <v>0</v>
      </c>
    </row>
    <row r="23">
      <c r="A23" s="66" t="inlineStr">
        <is>
          <t>spring_chem_ptl|</t>
        </is>
      </c>
      <c r="B23" s="66" t="inlineStr">
        <is>
          <t>spring-chem-ptl</t>
        </is>
      </c>
      <c r="C23" s="66" t="inlineStr">
        <is>
          <t>Total phosphorus</t>
        </is>
      </c>
      <c r="D23" s="66" t="inlineStr"/>
      <c r="E23" s="66" t="n">
        <v>5</v>
      </c>
      <c r="F23" s="66" t="inlineStr">
        <is>
          <t>19 least-disturbed stations of this ecoregion</t>
        </is>
      </c>
      <c r="G23" s="66" t="n">
        <v>3.034749507904053</v>
      </c>
      <c r="H23" s="66" t="n">
        <v>29.3774995803833</v>
      </c>
      <c r="I23" s="66" t="n">
        <v>82.0629997253418</v>
      </c>
      <c r="J23" s="66" t="n">
        <v>161.0912499427795</v>
      </c>
      <c r="K23" s="66" t="n">
        <v>213.776750087738</v>
      </c>
      <c r="L23" s="66" t="n">
        <v>213.776750087738</v>
      </c>
      <c r="M23" s="66" t="n">
        <v>213.776750087738</v>
      </c>
      <c r="N23" s="66" t="n">
        <v>213.776750087738</v>
      </c>
      <c r="O23" s="66" t="n">
        <v>1</v>
      </c>
      <c r="P23" s="66" t="n">
        <v>1</v>
      </c>
      <c r="Q23" s="66" t="n">
        <v>0.7</v>
      </c>
      <c r="R23" s="66" t="n">
        <v>0.3</v>
      </c>
      <c r="S23" s="66" t="n">
        <v>0</v>
      </c>
      <c r="T23" s="66" t="n">
        <v>0</v>
      </c>
      <c r="U23" s="66" t="n">
        <v>0</v>
      </c>
      <c r="V23" s="66" t="n">
        <v>0</v>
      </c>
    </row>
    <row r="24">
      <c r="A24" s="66" t="inlineStr">
        <is>
          <t>spring_chem_ph|</t>
        </is>
      </c>
      <c r="B24" s="66" t="inlineStr">
        <is>
          <t>spring-chem-ph</t>
        </is>
      </c>
      <c r="C24" s="66" t="inlineStr">
        <is>
          <t>pH</t>
        </is>
      </c>
      <c r="D24" s="66" t="inlineStr"/>
      <c r="E24" s="66" t="n">
        <v>8</v>
      </c>
      <c r="F24" s="66" t="inlineStr">
        <is>
          <t>87 least-disturbed stations borrowed from Level II ecoregion 10.1 (Cold Deserts) under the regional screen (agriculture at most 25 percent), transfer risk low</t>
        </is>
      </c>
      <c r="G24" s="66" t="n">
        <v>6.849999666213989</v>
      </c>
      <c r="H24" s="66" t="n">
        <v>7.349999904632568</v>
      </c>
      <c r="I24" s="66" t="n">
        <v>7.675000059604645</v>
      </c>
      <c r="J24" s="66" t="n">
        <v>7.850000143051147</v>
      </c>
      <c r="K24" s="66" t="n">
        <v>8.350000381469727</v>
      </c>
      <c r="L24" s="66" t="n">
        <v>8.525000464916229</v>
      </c>
      <c r="M24" s="66" t="n">
        <v>8.850000619888306</v>
      </c>
      <c r="N24" s="66" t="n">
        <v>9.350000858306885</v>
      </c>
      <c r="O24" s="66" t="n">
        <v>0</v>
      </c>
      <c r="P24" s="66" t="n">
        <v>0.3</v>
      </c>
      <c r="Q24" s="66" t="n">
        <v>0.7</v>
      </c>
      <c r="R24" s="66" t="n">
        <v>1</v>
      </c>
      <c r="S24" s="66" t="n">
        <v>1</v>
      </c>
      <c r="T24" s="66" t="n">
        <v>0.7</v>
      </c>
      <c r="U24" s="66" t="n">
        <v>0.3</v>
      </c>
      <c r="V24" s="66" t="n">
        <v>0</v>
      </c>
    </row>
    <row r="25">
      <c r="A25" s="66" t="inlineStr">
        <is>
          <t>spring_chem_turb|</t>
        </is>
      </c>
      <c r="B25" s="66" t="inlineStr">
        <is>
          <t>spring-chem-turb</t>
        </is>
      </c>
      <c r="C25" s="66" t="inlineStr">
        <is>
          <t>Turbidity</t>
        </is>
      </c>
      <c r="D25" s="66" t="inlineStr"/>
      <c r="E25" s="66" t="n">
        <v>5</v>
      </c>
      <c r="F25" s="66" t="inlineStr">
        <is>
          <t>19 least-disturbed stations of this ecoregion</t>
        </is>
      </c>
      <c r="G25" s="66" t="n">
        <v>0</v>
      </c>
      <c r="H25" s="66" t="n">
        <v>0.9000000059604645</v>
      </c>
      <c r="I25" s="66" t="n">
        <v>3.389999985694885</v>
      </c>
      <c r="J25" s="66" t="n">
        <v>7.124999955296516</v>
      </c>
      <c r="K25" s="66" t="n">
        <v>9.614999935030937</v>
      </c>
      <c r="L25" s="66" t="n">
        <v>9.614999935030937</v>
      </c>
      <c r="M25" s="66" t="n">
        <v>9.614999935030937</v>
      </c>
      <c r="N25" s="66" t="n">
        <v>9.614999935030937</v>
      </c>
      <c r="O25" s="66" t="n">
        <v>1</v>
      </c>
      <c r="P25" s="66" t="n">
        <v>1</v>
      </c>
      <c r="Q25" s="66" t="n">
        <v>0.7</v>
      </c>
      <c r="R25" s="66" t="n">
        <v>0.3</v>
      </c>
      <c r="S25" s="66" t="n">
        <v>0</v>
      </c>
      <c r="T25" s="66" t="n">
        <v>0</v>
      </c>
      <c r="U25" s="66" t="n">
        <v>0</v>
      </c>
      <c r="V25" s="66" t="n">
        <v>0</v>
      </c>
    </row>
    <row r="26">
      <c r="A26" s="66" t="inlineStr">
        <is>
          <t>spring_phab_pct_fast|</t>
        </is>
      </c>
      <c r="B26" s="66" t="inlineStr">
        <is>
          <t>spring-phab-pct-fast</t>
        </is>
      </c>
      <c r="C26" s="66" t="inlineStr">
        <is>
          <t>Fast-water / riffle habitat</t>
        </is>
      </c>
      <c r="D26" s="66" t="inlineStr"/>
      <c r="E26" s="66" t="n">
        <v>5</v>
      </c>
      <c r="F26" s="66" t="inlineStr">
        <is>
          <t>19 least-disturbed stations of this ecoregion</t>
        </is>
      </c>
      <c r="G26" s="66" t="n">
        <v>0</v>
      </c>
      <c r="H26" s="66" t="n">
        <v>12.57142884390695</v>
      </c>
      <c r="I26" s="66" t="n">
        <v>29.33333396911621</v>
      </c>
      <c r="J26" s="66" t="n">
        <v>95</v>
      </c>
      <c r="K26" s="66" t="n">
        <v>100</v>
      </c>
      <c r="L26" s="66" t="n">
        <v>100</v>
      </c>
      <c r="M26" s="66" t="n">
        <v>100</v>
      </c>
      <c r="N26" s="66" t="n">
        <v>100</v>
      </c>
      <c r="O26" s="66" t="n">
        <v>0</v>
      </c>
      <c r="P26" s="66" t="n">
        <v>0.3</v>
      </c>
      <c r="Q26" s="66" t="n">
        <v>0.7</v>
      </c>
      <c r="R26" s="66" t="n">
        <v>1</v>
      </c>
      <c r="S26" s="66" t="n">
        <v>1</v>
      </c>
      <c r="T26" s="66" t="n">
        <v>1</v>
      </c>
      <c r="U26" s="66" t="n">
        <v>1</v>
      </c>
      <c r="V26" s="66" t="n">
        <v>1</v>
      </c>
    </row>
    <row r="27">
      <c r="A27" s="66" t="inlineStr">
        <is>
          <t>spring_phab_xfc_nat|</t>
        </is>
      </c>
      <c r="B27" s="66" t="inlineStr">
        <is>
          <t>spring-phab-xfc-nat</t>
        </is>
      </c>
      <c r="C27" s="66" t="inlineStr">
        <is>
          <t>Natural fish cover</t>
        </is>
      </c>
      <c r="D27" s="66" t="inlineStr"/>
      <c r="E27" s="66" t="n">
        <v>5</v>
      </c>
      <c r="F27" s="66" t="inlineStr">
        <is>
          <t>19 least-disturbed stations of this ecoregion</t>
        </is>
      </c>
      <c r="G27" s="66" t="n">
        <v>0</v>
      </c>
      <c r="H27" s="66" t="n">
        <v>0.1260389621768679</v>
      </c>
      <c r="I27" s="66" t="n">
        <v>0.2940909117460251</v>
      </c>
      <c r="J27" s="66" t="n">
        <v>0.8931818008422852</v>
      </c>
      <c r="K27" s="66" t="n">
        <v>1.192727245390415</v>
      </c>
      <c r="L27" s="66" t="n">
        <v>1.192727245390415</v>
      </c>
      <c r="M27" s="66" t="n">
        <v>1.192727245390415</v>
      </c>
      <c r="N27" s="66" t="n">
        <v>1.192727245390415</v>
      </c>
      <c r="O27" s="66" t="n">
        <v>0</v>
      </c>
      <c r="P27" s="66" t="n">
        <v>0.3</v>
      </c>
      <c r="Q27" s="66" t="n">
        <v>0.7</v>
      </c>
      <c r="R27" s="66" t="n">
        <v>1</v>
      </c>
      <c r="S27" s="66" t="n">
        <v>1</v>
      </c>
      <c r="T27" s="66" t="n">
        <v>1</v>
      </c>
      <c r="U27" s="66" t="n">
        <v>1</v>
      </c>
      <c r="V27" s="66" t="n">
        <v>1</v>
      </c>
    </row>
    <row r="28">
      <c r="A28" s="66" t="inlineStr">
        <is>
          <t>spring_bent_totlntax|</t>
        </is>
      </c>
      <c r="B28" s="66" t="inlineStr">
        <is>
          <t>spring-bent-totlntax</t>
        </is>
      </c>
      <c r="C28" s="66" t="inlineStr">
        <is>
          <t>Benthic total taxa richness</t>
        </is>
      </c>
      <c r="D28" s="66" t="inlineStr"/>
      <c r="E28" s="66" t="n">
        <v>5</v>
      </c>
      <c r="F28" s="66" t="inlineStr">
        <is>
          <t>Reference curve fitted to comparable least-disturbed stations drawn from the national pool, because this ecoregion and its parents hold too few of their own.</t>
        </is>
      </c>
      <c r="G28" s="66" t="n">
        <v>0</v>
      </c>
      <c r="H28" s="66" t="n">
        <v>13.71428571428571</v>
      </c>
      <c r="I28" s="66" t="n">
        <v>32</v>
      </c>
      <c r="J28" s="66" t="n">
        <v>41.25</v>
      </c>
      <c r="K28" s="66" t="n">
        <v>45.875</v>
      </c>
      <c r="L28" s="66" t="n">
        <v>45.875</v>
      </c>
      <c r="M28" s="66" t="n">
        <v>45.875</v>
      </c>
      <c r="N28" s="66" t="n">
        <v>45.875</v>
      </c>
      <c r="O28" s="66" t="n">
        <v>0</v>
      </c>
      <c r="P28" s="66" t="n">
        <v>0.3</v>
      </c>
      <c r="Q28" s="66" t="n">
        <v>0.7</v>
      </c>
      <c r="R28" s="66" t="n">
        <v>1</v>
      </c>
      <c r="S28" s="66" t="n">
        <v>1</v>
      </c>
      <c r="T28" s="66" t="n">
        <v>1</v>
      </c>
      <c r="U28" s="66" t="n">
        <v>1</v>
      </c>
      <c r="V28" s="66" t="n">
        <v>1</v>
      </c>
    </row>
    <row r="29">
      <c r="A29" s="66" t="inlineStr">
        <is>
          <t>spring_bent_ept_ntax|</t>
        </is>
      </c>
      <c r="B29" s="66" t="inlineStr">
        <is>
          <t>spring-bent-ept-ntax</t>
        </is>
      </c>
      <c r="C29" s="66" t="inlineStr">
        <is>
          <t>EPT taxa richness</t>
        </is>
      </c>
      <c r="D29" s="66" t="inlineStr"/>
      <c r="E29" s="66" t="n">
        <v>5</v>
      </c>
      <c r="F29" s="66" t="inlineStr">
        <is>
          <t>19 least-disturbed stations of this ecoregion</t>
        </is>
      </c>
      <c r="G29" s="66" t="n">
        <v>0</v>
      </c>
      <c r="H29" s="66" t="n">
        <v>2.142857142857143</v>
      </c>
      <c r="I29" s="66" t="n">
        <v>5</v>
      </c>
      <c r="J29" s="66" t="n">
        <v>13</v>
      </c>
      <c r="K29" s="66" t="n">
        <v>17</v>
      </c>
      <c r="L29" s="66" t="n">
        <v>17</v>
      </c>
      <c r="M29" s="66" t="n">
        <v>17</v>
      </c>
      <c r="N29" s="66" t="n">
        <v>17</v>
      </c>
      <c r="O29" s="66" t="n">
        <v>0</v>
      </c>
      <c r="P29" s="66" t="n">
        <v>0.3</v>
      </c>
      <c r="Q29" s="66" t="n">
        <v>0.7</v>
      </c>
      <c r="R29" s="66" t="n">
        <v>1</v>
      </c>
      <c r="S29" s="66" t="n">
        <v>1</v>
      </c>
      <c r="T29" s="66" t="n">
        <v>1</v>
      </c>
      <c r="U29" s="66" t="n">
        <v>1</v>
      </c>
      <c r="V29" s="66" t="n">
        <v>1</v>
      </c>
    </row>
    <row r="30">
      <c r="A30" s="66" t="inlineStr">
        <is>
          <t>spring_bent_tolrpind|</t>
        </is>
      </c>
      <c r="B30" s="66" t="inlineStr">
        <is>
          <t>spring-bent-tolrpind</t>
        </is>
      </c>
      <c r="C30" s="66" t="inlineStr">
        <is>
          <t>Tolerant individuals (%) ~ HBI</t>
        </is>
      </c>
      <c r="D30" s="66" t="inlineStr"/>
      <c r="E30" s="66" t="n">
        <v>5</v>
      </c>
      <c r="F30" s="66" t="inlineStr">
        <is>
          <t>19 least-disturbed stations of this ecoregion</t>
        </is>
      </c>
      <c r="G30" s="66" t="n">
        <v>0</v>
      </c>
      <c r="H30" s="66" t="n">
        <v>3.670000076293945</v>
      </c>
      <c r="I30" s="66" t="n">
        <v>22</v>
      </c>
      <c r="J30" s="66" t="n">
        <v>49.49499988555908</v>
      </c>
      <c r="K30" s="66" t="n">
        <v>67.82499980926514</v>
      </c>
      <c r="L30" s="66" t="n">
        <v>67.82499980926514</v>
      </c>
      <c r="M30" s="66" t="n">
        <v>67.82499980926514</v>
      </c>
      <c r="N30" s="66" t="n">
        <v>67.82499980926514</v>
      </c>
      <c r="O30" s="66" t="n">
        <v>1</v>
      </c>
      <c r="P30" s="66" t="n">
        <v>1</v>
      </c>
      <c r="Q30" s="66" t="n">
        <v>0.7</v>
      </c>
      <c r="R30" s="66" t="n">
        <v>0.3</v>
      </c>
      <c r="S30" s="66" t="n">
        <v>0</v>
      </c>
      <c r="T30" s="66" t="n">
        <v>0</v>
      </c>
      <c r="U30" s="66" t="n">
        <v>0</v>
      </c>
      <c r="V30" s="66" t="n">
        <v>0</v>
      </c>
    </row>
    <row r="31">
      <c r="A31" s="66" t="inlineStr">
        <is>
          <t>spring_nid_dams_1mi|</t>
        </is>
      </c>
      <c r="B31" s="66" t="inlineStr">
        <is>
          <t>spring-nid-dams-1mi</t>
        </is>
      </c>
      <c r="C31" s="66" t="inlineStr">
        <is>
          <t>Mapped dams within one mile</t>
        </is>
      </c>
      <c r="D31" s="66" t="inlineStr"/>
      <c r="E31" s="66" t="n">
        <v>4</v>
      </c>
      <c r="F31" s="66" t="inlineStr">
        <is>
          <t>Fixed criteria, the same in every region</t>
        </is>
      </c>
      <c r="G31" s="66" t="n">
        <v>0</v>
      </c>
      <c r="H31" s="66" t="n">
        <v>1</v>
      </c>
      <c r="I31" s="66" t="n">
        <v>2</v>
      </c>
      <c r="J31" s="66" t="n">
        <v>3</v>
      </c>
      <c r="K31" s="66" t="n">
        <v>3</v>
      </c>
      <c r="L31" s="66" t="n">
        <v>3</v>
      </c>
      <c r="M31" s="66" t="n">
        <v>3</v>
      </c>
      <c r="N31" s="66" t="n">
        <v>3</v>
      </c>
      <c r="O31" s="66" t="n">
        <v>1</v>
      </c>
      <c r="P31" s="66" t="n">
        <v>0.545</v>
      </c>
      <c r="Q31" s="66" t="n">
        <v>0.195</v>
      </c>
      <c r="R31" s="66" t="n">
        <v>0</v>
      </c>
      <c r="S31" s="66" t="n">
        <v>0</v>
      </c>
      <c r="T31" s="66" t="n">
        <v>0</v>
      </c>
      <c r="U31" s="66" t="n">
        <v>0</v>
      </c>
      <c r="V31" s="66" t="n">
        <v>0</v>
      </c>
    </row>
    <row r="34">
      <c r="A34" s="55" t="inlineStr">
        <is>
          <t>Curve sets by metric</t>
        </is>
      </c>
    </row>
    <row r="37">
      <c r="A37" s="55"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central-basin-and-range</t>
        </is>
      </c>
    </row>
    <row r="5">
      <c r="A5" s="66" t="inlineStr">
        <is>
          <t>Assessment name</t>
        </is>
      </c>
      <c r="B5" s="66" t="inlineStr">
        <is>
          <t>Central Basin and Range reference assessment</t>
        </is>
      </c>
    </row>
    <row r="6">
      <c r="A6" s="66" t="inlineStr">
        <is>
          <t>Version</t>
        </is>
      </c>
      <c r="B6" s="66" t="n">
        <v>2</v>
      </c>
    </row>
    <row r="7">
      <c r="A7" s="66" t="inlineStr">
        <is>
          <t>Lifecycle status</t>
        </is>
      </c>
      <c r="B7" s="66" t="inlineStr"/>
    </row>
    <row r="8">
      <c r="A8" s="66" t="inlineStr">
        <is>
          <t>Content digest</t>
        </is>
      </c>
      <c r="B8" s="66" t="inlineStr">
        <is>
          <t>sha256:9d3ed96f17757f4623dcc4a5b9b3a280f7e19c6c4a1004370469cb3841b2fe01</t>
        </is>
      </c>
    </row>
    <row r="9">
      <c r="A9" s="66" t="inlineStr">
        <is>
          <t>Region</t>
        </is>
      </c>
      <c r="B9" s="66" t="inlineStr">
        <is>
          <t>ecoregion 13 Central Basin and Range</t>
        </is>
      </c>
    </row>
    <row r="10">
      <c r="A10" s="66" t="inlineStr">
        <is>
          <t>Source</t>
        </is>
      </c>
      <c r="B10" s="66" t="inlineStr">
        <is>
          <t>USEPA NRSA 2013-24 (L3 ecoregion 13),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27</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5" t="inlineStr">
        <is>
          <t>Function</t>
        </is>
      </c>
      <c r="B2" s="55" t="inlineStr">
        <is>
          <t>Score</t>
        </is>
      </c>
      <c r="C2" s="55" t="inlineStr">
        <is>
          <t>Non-Functioning (0-5)</t>
        </is>
      </c>
      <c r="D2" s="55" t="inlineStr">
        <is>
          <t>Functioning At-Risk (6-10)</t>
        </is>
      </c>
      <c r="E2" s="55" t="inlineStr">
        <is>
          <t>Functioning (11-15)</t>
        </is>
      </c>
    </row>
    <row r="3">
      <c r="A3" t="inlineStr">
        <is>
          <t>Catchment hydrology</t>
        </is>
      </c>
      <c r="B3">
        <f>IF('Results'!$B$4="","",'Results'!$B$4)</f>
        <v/>
      </c>
      <c r="C3" s="69">
        <f>IF(ISNUMBER('ChartData'!$B$3),IF('ChartData'!$B$3&lt;=5,'ChartData'!$B$3,NA()),NA())</f>
        <v/>
      </c>
      <c r="D3" s="69">
        <f>IF(ISNUMBER('ChartData'!$B$3),IF(AND('ChartData'!$B$3&gt;5,'ChartData'!$B$3&lt;=10),'ChartData'!$B$3,NA()),NA())</f>
        <v/>
      </c>
      <c r="E3" s="69">
        <f>IF(ISNUMBER('ChartData'!$B$3),IF('ChartData'!$B$3&gt;10,'ChartData'!$B$3,NA()),NA())</f>
        <v/>
      </c>
    </row>
    <row r="4">
      <c r="A4" t="inlineStr">
        <is>
          <t>Surface water storage</t>
        </is>
      </c>
      <c r="B4">
        <f>IF('Results'!$B$5="","",'Results'!$B$5)</f>
        <v/>
      </c>
      <c r="C4" s="69">
        <f>IF(ISNUMBER('ChartData'!$B$4),IF('ChartData'!$B$4&lt;=5,'ChartData'!$B$4,NA()),NA())</f>
        <v/>
      </c>
      <c r="D4" s="69">
        <f>IF(ISNUMBER('ChartData'!$B$4),IF(AND('ChartData'!$B$4&gt;5,'ChartData'!$B$4&lt;=10),'ChartData'!$B$4,NA()),NA())</f>
        <v/>
      </c>
      <c r="E4" s="69">
        <f>IF(ISNUMBER('ChartData'!$B$4),IF('ChartData'!$B$4&gt;10,'ChartData'!$B$4,NA()),NA())</f>
        <v/>
      </c>
    </row>
    <row r="5">
      <c r="A5" t="inlineStr">
        <is>
          <t>Reach inflow</t>
        </is>
      </c>
      <c r="B5">
        <f>IF('Results'!$B$6="","",'Results'!$B$6)</f>
        <v/>
      </c>
      <c r="C5" s="69">
        <f>IF(ISNUMBER('ChartData'!$B$5),IF('ChartData'!$B$5&lt;=5,'ChartData'!$B$5,NA()),NA())</f>
        <v/>
      </c>
      <c r="D5" s="69">
        <f>IF(ISNUMBER('ChartData'!$B$5),IF(AND('ChartData'!$B$5&gt;5,'ChartData'!$B$5&lt;=10),'ChartData'!$B$5,NA()),NA())</f>
        <v/>
      </c>
      <c r="E5" s="69">
        <f>IF(ISNUMBER('ChartData'!$B$5),IF('ChartData'!$B$5&gt;10,'ChartData'!$B$5,NA()),NA())</f>
        <v/>
      </c>
    </row>
    <row r="6">
      <c r="A6" t="inlineStr">
        <is>
          <t>Streamflow regime</t>
        </is>
      </c>
      <c r="B6">
        <f>IF('Results'!$B$7="","",'Results'!$B$7)</f>
        <v/>
      </c>
      <c r="C6" s="69">
        <f>IF(ISNUMBER('ChartData'!$B$6),IF('ChartData'!$B$6&lt;=5,'ChartData'!$B$6,NA()),NA())</f>
        <v/>
      </c>
      <c r="D6" s="69">
        <f>IF(ISNUMBER('ChartData'!$B$6),IF(AND('ChartData'!$B$6&gt;5,'ChartData'!$B$6&lt;=10),'ChartData'!$B$6,NA()),NA())</f>
        <v/>
      </c>
      <c r="E6" s="69">
        <f>IF(ISNUMBER('ChartData'!$B$6),IF('ChartData'!$B$6&gt;10,'ChartData'!$B$6,NA()),NA())</f>
        <v/>
      </c>
    </row>
    <row r="7">
      <c r="A7" t="inlineStr">
        <is>
          <t>Low flow and baseflow dynamics</t>
        </is>
      </c>
      <c r="B7">
        <f>IF('Results'!$B$8="","",'Results'!$B$8)</f>
        <v/>
      </c>
      <c r="C7" s="69">
        <f>IF(ISNUMBER('ChartData'!$B$7),IF('ChartData'!$B$7&lt;=5,'ChartData'!$B$7,NA()),NA())</f>
        <v/>
      </c>
      <c r="D7" s="69">
        <f>IF(ISNUMBER('ChartData'!$B$7),IF(AND('ChartData'!$B$7&gt;5,'ChartData'!$B$7&lt;=10),'ChartData'!$B$7,NA()),NA())</f>
        <v/>
      </c>
      <c r="E7" s="69">
        <f>IF(ISNUMBER('ChartData'!$B$7),IF('ChartData'!$B$7&gt;10,'ChartData'!$B$7,NA()),NA())</f>
        <v/>
      </c>
    </row>
    <row r="8">
      <c r="A8" t="inlineStr">
        <is>
          <t>High flow dynamics</t>
        </is>
      </c>
      <c r="B8">
        <f>IF('Results'!$B$9="","",'Results'!$B$9)</f>
        <v/>
      </c>
      <c r="C8" s="69">
        <f>IF(ISNUMBER('ChartData'!$B$8),IF('ChartData'!$B$8&lt;=5,'ChartData'!$B$8,NA()),NA())</f>
        <v/>
      </c>
      <c r="D8" s="69">
        <f>IF(ISNUMBER('ChartData'!$B$8),IF(AND('ChartData'!$B$8&gt;5,'ChartData'!$B$8&lt;=10),'ChartData'!$B$8,NA()),NA())</f>
        <v/>
      </c>
      <c r="E8" s="69">
        <f>IF(ISNUMBER('ChartData'!$B$8),IF('ChartData'!$B$8&gt;10,'ChartData'!$B$8,NA()),NA())</f>
        <v/>
      </c>
    </row>
    <row r="9">
      <c r="A9" t="inlineStr">
        <is>
          <t>Floodplain connectivity</t>
        </is>
      </c>
      <c r="B9">
        <f>IF('Results'!$B$10="","",'Results'!$B$10)</f>
        <v/>
      </c>
      <c r="C9" s="69">
        <f>IF(ISNUMBER('ChartData'!$B$9),IF('ChartData'!$B$9&lt;=5,'ChartData'!$B$9,NA()),NA())</f>
        <v/>
      </c>
      <c r="D9" s="69">
        <f>IF(ISNUMBER('ChartData'!$B$9),IF(AND('ChartData'!$B$9&gt;5,'ChartData'!$B$9&lt;=10),'ChartData'!$B$9,NA()),NA())</f>
        <v/>
      </c>
      <c r="E9" s="69">
        <f>IF(ISNUMBER('ChartData'!$B$9),IF('ChartData'!$B$9&gt;10,'ChartData'!$B$9,NA()),NA())</f>
        <v/>
      </c>
    </row>
    <row r="10">
      <c r="A10" t="inlineStr">
        <is>
          <t>Hyporheic connectivity</t>
        </is>
      </c>
      <c r="B10">
        <f>IF('Results'!$B$11="","",'Results'!$B$11)</f>
        <v/>
      </c>
      <c r="C10" s="69">
        <f>IF(ISNUMBER('ChartData'!$B$10),IF('ChartData'!$B$10&lt;=5,'ChartData'!$B$10,NA()),NA())</f>
        <v/>
      </c>
      <c r="D10" s="69">
        <f>IF(ISNUMBER('ChartData'!$B$10),IF(AND('ChartData'!$B$10&gt;5,'ChartData'!$B$10&lt;=10),'ChartData'!$B$10,NA()),NA())</f>
        <v/>
      </c>
      <c r="E10" s="69">
        <f>IF(ISNUMBER('ChartData'!$B$10),IF('ChartData'!$B$10&gt;10,'ChartData'!$B$10,NA()),NA())</f>
        <v/>
      </c>
    </row>
    <row r="11">
      <c r="A11" t="inlineStr">
        <is>
          <t>Channel evolution</t>
        </is>
      </c>
      <c r="B11">
        <f>IF('Results'!$B$12="","",'Results'!$B$12)</f>
        <v/>
      </c>
      <c r="C11" s="69">
        <f>IF(ISNUMBER('ChartData'!$B$11),IF('ChartData'!$B$11&lt;=5,'ChartData'!$B$11,NA()),NA())</f>
        <v/>
      </c>
      <c r="D11" s="69">
        <f>IF(ISNUMBER('ChartData'!$B$11),IF(AND('ChartData'!$B$11&gt;5,'ChartData'!$B$11&lt;=10),'ChartData'!$B$11,NA()),NA())</f>
        <v/>
      </c>
      <c r="E11" s="69">
        <f>IF(ISNUMBER('ChartData'!$B$11),IF('ChartData'!$B$11&gt;10,'ChartData'!$B$11,NA()),NA())</f>
        <v/>
      </c>
    </row>
    <row r="12">
      <c r="A12" t="inlineStr">
        <is>
          <t>Channel and floodplain dynamics</t>
        </is>
      </c>
      <c r="B12">
        <f>IF('Results'!$B$13="","",'Results'!$B$13)</f>
        <v/>
      </c>
      <c r="C12" s="69">
        <f>IF(ISNUMBER('ChartData'!$B$12),IF('ChartData'!$B$12&lt;=5,'ChartData'!$B$12,NA()),NA())</f>
        <v/>
      </c>
      <c r="D12" s="69">
        <f>IF(ISNUMBER('ChartData'!$B$12),IF(AND('ChartData'!$B$12&gt;5,'ChartData'!$B$12&lt;=10),'ChartData'!$B$12,NA()),NA())</f>
        <v/>
      </c>
      <c r="E12" s="69">
        <f>IF(ISNUMBER('ChartData'!$B$12),IF('ChartData'!$B$12&gt;10,'ChartData'!$B$12,NA()),NA())</f>
        <v/>
      </c>
    </row>
    <row r="13">
      <c r="A13" t="inlineStr">
        <is>
          <t>Sediment continuity</t>
        </is>
      </c>
      <c r="B13">
        <f>IF('Results'!$B$14="","",'Results'!$B$14)</f>
        <v/>
      </c>
      <c r="C13" s="69">
        <f>IF(ISNUMBER('ChartData'!$B$13),IF('ChartData'!$B$13&lt;=5,'ChartData'!$B$13,NA()),NA())</f>
        <v/>
      </c>
      <c r="D13" s="69">
        <f>IF(ISNUMBER('ChartData'!$B$13),IF(AND('ChartData'!$B$13&gt;5,'ChartData'!$B$13&lt;=10),'ChartData'!$B$13,NA()),NA())</f>
        <v/>
      </c>
      <c r="E13" s="69">
        <f>IF(ISNUMBER('ChartData'!$B$13),IF('ChartData'!$B$13&gt;10,'ChartData'!$B$13,NA()),NA())</f>
        <v/>
      </c>
    </row>
    <row r="14">
      <c r="A14" t="inlineStr">
        <is>
          <t>Bed composition and bedform dynamics</t>
        </is>
      </c>
      <c r="B14">
        <f>IF('Results'!$B$15="","",'Results'!$B$15)</f>
        <v/>
      </c>
      <c r="C14" s="69">
        <f>IF(ISNUMBER('ChartData'!$B$14),IF('ChartData'!$B$14&lt;=5,'ChartData'!$B$14,NA()),NA())</f>
        <v/>
      </c>
      <c r="D14" s="69">
        <f>IF(ISNUMBER('ChartData'!$B$14),IF(AND('ChartData'!$B$14&gt;5,'ChartData'!$B$14&lt;=10),'ChartData'!$B$14,NA()),NA())</f>
        <v/>
      </c>
      <c r="E14" s="69">
        <f>IF(ISNUMBER('ChartData'!$B$14),IF('ChartData'!$B$14&gt;10,'ChartData'!$B$14,NA()),NA())</f>
        <v/>
      </c>
    </row>
    <row r="15">
      <c r="A15" t="inlineStr">
        <is>
          <t>Light &amp; thermal regime</t>
        </is>
      </c>
      <c r="B15">
        <f>IF('Results'!$B$16="","",'Results'!$B$16)</f>
        <v/>
      </c>
      <c r="C15" s="69">
        <f>IF(ISNUMBER('ChartData'!$B$15),IF('ChartData'!$B$15&lt;=5,'ChartData'!$B$15,NA()),NA())</f>
        <v/>
      </c>
      <c r="D15" s="69">
        <f>IF(ISNUMBER('ChartData'!$B$15),IF(AND('ChartData'!$B$15&gt;5,'ChartData'!$B$15&lt;=10),'ChartData'!$B$15,NA()),NA())</f>
        <v/>
      </c>
      <c r="E15" s="69">
        <f>IF(ISNUMBER('ChartData'!$B$15),IF('ChartData'!$B$15&gt;10,'ChartData'!$B$15,NA()),NA())</f>
        <v/>
      </c>
    </row>
    <row r="16">
      <c r="A16" t="inlineStr">
        <is>
          <t>Carbon processing</t>
        </is>
      </c>
      <c r="B16">
        <f>IF('Results'!$B$17="","",'Results'!$B$17)</f>
        <v/>
      </c>
      <c r="C16" s="69">
        <f>IF(ISNUMBER('ChartData'!$B$16),IF('ChartData'!$B$16&lt;=5,'ChartData'!$B$16,NA()),NA())</f>
        <v/>
      </c>
      <c r="D16" s="69">
        <f>IF(ISNUMBER('ChartData'!$B$16),IF(AND('ChartData'!$B$16&gt;5,'ChartData'!$B$16&lt;=10),'ChartData'!$B$16,NA()),NA())</f>
        <v/>
      </c>
      <c r="E16" s="69">
        <f>IF(ISNUMBER('ChartData'!$B$16),IF('ChartData'!$B$16&gt;10,'ChartData'!$B$16,NA()),NA())</f>
        <v/>
      </c>
    </row>
    <row r="17">
      <c r="A17" t="inlineStr">
        <is>
          <t>Nutrient cycling</t>
        </is>
      </c>
      <c r="B17">
        <f>IF('Results'!$B$18="","",'Results'!$B$18)</f>
        <v/>
      </c>
      <c r="C17" s="69">
        <f>IF(ISNUMBER('ChartData'!$B$17),IF('ChartData'!$B$17&lt;=5,'ChartData'!$B$17,NA()),NA())</f>
        <v/>
      </c>
      <c r="D17" s="69">
        <f>IF(ISNUMBER('ChartData'!$B$17),IF(AND('ChartData'!$B$17&gt;5,'ChartData'!$B$17&lt;=10),'ChartData'!$B$17,NA()),NA())</f>
        <v/>
      </c>
      <c r="E17" s="69">
        <f>IF(ISNUMBER('ChartData'!$B$17),IF('ChartData'!$B$17&gt;10,'ChartData'!$B$17,NA()),NA())</f>
        <v/>
      </c>
    </row>
    <row r="18">
      <c r="A18" t="inlineStr">
        <is>
          <t>Water &amp; soil quality</t>
        </is>
      </c>
      <c r="B18">
        <f>IF('Results'!$B$19="","",'Results'!$B$19)</f>
        <v/>
      </c>
      <c r="C18" s="69">
        <f>IF(ISNUMBER('ChartData'!$B$18),IF('ChartData'!$B$18&lt;=5,'ChartData'!$B$18,NA()),NA())</f>
        <v/>
      </c>
      <c r="D18" s="69">
        <f>IF(ISNUMBER('ChartData'!$B$18),IF(AND('ChartData'!$B$18&gt;5,'ChartData'!$B$18&lt;=10),'ChartData'!$B$18,NA()),NA())</f>
        <v/>
      </c>
      <c r="E18" s="69">
        <f>IF(ISNUMBER('ChartData'!$B$18),IF('ChartData'!$B$18&gt;10,'ChartData'!$B$18,NA()),NA())</f>
        <v/>
      </c>
    </row>
    <row r="19">
      <c r="A19" t="inlineStr">
        <is>
          <t>Habitat provision</t>
        </is>
      </c>
      <c r="B19">
        <f>IF('Results'!$B$20="","",'Results'!$B$20)</f>
        <v/>
      </c>
      <c r="C19" s="69">
        <f>IF(ISNUMBER('ChartData'!$B$19),IF('ChartData'!$B$19&lt;=5,'ChartData'!$B$19,NA()),NA())</f>
        <v/>
      </c>
      <c r="D19" s="69">
        <f>IF(ISNUMBER('ChartData'!$B$19),IF(AND('ChartData'!$B$19&gt;5,'ChartData'!$B$19&lt;=10),'ChartData'!$B$19,NA()),NA())</f>
        <v/>
      </c>
      <c r="E19" s="69">
        <f>IF(ISNUMBER('ChartData'!$B$19),IF('ChartData'!$B$19&gt;10,'ChartData'!$B$19,NA()),NA())</f>
        <v/>
      </c>
    </row>
    <row r="20">
      <c r="A20" t="inlineStr">
        <is>
          <t>Population support</t>
        </is>
      </c>
      <c r="B20">
        <f>IF('Results'!$B$21="","",'Results'!$B$21)</f>
        <v/>
      </c>
      <c r="C20" s="69">
        <f>IF(ISNUMBER('ChartData'!$B$20),IF('ChartData'!$B$20&lt;=5,'ChartData'!$B$20,NA()),NA())</f>
        <v/>
      </c>
      <c r="D20" s="69">
        <f>IF(ISNUMBER('ChartData'!$B$20),IF(AND('ChartData'!$B$20&gt;5,'ChartData'!$B$20&lt;=10),'ChartData'!$B$20,NA()),NA())</f>
        <v/>
      </c>
      <c r="E20" s="69">
        <f>IF(ISNUMBER('ChartData'!$B$20),IF('ChartData'!$B$20&gt;10,'ChartData'!$B$20,NA()),NA())</f>
        <v/>
      </c>
    </row>
    <row r="21">
      <c r="A21" t="inlineStr">
        <is>
          <t>Community dynamics</t>
        </is>
      </c>
      <c r="B21">
        <f>IF('Results'!$B$22="","",'Results'!$B$22)</f>
        <v/>
      </c>
      <c r="C21" s="69">
        <f>IF(ISNUMBER('ChartData'!$B$21),IF('ChartData'!$B$21&lt;=5,'ChartData'!$B$21,NA()),NA())</f>
        <v/>
      </c>
      <c r="D21" s="69">
        <f>IF(ISNUMBER('ChartData'!$B$21),IF(AND('ChartData'!$B$21&gt;5,'ChartData'!$B$21&lt;=10),'ChartData'!$B$21,NA()),NA())</f>
        <v/>
      </c>
      <c r="E21" s="69">
        <f>IF(ISNUMBER('ChartData'!$B$21),IF('ChartData'!$B$21&gt;10,'ChartData'!$B$21,NA()),NA())</f>
        <v/>
      </c>
    </row>
    <row r="22">
      <c r="A22" t="inlineStr">
        <is>
          <t>Watershed connectivity</t>
        </is>
      </c>
      <c r="B22">
        <f>IF('Results'!$B$23="","",'Results'!$B$23)</f>
        <v/>
      </c>
      <c r="C22" s="69">
        <f>IF(ISNUMBER('ChartData'!$B$22),IF('ChartData'!$B$22&lt;=5,'ChartData'!$B$22,NA()),NA())</f>
        <v/>
      </c>
      <c r="D22" s="69">
        <f>IF(ISNUMBER('ChartData'!$B$22),IF(AND('ChartData'!$B$22&gt;5,'ChartData'!$B$22&lt;=10),'ChartData'!$B$22,NA()),NA())</f>
        <v/>
      </c>
      <c r="E22" s="69">
        <f>IF(ISNUMBER('ChartData'!$B$22),IF('ChartData'!$B$22&gt;10,'ChartData'!$B$22,NA()),NA())</f>
        <v/>
      </c>
    </row>
    <row r="24">
      <c r="A24" s="55" t="inlineStr">
        <is>
          <t>Outcome</t>
        </is>
      </c>
      <c r="B24" s="55" t="inlineStr">
        <is>
          <t>Score</t>
        </is>
      </c>
      <c r="C24" s="55" t="inlineStr">
        <is>
          <t>Non-Functioning (0.00-0.39)</t>
        </is>
      </c>
      <c r="D24" s="55" t="inlineStr">
        <is>
          <t>Functioning At-Risk (0.40-0.69)</t>
        </is>
      </c>
      <c r="E24" s="55" t="inlineStr">
        <is>
          <t>Functioning (0.70-1.00)</t>
        </is>
      </c>
    </row>
    <row r="25">
      <c r="A25" t="inlineStr">
        <is>
          <t>Physical</t>
        </is>
      </c>
      <c r="B25">
        <f>'Results'!$B$26</f>
        <v/>
      </c>
      <c r="C25" s="70">
        <f>IF('ChartData'!$B$25&lt;=0.39,'ChartData'!$B$25,NA())</f>
        <v/>
      </c>
      <c r="D25" s="70">
        <f>IF(AND('ChartData'!$B$25&gt;0.39,'ChartData'!$B$25&lt;=0.69),'ChartData'!$B$25,NA())</f>
        <v/>
      </c>
      <c r="E25" s="70">
        <f>IF('ChartData'!$B$25&gt;0.69,'ChartData'!$B$25,NA())</f>
        <v/>
      </c>
    </row>
    <row r="26">
      <c r="A26" t="inlineStr">
        <is>
          <t>Chemical</t>
        </is>
      </c>
      <c r="B26">
        <f>'Results'!$B$27</f>
        <v/>
      </c>
      <c r="C26" s="70">
        <f>IF('ChartData'!$B$26&lt;=0.39,'ChartData'!$B$26,NA())</f>
        <v/>
      </c>
      <c r="D26" s="70">
        <f>IF(AND('ChartData'!$B$26&gt;0.39,'ChartData'!$B$26&lt;=0.69),'ChartData'!$B$26,NA())</f>
        <v/>
      </c>
      <c r="E26" s="70">
        <f>IF('ChartData'!$B$26&gt;0.69,'ChartData'!$B$26,NA())</f>
        <v/>
      </c>
    </row>
    <row r="27">
      <c r="A27" t="inlineStr">
        <is>
          <t>Biological</t>
        </is>
      </c>
      <c r="B27">
        <f>'Results'!$B$28</f>
        <v/>
      </c>
      <c r="C27" s="70">
        <f>IF('ChartData'!$B$27&lt;=0.39,'ChartData'!$B$27,NA())</f>
        <v/>
      </c>
      <c r="D27" s="70">
        <f>IF(AND('ChartData'!$B$27&gt;0.39,'ChartData'!$B$27&lt;=0.69),'ChartData'!$B$27,NA())</f>
        <v/>
      </c>
      <c r="E27" s="70">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2026-09-30T07:07:38Z</dcterms:created>
  <dcterms:modified xmlns:dcterms="http://purl.org/dc/terms/" xmlns:xsi="http://www.w3.org/2001/XMLSchema-instance" xsi:type="dcterms:W3CDTF">2026-09-30T07:07:38Z</dcterms:modified>
  <cp:lastModifiedBy>DEEP</cp:lastModifiedBy>
</cp:coreProperties>
</file>