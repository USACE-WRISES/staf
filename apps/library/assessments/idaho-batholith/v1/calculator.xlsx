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'Reference'!$A$5:$A$37</definedName>
    <definedName name="curve_x1">'Reference'!$G$5:$G$37</definedName>
    <definedName name="curve_y1">'Reference'!$O$5:$O$37</definedName>
    <definedName name="curve_x2">'Reference'!$H$5:$H$37</definedName>
    <definedName name="curve_y2">'Reference'!$P$5:$P$37</definedName>
    <definedName name="curve_x3">'Reference'!$I$5:$I$37</definedName>
    <definedName name="curve_y3">'Reference'!$Q$5:$Q$37</definedName>
    <definedName name="curve_x4">'Reference'!$J$5:$J$37</definedName>
    <definedName name="curve_y4">'Reference'!$R$5:$R$37</definedName>
    <definedName name="curve_x5">'Reference'!$K$5:$K$37</definedName>
    <definedName name="curve_y5">'Reference'!$S$5:$S$37</definedName>
    <definedName name="curve_x6">'Reference'!$L$5:$L$37</definedName>
    <definedName name="curve_y6">'Reference'!$T$5:$T$37</definedName>
    <definedName name="curve_x7">'Reference'!$M$5:$M$37</definedName>
    <definedName name="curve_y7">'Reference'!$U$5:$U$37</definedName>
    <definedName name="curve_x8">'Reference'!$N$5:$N$37</definedName>
    <definedName name="curve_y8">'Reference'!$V$5:$V$37</definedName>
    <definedName name="strata_spring_pctwet2019ws">'Reference'!$A$41:$A$42</definedName>
    <definedName name="strata_spring_phab_pct_fast">'Reference'!$A$43:$A$46</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pct_fast">'Metrics'!$V$27</definedName>
    <definedName name="idx_spring_phab_xfc_nat">'Metrics'!$V$28</definedName>
    <definedName name="idx_spring_bent_totlntax">'Metrics'!$V$29</definedName>
    <definedName name="idx_spring_fish_na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in_spring_bent_totlntax">'DEEP Score'!$E$42</definedName>
    <definedName name="in_spring_fish_na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Idaho Batholith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20" customHeight="1">
      <c r="A5" s="4" t="inlineStr">
        <is>
          <t>Reference condition. Reference condition is set by a fixed landscape-pressure screen, never by a score. 22 curves are fitted to least-disturbed stations of this ecoregion. 6 borrow comparable least-disturbed stations from a wider region, stating the region and the transfer risk. 1 carries the national reference label: reference curve fitted to comparable least-disturbed stations drawn from the national pool, because this ecoregion and its parents hold too few of their own. 4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Idaho Batholith reference assessment</t>
        </is>
      </c>
    </row>
    <row r="3">
      <c r="A3" s="5" t="inlineStr">
        <is>
          <t>Version 1 | Draft | USEPA NRSA 2013-24 (L3 ecoregion 16),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is>
          <t>All streams (pooled)</t>
        </is>
      </c>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7"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8" t="inlineStr">
        <is>
          <t>Hydraulics</t>
        </is>
      </c>
      <c r="B18" s="12" t="inlineStr">
        <is>
          <t>Low flow and baseflow dynamics</t>
        </is>
      </c>
      <c r="C18" s="13" t="inlineStr">
        <is>
          <t>Base flow index</t>
        </is>
      </c>
      <c r="D18" s="14" t="inlineStr">
        <is>
          <t>%</t>
        </is>
      </c>
      <c r="E18" s="39">
        <f>IF('DEEP Score'!$E$16="","",'DEEP Score'!$E$16)</f>
        <v/>
      </c>
      <c r="F18" s="40"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8" t="inlineStr">
        <is>
          <t>Hydraulics</t>
        </is>
      </c>
      <c r="B21" s="12" t="inlineStr">
        <is>
          <t>Floodplain connectivity</t>
        </is>
      </c>
      <c r="C21" s="13" t="inlineStr">
        <is>
          <t>Bankfull width:depth ratio</t>
        </is>
      </c>
      <c r="D21" s="14" t="inlineStr"/>
      <c r="E21" s="15" t="n"/>
      <c r="F21" s="16" t="inlineStr"/>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8"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4" t="inlineStr">
        <is>
          <t>Geomorphology</t>
        </is>
      </c>
      <c r="B25" s="12" t="inlineStr">
        <is>
          <t>Channel evolution</t>
        </is>
      </c>
      <c r="C25" s="13" t="inlineStr">
        <is>
          <t>Bankfull width:depth ratio</t>
        </is>
      </c>
      <c r="D25" s="14" t="inlineStr"/>
      <c r="E25" s="39">
        <f>IF('DEEP Score'!$E$21="","",'DEEP Score'!$E$21)</f>
        <v/>
      </c>
      <c r="F25" s="40" t="inlineStr"/>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t="inlineStr"/>
      <c r="G26" s="26">
        <f>IF('Metrics'!$V$13="","",'Metrics'!$V$13)</f>
        <v/>
      </c>
      <c r="H26" s="21" t="n"/>
      <c r="I26" s="27" t="n"/>
    </row>
    <row r="27">
      <c r="A27" s="44"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4" t="inlineStr">
        <is>
          <t>Geomorphology</t>
        </is>
      </c>
      <c r="B29" s="12" t="inlineStr">
        <is>
          <t>Sediment continuity</t>
        </is>
      </c>
      <c r="C29" s="13" t="inlineStr">
        <is>
          <t>Relative bed stability</t>
        </is>
      </c>
      <c r="D29" s="14" t="inlineStr">
        <is>
          <t>log</t>
        </is>
      </c>
      <c r="E29" s="15" t="n"/>
      <c r="F29" s="16" t="inlineStr"/>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IF('Metrics'!$V$14="","",'Metrics'!$V$14)</f>
        <v/>
      </c>
      <c r="H30" s="21" t="n"/>
      <c r="I30" s="27" t="n"/>
    </row>
    <row r="31">
      <c r="A31" s="44"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5">
        <f>IF('DEEP Score'!$E$24="","",'DEEP Score'!$E$24)</f>
        <v/>
      </c>
      <c r="F32" s="46" t="inlineStr"/>
      <c r="G32" s="26">
        <f>IF('Metrics'!$V$15="","",'Metrics'!$V$15)</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8" t="inlineStr">
        <is>
          <t>Physicochemistry</t>
        </is>
      </c>
      <c r="B35" s="29" t="inlineStr">
        <is>
          <t>Carbon processing</t>
        </is>
      </c>
      <c r="C35" s="30" t="inlineStr">
        <is>
          <t>Riparian veg cover, woody</t>
        </is>
      </c>
      <c r="D35" s="31" t="inlineStr">
        <is>
          <t>frac</t>
        </is>
      </c>
      <c r="E35" s="32" t="n"/>
      <c r="F35" s="37" t="inlineStr"/>
      <c r="G35" s="34">
        <f>IF('Metrics'!$V$22="","",'Metrics'!$V$22)</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7" t="inlineStr">
        <is>
          <t>Physicochemistry</t>
        </is>
      </c>
      <c r="B38" s="12" t="inlineStr">
        <is>
          <t>Water &amp; soil quality</t>
        </is>
      </c>
      <c r="C38" s="13" t="inlineStr">
        <is>
          <t>Specific conductivity</t>
        </is>
      </c>
      <c r="D38" s="14" t="inlineStr">
        <is>
          <t>uS/cm</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IF('Metrics'!$V$26="","",'Metrics'!$V$26)</f>
        <v/>
      </c>
      <c r="H39" s="21" t="n"/>
      <c r="I39" s="27" t="n"/>
    </row>
    <row r="40">
      <c r="A40" s="49" t="inlineStr">
        <is>
          <t>Biology</t>
        </is>
      </c>
      <c r="B40" s="12" t="inlineStr">
        <is>
          <t>Habitat provision</t>
        </is>
      </c>
      <c r="C40" s="13" t="inlineStr">
        <is>
          <t>Fast-water / riffle habitat</t>
        </is>
      </c>
      <c r="D40" s="14" t="inlineStr">
        <is>
          <t>%</t>
        </is>
      </c>
      <c r="E40" s="15" t="n"/>
      <c r="F40" s="50" t="inlineStr">
        <is>
          <t>All streams (pooled)</t>
        </is>
      </c>
      <c r="G40" s="17">
        <f>IF('Metrics'!$V$27="","",'Metrics'!$V$27)</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IF('Metrics'!$V$28="","",'Metrics'!$V$28)</f>
        <v/>
      </c>
      <c r="H41" s="21" t="n"/>
      <c r="I41" s="27" t="n"/>
    </row>
    <row r="42">
      <c r="A42" s="49" t="inlineStr">
        <is>
          <t>Biology</t>
        </is>
      </c>
      <c r="B42" s="12" t="inlineStr">
        <is>
          <t>Population support</t>
        </is>
      </c>
      <c r="C42" s="13" t="inlineStr">
        <is>
          <t>Benthic total taxa richness</t>
        </is>
      </c>
      <c r="D42" s="14" t="inlineStr"/>
      <c r="E42" s="15" t="n"/>
      <c r="F42" s="16" t="inlineStr"/>
      <c r="G42" s="17">
        <f>IF('Metrics'!$V$29="","",'Metrics'!$V$29)</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25" t="inlineStr"/>
      <c r="G43" s="26">
        <f>IF('Metrics'!$V$30="","",'Metrics'!$V$30)</f>
        <v/>
      </c>
      <c r="H43" s="21" t="n"/>
      <c r="I43" s="27" t="n"/>
    </row>
    <row r="44">
      <c r="A44" s="49" t="inlineStr">
        <is>
          <t>Biology</t>
        </is>
      </c>
      <c r="B44" s="12" t="inlineStr">
        <is>
          <t>Community dynamics</t>
        </is>
      </c>
      <c r="C44" s="13" t="inlineStr">
        <is>
          <t>EPT taxa richness</t>
        </is>
      </c>
      <c r="D44" s="14" t="inlineStr"/>
      <c r="E44" s="15" t="n"/>
      <c r="F44" s="16" t="inlineStr"/>
      <c r="G44" s="17">
        <f>IF('Metrics'!$V$31="","",'Metrics'!$V$31)</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IF('Metrics'!$V$32="","",'Metrics'!$V$32)</f>
        <v/>
      </c>
      <c r="H45" s="21" t="n"/>
      <c r="I45" s="27" t="n"/>
    </row>
    <row r="46">
      <c r="A46" s="51" t="inlineStr">
        <is>
          <t>Biology</t>
        </is>
      </c>
      <c r="B46" s="29" t="inlineStr">
        <is>
          <t>Watershed connectivity</t>
        </is>
      </c>
      <c r="C46" s="30" t="inlineStr">
        <is>
          <t>Mapped dams within one mile</t>
        </is>
      </c>
      <c r="D46" s="31" t="inlineStr">
        <is>
          <t>dams</t>
        </is>
      </c>
      <c r="E46" s="32" t="n"/>
      <c r="F46" s="37" t="inlineStr"/>
      <c r="G46" s="34">
        <f>IF('Metrics'!$V$33="","",'Metrics'!$V$33)</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14" showDropDown="0" showInputMessage="0" showErrorMessage="1" allowBlank="1" errorTitle="Curve set" error="Choose a curve set from the list." type="list">
      <formula1>=strata_spring_pctwet2019ws</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IF('DEEP Score'!$F$14="","All streams (pooled)",'DEEP Score'!$F$14)</f>
        <v/>
      </c>
      <c r="D7" s="69">
        <f>"spring_pctwet2019ws|"&amp;'Metrics'!$C$7</f>
        <v/>
      </c>
      <c r="E7" s="69">
        <f>IFERROR(MATCH('Metrics'!$D$7,curve_key,0),MATCH("spring_pctwet2019ws|All streams (pooled)",curve_key,0))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f>
        <v/>
      </c>
      <c r="D11" s="69">
        <f>"spring_phab_rp100_cm|"&amp;'Metrics'!$C$11</f>
        <v/>
      </c>
      <c r="E11" s="69">
        <f>IFERROR(MATCH('Metrics'!$D$11,curve_key,0),MATCH("spring_phab_rp100_cm|",curve_key,0))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f>
        <v/>
      </c>
      <c r="D12" s="69">
        <f>"spring_phab_bfwd_rat|"&amp;'Metrics'!$C$12</f>
        <v/>
      </c>
      <c r="E12" s="69">
        <f>IFERROR(MATCH('Metrics'!$D$12,curve_key,0),MATCH("spring_phab_bfwd_rat|",curve_key,0))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f>
        <v/>
      </c>
      <c r="D13" s="69">
        <f>"spring_phab_xbkf_h|"&amp;'Metrics'!$C$13</f>
        <v/>
      </c>
      <c r="E13" s="69">
        <f>IFERROR(MATCH('Metrics'!$D$13,curve_key,0),MATCH("spring_phab_xbkf_h|",curve_key,0))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f>
        <v/>
      </c>
      <c r="D18" s="69">
        <f>"spring_phab_lrbs_use|"&amp;'Metrics'!$C$18</f>
        <v/>
      </c>
      <c r="E18" s="69">
        <f>IFERROR(MATCH('Metrics'!$D$18,curve_key,0),MATCH("spring_phab_lrbs_use|",curve_key,0))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f>
        <v/>
      </c>
      <c r="D21" s="69">
        <f>"spring_phab_xcdenmid|"&amp;'Metrics'!$C$21</f>
        <v/>
      </c>
      <c r="E21" s="69">
        <f>IFERROR(MATCH('Metrics'!$D$21,curve_key,0),MATCH("spring_phab_xcdenmid|",curve_key,0))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Specific conductivity</t>
        </is>
      </c>
      <c r="B25" s="69">
        <f>IF('DEEP Score'!$E$38="","",'DEEP Score'!$E$38)</f>
        <v/>
      </c>
      <c r="C25" s="69">
        <f>""</f>
        <v/>
      </c>
      <c r="D25" s="69">
        <f>"spring_chem_cond|"&amp;'Metrics'!$C$25</f>
        <v/>
      </c>
      <c r="E25" s="69">
        <f>IFERROR(MATCH('Metrics'!$D$25,curve_key,0),MATCH("spring_chem_cond|",curve_key,0))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Fast-water / riffle habitat</t>
        </is>
      </c>
      <c r="B27" s="69">
        <f>IF('DEEP Score'!$E$40="","",'DEEP Score'!$E$40)</f>
        <v/>
      </c>
      <c r="C27" s="69">
        <f>IF('DEEP Score'!$F$40="","All streams (pooled)",'DEEP Score'!$F$40)</f>
        <v/>
      </c>
      <c r="D27" s="69">
        <f>"spring_phab_pct_fast|"&amp;'Metrics'!$C$27</f>
        <v/>
      </c>
      <c r="E27" s="69">
        <f>IFERROR(MATCH('Metrics'!$D$27,curve_key,0),MATCH("spring_phab_pct_fast|All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Score'!$E$41="","",'DEEP Score'!$E$41)</f>
        <v/>
      </c>
      <c r="C28" s="69">
        <f>""</f>
        <v/>
      </c>
      <c r="D28" s="69">
        <f>"spring_phab_xfc_nat|"&amp;'Metrics'!$C$28</f>
        <v/>
      </c>
      <c r="E28" s="69">
        <f>IFERROR(MATCH('Metrics'!$D$28,curve_key,0),MATCH("spring_phab_xfc_nat|",curve_key,0))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Score'!$E$42="","",'DEEP Score'!$E$42)</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Native fish taxa richness</t>
        </is>
      </c>
      <c r="B30" s="69">
        <f>IF('DEEP Score'!$E$43="","",'DEEP Score'!$E$43)</f>
        <v/>
      </c>
      <c r="C30" s="69">
        <f>""</f>
        <v/>
      </c>
      <c r="D30" s="69">
        <f>"spring_fish_nat_totlntax|"&amp;'Metrics'!$C$30</f>
        <v/>
      </c>
      <c r="E30" s="69">
        <f>IFERROR(MATCH('Metrics'!$D$30,curve_key,0),MATCH("spring_fish_nat_totlntax|",curve_key,0))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Score'!$E$45="","",'DEEP Score'!$E$45)</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2"/>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spring_pctwet2019ws|All streams (pooled)</t>
        </is>
      </c>
      <c r="B7" s="68" t="inlineStr">
        <is>
          <t>spring-pctwet2019ws</t>
        </is>
      </c>
      <c r="C7" s="68" t="inlineStr">
        <is>
          <t>Wetland</t>
        </is>
      </c>
      <c r="D7" s="68" t="inlineStr">
        <is>
          <t>All streams (pooled)</t>
        </is>
      </c>
      <c r="E7" s="68" t="n">
        <v>5</v>
      </c>
      <c r="F7" s="68" t="inlineStr">
        <is>
          <t>121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0.02571428571428571</v>
      </c>
      <c r="I7" s="68" t="n">
        <v>0.06</v>
      </c>
      <c r="J7" s="68" t="n">
        <v>2.25</v>
      </c>
      <c r="K7" s="68" t="n">
        <v>3.345</v>
      </c>
      <c r="L7" s="68" t="n">
        <v>3.345</v>
      </c>
      <c r="M7" s="68" t="n">
        <v>3.345</v>
      </c>
      <c r="N7" s="68" t="n">
        <v>3.345</v>
      </c>
      <c r="O7" s="68" t="n">
        <v>0</v>
      </c>
      <c r="P7" s="68" t="n">
        <v>0.3</v>
      </c>
      <c r="Q7" s="68" t="n">
        <v>0.7</v>
      </c>
      <c r="R7" s="68" t="n">
        <v>1</v>
      </c>
      <c r="S7" s="68" t="n">
        <v>1</v>
      </c>
      <c r="T7" s="68" t="n">
        <v>1</v>
      </c>
      <c r="U7" s="68" t="n">
        <v>1</v>
      </c>
      <c r="V7" s="68" t="n">
        <v>1</v>
      </c>
    </row>
    <row r="8">
      <c r="A8" s="68" t="inlineStr">
        <is>
          <t>spring_pctwet2019ws|Moderate gradient (0.5 to 2 percent)</t>
        </is>
      </c>
      <c r="B8" s="68" t="inlineStr">
        <is>
          <t>spring-pctwet2019ws</t>
        </is>
      </c>
      <c r="C8" s="68" t="inlineStr">
        <is>
          <t>Wetland</t>
        </is>
      </c>
      <c r="D8" s="68" t="inlineStr">
        <is>
          <t>Moderate gradient (0.5 to 2 percent)</t>
        </is>
      </c>
      <c r="E8" s="68" t="n">
        <v>5</v>
      </c>
      <c r="F8" s="68" t="inlineStr">
        <is>
          <t>121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8" s="68" t="n">
        <v>0</v>
      </c>
      <c r="H8" s="68" t="n">
        <v>0.1114285714285714</v>
      </c>
      <c r="I8" s="68" t="n">
        <v>0.26</v>
      </c>
      <c r="J8" s="68" t="n">
        <v>2.22</v>
      </c>
      <c r="K8" s="68" t="n">
        <v>3.2</v>
      </c>
      <c r="L8" s="68" t="n">
        <v>3.2</v>
      </c>
      <c r="M8" s="68" t="n">
        <v>3.2</v>
      </c>
      <c r="N8" s="68" t="n">
        <v>3.2</v>
      </c>
      <c r="O8" s="68" t="n">
        <v>0</v>
      </c>
      <c r="P8" s="68" t="n">
        <v>0.3</v>
      </c>
      <c r="Q8" s="68" t="n">
        <v>0.7</v>
      </c>
      <c r="R8" s="68" t="n">
        <v>1</v>
      </c>
      <c r="S8" s="68" t="n">
        <v>1</v>
      </c>
      <c r="T8" s="68" t="n">
        <v>1</v>
      </c>
      <c r="U8" s="68" t="n">
        <v>1</v>
      </c>
      <c r="V8" s="68" t="n">
        <v>1</v>
      </c>
    </row>
    <row r="9">
      <c r="A9" s="68" t="inlineStr">
        <is>
          <t>spring_rddensws|</t>
        </is>
      </c>
      <c r="B9" s="68" t="inlineStr">
        <is>
          <t>spring-rddensws</t>
        </is>
      </c>
      <c r="C9" s="68" t="inlineStr">
        <is>
          <t>Road density</t>
        </is>
      </c>
      <c r="D9" s="68" t="inlineStr"/>
      <c r="E9" s="68" t="n">
        <v>4</v>
      </c>
      <c r="F9" s="68" t="inlineStr">
        <is>
          <t>Fixed criteria, the same in every region</t>
        </is>
      </c>
      <c r="G9" s="68" t="n">
        <v>0</v>
      </c>
      <c r="H9" s="68" t="n">
        <v>1</v>
      </c>
      <c r="I9" s="68" t="n">
        <v>3</v>
      </c>
      <c r="J9" s="68" t="n">
        <v>5.6</v>
      </c>
      <c r="K9" s="68" t="n">
        <v>5.6</v>
      </c>
      <c r="L9" s="68" t="n">
        <v>5.6</v>
      </c>
      <c r="M9" s="68" t="n">
        <v>5.6</v>
      </c>
      <c r="N9" s="68" t="n">
        <v>5.6</v>
      </c>
      <c r="O9" s="68" t="n">
        <v>1</v>
      </c>
      <c r="P9" s="68" t="n">
        <v>0.6899999999999999</v>
      </c>
      <c r="Q9" s="68" t="n">
        <v>0.39</v>
      </c>
      <c r="R9" s="68" t="n">
        <v>0</v>
      </c>
      <c r="S9" s="68" t="n">
        <v>0</v>
      </c>
      <c r="T9" s="68" t="n">
        <v>0</v>
      </c>
      <c r="U9" s="68" t="n">
        <v>0</v>
      </c>
      <c r="V9" s="68" t="n">
        <v>0</v>
      </c>
    </row>
    <row r="10">
      <c r="A10" s="68" t="inlineStr">
        <is>
          <t>spring_bfiws|</t>
        </is>
      </c>
      <c r="B10" s="68" t="inlineStr">
        <is>
          <t>spring-bfiws</t>
        </is>
      </c>
      <c r="C10" s="68" t="inlineStr">
        <is>
          <t>Base flow index</t>
        </is>
      </c>
      <c r="D10" s="68" t="inlineStr"/>
      <c r="E10" s="68" t="n">
        <v>5</v>
      </c>
      <c r="F10" s="68" t="inlineStr">
        <is>
          <t>26 least-disturbed stations of this ecoregion</t>
        </is>
      </c>
      <c r="G10" s="68" t="n">
        <v>0</v>
      </c>
      <c r="H10" s="68" t="n">
        <v>29.23270714285715</v>
      </c>
      <c r="I10" s="68" t="n">
        <v>68.20965000000001</v>
      </c>
      <c r="J10" s="68" t="n">
        <v>74</v>
      </c>
      <c r="K10" s="68" t="n">
        <v>76.89517499999999</v>
      </c>
      <c r="L10" s="68" t="n">
        <v>76.89517499999999</v>
      </c>
      <c r="M10" s="68" t="n">
        <v>76.89517499999999</v>
      </c>
      <c r="N10" s="68" t="n">
        <v>76.89517499999999</v>
      </c>
      <c r="O10" s="68" t="n">
        <v>0</v>
      </c>
      <c r="P10" s="68" t="n">
        <v>0.3</v>
      </c>
      <c r="Q10" s="68" t="n">
        <v>0.7</v>
      </c>
      <c r="R10" s="68" t="n">
        <v>1</v>
      </c>
      <c r="S10" s="68" t="n">
        <v>1</v>
      </c>
      <c r="T10" s="68" t="n">
        <v>1</v>
      </c>
      <c r="U10" s="68" t="n">
        <v>1</v>
      </c>
      <c r="V10" s="68" t="n">
        <v>1</v>
      </c>
    </row>
    <row r="11">
      <c r="A11" s="68" t="inlineStr">
        <is>
          <t>spring_dorws|</t>
        </is>
      </c>
      <c r="B11" s="68" t="inlineStr">
        <is>
          <t>spring-dorws</t>
        </is>
      </c>
      <c r="C11" s="68" t="inlineStr">
        <is>
          <t>Degree of regulation</t>
        </is>
      </c>
      <c r="D11" s="68" t="inlineStr"/>
      <c r="E11" s="68" t="n">
        <v>4</v>
      </c>
      <c r="F11" s="68" t="inlineStr">
        <is>
          <t>Fixed criteria, the same in every region</t>
        </is>
      </c>
      <c r="G11" s="68" t="n">
        <v>0</v>
      </c>
      <c r="H11" s="68" t="n">
        <v>2</v>
      </c>
      <c r="I11" s="68" t="n">
        <v>15.005</v>
      </c>
      <c r="J11" s="68" t="n">
        <v>31.9115</v>
      </c>
      <c r="K11" s="68" t="n">
        <v>31.9115</v>
      </c>
      <c r="L11" s="68" t="n">
        <v>31.9115</v>
      </c>
      <c r="M11" s="68" t="n">
        <v>31.9115</v>
      </c>
      <c r="N11" s="68" t="n">
        <v>31.9115</v>
      </c>
      <c r="O11" s="68" t="n">
        <v>1</v>
      </c>
      <c r="P11" s="68" t="n">
        <v>0.6899999999999999</v>
      </c>
      <c r="Q11" s="68" t="n">
        <v>0.39</v>
      </c>
      <c r="R11" s="68" t="n">
        <v>0</v>
      </c>
      <c r="S11" s="68" t="n">
        <v>0</v>
      </c>
      <c r="T11" s="68" t="n">
        <v>0</v>
      </c>
      <c r="U11" s="68" t="n">
        <v>0</v>
      </c>
      <c r="V11" s="68" t="n">
        <v>0</v>
      </c>
    </row>
    <row r="12">
      <c r="A12" s="68" t="inlineStr">
        <is>
          <t>spring_phab_rp100_cm|</t>
        </is>
      </c>
      <c r="B12" s="68" t="inlineStr">
        <is>
          <t>spring-phab-rp100-cm</t>
        </is>
      </c>
      <c r="C12" s="68" t="inlineStr">
        <is>
          <t>Residual pool depth</t>
        </is>
      </c>
      <c r="D12" s="68" t="inlineStr"/>
      <c r="E12" s="68" t="n">
        <v>5</v>
      </c>
      <c r="F12" s="68" t="inlineStr">
        <is>
          <t>26 least-disturbed stations of this ecoregion</t>
        </is>
      </c>
      <c r="G12" s="68" t="n">
        <v>0</v>
      </c>
      <c r="H12" s="68" t="n">
        <v>2.63643673488072</v>
      </c>
      <c r="I12" s="68" t="n">
        <v>6.15168571472168</v>
      </c>
      <c r="J12" s="68" t="n">
        <v>23.61648273468018</v>
      </c>
      <c r="K12" s="68" t="n">
        <v>32.34888124465942</v>
      </c>
      <c r="L12" s="68" t="n">
        <v>32.34888124465942</v>
      </c>
      <c r="M12" s="68" t="n">
        <v>32.34888124465942</v>
      </c>
      <c r="N12" s="68" t="n">
        <v>32.34888124465942</v>
      </c>
      <c r="O12" s="68" t="n">
        <v>0</v>
      </c>
      <c r="P12" s="68" t="n">
        <v>0.3</v>
      </c>
      <c r="Q12" s="68" t="n">
        <v>0.7</v>
      </c>
      <c r="R12" s="68" t="n">
        <v>1</v>
      </c>
      <c r="S12" s="68" t="n">
        <v>1</v>
      </c>
      <c r="T12" s="68" t="n">
        <v>1</v>
      </c>
      <c r="U12" s="68" t="n">
        <v>1</v>
      </c>
      <c r="V12" s="68" t="n">
        <v>1</v>
      </c>
    </row>
    <row r="13">
      <c r="A13" s="68" t="inlineStr">
        <is>
          <t>spring_phab_bfwd_rat|</t>
        </is>
      </c>
      <c r="B13" s="68" t="inlineStr">
        <is>
          <t>spring-phab-bfwd-rat</t>
        </is>
      </c>
      <c r="C13" s="68" t="inlineStr">
        <is>
          <t>Bankfull width:depth ratio</t>
        </is>
      </c>
      <c r="D13" s="68" t="inlineStr"/>
      <c r="E13" s="68" t="n">
        <v>8</v>
      </c>
      <c r="F13" s="68" t="inlineStr">
        <is>
          <t>26 least-disturbed stations of this ecoregion</t>
        </is>
      </c>
      <c r="G13" s="68" t="n">
        <v>0</v>
      </c>
      <c r="H13" s="68" t="n">
        <v>4.273164033889771</v>
      </c>
      <c r="I13" s="68" t="n">
        <v>8.136164915561675</v>
      </c>
      <c r="J13" s="68" t="n">
        <v>10.21624231338501</v>
      </c>
      <c r="K13" s="68" t="n">
        <v>16.15932059288025</v>
      </c>
      <c r="L13" s="68" t="n">
        <v>18.23939799070358</v>
      </c>
      <c r="M13" s="68" t="n">
        <v>22.10239887237549</v>
      </c>
      <c r="N13" s="68" t="n">
        <v>28.04547715187073</v>
      </c>
      <c r="O13" s="68" t="n">
        <v>0</v>
      </c>
      <c r="P13" s="68" t="n">
        <v>0.3</v>
      </c>
      <c r="Q13" s="68" t="n">
        <v>0.7</v>
      </c>
      <c r="R13" s="68" t="n">
        <v>1</v>
      </c>
      <c r="S13" s="68" t="n">
        <v>1</v>
      </c>
      <c r="T13" s="68" t="n">
        <v>0.7</v>
      </c>
      <c r="U13" s="68" t="n">
        <v>0.3</v>
      </c>
      <c r="V13" s="68" t="n">
        <v>0</v>
      </c>
    </row>
    <row r="14">
      <c r="A14" s="68" t="inlineStr">
        <is>
          <t>spring_phab_xbkf_h|</t>
        </is>
      </c>
      <c r="B14" s="68" t="inlineStr">
        <is>
          <t>spring-phab-xbkf-h</t>
        </is>
      </c>
      <c r="C14" s="68" t="inlineStr">
        <is>
          <t>Bankfull height above channel</t>
        </is>
      </c>
      <c r="D14" s="68" t="inlineStr"/>
      <c r="E14" s="68" t="n">
        <v>8</v>
      </c>
      <c r="F14" s="68" t="inlineStr">
        <is>
          <t>26 least-disturbed stations of this ecoregion</t>
        </is>
      </c>
      <c r="G14" s="68" t="n">
        <v>0</v>
      </c>
      <c r="H14" s="68" t="n">
        <v>0.0002272427082061768</v>
      </c>
      <c r="I14" s="68" t="n">
        <v>0.1936022568494082</v>
      </c>
      <c r="J14" s="68" t="n">
        <v>0.2977272644639015</v>
      </c>
      <c r="K14" s="68" t="n">
        <v>0.5952272862195969</v>
      </c>
      <c r="L14" s="68" t="n">
        <v>0.6993522938340903</v>
      </c>
      <c r="M14" s="68" t="n">
        <v>0.8927273079752922</v>
      </c>
      <c r="N14" s="68" t="n">
        <v>1.190227329730988</v>
      </c>
      <c r="O14" s="68" t="n">
        <v>0</v>
      </c>
      <c r="P14" s="68" t="n">
        <v>0.3</v>
      </c>
      <c r="Q14" s="68" t="n">
        <v>0.7</v>
      </c>
      <c r="R14" s="68" t="n">
        <v>1</v>
      </c>
      <c r="S14" s="68" t="n">
        <v>1</v>
      </c>
      <c r="T14" s="68" t="n">
        <v>0.7</v>
      </c>
      <c r="U14" s="68" t="n">
        <v>0.3</v>
      </c>
      <c r="V14" s="68" t="n">
        <v>0</v>
      </c>
    </row>
    <row r="15">
      <c r="A15" s="68" t="inlineStr">
        <is>
          <t>spring_phab_pct_safn|</t>
        </is>
      </c>
      <c r="B15" s="68" t="inlineStr">
        <is>
          <t>spring-phab-pct-safn</t>
        </is>
      </c>
      <c r="C15" s="68" t="inlineStr">
        <is>
          <t>Sand + fines</t>
        </is>
      </c>
      <c r="D15" s="68" t="inlineStr"/>
      <c r="E15" s="68" t="n">
        <v>5</v>
      </c>
      <c r="F15" s="68" t="inlineStr">
        <is>
          <t>26 least-disturbed stations of this ecoregion</t>
        </is>
      </c>
      <c r="G15" s="68" t="n">
        <v>0</v>
      </c>
      <c r="H15" s="68" t="n">
        <v>2.452380955219269</v>
      </c>
      <c r="I15" s="68" t="n">
        <v>30</v>
      </c>
      <c r="J15" s="68" t="n">
        <v>71.3214285671711</v>
      </c>
      <c r="K15" s="68" t="n">
        <v>98.86904761195183</v>
      </c>
      <c r="L15" s="68" t="n">
        <v>98.86904761195183</v>
      </c>
      <c r="M15" s="68" t="n">
        <v>98.86904761195183</v>
      </c>
      <c r="N15" s="68" t="n">
        <v>98.86904761195183</v>
      </c>
      <c r="O15" s="68" t="n">
        <v>1</v>
      </c>
      <c r="P15" s="68" t="n">
        <v>1</v>
      </c>
      <c r="Q15" s="68" t="n">
        <v>0.7</v>
      </c>
      <c r="R15" s="68" t="n">
        <v>0.3</v>
      </c>
      <c r="S15" s="68" t="n">
        <v>0</v>
      </c>
      <c r="T15" s="68" t="n">
        <v>0</v>
      </c>
      <c r="U15" s="68" t="n">
        <v>0</v>
      </c>
      <c r="V15" s="68" t="n">
        <v>0</v>
      </c>
    </row>
    <row r="16">
      <c r="A16" s="68" t="inlineStr">
        <is>
          <t>spring_phab_xembed|</t>
        </is>
      </c>
      <c r="B16" s="68" t="inlineStr">
        <is>
          <t>spring-phab-xembed</t>
        </is>
      </c>
      <c r="C16" s="68" t="inlineStr">
        <is>
          <t>Embeddedness</t>
        </is>
      </c>
      <c r="D16" s="68" t="inlineStr"/>
      <c r="E16" s="68" t="n">
        <v>5</v>
      </c>
      <c r="F16" s="68" t="inlineStr">
        <is>
          <t>19 least-disturbed stations of this ecoregion</t>
        </is>
      </c>
      <c r="G16" s="68" t="n">
        <v>41.55555534362793</v>
      </c>
      <c r="H16" s="68" t="n">
        <v>48.7188549041748</v>
      </c>
      <c r="I16" s="68" t="n">
        <v>63.04545402526855</v>
      </c>
      <c r="J16" s="68" t="n">
        <v>84.53535270690918</v>
      </c>
      <c r="K16" s="68" t="n">
        <v>98.86195182800293</v>
      </c>
      <c r="L16" s="68" t="n">
        <v>98.86195182800293</v>
      </c>
      <c r="M16" s="68" t="n">
        <v>98.86195182800293</v>
      </c>
      <c r="N16" s="68" t="n">
        <v>98.86195182800293</v>
      </c>
      <c r="O16" s="68" t="n">
        <v>1</v>
      </c>
      <c r="P16" s="68" t="n">
        <v>1</v>
      </c>
      <c r="Q16" s="68" t="n">
        <v>0.7</v>
      </c>
      <c r="R16" s="68" t="n">
        <v>0.3</v>
      </c>
      <c r="S16" s="68" t="n">
        <v>0</v>
      </c>
      <c r="T16" s="68" t="n">
        <v>0</v>
      </c>
      <c r="U16" s="68" t="n">
        <v>0</v>
      </c>
      <c r="V16" s="68" t="n">
        <v>0</v>
      </c>
    </row>
    <row r="17">
      <c r="A17" s="68" t="inlineStr">
        <is>
          <t>spring_phab_sinu|</t>
        </is>
      </c>
      <c r="B17" s="68" t="inlineStr">
        <is>
          <t>spring-phab-sinu</t>
        </is>
      </c>
      <c r="C17" s="68" t="inlineStr">
        <is>
          <t>Sinuosity</t>
        </is>
      </c>
      <c r="D17" s="68" t="inlineStr"/>
      <c r="E17" s="68" t="n">
        <v>4</v>
      </c>
      <c r="F17" s="68" t="inlineStr">
        <is>
          <t>19 least-disturbed stations of this ecoregion</t>
        </is>
      </c>
      <c r="G17" s="68" t="n">
        <v>1</v>
      </c>
      <c r="H17" s="68" t="n">
        <v>1.050312399864197</v>
      </c>
      <c r="I17" s="68" t="n">
        <v>1.274289429187775</v>
      </c>
      <c r="J17" s="68" t="n">
        <v>1.386277943849564</v>
      </c>
      <c r="K17" s="68" t="n">
        <v>1.386277943849564</v>
      </c>
      <c r="L17" s="68" t="n">
        <v>1.386277943849564</v>
      </c>
      <c r="M17" s="68" t="n">
        <v>1.386277943849564</v>
      </c>
      <c r="N17" s="68" t="n">
        <v>1.386277943849564</v>
      </c>
      <c r="O17" s="68" t="n">
        <v>0</v>
      </c>
      <c r="P17" s="68" t="n">
        <v>0.7</v>
      </c>
      <c r="Q17" s="68" t="n">
        <v>1</v>
      </c>
      <c r="R17" s="68" t="n">
        <v>1</v>
      </c>
      <c r="S17" s="68" t="n">
        <v>1</v>
      </c>
      <c r="T17" s="68" t="n">
        <v>1</v>
      </c>
      <c r="U17" s="68" t="n">
        <v>1</v>
      </c>
      <c r="V17" s="68" t="n">
        <v>1</v>
      </c>
    </row>
    <row r="18">
      <c r="A18" s="68" t="inlineStr">
        <is>
          <t>spring_phab_xbka|</t>
        </is>
      </c>
      <c r="B18" s="68" t="inlineStr">
        <is>
          <t>spring-phab-xbka</t>
        </is>
      </c>
      <c r="C18" s="68" t="inlineStr">
        <is>
          <t>Bank angle</t>
        </is>
      </c>
      <c r="D18" s="68" t="inlineStr"/>
      <c r="E18" s="68" t="n">
        <v>7</v>
      </c>
      <c r="F18" s="68" t="inlineStr">
        <is>
          <t>19 least-disturbed stations of this ecoregion</t>
        </is>
      </c>
      <c r="G18" s="68" t="n">
        <v>0</v>
      </c>
      <c r="H18" s="68" t="n">
        <v>14.13214230537415</v>
      </c>
      <c r="I18" s="68" t="n">
        <v>21.35714244842529</v>
      </c>
      <c r="J18" s="68" t="n">
        <v>42</v>
      </c>
      <c r="K18" s="68" t="n">
        <v>49.22500014305115</v>
      </c>
      <c r="L18" s="68" t="n">
        <v>62.64285755157471</v>
      </c>
      <c r="M18" s="68" t="n">
        <v>83.28571510314941</v>
      </c>
      <c r="N18" s="68" t="n">
        <v>83.28571510314941</v>
      </c>
      <c r="O18" s="68" t="n">
        <v>0.7</v>
      </c>
      <c r="P18" s="68" t="n">
        <v>0.7</v>
      </c>
      <c r="Q18" s="68" t="n">
        <v>1</v>
      </c>
      <c r="R18" s="68" t="n">
        <v>1</v>
      </c>
      <c r="S18" s="68" t="n">
        <v>0.7</v>
      </c>
      <c r="T18" s="68" t="n">
        <v>0.3</v>
      </c>
      <c r="U18" s="68" t="n">
        <v>0</v>
      </c>
      <c r="V18" s="68" t="n">
        <v>0</v>
      </c>
    </row>
    <row r="19">
      <c r="A19" s="68" t="inlineStr">
        <is>
          <t>spring_phab_lrbs_use|</t>
        </is>
      </c>
      <c r="B19" s="68" t="inlineStr">
        <is>
          <t>spring-phab-lrbs-use</t>
        </is>
      </c>
      <c r="C19" s="68" t="inlineStr">
        <is>
          <t>Relative bed stability</t>
        </is>
      </c>
      <c r="D19" s="68" t="inlineStr"/>
      <c r="E19" s="68" t="n">
        <v>8</v>
      </c>
      <c r="F19" s="68" t="inlineStr">
        <is>
          <t>26 least-disturbed stations of this ecoregion</t>
        </is>
      </c>
      <c r="G19" s="68" t="n">
        <v>-2.777875718893483</v>
      </c>
      <c r="H19" s="68" t="n">
        <v>-1.853631234378554</v>
      </c>
      <c r="I19" s="68" t="n">
        <v>-1.25287231944385</v>
      </c>
      <c r="J19" s="68" t="n">
        <v>-0.9293867498636246</v>
      </c>
      <c r="K19" s="68" t="n">
        <v>-0.005142265348695219</v>
      </c>
      <c r="L19" s="68" t="n">
        <v>0.31834330423153</v>
      </c>
      <c r="M19" s="68" t="n">
        <v>0.9191022191662341</v>
      </c>
      <c r="N19" s="68" t="n">
        <v>1.843346703681163</v>
      </c>
      <c r="O19" s="68" t="n">
        <v>0</v>
      </c>
      <c r="P19" s="68" t="n">
        <v>0.3</v>
      </c>
      <c r="Q19" s="68" t="n">
        <v>0.7</v>
      </c>
      <c r="R19" s="68" t="n">
        <v>1</v>
      </c>
      <c r="S19" s="68" t="n">
        <v>1</v>
      </c>
      <c r="T19" s="68" t="n">
        <v>0.7</v>
      </c>
      <c r="U19" s="68" t="n">
        <v>0.3</v>
      </c>
      <c r="V19" s="68" t="n">
        <v>0</v>
      </c>
    </row>
    <row r="20">
      <c r="A20" s="68" t="inlineStr">
        <is>
          <t>spring_phab_lsub_dmm|</t>
        </is>
      </c>
      <c r="B20" s="68" t="inlineStr">
        <is>
          <t>spring-phab-lsub-dmm</t>
        </is>
      </c>
      <c r="C20" s="68" t="inlineStr">
        <is>
          <t>Substrate size</t>
        </is>
      </c>
      <c r="D20" s="68" t="inlineStr"/>
      <c r="E20" s="68" t="n">
        <v>5</v>
      </c>
      <c r="F20" s="68" t="inlineStr">
        <is>
          <t>26 least-disturbed stations of this ecoregion</t>
        </is>
      </c>
      <c r="G20" s="68" t="n">
        <v>-1.794486001133919</v>
      </c>
      <c r="H20" s="68" t="n">
        <v>-0.6543828099966049</v>
      </c>
      <c r="I20" s="68" t="n">
        <v>1.055771976709366</v>
      </c>
      <c r="J20" s="68" t="n">
        <v>2.19587516784668</v>
      </c>
      <c r="K20" s="68" t="n">
        <v>2.765926763415337</v>
      </c>
      <c r="L20" s="68" t="n">
        <v>2.765926763415337</v>
      </c>
      <c r="M20" s="68" t="n">
        <v>2.765926763415337</v>
      </c>
      <c r="N20" s="68" t="n">
        <v>2.765926763415337</v>
      </c>
      <c r="O20" s="68" t="n">
        <v>0</v>
      </c>
      <c r="P20" s="68" t="n">
        <v>0.3</v>
      </c>
      <c r="Q20" s="68" t="n">
        <v>0.7</v>
      </c>
      <c r="R20" s="68" t="n">
        <v>1</v>
      </c>
      <c r="S20" s="68" t="n">
        <v>1</v>
      </c>
      <c r="T20" s="68" t="n">
        <v>1</v>
      </c>
      <c r="U20" s="68" t="n">
        <v>1</v>
      </c>
      <c r="V20" s="68" t="n">
        <v>1</v>
      </c>
    </row>
    <row r="21">
      <c r="A21" s="68" t="inlineStr">
        <is>
          <t>spring_chem_chla|</t>
        </is>
      </c>
      <c r="B21" s="68" t="inlineStr">
        <is>
          <t>spring-chem-chla</t>
        </is>
      </c>
      <c r="C21" s="68" t="inlineStr">
        <is>
          <t>Chlorophyll a</t>
        </is>
      </c>
      <c r="D21" s="68" t="inlineStr"/>
      <c r="E21" s="68" t="n">
        <v>5</v>
      </c>
      <c r="F21" s="68" t="inlineStr">
        <is>
          <t>26 least-disturbed stations of this ecoregion</t>
        </is>
      </c>
      <c r="G21" s="68" t="n">
        <v>0.2602500170469284</v>
      </c>
      <c r="H21" s="68" t="n">
        <v>0.4685000032186508</v>
      </c>
      <c r="I21" s="68" t="n">
        <v>0.8849999755620956</v>
      </c>
      <c r="J21" s="68" t="n">
        <v>1.509749934077263</v>
      </c>
      <c r="K21" s="68" t="n">
        <v>1.926249906420708</v>
      </c>
      <c r="L21" s="68" t="n">
        <v>1.926249906420708</v>
      </c>
      <c r="M21" s="68" t="n">
        <v>1.926249906420708</v>
      </c>
      <c r="N21" s="68" t="n">
        <v>1.926249906420708</v>
      </c>
      <c r="O21" s="68" t="n">
        <v>1</v>
      </c>
      <c r="P21" s="68" t="n">
        <v>1</v>
      </c>
      <c r="Q21" s="68" t="n">
        <v>0.7</v>
      </c>
      <c r="R21" s="68" t="n">
        <v>0.3</v>
      </c>
      <c r="S21" s="68" t="n">
        <v>0</v>
      </c>
      <c r="T21" s="68" t="n">
        <v>0</v>
      </c>
      <c r="U21" s="68" t="n">
        <v>0</v>
      </c>
      <c r="V21" s="68" t="n">
        <v>0</v>
      </c>
    </row>
    <row r="22">
      <c r="A22" s="68" t="inlineStr">
        <is>
          <t>spring_phab_xcdenmid|</t>
        </is>
      </c>
      <c r="B22" s="68" t="inlineStr">
        <is>
          <t>spring-phab-xcdenmid</t>
        </is>
      </c>
      <c r="C22" s="68" t="inlineStr">
        <is>
          <t>Canopy density, mid-channel</t>
        </is>
      </c>
      <c r="D22" s="68" t="inlineStr"/>
      <c r="E22" s="68" t="n">
        <v>5</v>
      </c>
      <c r="F22" s="68" t="inlineStr">
        <is>
          <t>19 least-disturbed stations of this ecoregion</t>
        </is>
      </c>
      <c r="G22" s="68" t="n">
        <v>0</v>
      </c>
      <c r="H22" s="68" t="n">
        <v>7.39113848549979</v>
      </c>
      <c r="I22" s="68" t="n">
        <v>17.24598979949951</v>
      </c>
      <c r="J22" s="68" t="n">
        <v>60.56149673461914</v>
      </c>
      <c r="K22" s="68" t="n">
        <v>82.21925020217896</v>
      </c>
      <c r="L22" s="68" t="n">
        <v>82.21925020217896</v>
      </c>
      <c r="M22" s="68" t="n">
        <v>82.21925020217896</v>
      </c>
      <c r="N22" s="68" t="n">
        <v>82.21925020217896</v>
      </c>
      <c r="O22" s="68" t="n">
        <v>0</v>
      </c>
      <c r="P22" s="68" t="n">
        <v>0.3</v>
      </c>
      <c r="Q22" s="68" t="n">
        <v>0.7</v>
      </c>
      <c r="R22" s="68" t="n">
        <v>1</v>
      </c>
      <c r="S22" s="68" t="n">
        <v>1</v>
      </c>
      <c r="T22" s="68" t="n">
        <v>1</v>
      </c>
      <c r="U22" s="68" t="n">
        <v>1</v>
      </c>
      <c r="V22" s="68" t="n">
        <v>1</v>
      </c>
    </row>
    <row r="23">
      <c r="A23" s="68" t="inlineStr">
        <is>
          <t>spring_phab_xcmgw|</t>
        </is>
      </c>
      <c r="B23" s="68" t="inlineStr">
        <is>
          <t>spring-phab-xcmgw</t>
        </is>
      </c>
      <c r="C23" s="68" t="inlineStr">
        <is>
          <t>Riparian veg cover, woody</t>
        </is>
      </c>
      <c r="D23" s="68" t="inlineStr"/>
      <c r="E23" s="68" t="n">
        <v>5</v>
      </c>
      <c r="F23" s="68" t="inlineStr">
        <is>
          <t>196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3" s="68" t="n">
        <v>0</v>
      </c>
      <c r="H23" s="68" t="n">
        <v>0.2522727165903364</v>
      </c>
      <c r="I23" s="68" t="n">
        <v>0.5886363387107849</v>
      </c>
      <c r="J23" s="68" t="n">
        <v>1.091761380434036</v>
      </c>
      <c r="K23" s="68" t="n">
        <v>1.343323901295662</v>
      </c>
      <c r="L23" s="68" t="n">
        <v>1.343323901295662</v>
      </c>
      <c r="M23" s="68" t="n">
        <v>1.343323901295662</v>
      </c>
      <c r="N23" s="68" t="n">
        <v>1.343323901295662</v>
      </c>
      <c r="O23" s="68" t="n">
        <v>0</v>
      </c>
      <c r="P23" s="68" t="n">
        <v>0.3</v>
      </c>
      <c r="Q23" s="68" t="n">
        <v>0.7</v>
      </c>
      <c r="R23" s="68" t="n">
        <v>1</v>
      </c>
      <c r="S23" s="68" t="n">
        <v>1</v>
      </c>
      <c r="T23" s="68" t="n">
        <v>1</v>
      </c>
      <c r="U23" s="68" t="n">
        <v>1</v>
      </c>
      <c r="V23" s="68" t="n">
        <v>1</v>
      </c>
    </row>
    <row r="24">
      <c r="A24" s="68" t="inlineStr">
        <is>
          <t>spring_chem_ntl|</t>
        </is>
      </c>
      <c r="B24" s="68" t="inlineStr">
        <is>
          <t>spring-chem-ntl</t>
        </is>
      </c>
      <c r="C24" s="68" t="inlineStr">
        <is>
          <t>Total nitrogen</t>
        </is>
      </c>
      <c r="D24" s="68" t="inlineStr"/>
      <c r="E24" s="68" t="n">
        <v>5</v>
      </c>
      <c r="F24" s="68" t="inlineStr">
        <is>
          <t>26 least-disturbed stations of this ecoregion</t>
        </is>
      </c>
      <c r="G24" s="68" t="n">
        <v>0.01262500043958426</v>
      </c>
      <c r="H24" s="68" t="n">
        <v>0.05174999870359898</v>
      </c>
      <c r="I24" s="68" t="n">
        <v>0.1299999952316284</v>
      </c>
      <c r="J24" s="68" t="n">
        <v>0.2473749900236726</v>
      </c>
      <c r="K24" s="68" t="n">
        <v>0.325624986551702</v>
      </c>
      <c r="L24" s="68" t="n">
        <v>0.325624986551702</v>
      </c>
      <c r="M24" s="68" t="n">
        <v>0.325624986551702</v>
      </c>
      <c r="N24" s="68" t="n">
        <v>0.325624986551702</v>
      </c>
      <c r="O24" s="68" t="n">
        <v>1</v>
      </c>
      <c r="P24" s="68" t="n">
        <v>1</v>
      </c>
      <c r="Q24" s="68" t="n">
        <v>0.7</v>
      </c>
      <c r="R24" s="68" t="n">
        <v>0.3</v>
      </c>
      <c r="S24" s="68" t="n">
        <v>0</v>
      </c>
      <c r="T24" s="68" t="n">
        <v>0</v>
      </c>
      <c r="U24" s="68" t="n">
        <v>0</v>
      </c>
      <c r="V24" s="68" t="n">
        <v>0</v>
      </c>
    </row>
    <row r="25">
      <c r="A25" s="68" t="inlineStr">
        <is>
          <t>spring_chem_ptl|</t>
        </is>
      </c>
      <c r="B25" s="68" t="inlineStr">
        <is>
          <t>spring-chem-ptl</t>
        </is>
      </c>
      <c r="C25" s="68" t="inlineStr">
        <is>
          <t>Total phosphorus</t>
        </is>
      </c>
      <c r="D25" s="68" t="inlineStr"/>
      <c r="E25" s="68" t="n">
        <v>5</v>
      </c>
      <c r="F25" s="68" t="inlineStr">
        <is>
          <t>26 least-disturbed stations of this ecoregion</t>
        </is>
      </c>
      <c r="G25" s="68" t="n">
        <v>3.676249980926514</v>
      </c>
      <c r="H25" s="68" t="n">
        <v>10.26749992370605</v>
      </c>
      <c r="I25" s="68" t="n">
        <v>23.44999980926514</v>
      </c>
      <c r="J25" s="68" t="n">
        <v>43.22374963760376</v>
      </c>
      <c r="K25" s="68" t="n">
        <v>56.40624952316284</v>
      </c>
      <c r="L25" s="68" t="n">
        <v>56.40624952316284</v>
      </c>
      <c r="M25" s="68" t="n">
        <v>56.40624952316284</v>
      </c>
      <c r="N25" s="68" t="n">
        <v>56.40624952316284</v>
      </c>
      <c r="O25" s="68" t="n">
        <v>1</v>
      </c>
      <c r="P25" s="68" t="n">
        <v>1</v>
      </c>
      <c r="Q25" s="68" t="n">
        <v>0.7</v>
      </c>
      <c r="R25" s="68" t="n">
        <v>0.3</v>
      </c>
      <c r="S25" s="68" t="n">
        <v>0</v>
      </c>
      <c r="T25" s="68" t="n">
        <v>0</v>
      </c>
      <c r="U25" s="68" t="n">
        <v>0</v>
      </c>
      <c r="V25" s="68" t="n">
        <v>0</v>
      </c>
    </row>
    <row r="26">
      <c r="A26" s="68" t="inlineStr">
        <is>
          <t>spring_chem_cond|</t>
        </is>
      </c>
      <c r="B26" s="68" t="inlineStr">
        <is>
          <t>spring-chem-cond</t>
        </is>
      </c>
      <c r="C26" s="68" t="inlineStr">
        <is>
          <t>Specific conductivity</t>
        </is>
      </c>
      <c r="D26" s="68" t="inlineStr"/>
      <c r="E26" s="68" t="n">
        <v>5</v>
      </c>
      <c r="F26" s="68" t="inlineStr">
        <is>
          <t>26 least-disturbed stations of this ecoregion</t>
        </is>
      </c>
      <c r="G26" s="68" t="n">
        <v>16.80000305175781</v>
      </c>
      <c r="H26" s="68" t="n">
        <v>40.40000152587891</v>
      </c>
      <c r="I26" s="68" t="n">
        <v>87.59999847412109</v>
      </c>
      <c r="J26" s="68" t="n">
        <v>158.3999938964844</v>
      </c>
      <c r="K26" s="68" t="n">
        <v>205.5999908447266</v>
      </c>
      <c r="L26" s="68" t="n">
        <v>205.5999908447266</v>
      </c>
      <c r="M26" s="68" t="n">
        <v>205.5999908447266</v>
      </c>
      <c r="N26" s="68" t="n">
        <v>205.5999908447266</v>
      </c>
      <c r="O26" s="68" t="n">
        <v>1</v>
      </c>
      <c r="P26" s="68" t="n">
        <v>1</v>
      </c>
      <c r="Q26" s="68" t="n">
        <v>0.7</v>
      </c>
      <c r="R26" s="68" t="n">
        <v>0.3</v>
      </c>
      <c r="S26" s="68" t="n">
        <v>0</v>
      </c>
      <c r="T26" s="68" t="n">
        <v>0</v>
      </c>
      <c r="U26" s="68" t="n">
        <v>0</v>
      </c>
      <c r="V26" s="68" t="n">
        <v>0</v>
      </c>
    </row>
    <row r="27">
      <c r="A27" s="68" t="inlineStr">
        <is>
          <t>spring_chem_turb|</t>
        </is>
      </c>
      <c r="B27" s="68" t="inlineStr">
        <is>
          <t>spring-chem-turb</t>
        </is>
      </c>
      <c r="C27" s="68" t="inlineStr">
        <is>
          <t>Turbidity</t>
        </is>
      </c>
      <c r="D27" s="68" t="inlineStr"/>
      <c r="E27" s="68" t="n">
        <v>5</v>
      </c>
      <c r="F27" s="68" t="inlineStr">
        <is>
          <t>25 least-disturbed stations of this ecoregion</t>
        </is>
      </c>
      <c r="G27" s="68" t="n">
        <v>0</v>
      </c>
      <c r="H27" s="68" t="n">
        <v>0.1400000005960464</v>
      </c>
      <c r="I27" s="68" t="n">
        <v>0.8299999833106995</v>
      </c>
      <c r="J27" s="68" t="n">
        <v>1.864999957382679</v>
      </c>
      <c r="K27" s="68" t="n">
        <v>2.554999940097332</v>
      </c>
      <c r="L27" s="68" t="n">
        <v>2.554999940097332</v>
      </c>
      <c r="M27" s="68" t="n">
        <v>2.554999940097332</v>
      </c>
      <c r="N27" s="68" t="n">
        <v>2.554999940097332</v>
      </c>
      <c r="O27" s="68" t="n">
        <v>1</v>
      </c>
      <c r="P27" s="68" t="n">
        <v>1</v>
      </c>
      <c r="Q27" s="68" t="n">
        <v>0.7</v>
      </c>
      <c r="R27" s="68" t="n">
        <v>0.3</v>
      </c>
      <c r="S27" s="68" t="n">
        <v>0</v>
      </c>
      <c r="T27" s="68" t="n">
        <v>0</v>
      </c>
      <c r="U27" s="68" t="n">
        <v>0</v>
      </c>
      <c r="V27" s="68" t="n">
        <v>0</v>
      </c>
    </row>
    <row r="28">
      <c r="A28" s="68" t="inlineStr">
        <is>
          <t>spring_phab_pct_fast|All streams (pooled)</t>
        </is>
      </c>
      <c r="B28" s="68" t="inlineStr">
        <is>
          <t>spring-phab-pct-fast</t>
        </is>
      </c>
      <c r="C28" s="68" t="inlineStr">
        <is>
          <t>Fast-water / riffle habitat</t>
        </is>
      </c>
      <c r="D28" s="68" t="inlineStr">
        <is>
          <t>All streams (pooled)</t>
        </is>
      </c>
      <c r="E28" s="68" t="n">
        <v>5</v>
      </c>
      <c r="F28" s="68" t="inlineStr">
        <is>
          <t>193 least-disturbed stations borrowed from Level II ecoregion 6.2 (Western Cordillera) under the regional screen (agriculture at most 25 percent), transfer risk low</t>
        </is>
      </c>
      <c r="G28" s="68" t="n">
        <v>0</v>
      </c>
      <c r="H28" s="68" t="n">
        <v>18.42857142857143</v>
      </c>
      <c r="I28" s="68" t="n">
        <v>43</v>
      </c>
      <c r="J28" s="68" t="n">
        <v>91.34615325927734</v>
      </c>
      <c r="K28" s="68" t="n">
        <v>100</v>
      </c>
      <c r="L28" s="68" t="n">
        <v>100</v>
      </c>
      <c r="M28" s="68" t="n">
        <v>100</v>
      </c>
      <c r="N28" s="68" t="n">
        <v>100</v>
      </c>
      <c r="O28" s="68" t="n">
        <v>0</v>
      </c>
      <c r="P28" s="68" t="n">
        <v>0.3</v>
      </c>
      <c r="Q28" s="68" t="n">
        <v>0.7</v>
      </c>
      <c r="R28" s="68" t="n">
        <v>1</v>
      </c>
      <c r="S28" s="68" t="n">
        <v>1</v>
      </c>
      <c r="T28" s="68" t="n">
        <v>1</v>
      </c>
      <c r="U28" s="68" t="n">
        <v>1</v>
      </c>
      <c r="V28" s="68" t="n">
        <v>1</v>
      </c>
    </row>
    <row r="29">
      <c r="A29" s="68" t="inlineStr">
        <is>
          <t>spring_phab_pct_fast|Low gradient (under 0.5 percent)</t>
        </is>
      </c>
      <c r="B29" s="68" t="inlineStr">
        <is>
          <t>spring-phab-pct-fast</t>
        </is>
      </c>
      <c r="C29" s="68" t="inlineStr">
        <is>
          <t>Fast-water / riffle habitat</t>
        </is>
      </c>
      <c r="D29" s="68" t="inlineStr">
        <is>
          <t>Low gradient (under 0.5 percent)</t>
        </is>
      </c>
      <c r="E29" s="68" t="n">
        <v>5</v>
      </c>
      <c r="F29" s="68" t="inlineStr">
        <is>
          <t>193 least-disturbed stations borrowed from Level II ecoregion 6.2 (Western Cordillera) under the regional screen (agriculture at most 25 percent), transfer risk low</t>
        </is>
      </c>
      <c r="G29" s="68" t="n">
        <v>0</v>
      </c>
      <c r="H29" s="68" t="n">
        <v>2.642857125827244</v>
      </c>
      <c r="I29" s="68" t="n">
        <v>6.166666626930237</v>
      </c>
      <c r="J29" s="68" t="n">
        <v>89.25</v>
      </c>
      <c r="K29" s="68" t="n">
        <v>100</v>
      </c>
      <c r="L29" s="68" t="n">
        <v>100</v>
      </c>
      <c r="M29" s="68" t="n">
        <v>100</v>
      </c>
      <c r="N29" s="68" t="n">
        <v>100</v>
      </c>
      <c r="O29" s="68" t="n">
        <v>0</v>
      </c>
      <c r="P29" s="68" t="n">
        <v>0.3</v>
      </c>
      <c r="Q29" s="68" t="n">
        <v>0.7</v>
      </c>
      <c r="R29" s="68" t="n">
        <v>1</v>
      </c>
      <c r="S29" s="68" t="n">
        <v>1</v>
      </c>
      <c r="T29" s="68" t="n">
        <v>1</v>
      </c>
      <c r="U29" s="68" t="n">
        <v>1</v>
      </c>
      <c r="V29" s="68" t="n">
        <v>1</v>
      </c>
    </row>
    <row r="30">
      <c r="A30" s="68" t="inlineStr">
        <is>
          <t>spring_phab_pct_fast|Moderate gradient (0.5 to 2 percent)</t>
        </is>
      </c>
      <c r="B30" s="68" t="inlineStr">
        <is>
          <t>spring-phab-pct-fast</t>
        </is>
      </c>
      <c r="C30" s="68" t="inlineStr">
        <is>
          <t>Fast-water / riffle habitat</t>
        </is>
      </c>
      <c r="D30" s="68" t="inlineStr">
        <is>
          <t>Moderate gradient (0.5 to 2 percent)</t>
        </is>
      </c>
      <c r="E30" s="68" t="n">
        <v>5</v>
      </c>
      <c r="F30" s="68" t="inlineStr">
        <is>
          <t>193 least-disturbed stations borrowed from Level II ecoregion 6.2 (Western Cordillera) under the regional screen (agriculture at most 25 percent), transfer risk low</t>
        </is>
      </c>
      <c r="G30" s="68" t="n">
        <v>0</v>
      </c>
      <c r="H30" s="68" t="n">
        <v>20.78571428571428</v>
      </c>
      <c r="I30" s="68" t="n">
        <v>48.5</v>
      </c>
      <c r="J30" s="68" t="n">
        <v>91.17307662963867</v>
      </c>
      <c r="K30" s="68" t="n">
        <v>100</v>
      </c>
      <c r="L30" s="68" t="n">
        <v>100</v>
      </c>
      <c r="M30" s="68" t="n">
        <v>100</v>
      </c>
      <c r="N30" s="68" t="n">
        <v>100</v>
      </c>
      <c r="O30" s="68" t="n">
        <v>0</v>
      </c>
      <c r="P30" s="68" t="n">
        <v>0.3</v>
      </c>
      <c r="Q30" s="68" t="n">
        <v>0.7</v>
      </c>
      <c r="R30" s="68" t="n">
        <v>1</v>
      </c>
      <c r="S30" s="68" t="n">
        <v>1</v>
      </c>
      <c r="T30" s="68" t="n">
        <v>1</v>
      </c>
      <c r="U30" s="68" t="n">
        <v>1</v>
      </c>
      <c r="V30" s="68" t="n">
        <v>1</v>
      </c>
    </row>
    <row r="31">
      <c r="A31" s="68" t="inlineStr">
        <is>
          <t>spring_phab_pct_fast|Steep (2 percent and above)</t>
        </is>
      </c>
      <c r="B31" s="68" t="inlineStr">
        <is>
          <t>spring-phab-pct-fast</t>
        </is>
      </c>
      <c r="C31" s="68" t="inlineStr">
        <is>
          <t>Fast-water / riffle habitat</t>
        </is>
      </c>
      <c r="D31" s="68" t="inlineStr">
        <is>
          <t>Steep (2 percent and above)</t>
        </is>
      </c>
      <c r="E31" s="68" t="n">
        <v>5</v>
      </c>
      <c r="F31" s="68" t="inlineStr">
        <is>
          <t>193 least-disturbed stations borrowed from Level II ecoregion 6.2 (Western Cordillera) under the regional screen (agriculture at most 25 percent), transfer risk low</t>
        </is>
      </c>
      <c r="G31" s="68" t="n">
        <v>0</v>
      </c>
      <c r="H31" s="68" t="n">
        <v>20.53403663635254</v>
      </c>
      <c r="I31" s="68" t="n">
        <v>47.91275215148926</v>
      </c>
      <c r="J31" s="68" t="n">
        <v>91.74999809265137</v>
      </c>
      <c r="K31" s="68" t="n">
        <v>100</v>
      </c>
      <c r="L31" s="68" t="n">
        <v>100</v>
      </c>
      <c r="M31" s="68" t="n">
        <v>100</v>
      </c>
      <c r="N31" s="68" t="n">
        <v>100</v>
      </c>
      <c r="O31" s="68" t="n">
        <v>0</v>
      </c>
      <c r="P31" s="68" t="n">
        <v>0.3</v>
      </c>
      <c r="Q31" s="68" t="n">
        <v>0.7</v>
      </c>
      <c r="R31" s="68" t="n">
        <v>1</v>
      </c>
      <c r="S31" s="68" t="n">
        <v>1</v>
      </c>
      <c r="T31" s="68" t="n">
        <v>1</v>
      </c>
      <c r="U31" s="68" t="n">
        <v>1</v>
      </c>
      <c r="V31" s="68" t="n">
        <v>1</v>
      </c>
    </row>
    <row r="32">
      <c r="A32" s="68" t="inlineStr">
        <is>
          <t>spring_phab_xfc_nat|</t>
        </is>
      </c>
      <c r="B32" s="68" t="inlineStr">
        <is>
          <t>spring-phab-xfc-nat</t>
        </is>
      </c>
      <c r="C32" s="68" t="inlineStr">
        <is>
          <t>Natural fish cover</t>
        </is>
      </c>
      <c r="D32" s="68" t="inlineStr"/>
      <c r="E32" s="68" t="n">
        <v>5</v>
      </c>
      <c r="F32" s="68" t="inlineStr">
        <is>
          <t>26 least-disturbed stations of this ecoregion</t>
        </is>
      </c>
      <c r="G32" s="68" t="n">
        <v>0</v>
      </c>
      <c r="H32" s="68" t="n">
        <v>0.07987012873802866</v>
      </c>
      <c r="I32" s="68" t="n">
        <v>0.1863636337220669</v>
      </c>
      <c r="J32" s="68" t="n">
        <v>0.5880681574344635</v>
      </c>
      <c r="K32" s="68" t="n">
        <v>0.7889204192906618</v>
      </c>
      <c r="L32" s="68" t="n">
        <v>0.7889204192906618</v>
      </c>
      <c r="M32" s="68" t="n">
        <v>0.7889204192906618</v>
      </c>
      <c r="N32" s="68" t="n">
        <v>0.7889204192906618</v>
      </c>
      <c r="O32" s="68" t="n">
        <v>0</v>
      </c>
      <c r="P32" s="68" t="n">
        <v>0.3</v>
      </c>
      <c r="Q32" s="68" t="n">
        <v>0.7</v>
      </c>
      <c r="R32" s="68" t="n">
        <v>1</v>
      </c>
      <c r="S32" s="68" t="n">
        <v>1</v>
      </c>
      <c r="T32" s="68" t="n">
        <v>1</v>
      </c>
      <c r="U32" s="68" t="n">
        <v>1</v>
      </c>
      <c r="V32" s="68" t="n">
        <v>1</v>
      </c>
    </row>
    <row r="33">
      <c r="A33" s="68" t="inlineStr">
        <is>
          <t>spring_bent_totlntax|</t>
        </is>
      </c>
      <c r="B33" s="68" t="inlineStr">
        <is>
          <t>spring-bent-totlntax</t>
        </is>
      </c>
      <c r="C33" s="68" t="inlineStr">
        <is>
          <t>Benthic total taxa richness</t>
        </is>
      </c>
      <c r="D33" s="68" t="inlineStr"/>
      <c r="E33" s="68" t="n">
        <v>5</v>
      </c>
      <c r="F33" s="68" t="inlineStr">
        <is>
          <t>26 least-disturbed stations of this ecoregion</t>
        </is>
      </c>
      <c r="G33" s="68" t="n">
        <v>0</v>
      </c>
      <c r="H33" s="68" t="n">
        <v>14.67857142857143</v>
      </c>
      <c r="I33" s="68" t="n">
        <v>34.25</v>
      </c>
      <c r="J33" s="68" t="n">
        <v>42</v>
      </c>
      <c r="K33" s="68" t="n">
        <v>45.875</v>
      </c>
      <c r="L33" s="68" t="n">
        <v>45.875</v>
      </c>
      <c r="M33" s="68" t="n">
        <v>45.875</v>
      </c>
      <c r="N33" s="68" t="n">
        <v>45.875</v>
      </c>
      <c r="O33" s="68" t="n">
        <v>0</v>
      </c>
      <c r="P33" s="68" t="n">
        <v>0.3</v>
      </c>
      <c r="Q33" s="68" t="n">
        <v>0.7</v>
      </c>
      <c r="R33" s="68" t="n">
        <v>1</v>
      </c>
      <c r="S33" s="68" t="n">
        <v>1</v>
      </c>
      <c r="T33" s="68" t="n">
        <v>1</v>
      </c>
      <c r="U33" s="68" t="n">
        <v>1</v>
      </c>
      <c r="V33" s="68" t="n">
        <v>1</v>
      </c>
    </row>
    <row r="34">
      <c r="A34" s="68" t="inlineStr">
        <is>
          <t>spring_fish_nat_totlntax|</t>
        </is>
      </c>
      <c r="B34" s="68" t="inlineStr">
        <is>
          <t>spring-fish-nat-totlntax</t>
        </is>
      </c>
      <c r="C34" s="68" t="inlineStr">
        <is>
          <t>Native fish taxa richness</t>
        </is>
      </c>
      <c r="D34" s="68" t="inlineStr"/>
      <c r="E34" s="68" t="n">
        <v>5</v>
      </c>
      <c r="F34" s="68" t="inlineStr">
        <is>
          <t>16 least-disturbed stations of this ecoregion</t>
        </is>
      </c>
      <c r="G34" s="68" t="n">
        <v>0</v>
      </c>
      <c r="H34" s="68" t="n">
        <v>0.4285714285714285</v>
      </c>
      <c r="I34" s="68" t="n">
        <v>1</v>
      </c>
      <c r="J34" s="68" t="n">
        <v>2.25</v>
      </c>
      <c r="K34" s="68" t="n">
        <v>2.875</v>
      </c>
      <c r="L34" s="68" t="n">
        <v>2.875</v>
      </c>
      <c r="M34" s="68" t="n">
        <v>2.875</v>
      </c>
      <c r="N34" s="68" t="n">
        <v>2.875</v>
      </c>
      <c r="O34" s="68" t="n">
        <v>0</v>
      </c>
      <c r="P34" s="68" t="n">
        <v>0.3</v>
      </c>
      <c r="Q34" s="68" t="n">
        <v>0.7</v>
      </c>
      <c r="R34" s="68" t="n">
        <v>1</v>
      </c>
      <c r="S34" s="68" t="n">
        <v>1</v>
      </c>
      <c r="T34" s="68" t="n">
        <v>1</v>
      </c>
      <c r="U34" s="68" t="n">
        <v>1</v>
      </c>
      <c r="V34" s="68" t="n">
        <v>1</v>
      </c>
    </row>
    <row r="35">
      <c r="A35" s="68" t="inlineStr">
        <is>
          <t>spring_bent_ept_ntax|</t>
        </is>
      </c>
      <c r="B35" s="68" t="inlineStr">
        <is>
          <t>spring-bent-ept-ntax</t>
        </is>
      </c>
      <c r="C35" s="68" t="inlineStr">
        <is>
          <t>EPT taxa richness</t>
        </is>
      </c>
      <c r="D35" s="68" t="inlineStr"/>
      <c r="E35" s="68" t="n">
        <v>5</v>
      </c>
      <c r="F35" s="68" t="inlineStr">
        <is>
          <t>144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35" s="68" t="n">
        <v>0</v>
      </c>
      <c r="H35" s="68" t="n">
        <v>5.142857142857143</v>
      </c>
      <c r="I35" s="68" t="n">
        <v>12</v>
      </c>
      <c r="J35" s="68" t="n">
        <v>19</v>
      </c>
      <c r="K35" s="68" t="n">
        <v>22.5</v>
      </c>
      <c r="L35" s="68" t="n">
        <v>22.5</v>
      </c>
      <c r="M35" s="68" t="n">
        <v>22.5</v>
      </c>
      <c r="N35" s="68" t="n">
        <v>22.5</v>
      </c>
      <c r="O35" s="68" t="n">
        <v>0</v>
      </c>
      <c r="P35" s="68" t="n">
        <v>0.3</v>
      </c>
      <c r="Q35" s="68" t="n">
        <v>0.7</v>
      </c>
      <c r="R35" s="68" t="n">
        <v>1</v>
      </c>
      <c r="S35" s="68" t="n">
        <v>1</v>
      </c>
      <c r="T35" s="68" t="n">
        <v>1</v>
      </c>
      <c r="U35" s="68" t="n">
        <v>1</v>
      </c>
      <c r="V35" s="68" t="n">
        <v>1</v>
      </c>
    </row>
    <row r="36">
      <c r="A36" s="68" t="inlineStr">
        <is>
          <t>spring_bent_hprime|</t>
        </is>
      </c>
      <c r="B36" s="68" t="inlineStr">
        <is>
          <t>spring-bent-hprime</t>
        </is>
      </c>
      <c r="C36" s="68" t="inlineStr">
        <is>
          <t>Shannon diversity (H')</t>
        </is>
      </c>
      <c r="D36" s="68" t="inlineStr"/>
      <c r="E36" s="68" t="n">
        <v>5</v>
      </c>
      <c r="F36" s="68" t="inlineStr">
        <is>
          <t>26 least-disturbed stations of this ecoregion</t>
        </is>
      </c>
      <c r="G36" s="68" t="n">
        <v>0</v>
      </c>
      <c r="H36" s="68" t="n">
        <v>1.179642856121063</v>
      </c>
      <c r="I36" s="68" t="n">
        <v>2.752499997615814</v>
      </c>
      <c r="J36" s="68" t="n">
        <v>3.147500097751617</v>
      </c>
      <c r="K36" s="68" t="n">
        <v>3.345000147819519</v>
      </c>
      <c r="L36" s="68" t="n">
        <v>3.345000147819519</v>
      </c>
      <c r="M36" s="68" t="n">
        <v>3.345000147819519</v>
      </c>
      <c r="N36" s="68" t="n">
        <v>3.345000147819519</v>
      </c>
      <c r="O36" s="68" t="n">
        <v>0</v>
      </c>
      <c r="P36" s="68" t="n">
        <v>0.3</v>
      </c>
      <c r="Q36" s="68" t="n">
        <v>0.7</v>
      </c>
      <c r="R36" s="68" t="n">
        <v>1</v>
      </c>
      <c r="S36" s="68" t="n">
        <v>1</v>
      </c>
      <c r="T36" s="68" t="n">
        <v>1</v>
      </c>
      <c r="U36" s="68" t="n">
        <v>1</v>
      </c>
      <c r="V36" s="68" t="n">
        <v>1</v>
      </c>
    </row>
    <row r="37">
      <c r="A37" s="68" t="inlineStr">
        <is>
          <t>spring_nid_dams_1mi|</t>
        </is>
      </c>
      <c r="B37" s="68" t="inlineStr">
        <is>
          <t>spring-nid-dams-1mi</t>
        </is>
      </c>
      <c r="C37" s="68" t="inlineStr">
        <is>
          <t>Mapped dams within one mile</t>
        </is>
      </c>
      <c r="D37" s="68" t="inlineStr"/>
      <c r="E37" s="68" t="n">
        <v>4</v>
      </c>
      <c r="F37" s="68" t="inlineStr">
        <is>
          <t>Fixed criteria, the same in every region</t>
        </is>
      </c>
      <c r="G37" s="68" t="n">
        <v>0</v>
      </c>
      <c r="H37" s="68" t="n">
        <v>1</v>
      </c>
      <c r="I37" s="68" t="n">
        <v>2</v>
      </c>
      <c r="J37" s="68" t="n">
        <v>3</v>
      </c>
      <c r="K37" s="68" t="n">
        <v>3</v>
      </c>
      <c r="L37" s="68" t="n">
        <v>3</v>
      </c>
      <c r="M37" s="68" t="n">
        <v>3</v>
      </c>
      <c r="N37" s="68" t="n">
        <v>3</v>
      </c>
      <c r="O37" s="68" t="n">
        <v>1</v>
      </c>
      <c r="P37" s="68" t="n">
        <v>0.545</v>
      </c>
      <c r="Q37" s="68" t="n">
        <v>0.195</v>
      </c>
      <c r="R37" s="68" t="n">
        <v>0</v>
      </c>
      <c r="S37" s="68" t="n">
        <v>0</v>
      </c>
      <c r="T37" s="68" t="n">
        <v>0</v>
      </c>
      <c r="U37" s="68" t="n">
        <v>0</v>
      </c>
      <c r="V37" s="68" t="n">
        <v>0</v>
      </c>
    </row>
    <row r="40">
      <c r="A40" s="71" t="inlineStr">
        <is>
          <t>Curve sets by metric</t>
        </is>
      </c>
    </row>
    <row r="41">
      <c r="A41" s="68" t="inlineStr">
        <is>
          <t>All streams (pooled)</t>
        </is>
      </c>
      <c r="B41" s="5" t="inlineStr">
        <is>
          <t>Wetland</t>
        </is>
      </c>
    </row>
    <row r="42">
      <c r="A42" s="68" t="inlineStr">
        <is>
          <t>Moderate gradient (0.5 to 2 percent)</t>
        </is>
      </c>
      <c r="B42" s="5" t="inlineStr">
        <is>
          <t>Wetland</t>
        </is>
      </c>
    </row>
    <row r="43">
      <c r="A43" s="68" t="inlineStr">
        <is>
          <t>All streams (pooled)</t>
        </is>
      </c>
      <c r="B43" s="5" t="inlineStr">
        <is>
          <t>Fast-water / riffle habitat</t>
        </is>
      </c>
    </row>
    <row r="44">
      <c r="A44" s="68" t="inlineStr">
        <is>
          <t>Low gradient (under 0.5 percent)</t>
        </is>
      </c>
      <c r="B44" s="5" t="inlineStr">
        <is>
          <t>Fast-water / riffle habitat</t>
        </is>
      </c>
    </row>
    <row r="45">
      <c r="A45" s="68" t="inlineStr">
        <is>
          <t>Moderate gradient (0.5 to 2 percent)</t>
        </is>
      </c>
      <c r="B45" s="5" t="inlineStr">
        <is>
          <t>Fast-water / riffle habitat</t>
        </is>
      </c>
    </row>
    <row r="46">
      <c r="A46" s="68" t="inlineStr">
        <is>
          <t>Steep (2 percent and above)</t>
        </is>
      </c>
      <c r="B46" s="5" t="inlineStr">
        <is>
          <t>Fast-water / riffle habitat</t>
        </is>
      </c>
    </row>
    <row r="49">
      <c r="A49" s="71" t="inlineStr">
        <is>
          <t>Condition classes</t>
        </is>
      </c>
    </row>
    <row r="50">
      <c r="A50" t="inlineStr">
        <is>
          <t>Metric index: at or below 0.39 Non-Functioning, at or below 0.69 Functioning At-Risk, above Functioning.</t>
        </is>
      </c>
    </row>
    <row r="51">
      <c r="A51" t="inlineStr">
        <is>
          <t>Function score (0 to 15): at or below 5 Non-Functioning, at or below 10 Functioning At-Risk, above Functioning.</t>
        </is>
      </c>
    </row>
    <row r="52">
      <c r="A52"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idaho-batholith</t>
        </is>
      </c>
    </row>
    <row r="5">
      <c r="A5" s="68" t="inlineStr">
        <is>
          <t>Assessment name</t>
        </is>
      </c>
      <c r="B5" s="68" t="inlineStr">
        <is>
          <t>Idaho Batholith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sha256:a8de2e1de74d0a7299718a14798911df70102cdd3e381f79a384d96ec068894f</t>
        </is>
      </c>
    </row>
    <row r="9">
      <c r="A9" s="68" t="inlineStr">
        <is>
          <t>Region</t>
        </is>
      </c>
      <c r="B9" s="68" t="inlineStr">
        <is>
          <t>ecoregion 16 Idaho Batholith</t>
        </is>
      </c>
    </row>
    <row r="10">
      <c r="A10" s="68" t="inlineStr">
        <is>
          <t>Source</t>
        </is>
      </c>
      <c r="B10" s="68" t="inlineStr">
        <is>
          <t>USEPA NRSA 2013-24 (L3 ecoregion 16),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2026-09-30T07:06:45Z</dcterms:created>
  <dcterms:modified xmlns:dcterms="http://purl.org/dc/terms/" xmlns:xsi="http://www.w3.org/2001/XMLSchema-instance" xsi:type="dcterms:W3CDTF">2026-09-30T07:06:45Z</dcterms:modified>
  <cp:lastModifiedBy>DEEP</cp:lastModifiedBy>
  <cp:contentStatus>Draft</cp:contentStatus>
</cp:coreProperties>
</file>