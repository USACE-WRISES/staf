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xbkf_h">'Metrics'!$V$12</definedName>
    <definedName name="idx_spring_phab_bfwd_rat">'Metrics'!$V$13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natural_riparian_cover">'Metrics'!$V$21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xbkf_h">'DEEP Score'!$E$21</definedName>
    <definedName name="in_spring_phab_bfwd_rat">'DEEP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natural_riparian_cover">'DEEP Score'!$E$34</definedName>
    <definedName name="in_spring_chem_ntl">'DEEP Score'!$E$35</definedName>
    <definedName name="in_spring_chem_ptl">'DEEP Score'!$E$36</definedName>
    <definedName name="in_spring_chem_cond">'DEEP Score'!$E$37</definedName>
    <definedName name="in_spring_chem_turb">'DEEP Score'!$E$38</definedName>
    <definedName name="in_spring_phab_pct_fast">'DEEP Score'!$E$39</definedName>
    <definedName name="in_spring_phab_xfc_nat">'DEEP Score'!$E$40</definedName>
    <definedName name="in_spring_bent_totlntax">'DEEP Score'!$E$41</definedName>
    <definedName name="in_spring_bent_ept_ntax">'DEEP Score'!$E$42</definedName>
    <definedName name="in_spring_bent_hprime">'DEEP Score'!$E$43</definedName>
    <definedName name="in_spring_nid_dams_1mi">'DEEP Score'!$E$44</definedName>
    <definedName name="site_notes">'DEEP Score'!$A$63</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11" applyAlignment="1" pivotButton="0" quotePrefix="0" xfId="0">
      <alignment horizontal="center" vertical="center" wrapText="1"/>
    </xf>
    <xf numFmtId="0" fontId="3" fillId="8" borderId="5"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Southwestern Tablelands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17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9 rest on a flagged transfer: a comparable least-disturbed pool the recovery test did not confirm for this ecoregion, used because no validated source supports the metric here, with transfer risk unvalidated and confidence capped. 2 functions rest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8"/>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Southwestern Tablelands reference assessment</t>
        </is>
      </c>
    </row>
    <row r="3">
      <c r="A3" s="5" t="inlineStr">
        <is>
          <t>Version 1 | Draft | USEPA NRSA 2013-24 (L3 ecoregion 26),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height above channel</t>
        </is>
      </c>
      <c r="D21" s="14" t="inlineStr">
        <is>
          <t>m</t>
        </is>
      </c>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width:depth ratio</t>
        </is>
      </c>
      <c r="D22" s="23" t="inlineStr"/>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height above channel</t>
        </is>
      </c>
      <c r="D25" s="14" t="inlineStr">
        <is>
          <t>m</t>
        </is>
      </c>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width:depth ratio</t>
        </is>
      </c>
      <c r="D26" s="23" t="inlineStr"/>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IF('Metrics'!$V$15="","",'Metrics'!$V$15)</f>
        <v/>
      </c>
      <c r="H32" s="21" t="n"/>
      <c r="I32" s="27" t="n"/>
    </row>
    <row r="33">
      <c r="A33" s="46" t="inlineStr">
        <is>
          <t>Physicochemistry</t>
        </is>
      </c>
      <c r="B33" s="29" t="inlineStr">
        <is>
          <t>Light &amp; thermal regime</t>
        </is>
      </c>
      <c r="C33" s="30" t="inlineStr">
        <is>
          <t>Chlorophyll a</t>
        </is>
      </c>
      <c r="D33" s="31" t="inlineStr">
        <is>
          <t>ug/L</t>
        </is>
      </c>
      <c r="E33" s="32" t="n"/>
      <c r="F33" s="33" t="inlineStr"/>
      <c r="G33" s="34">
        <f>IF('Metrics'!$V$20="","",'Metrics'!$V$20)</f>
        <v/>
      </c>
      <c r="H33" s="35">
        <f>IF('Results'!$B$16="","",'Results'!$B$16)</f>
        <v/>
      </c>
      <c r="I33" s="36">
        <f>IF('DEEP Score'!$H$33="","",IF('DEEP Score'!$H$33&lt;=5,"Non-Functioning",IF('DEEP Score'!$H$33&lt;=10,"Functioning At-Risk","Functioning")))</f>
        <v/>
      </c>
    </row>
    <row r="34">
      <c r="A34" s="46" t="inlineStr">
        <is>
          <t>Physicochemistry</t>
        </is>
      </c>
      <c r="B34" s="29" t="inlineStr">
        <is>
          <t>Carbon processing</t>
        </is>
      </c>
      <c r="C34" s="30" t="inlineStr">
        <is>
          <t>Natural cover of the riparian corridor</t>
        </is>
      </c>
      <c r="D34" s="31" t="inlineStr">
        <is>
          <t>%</t>
        </is>
      </c>
      <c r="E34" s="32" t="n"/>
      <c r="F34" s="33" t="inlineStr"/>
      <c r="G34" s="34">
        <f>IF('Metrics'!$V$21="","",'Metrics'!$V$21)</f>
        <v/>
      </c>
      <c r="H34" s="35">
        <f>IF('Results'!$B$17="","",'Results'!$B$17)</f>
        <v/>
      </c>
      <c r="I34" s="36">
        <f>IF('DEEP Score'!$H$34="","",IF('DEEP Score'!$H$34&lt;=5,"Non-Functioning",IF('DEEP Score'!$H$34&lt;=10,"Functioning At-Risk","Functioning")))</f>
        <v/>
      </c>
    </row>
    <row r="35">
      <c r="A35" s="47" t="inlineStr">
        <is>
          <t>Physicochemistry</t>
        </is>
      </c>
      <c r="B35" s="12" t="inlineStr">
        <is>
          <t>Nutrient cycling</t>
        </is>
      </c>
      <c r="C35" s="13" t="inlineStr">
        <is>
          <t>Total nitrogen</t>
        </is>
      </c>
      <c r="D35" s="14" t="inlineStr">
        <is>
          <t>mg N/L</t>
        </is>
      </c>
      <c r="E35" s="15" t="n"/>
      <c r="F35" s="16" t="inlineStr"/>
      <c r="G35" s="17">
        <f>IF('Metrics'!$V$22="","",'Metrics'!$V$22)</f>
        <v/>
      </c>
      <c r="H35" s="18">
        <f>IF('Results'!$B$18="","",'Results'!$B$18)</f>
        <v/>
      </c>
      <c r="I35" s="19">
        <f>IF('DEEP Score'!$H$35="","",IF('DEEP Score'!$H$35&lt;=5,"Non-Functioning",IF('DEEP Score'!$H$35&lt;=10,"Functioning At-Risk","Functioning")))</f>
        <v/>
      </c>
    </row>
    <row r="36">
      <c r="A36" s="20" t="n"/>
      <c r="B36" s="21" t="n"/>
      <c r="C36" s="22" t="inlineStr">
        <is>
          <t>Total phosphorus</t>
        </is>
      </c>
      <c r="D36" s="23" t="inlineStr">
        <is>
          <t>ug/L</t>
        </is>
      </c>
      <c r="E36" s="24" t="n"/>
      <c r="F36" s="25" t="inlineStr"/>
      <c r="G36" s="26">
        <f>IF('Metrics'!$V$23="","",'Metrics'!$V$23)</f>
        <v/>
      </c>
      <c r="H36" s="21" t="n"/>
      <c r="I36" s="27" t="n"/>
    </row>
    <row r="37">
      <c r="A37" s="47" t="inlineStr">
        <is>
          <t>Physicochemistry</t>
        </is>
      </c>
      <c r="B37" s="12" t="inlineStr">
        <is>
          <t>Water &amp; soil quality</t>
        </is>
      </c>
      <c r="C37" s="13" t="inlineStr">
        <is>
          <t>Specific conductivity</t>
        </is>
      </c>
      <c r="D37" s="14" t="inlineStr">
        <is>
          <t>uS/cm</t>
        </is>
      </c>
      <c r="E37" s="15" t="n"/>
      <c r="F37" s="16" t="inlineStr"/>
      <c r="G37" s="17">
        <f>IF('Metrics'!$V$24="","",'Metrics'!$V$24)</f>
        <v/>
      </c>
      <c r="H37" s="18">
        <f>IF('Results'!$B$19="","",'Results'!$B$19)</f>
        <v/>
      </c>
      <c r="I37" s="19">
        <f>IF('DEEP Score'!$H$37="","",IF('DEEP Score'!$H$37&lt;=5,"Non-Functioning",IF('DEEP Score'!$H$37&lt;=10,"Functioning At-Risk","Functioning")))</f>
        <v/>
      </c>
    </row>
    <row r="38">
      <c r="A38" s="20" t="n"/>
      <c r="B38" s="21" t="n"/>
      <c r="C38" s="22" t="inlineStr">
        <is>
          <t>Turbidity</t>
        </is>
      </c>
      <c r="D38" s="23" t="inlineStr">
        <is>
          <t>NTU</t>
        </is>
      </c>
      <c r="E38" s="24" t="n"/>
      <c r="F38" s="25" t="inlineStr"/>
      <c r="G38" s="26">
        <f>IF('Metrics'!$V$25="","",'Metrics'!$V$25)</f>
        <v/>
      </c>
      <c r="H38" s="21" t="n"/>
      <c r="I38" s="27" t="n"/>
    </row>
    <row r="39">
      <c r="A39" s="48" t="inlineStr">
        <is>
          <t>Biology</t>
        </is>
      </c>
      <c r="B39" s="12" t="inlineStr">
        <is>
          <t>Habitat provision</t>
        </is>
      </c>
      <c r="C39" s="13" t="inlineStr">
        <is>
          <t>Fast-water / riffle habitat</t>
        </is>
      </c>
      <c r="D39" s="14" t="inlineStr">
        <is>
          <t>%</t>
        </is>
      </c>
      <c r="E39" s="15" t="n"/>
      <c r="F39" s="16" t="inlineStr"/>
      <c r="G39" s="17">
        <f>IF('Metrics'!$V$26="","",'Metrics'!$V$26)</f>
        <v/>
      </c>
      <c r="H39" s="18">
        <f>IF('Results'!$B$20="","",'Results'!$B$20)</f>
        <v/>
      </c>
      <c r="I39" s="19">
        <f>IF('DEEP Score'!$H$39="","",IF('DEEP Score'!$H$39&lt;=5,"Non-Functioning",IF('DEEP Score'!$H$39&lt;=10,"Functioning At-Risk","Functioning")))</f>
        <v/>
      </c>
    </row>
    <row r="40">
      <c r="A40" s="20" t="n"/>
      <c r="B40" s="21" t="n"/>
      <c r="C40" s="22" t="inlineStr">
        <is>
          <t>Natural fish cover</t>
        </is>
      </c>
      <c r="D40" s="23" t="inlineStr">
        <is>
          <t>frac</t>
        </is>
      </c>
      <c r="E40" s="24" t="n"/>
      <c r="F40" s="25" t="inlineStr"/>
      <c r="G40" s="26">
        <f>IF('Metrics'!$V$27="","",'Metrics'!$V$27)</f>
        <v/>
      </c>
      <c r="H40" s="21" t="n"/>
      <c r="I40" s="27" t="n"/>
    </row>
    <row r="41">
      <c r="A41" s="49" t="inlineStr">
        <is>
          <t>Biology</t>
        </is>
      </c>
      <c r="B41" s="29" t="inlineStr">
        <is>
          <t>Population support</t>
        </is>
      </c>
      <c r="C41" s="30" t="inlineStr">
        <is>
          <t>Benthic total taxa richness</t>
        </is>
      </c>
      <c r="D41" s="31" t="inlineStr"/>
      <c r="E41" s="32" t="n"/>
      <c r="F41" s="33" t="inlineStr"/>
      <c r="G41" s="34">
        <f>IF('Metrics'!$V$28="","",'Metrics'!$V$28)</f>
        <v/>
      </c>
      <c r="H41" s="35">
        <f>IF('Results'!$B$21="","",'Results'!$B$21)</f>
        <v/>
      </c>
      <c r="I41" s="36">
        <f>IF('DEEP Score'!$H$41="","",IF('DEEP Score'!$H$41&lt;=5,"Non-Functioning",IF('DEEP Score'!$H$41&lt;=10,"Functioning At-Risk","Functioning")))</f>
        <v/>
      </c>
    </row>
    <row r="42">
      <c r="A42" s="48" t="inlineStr">
        <is>
          <t>Biology</t>
        </is>
      </c>
      <c r="B42" s="12" t="inlineStr">
        <is>
          <t>Community dynamics</t>
        </is>
      </c>
      <c r="C42" s="13" t="inlineStr">
        <is>
          <t>EPT taxa richness</t>
        </is>
      </c>
      <c r="D42" s="14" t="inlineStr"/>
      <c r="E42" s="15" t="n"/>
      <c r="F42" s="16" t="inlineStr"/>
      <c r="G42" s="17">
        <f>IF('Metrics'!$V$29="","",'Metrics'!$V$29)</f>
        <v/>
      </c>
      <c r="H42" s="18">
        <f>IF('Results'!$B$22="","",'Results'!$B$22)</f>
        <v/>
      </c>
      <c r="I42" s="19">
        <f>IF('DEEP Score'!$H$42="","",IF('DEEP Score'!$H$42&lt;=5,"Non-Functioning",IF('DEEP Score'!$H$42&lt;=10,"Functioning At-Risk","Functioning")))</f>
        <v/>
      </c>
    </row>
    <row r="43">
      <c r="A43" s="20" t="n"/>
      <c r="B43" s="21" t="n"/>
      <c r="C43" s="22" t="inlineStr">
        <is>
          <t>Shannon diversity (H')</t>
        </is>
      </c>
      <c r="D43" s="23" t="inlineStr">
        <is>
          <t>H'</t>
        </is>
      </c>
      <c r="E43" s="24" t="n"/>
      <c r="F43" s="25" t="inlineStr"/>
      <c r="G43" s="26">
        <f>IF('Metrics'!$V$30="","",'Metrics'!$V$30)</f>
        <v/>
      </c>
      <c r="H43" s="21" t="n"/>
      <c r="I43" s="27" t="n"/>
    </row>
    <row r="44">
      <c r="A44" s="49" t="inlineStr">
        <is>
          <t>Biology</t>
        </is>
      </c>
      <c r="B44" s="29" t="inlineStr">
        <is>
          <t>Watershed connectivity</t>
        </is>
      </c>
      <c r="C44" s="30" t="inlineStr">
        <is>
          <t>Mapped dams within one mile</t>
        </is>
      </c>
      <c r="D44" s="31" t="inlineStr">
        <is>
          <t>dams</t>
        </is>
      </c>
      <c r="E44" s="32" t="n"/>
      <c r="F44" s="33" t="inlineStr"/>
      <c r="G44" s="34">
        <f>IF('Metrics'!$V$31="","",'Metrics'!$V$31)</f>
        <v/>
      </c>
      <c r="H44" s="35">
        <f>IF('Results'!$B$23="","",'Results'!$B$23)</f>
        <v/>
      </c>
      <c r="I44" s="36">
        <f>IF('DEEP Score'!$H$44="","",IF('DEEP Score'!$H$44&lt;=5,"Non-Functioning",IF('DEEP Score'!$H$44&lt;=10,"Functioning At-Risk","Functioning")))</f>
        <v/>
      </c>
    </row>
    <row r="46">
      <c r="A46" s="50" t="inlineStr">
        <is>
          <t>Summary</t>
        </is>
      </c>
    </row>
    <row r="47">
      <c r="A47" s="10" t="inlineStr">
        <is>
          <t>Outcome</t>
        </is>
      </c>
      <c r="B47" s="10" t="inlineStr">
        <is>
          <t>Sub-index (0 to 1)</t>
        </is>
      </c>
      <c r="C47" s="10" t="inlineStr">
        <is>
          <t>Condition</t>
        </is>
      </c>
    </row>
    <row r="48">
      <c r="A48" s="51" t="inlineStr">
        <is>
          <t>Physical</t>
        </is>
      </c>
      <c r="B48" s="52">
        <f>'Results'!$B$26</f>
        <v/>
      </c>
      <c r="C48" s="53">
        <f>IF('DEEP Score'!$B$48&lt;=0.39,"Non-Functioning",IF('DEEP Score'!$B$48&lt;=0.69,"Functioning At-Risk","Functioning"))</f>
        <v/>
      </c>
    </row>
    <row r="49">
      <c r="A49" s="51" t="inlineStr">
        <is>
          <t>Chemical</t>
        </is>
      </c>
      <c r="B49" s="52">
        <f>'Results'!$B$27</f>
        <v/>
      </c>
      <c r="C49" s="53">
        <f>IF('DEEP Score'!$B$49&lt;=0.39,"Non-Functioning",IF('DEEP Score'!$B$49&lt;=0.69,"Functioning At-Risk","Functioning"))</f>
        <v/>
      </c>
    </row>
    <row r="50">
      <c r="A50" s="51" t="inlineStr">
        <is>
          <t>Biological</t>
        </is>
      </c>
      <c r="B50" s="52">
        <f>'Results'!$B$28</f>
        <v/>
      </c>
      <c r="C50" s="53">
        <f>IF('DEEP Score'!$B$50&lt;=0.39,"Non-Functioning",IF('DEEP Score'!$B$50&lt;=0.69,"Functioning At-Risk","Functioning"))</f>
        <v/>
      </c>
    </row>
    <row r="51" ht="30" customHeight="1">
      <c r="A51" s="54" t="inlineStr">
        <is>
          <t>Ecosystem Condition Index</t>
        </is>
      </c>
      <c r="B51" s="55">
        <f>'Results'!$B$29</f>
        <v/>
      </c>
      <c r="C51" s="53">
        <f>IF('DEEP Score'!$B$51&lt;=0.39,"Non-Functioning",IF('DEEP Score'!$B$51&lt;=0.69,"Functioning At-Risk","Functioning"))</f>
        <v/>
      </c>
    </row>
    <row r="52">
      <c r="A52" s="5" t="inlineStr">
        <is>
          <t xml:space="preserve">Functions with a score: </t>
        </is>
      </c>
      <c r="B52" s="5">
        <f>COUNT('Results'!$B$4:$B$23)&amp;" of 20"</f>
        <v/>
      </c>
    </row>
    <row r="53">
      <c r="A53" s="5" t="inlineStr">
        <is>
          <t>This assessment covers 20 of 20 STAF functions.</t>
        </is>
      </c>
    </row>
    <row r="55">
      <c r="A55" s="56" t="inlineStr">
        <is>
          <t>Withheld for insufficient reference support (not scored)</t>
        </is>
      </c>
    </row>
    <row r="56">
      <c r="A56" t="inlineStr">
        <is>
          <t>pH</t>
        </is>
      </c>
      <c r="C56" s="5" t="inlineStr">
        <is>
          <t>Water and soil quality</t>
        </is>
      </c>
    </row>
    <row r="57">
      <c r="A57" t="inlineStr">
        <is>
          <t>Native fish taxa richness</t>
        </is>
      </c>
      <c r="C57" s="5" t="inlineStr">
        <is>
          <t>Population support</t>
        </is>
      </c>
    </row>
    <row r="58">
      <c r="A58" t="inlineStr">
        <is>
          <t>Large wood volume</t>
        </is>
      </c>
      <c r="C58" s="5" t="inlineStr">
        <is>
          <t>Bed composition and bedform dynamics</t>
        </is>
      </c>
    </row>
    <row r="59">
      <c r="A59" t="inlineStr">
        <is>
          <t>Canopy density, mid-channel</t>
        </is>
      </c>
      <c r="C59" s="5" t="inlineStr">
        <is>
          <t>Light and thermal regime</t>
        </is>
      </c>
    </row>
    <row r="60">
      <c r="A60" t="inlineStr">
        <is>
          <t>Riparian veg cover, woody</t>
        </is>
      </c>
      <c r="C60" s="5" t="inlineStr">
        <is>
          <t>Carbon processing</t>
        </is>
      </c>
    </row>
    <row r="62">
      <c r="A62" s="6" t="inlineStr">
        <is>
          <t>Notes</t>
        </is>
      </c>
    </row>
    <row r="63">
      <c r="A63" s="57" t="n"/>
      <c r="B63" s="58" t="n"/>
      <c r="C63" s="58" t="n"/>
      <c r="D63" s="58" t="n"/>
      <c r="E63" s="58" t="n"/>
      <c r="F63" s="58" t="n"/>
      <c r="G63" s="58" t="n"/>
      <c r="H63" s="58" t="n"/>
      <c r="I63" s="59"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0" t="n"/>
      <c r="B66" s="61" t="n"/>
      <c r="C66" s="61" t="n"/>
      <c r="D66" s="61" t="n"/>
      <c r="E66" s="61" t="n"/>
      <c r="F66" s="61" t="n"/>
      <c r="G66" s="61" t="n"/>
      <c r="H66" s="61" t="n"/>
      <c r="I66" s="62" t="n"/>
    </row>
    <row r="67">
      <c r="A67" s="60" t="n"/>
      <c r="B67" s="61" t="n"/>
      <c r="C67" s="61" t="n"/>
      <c r="D67" s="61" t="n"/>
      <c r="E67" s="61" t="n"/>
      <c r="F67" s="61" t="n"/>
      <c r="G67" s="61" t="n"/>
      <c r="H67" s="61" t="n"/>
      <c r="I67" s="62" t="n"/>
    </row>
    <row r="68">
      <c r="A68" s="63" t="n"/>
      <c r="B68" s="64" t="n"/>
      <c r="C68" s="64" t="n"/>
      <c r="D68" s="64" t="n"/>
      <c r="E68" s="64" t="n"/>
      <c r="F68" s="64" t="n"/>
      <c r="G68" s="64" t="n"/>
      <c r="H68" s="64" t="n"/>
      <c r="I68" s="65" t="n"/>
    </row>
  </sheetData>
  <sheetProtection selectLockedCells="0" selectUnlockedCells="0" sheet="1" objects="0" insertRows="1" insertHyperlinks="1" autoFilter="1" scenarios="0" formatColumns="1" deleteColumns="1" insertColumns="1" pivotTables="1" deleteRows="1" formatCells="1" formatRows="1" sort="1" password="CB3B"/>
  <mergeCells count="59">
    <mergeCell ref="B27:B28"/>
    <mergeCell ref="H29:H30"/>
    <mergeCell ref="B12:B13"/>
    <mergeCell ref="B18:B19"/>
    <mergeCell ref="B8:D8"/>
    <mergeCell ref="I16:I17"/>
    <mergeCell ref="A16:A17"/>
    <mergeCell ref="H21:H22"/>
    <mergeCell ref="B42:B43"/>
    <mergeCell ref="H31:H32"/>
    <mergeCell ref="B29:B30"/>
    <mergeCell ref="B23:B24"/>
    <mergeCell ref="B39:B40"/>
    <mergeCell ref="A27:A28"/>
    <mergeCell ref="H39:H40"/>
    <mergeCell ref="A63:I68"/>
    <mergeCell ref="I18:I19"/>
    <mergeCell ref="I25:I26"/>
    <mergeCell ref="A12:A13"/>
    <mergeCell ref="A25:A26"/>
    <mergeCell ref="I12:I13"/>
    <mergeCell ref="B9:D9"/>
    <mergeCell ref="I21:I22"/>
    <mergeCell ref="A37:A38"/>
    <mergeCell ref="I37:I38"/>
    <mergeCell ref="A18:A19"/>
    <mergeCell ref="B6:D6"/>
    <mergeCell ref="B37:B38"/>
    <mergeCell ref="A4:I4"/>
    <mergeCell ref="A21:A22"/>
    <mergeCell ref="B5:D5"/>
    <mergeCell ref="I39:I40"/>
    <mergeCell ref="H27:H28"/>
    <mergeCell ref="H16:H17"/>
    <mergeCell ref="A42:A43"/>
    <mergeCell ref="H12:H13"/>
    <mergeCell ref="I42:I43"/>
    <mergeCell ref="A29:A30"/>
    <mergeCell ref="A23:A24"/>
    <mergeCell ref="I29:I30"/>
    <mergeCell ref="I23:I24"/>
    <mergeCell ref="H37:H38"/>
    <mergeCell ref="B7:D7"/>
    <mergeCell ref="H18:H19"/>
    <mergeCell ref="I35:I36"/>
    <mergeCell ref="A35:A36"/>
    <mergeCell ref="I31:I32"/>
    <mergeCell ref="A39:A40"/>
    <mergeCell ref="H42:H43"/>
    <mergeCell ref="B25:B26"/>
    <mergeCell ref="B16:B17"/>
    <mergeCell ref="H23:H24"/>
    <mergeCell ref="A31:A32"/>
    <mergeCell ref="H25:H26"/>
    <mergeCell ref="B21:B22"/>
    <mergeCell ref="I27:I28"/>
    <mergeCell ref="B35:B36"/>
    <mergeCell ref="H35:H36"/>
    <mergeCell ref="B31:B32"/>
  </mergeCells>
  <conditionalFormatting sqref="G12:G44">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4">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4">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Residual pool depth</t>
        </is>
      </c>
      <c r="B11" s="68">
        <f>IF('DEEP Score'!$E$19="","",'DEEP Score'!$E$19)</f>
        <v/>
      </c>
      <c r="C11" s="68">
        <f>""</f>
        <v/>
      </c>
      <c r="D11" s="68">
        <f>"spring_phab_rp100_cm|"&amp;'Metrics'!$C$11</f>
        <v/>
      </c>
      <c r="E11" s="68">
        <f>IFERROR(MATCH('Metrics'!$D$11,curve_key,0),MATCH("spring_phab_rp100_cm|",curve_key,0))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Score'!$E$21="","",'DEEP Score'!$E$21)</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width:depth ratio</t>
        </is>
      </c>
      <c r="B13" s="68">
        <f>IF('DEEP Score'!$E$22="","",'DEEP Score'!$E$22)</f>
        <v/>
      </c>
      <c r="C13" s="68">
        <f>""</f>
        <v/>
      </c>
      <c r="D13" s="68">
        <f>"spring_phab_bfwd_rat|"&amp;'Metrics'!$C$13</f>
        <v/>
      </c>
      <c r="E13" s="68">
        <f>IFERROR(MATCH('Metrics'!$D$13,curve_key,0),MATCH("spring_phab_bfwd_rat|",curve_key,0))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f>
        <v/>
      </c>
      <c r="D18" s="68">
        <f>"spring_phab_lrbs_use|"&amp;'Metrics'!$C$18</f>
        <v/>
      </c>
      <c r="E18" s="68">
        <f>IFERROR(MATCH('Metrics'!$D$18,curve_key,0),MATCH("spring_phab_lrbs_use|",curve_key,0))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Substrate size</t>
        </is>
      </c>
      <c r="B19" s="68">
        <f>IF('DEEP Score'!$E$31="","",'DEEP Score'!$E$31)</f>
        <v/>
      </c>
      <c r="C19" s="68">
        <f>""</f>
        <v/>
      </c>
      <c r="D19" s="68">
        <f>"spring_phab_lsub_dmm|"&amp;'Metrics'!$C$19</f>
        <v/>
      </c>
      <c r="E19" s="68">
        <f>IFERROR(MATCH('Metrics'!$D$19,curve_key,0),MATCH("spring_phab_lsub_dmm|",curve_key,0))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Natural cover of the riparian corridor</t>
        </is>
      </c>
      <c r="B21" s="68">
        <f>IF('DEEP Score'!$E$34="","",'DEEP Score'!$E$34)</f>
        <v/>
      </c>
      <c r="C21" s="68">
        <f>""</f>
        <v/>
      </c>
      <c r="D21" s="68">
        <f>"spring_natural_riparian_cover|"&amp;'Metrics'!$C$21</f>
        <v/>
      </c>
      <c r="E21" s="68">
        <f>IFERROR(MATCH('Metrics'!$D$21,curve_key,0),MATCH("spring_natural_riparian_cover|",curve_key,0))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Score'!$E$35="","",'DEEP Score'!$E$35)</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Score'!$E$36="","",'DEEP Score'!$E$36)</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Specific conductivity</t>
        </is>
      </c>
      <c r="B24" s="68">
        <f>IF('DEEP Score'!$E$37="","",'DEEP Score'!$E$37)</f>
        <v/>
      </c>
      <c r="C24" s="68">
        <f>""</f>
        <v/>
      </c>
      <c r="D24" s="68">
        <f>"spring_chem_cond|"&amp;'Metrics'!$C$24</f>
        <v/>
      </c>
      <c r="E24" s="68">
        <f>IFERROR(MATCH('Metrics'!$D$24,curve_key,0),MATCH("spring_chem_cond|",curve_key,0))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Score'!$E$38="","",'DEEP Score'!$E$38)</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Score'!$E$39="","",'DEEP Score'!$E$39)</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Score'!$E$40="","",'DEEP Score'!$E$40)</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Score'!$E$41="","",'DEEP Score'!$E$41)</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EPT taxa richness</t>
        </is>
      </c>
      <c r="B29" s="68">
        <f>IF('DEEP Score'!$E$42="","",'DEEP Score'!$E$42)</f>
        <v/>
      </c>
      <c r="C29" s="68">
        <f>""</f>
        <v/>
      </c>
      <c r="D29" s="68">
        <f>"spring_bent_ept_ntax|"&amp;'Metrics'!$C$29</f>
        <v/>
      </c>
      <c r="E29" s="68">
        <f>IFERROR(MATCH('Metrics'!$D$29,curve_key,0),MATCH("spring_bent_ept_ntax|",curve_key,0))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Shannon diversity (H')</t>
        </is>
      </c>
      <c r="B30" s="68">
        <f>IF('DEEP Score'!$E$43="","",'DEEP Score'!$E$43)</f>
        <v/>
      </c>
      <c r="C30" s="68">
        <f>""</f>
        <v/>
      </c>
      <c r="D30" s="68">
        <f>"spring_bent_hprime|"&amp;'Metrics'!$C$30</f>
        <v/>
      </c>
      <c r="E30" s="68">
        <f>IFERROR(MATCH('Metrics'!$D$30,curve_key,0),MATCH("spring_bent_hprime|",curve_key,0))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Mapped dams within one mile</t>
        </is>
      </c>
      <c r="B31" s="68">
        <f>IF('DEEP Score'!$E$44="","",'DEEP Score'!$E$44)</f>
        <v/>
      </c>
      <c r="C31" s="68">
        <f>""</f>
        <v/>
      </c>
      <c r="D31" s="68">
        <f>"spring_nid_dams_1mi|"&amp;'Metrics'!$C$31</f>
        <v/>
      </c>
      <c r="E31" s="68">
        <f>IFERROR(MATCH('Metrics'!$D$31,curve_key,0),MATCH("spring_nid_dams_1mi|",curve_key,0))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Score'!G33:G33)=0,"",SUM('DEEP Score'!G33:G33)/COUNT('DEEP Score'!G33:G33)*15)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Score'!G34:G34)=0,"",SUM('DEEP Score'!G34:G34)/COUNT('DEEP Score'!G34:G34)*15)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Score'!G35:G36)=0,"",SUM('DEEP Score'!G35:G36)/COUNT('DEEP Score'!G35:G36)*15)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Score'!G37:G38)=0,"",SUM('DEEP Score'!G37:G38)/COUNT('DEEP Score'!G37:G38)*15)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Score'!G39:G40)=0,"",SUM('DEEP Score'!G39:G40)/COUNT('DEEP Score'!G39:G40)*15)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Score'!G41:G41)=0,"",SUM('DEEP Score'!G41:G41)/COUNT('DEEP Score'!G41:G41)*15)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Score'!G42:G43)=0,"",SUM('DEEP Score'!G42:G43)/COUNT('DEEP Score'!G42:G43)*15)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Score'!G44:G44)=0,"",SUM('DEEP Score'!G44:G44)/COUNT('DEEP Score'!G44:G44)*15)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27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11.66337857142857</v>
      </c>
      <c r="I9" s="67" t="n">
        <v>27.21455</v>
      </c>
      <c r="J9" s="67" t="n">
        <v>57.7115</v>
      </c>
      <c r="K9" s="67" t="n">
        <v>72.959975</v>
      </c>
      <c r="L9" s="67" t="n">
        <v>72.959975</v>
      </c>
      <c r="M9" s="67" t="n">
        <v>72.959975</v>
      </c>
      <c r="N9" s="67" t="n">
        <v>72.959975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spring_phab_rp100_cm|</t>
        </is>
      </c>
      <c r="B11" s="67" t="inlineStr">
        <is>
          <t>spring-phab-rp100-cm</t>
        </is>
      </c>
      <c r="C11" s="67" t="inlineStr">
        <is>
          <t>Residual pool depth</t>
        </is>
      </c>
      <c r="D11" s="67" t="inlineStr"/>
      <c r="E11" s="67" t="n">
        <v>5</v>
      </c>
      <c r="F11" s="67" t="inlineStr">
        <is>
          <t>32 least-disturbed stations borrowed from Level II ecoregion 9.4 (South Central Semi-Arid Prairies) under the regional screen (agriculture at most 25 percent), transfer risk moderate</t>
        </is>
      </c>
      <c r="G11" s="67" t="n">
        <v>0</v>
      </c>
      <c r="H11" s="67" t="n">
        <v>6.220188106809344</v>
      </c>
      <c r="I11" s="67" t="n">
        <v>14.5137722492218</v>
      </c>
      <c r="J11" s="67" t="n">
        <v>40.1099796295166</v>
      </c>
      <c r="K11" s="67" t="n">
        <v>52.908083319664</v>
      </c>
      <c r="L11" s="67" t="n">
        <v>52.908083319664</v>
      </c>
      <c r="M11" s="67" t="n">
        <v>52.908083319664</v>
      </c>
      <c r="N11" s="67" t="n">
        <v>52.908083319664</v>
      </c>
      <c r="O11" s="67" t="n">
        <v>0</v>
      </c>
      <c r="P11" s="67" t="n">
        <v>0.3</v>
      </c>
      <c r="Q11" s="67" t="n">
        <v>0.7</v>
      </c>
      <c r="R11" s="67" t="n">
        <v>1</v>
      </c>
      <c r="S11" s="67" t="n">
        <v>1</v>
      </c>
      <c r="T11" s="67" t="n">
        <v>1</v>
      </c>
      <c r="U11" s="67" t="n">
        <v>1</v>
      </c>
      <c r="V11" s="67" t="n">
        <v>1</v>
      </c>
    </row>
    <row r="12">
      <c r="A12" s="67" t="inlineStr">
        <is>
          <t>spring_phab_xbkf_h|</t>
        </is>
      </c>
      <c r="B12" s="67" t="inlineStr">
        <is>
          <t>spring-phab-xbkf-h</t>
        </is>
      </c>
      <c r="C12" s="67" t="inlineStr">
        <is>
          <t>Bankfull height above channel</t>
        </is>
      </c>
      <c r="D12" s="67" t="inlineStr"/>
      <c r="E12" s="67" t="n">
        <v>7</v>
      </c>
      <c r="F12" s="67" t="inlineStr">
        <is>
          <t>68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7" t="n">
        <v>0</v>
      </c>
      <c r="H12" s="67" t="n">
        <v>0.152386374399066</v>
      </c>
      <c r="I12" s="67" t="n">
        <v>0.3313636407256126</v>
      </c>
      <c r="J12" s="67" t="n">
        <v>0.8427272588014603</v>
      </c>
      <c r="K12" s="67" t="n">
        <v>1.021704525128007</v>
      </c>
      <c r="L12" s="67" t="n">
        <v>1.354090876877308</v>
      </c>
      <c r="M12" s="67" t="n">
        <v>1.865454494953156</v>
      </c>
      <c r="N12" s="67" t="n">
        <v>1.865454494953156</v>
      </c>
      <c r="O12" s="67" t="n">
        <v>0</v>
      </c>
      <c r="P12" s="67" t="n">
        <v>0.7</v>
      </c>
      <c r="Q12" s="67" t="n">
        <v>1</v>
      </c>
      <c r="R12" s="67" t="n">
        <v>1</v>
      </c>
      <c r="S12" s="67" t="n">
        <v>0.7</v>
      </c>
      <c r="T12" s="67" t="n">
        <v>0.3</v>
      </c>
      <c r="U12" s="67" t="n">
        <v>0</v>
      </c>
      <c r="V12" s="67" t="n">
        <v>0</v>
      </c>
    </row>
    <row r="13">
      <c r="A13" s="67" t="inlineStr">
        <is>
          <t>spring_phab_bfwd_rat|</t>
        </is>
      </c>
      <c r="B13" s="67" t="inlineStr">
        <is>
          <t>spring-phab-bfwd-rat</t>
        </is>
      </c>
      <c r="C13" s="67" t="inlineStr">
        <is>
          <t>Bankfull width:depth ratio</t>
        </is>
      </c>
      <c r="D13" s="67" t="inlineStr"/>
      <c r="E13" s="67" t="n">
        <v>7</v>
      </c>
      <c r="F13"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net optimism +0.09, at most 0.05 allowed); confidence capped at 39.</t>
        </is>
      </c>
      <c r="G13" s="67" t="n">
        <v>0</v>
      </c>
      <c r="H13" s="67" t="n">
        <v>6.859241199493408</v>
      </c>
      <c r="I13" s="67" t="n">
        <v>13.06388854980469</v>
      </c>
      <c r="J13" s="67" t="n">
        <v>30.79145240783691</v>
      </c>
      <c r="K13" s="67" t="n">
        <v>36.99609975814819</v>
      </c>
      <c r="L13" s="67" t="n">
        <v>48.51901626586914</v>
      </c>
      <c r="M13" s="67" t="n">
        <v>66.24658012390137</v>
      </c>
      <c r="N13" s="67" t="n">
        <v>66.24658012390137</v>
      </c>
      <c r="O13" s="67" t="n">
        <v>0</v>
      </c>
      <c r="P13" s="67" t="n">
        <v>0.7</v>
      </c>
      <c r="Q13" s="67" t="n">
        <v>1</v>
      </c>
      <c r="R13" s="67" t="n">
        <v>1</v>
      </c>
      <c r="S13" s="67" t="n">
        <v>0.7</v>
      </c>
      <c r="T13" s="67" t="n">
        <v>0.3</v>
      </c>
      <c r="U13" s="67" t="n">
        <v>0</v>
      </c>
      <c r="V13" s="67" t="n">
        <v>0</v>
      </c>
    </row>
    <row r="14">
      <c r="A14" s="67" t="inlineStr">
        <is>
          <t>spring_phab_pct_safn|</t>
        </is>
      </c>
      <c r="B14" s="67" t="inlineStr">
        <is>
          <t>spring-phab-pct-safn</t>
        </is>
      </c>
      <c r="C14" s="67" t="inlineStr">
        <is>
          <t>Sand + fines</t>
        </is>
      </c>
      <c r="D14" s="67" t="inlineStr"/>
      <c r="E14" s="67" t="n">
        <v>4</v>
      </c>
      <c r="F14" s="67" t="inlineStr">
        <is>
          <t>33 least-disturbed stations borrowed from Level II ecoregion 9.4 (South Central Semi-Arid Prairies) under the regional screen (agriculture at most 25 percent), transfer risk low</t>
        </is>
      </c>
      <c r="G14" s="67" t="n">
        <v>10.47618961334229</v>
      </c>
      <c r="H14" s="67" t="n">
        <v>31.4285717010498</v>
      </c>
      <c r="I14" s="67" t="n">
        <v>73.33333587646484</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spring_phab_xembed|</t>
        </is>
      </c>
      <c r="B15" s="67" t="inlineStr">
        <is>
          <t>spring-phab-xembed</t>
        </is>
      </c>
      <c r="C15" s="67" t="inlineStr">
        <is>
          <t>Embeddedness</t>
        </is>
      </c>
      <c r="D15" s="67" t="inlineStr"/>
      <c r="E15" s="67" t="n">
        <v>4</v>
      </c>
      <c r="F15" s="67" t="inlineStr">
        <is>
          <t>29 least-disturbed stations borrowed from Level II ecoregion 9.4 (South Central Semi-Arid Prairies) under the regional screen (agriculture at most 25 percent), transfer risk low</t>
        </is>
      </c>
      <c r="G15" s="67" t="n">
        <v>39.59090805053711</v>
      </c>
      <c r="H15" s="67" t="n">
        <v>56</v>
      </c>
      <c r="I15" s="67" t="n">
        <v>88.81818389892578</v>
      </c>
      <c r="J15" s="67" t="n">
        <v>100</v>
      </c>
      <c r="K15" s="67" t="n">
        <v>100</v>
      </c>
      <c r="L15" s="67" t="n">
        <v>100</v>
      </c>
      <c r="M15" s="67" t="n">
        <v>100</v>
      </c>
      <c r="N15" s="67" t="n">
        <v>100</v>
      </c>
      <c r="O15" s="67" t="n">
        <v>1</v>
      </c>
      <c r="P15" s="67" t="n">
        <v>1</v>
      </c>
      <c r="Q15" s="67" t="n">
        <v>0.7</v>
      </c>
      <c r="R15" s="67" t="n">
        <v>0</v>
      </c>
      <c r="S15" s="67" t="n">
        <v>0</v>
      </c>
      <c r="T15" s="67" t="n">
        <v>0</v>
      </c>
      <c r="U15" s="67" t="n">
        <v>0</v>
      </c>
      <c r="V15" s="67" t="n">
        <v>0</v>
      </c>
    </row>
    <row r="16">
      <c r="A16" s="67" t="inlineStr">
        <is>
          <t>spring_phab_sinu|</t>
        </is>
      </c>
      <c r="B16" s="67" t="inlineStr">
        <is>
          <t>spring-phab-sinu</t>
        </is>
      </c>
      <c r="C16" s="67" t="inlineStr">
        <is>
          <t>Sinuosity</t>
        </is>
      </c>
      <c r="D16" s="67" t="inlineStr"/>
      <c r="E16" s="67" t="n">
        <v>4</v>
      </c>
      <c r="F16" s="67" t="inlineStr">
        <is>
          <t>61 least-disturbed stations borrowed from Level I ecoregion 9 (Great Plains) under the regional screen (agriculture at most 25 percent), transfer risk high</t>
        </is>
      </c>
      <c r="G16" s="67" t="n">
        <v>1</v>
      </c>
      <c r="H16" s="67" t="n">
        <v>1.111401438713074</v>
      </c>
      <c r="I16" s="67" t="n">
        <v>1.667477965354919</v>
      </c>
      <c r="J16" s="67" t="n">
        <v>1.945516228675842</v>
      </c>
      <c r="K16" s="67" t="n">
        <v>1.945516228675842</v>
      </c>
      <c r="L16" s="67" t="n">
        <v>1.945516228675842</v>
      </c>
      <c r="M16" s="67" t="n">
        <v>1.945516228675842</v>
      </c>
      <c r="N16" s="67" t="n">
        <v>1.945516228675842</v>
      </c>
      <c r="O16" s="67" t="n">
        <v>0</v>
      </c>
      <c r="P16" s="67" t="n">
        <v>0.7</v>
      </c>
      <c r="Q16" s="67" t="n">
        <v>1</v>
      </c>
      <c r="R16" s="67" t="n">
        <v>1</v>
      </c>
      <c r="S16" s="67" t="n">
        <v>1</v>
      </c>
      <c r="T16" s="67" t="n">
        <v>1</v>
      </c>
      <c r="U16" s="67" t="n">
        <v>1</v>
      </c>
      <c r="V16" s="67" t="n">
        <v>1</v>
      </c>
    </row>
    <row r="17">
      <c r="A17" s="67" t="inlineStr">
        <is>
          <t>spring_phab_xbka|</t>
        </is>
      </c>
      <c r="B17" s="67" t="inlineStr">
        <is>
          <t>spring-phab-xbka</t>
        </is>
      </c>
      <c r="C17" s="67" t="inlineStr">
        <is>
          <t>Bank angle</t>
        </is>
      </c>
      <c r="D17" s="67" t="inlineStr"/>
      <c r="E17" s="67" t="n">
        <v>7</v>
      </c>
      <c r="F17" s="67" t="inlineStr">
        <is>
          <t>29 least-disturbed stations borrowed from Level II ecoregion 9.4 (South Central Semi-Arid Prairies) under the regional screen (agriculture at most 25 percent), transfer risk low</t>
        </is>
      </c>
      <c r="G17" s="67" t="n">
        <v>0</v>
      </c>
      <c r="H17" s="67" t="n">
        <v>18.64090909957886</v>
      </c>
      <c r="I17" s="67" t="n">
        <v>22.68181800842285</v>
      </c>
      <c r="J17" s="67" t="n">
        <v>34.22727203369141</v>
      </c>
      <c r="K17" s="67" t="n">
        <v>38.2681809425354</v>
      </c>
      <c r="L17" s="67" t="n">
        <v>45.77272605895996</v>
      </c>
      <c r="M17" s="67" t="n">
        <v>57.31818008422852</v>
      </c>
      <c r="N17" s="67" t="n">
        <v>57.31818008422852</v>
      </c>
      <c r="O17" s="67" t="n">
        <v>0.7</v>
      </c>
      <c r="P17" s="67" t="n">
        <v>0.7</v>
      </c>
      <c r="Q17" s="67" t="n">
        <v>1</v>
      </c>
      <c r="R17" s="67" t="n">
        <v>1</v>
      </c>
      <c r="S17" s="67" t="n">
        <v>0.7</v>
      </c>
      <c r="T17" s="67" t="n">
        <v>0.3</v>
      </c>
      <c r="U17" s="67" t="n">
        <v>0</v>
      </c>
      <c r="V17" s="67" t="n">
        <v>0</v>
      </c>
    </row>
    <row r="18">
      <c r="A18" s="67" t="inlineStr">
        <is>
          <t>spring_phab_lrbs_use|</t>
        </is>
      </c>
      <c r="B18" s="67" t="inlineStr">
        <is>
          <t>spring-phab-lrbs-use</t>
        </is>
      </c>
      <c r="C18" s="67" t="inlineStr">
        <is>
          <t>Relative bed stability</t>
        </is>
      </c>
      <c r="D18" s="67" t="inlineStr"/>
      <c r="E18" s="67" t="n">
        <v>8</v>
      </c>
      <c r="F18" s="67"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8" s="67" t="n">
        <v>-4.095793843269348</v>
      </c>
      <c r="H18" s="67" t="n">
        <v>-2.915592193603516</v>
      </c>
      <c r="I18" s="67" t="n">
        <v>-2.148461121320724</v>
      </c>
      <c r="J18" s="67" t="n">
        <v>-1.735390543937683</v>
      </c>
      <c r="K18" s="67" t="n">
        <v>-0.5551888942718506</v>
      </c>
      <c r="L18" s="67" t="n">
        <v>-0.1421183168888092</v>
      </c>
      <c r="M18" s="67" t="n">
        <v>0.6250127553939819</v>
      </c>
      <c r="N18" s="67" t="n">
        <v>1.805214405059814</v>
      </c>
      <c r="O18" s="67" t="n">
        <v>0</v>
      </c>
      <c r="P18" s="67" t="n">
        <v>0.3</v>
      </c>
      <c r="Q18" s="67" t="n">
        <v>0.7</v>
      </c>
      <c r="R18" s="67" t="n">
        <v>1</v>
      </c>
      <c r="S18" s="67" t="n">
        <v>1</v>
      </c>
      <c r="T18" s="67" t="n">
        <v>0.7</v>
      </c>
      <c r="U18" s="67" t="n">
        <v>0.3</v>
      </c>
      <c r="V18" s="67" t="n">
        <v>0</v>
      </c>
    </row>
    <row r="19">
      <c r="A19" s="67" t="inlineStr">
        <is>
          <t>spring_phab_lsub_dmm|</t>
        </is>
      </c>
      <c r="B19" s="67" t="inlineStr">
        <is>
          <t>spring-phab-lsub-dmm</t>
        </is>
      </c>
      <c r="C19" s="67" t="inlineStr">
        <is>
          <t>Substrate size</t>
        </is>
      </c>
      <c r="D19" s="67" t="inlineStr"/>
      <c r="E19" s="67" t="n">
        <v>5</v>
      </c>
      <c r="F19" s="67" t="inlineStr">
        <is>
          <t>33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7" t="n">
        <v>-5.492535054683685</v>
      </c>
      <c r="H19" s="67" t="n">
        <v>-3.674183905124664</v>
      </c>
      <c r="I19" s="67" t="n">
        <v>-0.9466571807861328</v>
      </c>
      <c r="J19" s="67" t="n">
        <v>0.8716939687728882</v>
      </c>
      <c r="K19" s="67" t="n">
        <v>1.780869543552399</v>
      </c>
      <c r="L19" s="67" t="n">
        <v>1.780869543552399</v>
      </c>
      <c r="M19" s="67" t="n">
        <v>1.780869543552399</v>
      </c>
      <c r="N19" s="67" t="n">
        <v>1.780869543552399</v>
      </c>
      <c r="O19" s="67" t="n">
        <v>0</v>
      </c>
      <c r="P19" s="67" t="n">
        <v>0.3</v>
      </c>
      <c r="Q19" s="67" t="n">
        <v>0.7</v>
      </c>
      <c r="R19" s="67" t="n">
        <v>1</v>
      </c>
      <c r="S19" s="67" t="n">
        <v>1</v>
      </c>
      <c r="T19" s="67" t="n">
        <v>1</v>
      </c>
      <c r="U19" s="67" t="n">
        <v>1</v>
      </c>
      <c r="V19" s="67" t="n">
        <v>1</v>
      </c>
    </row>
    <row r="20">
      <c r="A20" s="67" t="inlineStr">
        <is>
          <t>spring_chem_chla|</t>
        </is>
      </c>
      <c r="B20" s="67" t="inlineStr">
        <is>
          <t>spring-chem-chla</t>
        </is>
      </c>
      <c r="C20" s="67" t="inlineStr">
        <is>
          <t>Chlorophyll a</t>
        </is>
      </c>
      <c r="D20" s="67" t="inlineStr"/>
      <c r="E20" s="67" t="n">
        <v>5</v>
      </c>
      <c r="F20" s="67" t="inlineStr">
        <is>
          <t>24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0" s="67" t="n">
        <v>0</v>
      </c>
      <c r="H20" s="67" t="n">
        <v>1.244999974966049</v>
      </c>
      <c r="I20" s="67" t="n">
        <v>5.504999995231628</v>
      </c>
      <c r="J20" s="67" t="n">
        <v>11.89500002563</v>
      </c>
      <c r="K20" s="67" t="n">
        <v>16.15500004589558</v>
      </c>
      <c r="L20" s="67" t="n">
        <v>16.15500004589558</v>
      </c>
      <c r="M20" s="67" t="n">
        <v>16.15500004589558</v>
      </c>
      <c r="N20" s="67" t="n">
        <v>16.15500004589558</v>
      </c>
      <c r="O20" s="67" t="n">
        <v>1</v>
      </c>
      <c r="P20" s="67" t="n">
        <v>1</v>
      </c>
      <c r="Q20" s="67" t="n">
        <v>0.7</v>
      </c>
      <c r="R20" s="67" t="n">
        <v>0.3</v>
      </c>
      <c r="S20" s="67" t="n">
        <v>0</v>
      </c>
      <c r="T20" s="67" t="n">
        <v>0</v>
      </c>
      <c r="U20" s="67" t="n">
        <v>0</v>
      </c>
      <c r="V20" s="67" t="n">
        <v>0</v>
      </c>
    </row>
    <row r="21">
      <c r="A21" s="67" t="inlineStr">
        <is>
          <t>spring_natural_riparian_cover|</t>
        </is>
      </c>
      <c r="B21" s="67" t="inlineStr">
        <is>
          <t>spring-natural-riparian-cover</t>
        </is>
      </c>
      <c r="C21" s="67" t="inlineStr">
        <is>
          <t>Natural cover of the riparian corridor</t>
        </is>
      </c>
      <c r="D21" s="67" t="inlineStr"/>
      <c r="E21" s="67" t="n">
        <v>5</v>
      </c>
      <c r="F21" s="67" t="inlineStr">
        <is>
          <t>Adopted from EASI's national screening method (provisional)</t>
        </is>
      </c>
      <c r="G21" s="67" t="n">
        <v>0</v>
      </c>
      <c r="H21" s="67" t="n">
        <v>41.138571</v>
      </c>
      <c r="I21" s="67" t="n">
        <v>95.989998</v>
      </c>
      <c r="J21" s="67" t="n">
        <v>99.949997</v>
      </c>
      <c r="K21" s="67" t="n">
        <v>100</v>
      </c>
      <c r="L21" s="67" t="n">
        <v>100</v>
      </c>
      <c r="M21" s="67" t="n">
        <v>100</v>
      </c>
      <c r="N21" s="67" t="n">
        <v>100</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4</v>
      </c>
      <c r="F22" s="67" t="inlineStr">
        <is>
          <t>Scored against a published criterion rather than against stations from this ecoregion. The criterion carries its own definition of reference, which need not match this assessment's.</t>
        </is>
      </c>
      <c r="G22" s="67" t="n">
        <v>0</v>
      </c>
      <c r="H22" s="67" t="n">
        <v>0.5815</v>
      </c>
      <c r="I22" s="67" t="n">
        <v>1.069</v>
      </c>
      <c r="J22" s="67" t="n">
        <v>1.70275</v>
      </c>
      <c r="K22" s="67" t="n">
        <v>1.70275</v>
      </c>
      <c r="L22" s="67" t="n">
        <v>1.70275</v>
      </c>
      <c r="M22" s="67" t="n">
        <v>1.70275</v>
      </c>
      <c r="N22" s="67" t="n">
        <v>1.70275</v>
      </c>
      <c r="O22" s="67" t="n">
        <v>1</v>
      </c>
      <c r="P22" s="67" t="n">
        <v>0.6899999999999999</v>
      </c>
      <c r="Q22" s="67" t="n">
        <v>0.39</v>
      </c>
      <c r="R22" s="67" t="n">
        <v>0</v>
      </c>
      <c r="S22" s="67" t="n">
        <v>0</v>
      </c>
      <c r="T22" s="67" t="n">
        <v>0</v>
      </c>
      <c r="U22" s="67" t="n">
        <v>0</v>
      </c>
      <c r="V22" s="67" t="n">
        <v>0</v>
      </c>
    </row>
    <row r="23">
      <c r="A23" s="67" t="inlineStr">
        <is>
          <t>spring_chem_ptl|</t>
        </is>
      </c>
      <c r="B23" s="67" t="inlineStr">
        <is>
          <t>spring-chem-ptl</t>
        </is>
      </c>
      <c r="C23" s="67" t="inlineStr">
        <is>
          <t>Total phosphorus</t>
        </is>
      </c>
      <c r="D23" s="67" t="inlineStr"/>
      <c r="E23" s="67" t="n">
        <v>4</v>
      </c>
      <c r="F23" s="67" t="inlineStr">
        <is>
          <t>Scored against a published criterion rather than against stations from this ecoregion. The criterion carries its own definition of reference, which need not match this assessment's.</t>
        </is>
      </c>
      <c r="G23" s="67" t="n">
        <v>0</v>
      </c>
      <c r="H23" s="67" t="n">
        <v>55.85</v>
      </c>
      <c r="I23" s="67" t="n">
        <v>127</v>
      </c>
      <c r="J23" s="67" t="n">
        <v>219.495</v>
      </c>
      <c r="K23" s="67" t="n">
        <v>219.495</v>
      </c>
      <c r="L23" s="67" t="n">
        <v>219.495</v>
      </c>
      <c r="M23" s="67" t="n">
        <v>219.495</v>
      </c>
      <c r="N23" s="67" t="n">
        <v>219.495</v>
      </c>
      <c r="O23" s="67" t="n">
        <v>1</v>
      </c>
      <c r="P23" s="67" t="n">
        <v>0.6899999999999999</v>
      </c>
      <c r="Q23" s="67" t="n">
        <v>0.39</v>
      </c>
      <c r="R23" s="67" t="n">
        <v>0</v>
      </c>
      <c r="S23" s="67" t="n">
        <v>0</v>
      </c>
      <c r="T23" s="67" t="n">
        <v>0</v>
      </c>
      <c r="U23" s="67" t="n">
        <v>0</v>
      </c>
      <c r="V23" s="67" t="n">
        <v>0</v>
      </c>
    </row>
    <row r="24">
      <c r="A24" s="67" t="inlineStr">
        <is>
          <t>spring_chem_cond|</t>
        </is>
      </c>
      <c r="B24" s="67" t="inlineStr">
        <is>
          <t>spring-chem-cond</t>
        </is>
      </c>
      <c r="C24" s="67" t="inlineStr">
        <is>
          <t>Specific conductivity</t>
        </is>
      </c>
      <c r="D24" s="67" t="inlineStr"/>
      <c r="E24" s="67" t="n">
        <v>4</v>
      </c>
      <c r="F24" s="67" t="inlineStr">
        <is>
          <t>Scored against a published criterion rather than against stations from this ecoregion. The criterion carries its own definition of reference, which need not match this assessment's.</t>
        </is>
      </c>
      <c r="G24" s="67" t="n">
        <v>0</v>
      </c>
      <c r="H24" s="67" t="n">
        <v>1000.05</v>
      </c>
      <c r="I24" s="67" t="n">
        <v>2000.05</v>
      </c>
      <c r="J24" s="67" t="n">
        <v>3300.05</v>
      </c>
      <c r="K24" s="67" t="n">
        <v>3300.05</v>
      </c>
      <c r="L24" s="67" t="n">
        <v>3300.05</v>
      </c>
      <c r="M24" s="67" t="n">
        <v>3300.05</v>
      </c>
      <c r="N24" s="67" t="n">
        <v>3300.05</v>
      </c>
      <c r="O24" s="67" t="n">
        <v>1</v>
      </c>
      <c r="P24" s="67" t="n">
        <v>0.6899999999999999</v>
      </c>
      <c r="Q24" s="67" t="n">
        <v>0.39</v>
      </c>
      <c r="R24" s="67" t="n">
        <v>0</v>
      </c>
      <c r="S24" s="67" t="n">
        <v>0</v>
      </c>
      <c r="T24" s="67" t="n">
        <v>0</v>
      </c>
      <c r="U24" s="67" t="n">
        <v>0</v>
      </c>
      <c r="V24" s="67" t="n">
        <v>0</v>
      </c>
    </row>
    <row r="25">
      <c r="A25" s="67" t="inlineStr">
        <is>
          <t>spring_chem_turb|</t>
        </is>
      </c>
      <c r="B25" s="67" t="inlineStr">
        <is>
          <t>spring-chem-turb</t>
        </is>
      </c>
      <c r="C25" s="67" t="inlineStr">
        <is>
          <t>Turbidity</t>
        </is>
      </c>
      <c r="D25" s="67" t="inlineStr"/>
      <c r="E25" s="67" t="n">
        <v>5</v>
      </c>
      <c r="F25" s="67" t="inlineStr">
        <is>
          <t>Reference curve from a modeled expectation. The response to landscape pressure is estimated nationally and this ecoregion's own level is added, because the ecoregion holds too few streams clean enough to observe reference condition directly.</t>
        </is>
      </c>
      <c r="G25" s="67" t="n">
        <v>0</v>
      </c>
      <c r="H25" s="67" t="n">
        <v>4.373825441577907</v>
      </c>
      <c r="I25" s="67" t="n">
        <v>18.67010202388432</v>
      </c>
      <c r="J25" s="67" t="n">
        <v>40.11451689734393</v>
      </c>
      <c r="K25" s="67" t="n">
        <v>54.41079347965034</v>
      </c>
      <c r="L25" s="67" t="n">
        <v>54.41079347965034</v>
      </c>
      <c r="M25" s="67" t="n">
        <v>54.41079347965034</v>
      </c>
      <c r="N25" s="67" t="n">
        <v>54.41079347965034</v>
      </c>
      <c r="O25" s="67" t="n">
        <v>1</v>
      </c>
      <c r="P25" s="67" t="n">
        <v>1</v>
      </c>
      <c r="Q25" s="67" t="n">
        <v>0.7</v>
      </c>
      <c r="R25" s="67" t="n">
        <v>0.3</v>
      </c>
      <c r="S25" s="67" t="n">
        <v>0</v>
      </c>
      <c r="T25" s="67" t="n">
        <v>0</v>
      </c>
      <c r="U25" s="67" t="n">
        <v>0</v>
      </c>
      <c r="V25" s="67" t="n">
        <v>0</v>
      </c>
    </row>
    <row r="26">
      <c r="A26" s="67" t="inlineStr">
        <is>
          <t>spring_phab_pct_fast|</t>
        </is>
      </c>
      <c r="B26" s="67" t="inlineStr">
        <is>
          <t>spring-phab-pct-fast</t>
        </is>
      </c>
      <c r="C26" s="67" t="inlineStr">
        <is>
          <t>Fast-water / riffle habitat</t>
        </is>
      </c>
      <c r="D26" s="67" t="inlineStr"/>
      <c r="E26" s="67" t="n">
        <v>5</v>
      </c>
      <c r="F26" s="67" t="inlineStr">
        <is>
          <t>33 least-disturbed stations borrowed from Level II ecoregion 9.4 (South Central Semi-Arid Prairies) under the regional screen (agriculture at most 25 percent), transfer risk low</t>
        </is>
      </c>
      <c r="G26" s="67" t="n">
        <v>0</v>
      </c>
      <c r="H26" s="67" t="n">
        <v>0.4285714285714285</v>
      </c>
      <c r="I26" s="67" t="n">
        <v>1</v>
      </c>
      <c r="J26" s="67" t="n">
        <v>15.45454502105713</v>
      </c>
      <c r="K26" s="67" t="n">
        <v>22.68181753158569</v>
      </c>
      <c r="L26" s="67" t="n">
        <v>22.68181753158569</v>
      </c>
      <c r="M26" s="67" t="n">
        <v>22.68181753158569</v>
      </c>
      <c r="N26" s="67" t="n">
        <v>22.68181753158569</v>
      </c>
      <c r="O26" s="67" t="n">
        <v>0</v>
      </c>
      <c r="P26" s="67" t="n">
        <v>0.3</v>
      </c>
      <c r="Q26" s="67" t="n">
        <v>0.7</v>
      </c>
      <c r="R26" s="67" t="n">
        <v>1</v>
      </c>
      <c r="S26" s="67" t="n">
        <v>1</v>
      </c>
      <c r="T26" s="67" t="n">
        <v>1</v>
      </c>
      <c r="U26" s="67" t="n">
        <v>1</v>
      </c>
      <c r="V26" s="67" t="n">
        <v>1</v>
      </c>
    </row>
    <row r="27">
      <c r="A27" s="67" t="inlineStr">
        <is>
          <t>spring_phab_xfc_nat|</t>
        </is>
      </c>
      <c r="B27" s="67" t="inlineStr">
        <is>
          <t>spring-phab-xfc-nat</t>
        </is>
      </c>
      <c r="C27" s="67" t="inlineStr">
        <is>
          <t>Natural fish cover</t>
        </is>
      </c>
      <c r="D27" s="67" t="inlineStr"/>
      <c r="E27" s="67" t="n">
        <v>5</v>
      </c>
      <c r="F27" s="67" t="inlineStr">
        <is>
          <t>63 least-disturbed stations borrowed from Level I ecoregion 9 (Great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27" s="67" t="n">
        <v>0</v>
      </c>
      <c r="H27" s="67" t="n">
        <v>0.06233766036374228</v>
      </c>
      <c r="I27" s="67" t="n">
        <v>0.145454540848732</v>
      </c>
      <c r="J27" s="67" t="n">
        <v>0.3454545438289642</v>
      </c>
      <c r="K27" s="67" t="n">
        <v>0.4454545453190804</v>
      </c>
      <c r="L27" s="67" t="n">
        <v>0.4454545453190804</v>
      </c>
      <c r="M27" s="67" t="n">
        <v>0.4454545453190804</v>
      </c>
      <c r="N27" s="67" t="n">
        <v>0.4454545453190804</v>
      </c>
      <c r="O27" s="67" t="n">
        <v>0</v>
      </c>
      <c r="P27" s="67" t="n">
        <v>0.3</v>
      </c>
      <c r="Q27" s="67" t="n">
        <v>0.7</v>
      </c>
      <c r="R27" s="67" t="n">
        <v>1</v>
      </c>
      <c r="S27" s="67" t="n">
        <v>1</v>
      </c>
      <c r="T27" s="67" t="n">
        <v>1</v>
      </c>
      <c r="U27" s="67" t="n">
        <v>1</v>
      </c>
      <c r="V27" s="67" t="n">
        <v>1</v>
      </c>
    </row>
    <row r="28">
      <c r="A28" s="67" t="inlineStr">
        <is>
          <t>spring_bent_totlntax|</t>
        </is>
      </c>
      <c r="B28" s="67" t="inlineStr">
        <is>
          <t>spring-bent-totlntax</t>
        </is>
      </c>
      <c r="C28" s="67" t="inlineStr">
        <is>
          <t>Benthic total taxa richness</t>
        </is>
      </c>
      <c r="D28" s="67" t="inlineStr"/>
      <c r="E28" s="67" t="n">
        <v>5</v>
      </c>
      <c r="F28" s="67" t="inlineStr">
        <is>
          <t>Reference curve fitted to comparable least-disturbed stations drawn from the national pool, because this ecoregion and its parents hold too few of their own.</t>
        </is>
      </c>
      <c r="G28" s="67" t="n">
        <v>0</v>
      </c>
      <c r="H28" s="67" t="n">
        <v>12.10714285714286</v>
      </c>
      <c r="I28" s="67" t="n">
        <v>28.25</v>
      </c>
      <c r="J28" s="67" t="n">
        <v>41</v>
      </c>
      <c r="K28" s="67" t="n">
        <v>47.375</v>
      </c>
      <c r="L28" s="67" t="n">
        <v>47.375</v>
      </c>
      <c r="M28" s="67" t="n">
        <v>47.375</v>
      </c>
      <c r="N28" s="67" t="n">
        <v>47.375</v>
      </c>
      <c r="O28" s="67" t="n">
        <v>0</v>
      </c>
      <c r="P28" s="67" t="n">
        <v>0.3</v>
      </c>
      <c r="Q28" s="67" t="n">
        <v>0.7</v>
      </c>
      <c r="R28" s="67" t="n">
        <v>1</v>
      </c>
      <c r="S28" s="67" t="n">
        <v>1</v>
      </c>
      <c r="T28" s="67" t="n">
        <v>1</v>
      </c>
      <c r="U28" s="67" t="n">
        <v>1</v>
      </c>
      <c r="V28" s="67" t="n">
        <v>1</v>
      </c>
    </row>
    <row r="29">
      <c r="A29" s="67" t="inlineStr">
        <is>
          <t>spring_bent_ept_ntax|</t>
        </is>
      </c>
      <c r="B29" s="67" t="inlineStr">
        <is>
          <t>spring-bent-ept-ntax</t>
        </is>
      </c>
      <c r="C29" s="67" t="inlineStr">
        <is>
          <t>EPT taxa richness</t>
        </is>
      </c>
      <c r="D29" s="67" t="inlineStr"/>
      <c r="E29" s="67" t="n">
        <v>5</v>
      </c>
      <c r="F29" s="67" t="inlineStr">
        <is>
          <t>29 least-disturbed stations borrowed from Level II ecoregion 9.4 (South Central Semi-Arid Prairies)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29" s="67" t="n">
        <v>0</v>
      </c>
      <c r="H29" s="67" t="n">
        <v>1.285714285714286</v>
      </c>
      <c r="I29" s="67" t="n">
        <v>3</v>
      </c>
      <c r="J29" s="67" t="n">
        <v>11</v>
      </c>
      <c r="K29" s="67" t="n">
        <v>15</v>
      </c>
      <c r="L29" s="67" t="n">
        <v>15</v>
      </c>
      <c r="M29" s="67" t="n">
        <v>15</v>
      </c>
      <c r="N29" s="67" t="n">
        <v>15</v>
      </c>
      <c r="O29" s="67" t="n">
        <v>0</v>
      </c>
      <c r="P29" s="67" t="n">
        <v>0.3</v>
      </c>
      <c r="Q29" s="67" t="n">
        <v>0.7</v>
      </c>
      <c r="R29" s="67" t="n">
        <v>1</v>
      </c>
      <c r="S29" s="67" t="n">
        <v>1</v>
      </c>
      <c r="T29" s="67" t="n">
        <v>1</v>
      </c>
      <c r="U29" s="67" t="n">
        <v>1</v>
      </c>
      <c r="V29" s="67" t="n">
        <v>1</v>
      </c>
    </row>
    <row r="30">
      <c r="A30" s="67" t="inlineStr">
        <is>
          <t>spring_bent_hprime|</t>
        </is>
      </c>
      <c r="B30" s="67" t="inlineStr">
        <is>
          <t>spring-bent-hprime</t>
        </is>
      </c>
      <c r="C30" s="67" t="inlineStr">
        <is>
          <t>Shannon diversity (H')</t>
        </is>
      </c>
      <c r="D30" s="67" t="inlineStr"/>
      <c r="E30" s="67" t="n">
        <v>5</v>
      </c>
      <c r="F30" s="67" t="inlineStr">
        <is>
          <t>Reference curve fitted to comparable least-disturbed stations drawn from the national pool, because this ecoregion and its parents hold too few of their own.</t>
        </is>
      </c>
      <c r="G30" s="67" t="n">
        <v>0</v>
      </c>
      <c r="H30" s="67" t="n">
        <v>0.9974999683243888</v>
      </c>
      <c r="I30" s="67" t="n">
        <v>2.32749992609024</v>
      </c>
      <c r="J30" s="67" t="n">
        <v>3.057499945163727</v>
      </c>
      <c r="K30" s="67" t="n">
        <v>3.42249995470047</v>
      </c>
      <c r="L30" s="67" t="n">
        <v>3.42249995470047</v>
      </c>
      <c r="M30" s="67" t="n">
        <v>3.42249995470047</v>
      </c>
      <c r="N30" s="67" t="n">
        <v>3.42249995470047</v>
      </c>
      <c r="O30" s="67" t="n">
        <v>0</v>
      </c>
      <c r="P30" s="67" t="n">
        <v>0.3</v>
      </c>
      <c r="Q30" s="67" t="n">
        <v>0.7</v>
      </c>
      <c r="R30" s="67" t="n">
        <v>1</v>
      </c>
      <c r="S30" s="67" t="n">
        <v>1</v>
      </c>
      <c r="T30" s="67" t="n">
        <v>1</v>
      </c>
      <c r="U30" s="67" t="n">
        <v>1</v>
      </c>
      <c r="V30" s="67" t="n">
        <v>1</v>
      </c>
    </row>
    <row r="31">
      <c r="A31" s="67" t="inlineStr">
        <is>
          <t>spring_nid_dams_1mi|</t>
        </is>
      </c>
      <c r="B31" s="67" t="inlineStr">
        <is>
          <t>spring-nid-dams-1mi</t>
        </is>
      </c>
      <c r="C31" s="67" t="inlineStr">
        <is>
          <t>Mapped dams within one mile</t>
        </is>
      </c>
      <c r="D31" s="67" t="inlineStr"/>
      <c r="E31" s="67" t="n">
        <v>4</v>
      </c>
      <c r="F31" s="67" t="inlineStr">
        <is>
          <t>Fixed criteria, the same in every region</t>
        </is>
      </c>
      <c r="G31" s="67" t="n">
        <v>0</v>
      </c>
      <c r="H31" s="67" t="n">
        <v>1</v>
      </c>
      <c r="I31" s="67" t="n">
        <v>2</v>
      </c>
      <c r="J31" s="67" t="n">
        <v>3</v>
      </c>
      <c r="K31" s="67" t="n">
        <v>3</v>
      </c>
      <c r="L31" s="67" t="n">
        <v>3</v>
      </c>
      <c r="M31" s="67" t="n">
        <v>3</v>
      </c>
      <c r="N31" s="67" t="n">
        <v>3</v>
      </c>
      <c r="O31" s="67" t="n">
        <v>1</v>
      </c>
      <c r="P31" s="67" t="n">
        <v>0.545</v>
      </c>
      <c r="Q31" s="67" t="n">
        <v>0.195</v>
      </c>
      <c r="R31" s="67" t="n">
        <v>0</v>
      </c>
      <c r="S31" s="67" t="n">
        <v>0</v>
      </c>
      <c r="T31" s="67" t="n">
        <v>0</v>
      </c>
      <c r="U31" s="67" t="n">
        <v>0</v>
      </c>
      <c r="V31" s="67" t="n">
        <v>0</v>
      </c>
    </row>
    <row r="34">
      <c r="A34" s="56" t="inlineStr">
        <is>
          <t>Curve sets by metric</t>
        </is>
      </c>
    </row>
    <row r="37">
      <c r="A37" s="56"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southwestern-tablelands</t>
        </is>
      </c>
    </row>
    <row r="5">
      <c r="A5" s="67" t="inlineStr">
        <is>
          <t>Assessment name</t>
        </is>
      </c>
      <c r="B5" s="67" t="inlineStr">
        <is>
          <t>Southwestern Tablelands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sha256:5526f67dbe8297beb4ad280cfc84a34a4342457bbbcca8438fbb882e5a960c34</t>
        </is>
      </c>
    </row>
    <row r="9">
      <c r="A9" s="67" t="inlineStr">
        <is>
          <t>Region</t>
        </is>
      </c>
      <c r="B9" s="67" t="inlineStr">
        <is>
          <t>ecoregion 26 Southwestern Tablelands</t>
        </is>
      </c>
    </row>
    <row r="10">
      <c r="A10" s="67" t="inlineStr">
        <is>
          <t>Source</t>
        </is>
      </c>
      <c r="B10" s="67" t="inlineStr">
        <is>
          <t>USEPA NRSA 2013-24 (L3 ecoregion 26),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27</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2026-09-30T07:05:27Z</dcterms:created>
  <dcterms:modified xmlns:dcterms="http://purl.org/dc/terms/" xmlns:xsi="http://www.w3.org/2001/XMLSchema-instance" xsi:type="dcterms:W3CDTF">2026-09-30T07:05:27Z</dcterms:modified>
  <cp:lastModifiedBy>DEEP</cp:lastModifiedBy>
  <cp:contentStatus>Draft</cp:contentStatus>
</cp:coreProperties>
</file>