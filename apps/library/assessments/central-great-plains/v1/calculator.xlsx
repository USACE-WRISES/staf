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'Reference'!$A$5:$A$31</definedName>
    <definedName name="curve_x1">'Reference'!$G$5:$G$31</definedName>
    <definedName name="curve_y1">'Reference'!$O$5:$O$31</definedName>
    <definedName name="curve_x2">'Reference'!$H$5:$H$31</definedName>
    <definedName name="curve_y2">'Reference'!$P$5:$P$31</definedName>
    <definedName name="curve_x3">'Reference'!$I$5:$I$31</definedName>
    <definedName name="curve_y3">'Reference'!$Q$5:$Q$31</definedName>
    <definedName name="curve_x4">'Reference'!$J$5:$J$31</definedName>
    <definedName name="curve_y4">'Reference'!$R$5:$R$31</definedName>
    <definedName name="curve_x5">'Reference'!$K$5:$K$31</definedName>
    <definedName name="curve_y5">'Reference'!$S$5:$S$31</definedName>
    <definedName name="curve_x6">'Reference'!$L$5:$L$31</definedName>
    <definedName name="curve_y6">'Reference'!$T$5:$T$31</definedName>
    <definedName name="curve_x7">'Reference'!$M$5:$M$31</definedName>
    <definedName name="curve_y7">'Reference'!$U$5:$U$31</definedName>
    <definedName name="curve_x8">'Reference'!$N$5:$N$31</definedName>
    <definedName name="curve_y8">'Reference'!$V$5:$V$31</definedName>
    <definedName name="strata_spring_phab_lrbs_use">'Reference'!$A$35:$A$37</definedName>
    <definedName name="strata_spring_phab_pct_fast">'Reference'!$A$38:$A$40</definedName>
    <definedName name="idx_spring_pctimp2019ws">'Metrics'!$V$5</definedName>
    <definedName name="idx_spring_pctag2019ws">'Metrics'!$V$6</definedName>
    <definedName name="idx_spring_pctwet2019ws">'Metrics'!$V$7</definedName>
    <definedName name="idx_spring_rddensws">'Metrics'!$V$8</definedName>
    <definedName name="idx_spring_dorws">'Metrics'!$V$9</definedName>
    <definedName name="idx_spring_phab_rp100_cm">'Metrics'!$V$10</definedName>
    <definedName name="idx_spring_phab_bfwd_rat">'Metrics'!$V$11</definedName>
    <definedName name="idx_spring_phab_pct_safn">'Metrics'!$V$12</definedName>
    <definedName name="idx_spring_phab_xembed">'Metrics'!$V$13</definedName>
    <definedName name="idx_spring_phab_sinu">'Metrics'!$V$14</definedName>
    <definedName name="idx_spring_phab_xbka">'Metrics'!$V$15</definedName>
    <definedName name="idx_spring_phab_lrbs_use">'Metrics'!$V$16</definedName>
    <definedName name="idx_spring_phab_lwdeqvolm100">'Metrics'!$V$17</definedName>
    <definedName name="idx_spring_phab_xcdenmid">'Metrics'!$V$18</definedName>
    <definedName name="idx_spring_phab_xcmgw">'Metrics'!$V$19</definedName>
    <definedName name="idx_spring_chem_ntl">'Metrics'!$V$20</definedName>
    <definedName name="idx_spring_chem_ptl">'Metrics'!$V$21</definedName>
    <definedName name="idx_spring_chem_ph">'Metrics'!$V$22</definedName>
    <definedName name="idx_spring_chem_turb">'Metrics'!$V$23</definedName>
    <definedName name="idx_spring_phab_pct_fast">'Metrics'!$V$24</definedName>
    <definedName name="idx_spring_bent_totlntax">'Metrics'!$V$25</definedName>
    <definedName name="idx_spring_bent_hprime">'Metrics'!$V$26</definedName>
    <definedName name="idx_spring_nid_dams_1mi">'Metrics'!$V$27</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dorws">'DEEP Score'!$E$16</definedName>
    <definedName name="in_spring_phab_rp100_cm">'DEEP Score'!$E$17</definedName>
    <definedName name="in_spring_phab_bfwd_rat">'DEEP Score'!$E$19</definedName>
    <definedName name="in_spring_phab_pct_safn">'DEEP Score'!$E$20</definedName>
    <definedName name="in_spring_phab_xembed">'DEEP Score'!$E$21</definedName>
    <definedName name="in_spring_phab_sinu">'DEEP Score'!$E$23</definedName>
    <definedName name="in_spring_phab_xbka">'DEEP Score'!$E$24</definedName>
    <definedName name="in_spring_phab_lrbs_use">'DEEP Score'!$E$25</definedName>
    <definedName name="st_spring_phab_lrbs_use">'DEEP Score'!$F$25</definedName>
    <definedName name="in_spring_phab_lwdeqvolm100">'DEEP Score'!$E$27</definedName>
    <definedName name="in_spring_phab_xcdenmid">'DEEP Score'!$E$29</definedName>
    <definedName name="in_spring_phab_xcmgw">'DEEP Score'!$E$30</definedName>
    <definedName name="in_spring_chem_ntl">'DEEP Score'!$E$31</definedName>
    <definedName name="in_spring_chem_ptl">'DEEP Score'!$E$32</definedName>
    <definedName name="in_spring_chem_ph">'DEEP Score'!$E$33</definedName>
    <definedName name="in_spring_chem_turb">'DEEP Score'!$E$34</definedName>
    <definedName name="in_spring_phab_pct_fast">'DEEP Score'!$E$35</definedName>
    <definedName name="st_spring_phab_pct_fast">'DEEP Score'!$F$35</definedName>
    <definedName name="in_spring_bent_totlntax">'DEEP Score'!$E$36</definedName>
    <definedName name="in_spring_bent_hprime">'DEEP Score'!$E$37</definedName>
    <definedName name="in_spring_nid_dams_1mi">'DEEP Score'!$E$38</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6" borderId="5" applyAlignment="1" pivotButton="0" quotePrefix="0" xfId="0">
      <alignment horizontal="center" vertical="center" wrapText="1"/>
    </xf>
    <xf numFmtId="0" fontId="3" fillId="7" borderId="11" applyAlignment="1" pivotButton="0" quotePrefix="0" xfId="0">
      <alignment horizontal="center" vertical="center" wrapText="1"/>
    </xf>
    <xf numFmtId="0" fontId="3" fillId="7"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11" applyAlignment="1" pivotButton="0" quotePrefix="0" xfId="0">
      <alignment horizontal="center" vertical="center" wrapText="1"/>
    </xf>
    <xf numFmtId="0" fontId="3" fillId="8" borderId="5" applyAlignment="1" pivotButton="0" quotePrefix="0" xfId="0">
      <alignment horizontal="center" vertical="center" wrapText="1"/>
    </xf>
    <xf numFmtId="0" fontId="3" fillId="9" borderId="11" applyAlignment="1" pivotButton="0" quotePrefix="0" xfId="0">
      <alignment horizontal="center" vertical="center" wrapText="1"/>
    </xf>
    <xf numFmtId="0" fontId="0" fillId="4" borderId="12" applyAlignment="1" applyProtection="1" pivotButton="0" quotePrefix="0" xfId="0">
      <alignment horizontal="left" vertical="center" wrapText="1"/>
      <protection locked="0" hidden="0"/>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Great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11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2 carry the published benchmark label: scored against a published criterion rather than against stations from this ecoregion. The criterion carries its own definition of reference, which need not match this assessment's.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Great Plains reference assessment</t>
        </is>
      </c>
    </row>
    <row r="3">
      <c r="A3" s="5" t="inlineStr">
        <is>
          <t>Version 1 | Draft | USEPA NRSA 2013-24 (L3 ecoregion 27), StreamCurves regional analysis, methodology 0.14-provisional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28" t="inlineStr">
        <is>
          <t>Hydrology</t>
        </is>
      </c>
      <c r="B16" s="29" t="inlineStr">
        <is>
          <t>Streamflow regime</t>
        </is>
      </c>
      <c r="C16" s="30" t="inlineStr">
        <is>
          <t>Degree of regulation</t>
        </is>
      </c>
      <c r="D16" s="31" t="inlineStr">
        <is>
          <t>%</t>
        </is>
      </c>
      <c r="E16" s="32" t="n"/>
      <c r="F16" s="33" t="inlineStr"/>
      <c r="G16" s="34">
        <f>IF('Metrics'!$V$9="","",'Metrics'!$V$9)</f>
        <v/>
      </c>
      <c r="H16" s="35">
        <f>IF('Results'!$B$7="","",'Results'!$B$7)</f>
        <v/>
      </c>
      <c r="I16" s="36">
        <f>IF('DEEP Score'!$H$16="","",IF('DEEP Score'!$H$16&lt;=5,"Non-Functioning",IF('DEEP Score'!$H$16&lt;=10,"Functioning At-Risk","Functioning")))</f>
        <v/>
      </c>
    </row>
    <row r="17">
      <c r="A17" s="37" t="inlineStr">
        <is>
          <t>Hydraulics</t>
        </is>
      </c>
      <c r="B17" s="29" t="inlineStr">
        <is>
          <t>Low flow and baseflow dynamics</t>
        </is>
      </c>
      <c r="C17" s="30" t="inlineStr">
        <is>
          <t>Residual pool depth</t>
        </is>
      </c>
      <c r="D17" s="31" t="inlineStr">
        <is>
          <t>cm</t>
        </is>
      </c>
      <c r="E17" s="32" t="n"/>
      <c r="F17" s="33" t="inlineStr"/>
      <c r="G17" s="34">
        <f>IF('Metrics'!$V$10="","",'Metrics'!$V$10)</f>
        <v/>
      </c>
      <c r="H17" s="35">
        <f>IF('Results'!$B$8="","",'Results'!$B$8)</f>
        <v/>
      </c>
      <c r="I17" s="36">
        <f>IF('DEEP Score'!$H$17="","",IF('DEEP Score'!$H$17&lt;=5,"Non-Functioning",IF('DEEP Score'!$H$17&lt;=10,"Functioning At-Risk","Functioning")))</f>
        <v/>
      </c>
    </row>
    <row r="18">
      <c r="A18" s="37" t="inlineStr">
        <is>
          <t>Hydraulics</t>
        </is>
      </c>
      <c r="B18" s="29" t="inlineStr">
        <is>
          <t>High flow dynamics</t>
        </is>
      </c>
      <c r="C18" s="30" t="inlineStr">
        <is>
          <t>Impervious surface</t>
        </is>
      </c>
      <c r="D18" s="31" t="inlineStr">
        <is>
          <t>%</t>
        </is>
      </c>
      <c r="E18" s="38">
        <f>IF('DEEP Score'!$E$12="","",'DEEP Score'!$E$12)</f>
        <v/>
      </c>
      <c r="F18" s="39" t="inlineStr"/>
      <c r="G18" s="34">
        <f>IF('Metrics'!$V$5="","",'Metrics'!$V$5)</f>
        <v/>
      </c>
      <c r="H18" s="35">
        <f>IF('Results'!$B$9="","",'Results'!$B$9)</f>
        <v/>
      </c>
      <c r="I18" s="36">
        <f>IF('DEEP Score'!$H$18="","",IF('DEEP Score'!$H$18&lt;=5,"Non-Functioning",IF('DEEP Score'!$H$18&lt;=10,"Functioning At-Risk","Functioning")))</f>
        <v/>
      </c>
    </row>
    <row r="19">
      <c r="A19" s="37" t="inlineStr">
        <is>
          <t>Hydraulics</t>
        </is>
      </c>
      <c r="B19" s="29" t="inlineStr">
        <is>
          <t>Floodplain connectivity</t>
        </is>
      </c>
      <c r="C19" s="30" t="inlineStr">
        <is>
          <t>Bankfull width:depth ratio</t>
        </is>
      </c>
      <c r="D19" s="31" t="inlineStr"/>
      <c r="E19" s="32" t="n"/>
      <c r="F19" s="33" t="inlineStr"/>
      <c r="G19" s="34">
        <f>IF('Metrics'!$V$11="","",'Metrics'!$V$11)</f>
        <v/>
      </c>
      <c r="H19" s="35">
        <f>IF('Results'!$B$10="","",'Results'!$B$10)</f>
        <v/>
      </c>
      <c r="I19" s="36">
        <f>IF('DEEP Score'!$H$19="","",IF('DEEP Score'!$H$19&lt;=5,"Non-Functioning",IF('DEEP Score'!$H$19&lt;=10,"Functioning At-Risk","Functioning")))</f>
        <v/>
      </c>
    </row>
    <row r="20">
      <c r="A20" s="40" t="inlineStr">
        <is>
          <t>Hydraulics</t>
        </is>
      </c>
      <c r="B20" s="12" t="inlineStr">
        <is>
          <t>Hyporheic connectivity</t>
        </is>
      </c>
      <c r="C20" s="13" t="inlineStr">
        <is>
          <t>Sand + fines</t>
        </is>
      </c>
      <c r="D20" s="14" t="inlineStr">
        <is>
          <t>%</t>
        </is>
      </c>
      <c r="E20" s="15" t="n"/>
      <c r="F20" s="16" t="inlineStr"/>
      <c r="G20" s="17">
        <f>IF('Metrics'!$V$12="","",'Metrics'!$V$12)</f>
        <v/>
      </c>
      <c r="H20" s="18">
        <f>IF('Results'!$B$11="","",'Results'!$B$11)</f>
        <v/>
      </c>
      <c r="I20" s="19">
        <f>IF('DEEP Score'!$H$20="","",IF('DEEP Score'!$H$20&lt;=5,"Non-Functioning",IF('DEEP Score'!$H$20&lt;=10,"Functioning At-Risk","Functioning")))</f>
        <v/>
      </c>
    </row>
    <row r="21">
      <c r="A21" s="20" t="n"/>
      <c r="B21" s="21" t="n"/>
      <c r="C21" s="22" t="inlineStr">
        <is>
          <t>Embeddedness</t>
        </is>
      </c>
      <c r="D21" s="23" t="inlineStr">
        <is>
          <t>%</t>
        </is>
      </c>
      <c r="E21" s="24" t="n"/>
      <c r="F21" s="25" t="inlineStr"/>
      <c r="G21" s="26">
        <f>IF('Metrics'!$V$13="","",'Metrics'!$V$13)</f>
        <v/>
      </c>
      <c r="H21" s="21" t="n"/>
      <c r="I21" s="27" t="n"/>
    </row>
    <row r="22">
      <c r="A22" s="41" t="inlineStr">
        <is>
          <t>Geomorphology</t>
        </is>
      </c>
      <c r="B22" s="29" t="inlineStr">
        <is>
          <t>Channel evolution</t>
        </is>
      </c>
      <c r="C22" s="30" t="inlineStr">
        <is>
          <t>Bankfull width:depth ratio</t>
        </is>
      </c>
      <c r="D22" s="31" t="inlineStr"/>
      <c r="E22" s="38">
        <f>IF('DEEP Score'!$E$19="","",'DEEP Score'!$E$19)</f>
        <v/>
      </c>
      <c r="F22" s="39" t="inlineStr"/>
      <c r="G22" s="34">
        <f>IF('Metrics'!$V$11="","",'Metrics'!$V$11)</f>
        <v/>
      </c>
      <c r="H22" s="35">
        <f>IF('Results'!$B$12="","",'Results'!$B$12)</f>
        <v/>
      </c>
      <c r="I22" s="36">
        <f>IF('DEEP Score'!$H$22="","",IF('DEEP Score'!$H$22&lt;=5,"Non-Functioning",IF('DEEP Score'!$H$22&lt;=10,"Functioning At-Risk","Functioning")))</f>
        <v/>
      </c>
    </row>
    <row r="23">
      <c r="A23" s="42" t="inlineStr">
        <is>
          <t>Geomorphology</t>
        </is>
      </c>
      <c r="B23" s="12" t="inlineStr">
        <is>
          <t>Channel and floodplain dynamics</t>
        </is>
      </c>
      <c r="C23" s="13" t="inlineStr">
        <is>
          <t>Sinuosity</t>
        </is>
      </c>
      <c r="D23" s="14" t="inlineStr"/>
      <c r="E23" s="15" t="n"/>
      <c r="F23" s="16" t="inlineStr"/>
      <c r="G23" s="17">
        <f>IF('Metrics'!$V$14="","",'Metrics'!$V$14)</f>
        <v/>
      </c>
      <c r="H23" s="18">
        <f>IF('Results'!$B$13="","",'Results'!$B$13)</f>
        <v/>
      </c>
      <c r="I23" s="19">
        <f>IF('DEEP Score'!$H$23="","",IF('DEEP Score'!$H$23&lt;=5,"Non-Functioning",IF('DEEP Score'!$H$23&lt;=10,"Functioning At-Risk","Functioning")))</f>
        <v/>
      </c>
    </row>
    <row r="24">
      <c r="A24" s="20" t="n"/>
      <c r="B24" s="21" t="n"/>
      <c r="C24" s="22" t="inlineStr">
        <is>
          <t>Bank angle</t>
        </is>
      </c>
      <c r="D24" s="23" t="inlineStr">
        <is>
          <t>degrees</t>
        </is>
      </c>
      <c r="E24" s="24" t="n"/>
      <c r="F24" s="25" t="inlineStr"/>
      <c r="G24" s="26">
        <f>IF('Metrics'!$V$15="","",'Metrics'!$V$15)</f>
        <v/>
      </c>
      <c r="H24" s="21" t="n"/>
      <c r="I24" s="27" t="n"/>
    </row>
    <row r="25">
      <c r="A25" s="42" t="inlineStr">
        <is>
          <t>Geomorphology</t>
        </is>
      </c>
      <c r="B25" s="12" t="inlineStr">
        <is>
          <t>Sediment continuity</t>
        </is>
      </c>
      <c r="C25" s="13" t="inlineStr">
        <is>
          <t>Relative bed stability</t>
        </is>
      </c>
      <c r="D25" s="14" t="inlineStr">
        <is>
          <t>log</t>
        </is>
      </c>
      <c r="E25" s="15" t="n"/>
      <c r="F25" s="43" t="inlineStr">
        <is>
          <t>All streams (pooled)</t>
        </is>
      </c>
      <c r="G25" s="17">
        <f>IF('Metrics'!$V$16="","",'Metrics'!$V$16)</f>
        <v/>
      </c>
      <c r="H25" s="18">
        <f>IF('Results'!$B$14="","",'Results'!$B$14)</f>
        <v/>
      </c>
      <c r="I25" s="19">
        <f>IF('DEEP Score'!$H$25="","",IF('DEEP Score'!$H$25&lt;=5,"Non-Functioning",IF('DEEP Score'!$H$25&lt;=10,"Functioning At-Risk","Functioning")))</f>
        <v/>
      </c>
    </row>
    <row r="26">
      <c r="A26" s="20" t="n"/>
      <c r="B26" s="21" t="n"/>
      <c r="C26" s="22" t="inlineStr">
        <is>
          <t>Sand + fines</t>
        </is>
      </c>
      <c r="D26" s="23" t="inlineStr">
        <is>
          <t>%</t>
        </is>
      </c>
      <c r="E26" s="44">
        <f>IF('DEEP Score'!$E$20="","",'DEEP Score'!$E$20)</f>
        <v/>
      </c>
      <c r="F26" s="45" t="inlineStr"/>
      <c r="G26" s="26">
        <f>IF('Metrics'!$V$12="","",'Metrics'!$V$12)</f>
        <v/>
      </c>
      <c r="H26" s="21" t="n"/>
      <c r="I26" s="27" t="n"/>
    </row>
    <row r="27">
      <c r="A27" s="42" t="inlineStr">
        <is>
          <t>Geomorphology</t>
        </is>
      </c>
      <c r="B27" s="12" t="inlineStr">
        <is>
          <t>Bed composition and bedform dynamics</t>
        </is>
      </c>
      <c r="C27" s="13" t="inlineStr">
        <is>
          <t>Large wood volume</t>
        </is>
      </c>
      <c r="D27" s="14" t="inlineStr">
        <is>
          <t>m3/100m</t>
        </is>
      </c>
      <c r="E27" s="15" t="n"/>
      <c r="F27" s="16" t="inlineStr"/>
      <c r="G27" s="17">
        <f>IF('Metrics'!$V$17="","",'Metrics'!$V$17)</f>
        <v/>
      </c>
      <c r="H27" s="18">
        <f>IF('Results'!$B$15="","",'Results'!$B$15)</f>
        <v/>
      </c>
      <c r="I27" s="19">
        <f>IF('DEEP Score'!$H$27="","",IF('DEEP Score'!$H$27&lt;=5,"Non-Functioning",IF('DEEP Score'!$H$27&lt;=10,"Functioning At-Risk","Functioning")))</f>
        <v/>
      </c>
    </row>
    <row r="28">
      <c r="A28" s="20" t="n"/>
      <c r="B28" s="21" t="n"/>
      <c r="C28" s="22" t="inlineStr">
        <is>
          <t>Embeddedness</t>
        </is>
      </c>
      <c r="D28" s="23" t="inlineStr">
        <is>
          <t>%</t>
        </is>
      </c>
      <c r="E28" s="44">
        <f>IF('DEEP Score'!$E$21="","",'DEEP Score'!$E$21)</f>
        <v/>
      </c>
      <c r="F28" s="45" t="inlineStr"/>
      <c r="G28" s="26">
        <f>IF('Metrics'!$V$13="","",'Metrics'!$V$13)</f>
        <v/>
      </c>
      <c r="H28" s="21" t="n"/>
      <c r="I28" s="27" t="n"/>
    </row>
    <row r="29">
      <c r="A29" s="46" t="inlineStr">
        <is>
          <t>Physicochemistry</t>
        </is>
      </c>
      <c r="B29" s="29" t="inlineStr">
        <is>
          <t>Light &amp; thermal regime</t>
        </is>
      </c>
      <c r="C29" s="30" t="inlineStr">
        <is>
          <t>Canopy density, mid-channel</t>
        </is>
      </c>
      <c r="D29" s="31" t="inlineStr">
        <is>
          <t>%</t>
        </is>
      </c>
      <c r="E29" s="32" t="n"/>
      <c r="F29" s="33" t="inlineStr"/>
      <c r="G29" s="34">
        <f>IF('Metrics'!$V$18="","",'Metrics'!$V$18)</f>
        <v/>
      </c>
      <c r="H29" s="35">
        <f>IF('Results'!$B$16="","",'Results'!$B$16)</f>
        <v/>
      </c>
      <c r="I29" s="36">
        <f>IF('DEEP Score'!$H$29="","",IF('DEEP Score'!$H$29&lt;=5,"Non-Functioning",IF('DEEP Score'!$H$29&lt;=10,"Functioning At-Risk","Functioning")))</f>
        <v/>
      </c>
    </row>
    <row r="30">
      <c r="A30" s="46" t="inlineStr">
        <is>
          <t>Physicochemistry</t>
        </is>
      </c>
      <c r="B30" s="29" t="inlineStr">
        <is>
          <t>Carbon processing</t>
        </is>
      </c>
      <c r="C30" s="30" t="inlineStr">
        <is>
          <t>Riparian veg cover, woody</t>
        </is>
      </c>
      <c r="D30" s="31" t="inlineStr">
        <is>
          <t>frac</t>
        </is>
      </c>
      <c r="E30" s="32" t="n"/>
      <c r="F30" s="33" t="inlineStr"/>
      <c r="G30" s="34">
        <f>IF('Metrics'!$V$19="","",'Metrics'!$V$19)</f>
        <v/>
      </c>
      <c r="H30" s="35">
        <f>IF('Results'!$B$17="","",'Results'!$B$17)</f>
        <v/>
      </c>
      <c r="I30" s="36">
        <f>IF('DEEP Score'!$H$30="","",IF('DEEP Score'!$H$30&lt;=5,"Non-Functioning",IF('DEEP Score'!$H$30&lt;=10,"Functioning At-Risk","Functioning")))</f>
        <v/>
      </c>
    </row>
    <row r="31">
      <c r="A31" s="47" t="inlineStr">
        <is>
          <t>Physicochemistry</t>
        </is>
      </c>
      <c r="B31" s="12" t="inlineStr">
        <is>
          <t>Nutrient cycling</t>
        </is>
      </c>
      <c r="C31" s="13" t="inlineStr">
        <is>
          <t>Total nitrogen</t>
        </is>
      </c>
      <c r="D31" s="14" t="inlineStr">
        <is>
          <t>mg N/L</t>
        </is>
      </c>
      <c r="E31" s="15" t="n"/>
      <c r="F31" s="16" t="inlineStr"/>
      <c r="G31" s="17">
        <f>IF('Metrics'!$V$20="","",'Metrics'!$V$20)</f>
        <v/>
      </c>
      <c r="H31" s="18">
        <f>IF('Results'!$B$18="","",'Results'!$B$18)</f>
        <v/>
      </c>
      <c r="I31" s="19">
        <f>IF('DEEP Score'!$H$31="","",IF('DEEP Score'!$H$31&lt;=5,"Non-Functioning",IF('DEEP Score'!$H$31&lt;=10,"Functioning At-Risk","Functioning")))</f>
        <v/>
      </c>
    </row>
    <row r="32">
      <c r="A32" s="20" t="n"/>
      <c r="B32" s="21" t="n"/>
      <c r="C32" s="22" t="inlineStr">
        <is>
          <t>Total phosphorus</t>
        </is>
      </c>
      <c r="D32" s="23" t="inlineStr">
        <is>
          <t>ug/L</t>
        </is>
      </c>
      <c r="E32" s="24" t="n"/>
      <c r="F32" s="25" t="inlineStr"/>
      <c r="G32" s="26">
        <f>IF('Metrics'!$V$21="","",'Metrics'!$V$21)</f>
        <v/>
      </c>
      <c r="H32" s="21" t="n"/>
      <c r="I32" s="27" t="n"/>
    </row>
    <row r="33">
      <c r="A33" s="47" t="inlineStr">
        <is>
          <t>Physicochemistry</t>
        </is>
      </c>
      <c r="B33" s="12" t="inlineStr">
        <is>
          <t>Water &amp; soil quality</t>
        </is>
      </c>
      <c r="C33" s="13" t="inlineStr">
        <is>
          <t>pH</t>
        </is>
      </c>
      <c r="D33" s="14" t="inlineStr">
        <is>
          <t>Std. Units</t>
        </is>
      </c>
      <c r="E33" s="15" t="n"/>
      <c r="F33" s="16" t="inlineStr"/>
      <c r="G33" s="17">
        <f>IF('Metrics'!$V$22="","",'Metrics'!$V$22)</f>
        <v/>
      </c>
      <c r="H33" s="18">
        <f>IF('Results'!$B$19="","",'Results'!$B$19)</f>
        <v/>
      </c>
      <c r="I33" s="19">
        <f>IF('DEEP Score'!$H$33="","",IF('DEEP Score'!$H$33&lt;=5,"Non-Functioning",IF('DEEP Score'!$H$33&lt;=10,"Functioning At-Risk","Functioning")))</f>
        <v/>
      </c>
    </row>
    <row r="34">
      <c r="A34" s="20" t="n"/>
      <c r="B34" s="21" t="n"/>
      <c r="C34" s="22" t="inlineStr">
        <is>
          <t>Turbidity</t>
        </is>
      </c>
      <c r="D34" s="23" t="inlineStr">
        <is>
          <t>NTU</t>
        </is>
      </c>
      <c r="E34" s="24" t="n"/>
      <c r="F34" s="25" t="inlineStr"/>
      <c r="G34" s="26">
        <f>IF('Metrics'!$V$23="","",'Metrics'!$V$23)</f>
        <v/>
      </c>
      <c r="H34" s="21" t="n"/>
      <c r="I34" s="27" t="n"/>
    </row>
    <row r="35">
      <c r="A35" s="48" t="inlineStr">
        <is>
          <t>Biology</t>
        </is>
      </c>
      <c r="B35" s="29" t="inlineStr">
        <is>
          <t>Habitat provision</t>
        </is>
      </c>
      <c r="C35" s="30" t="inlineStr">
        <is>
          <t>Fast-water / riffle habitat</t>
        </is>
      </c>
      <c r="D35" s="31" t="inlineStr">
        <is>
          <t>%</t>
        </is>
      </c>
      <c r="E35" s="32" t="n"/>
      <c r="F35" s="49" t="inlineStr">
        <is>
          <t>All streams (pooled)</t>
        </is>
      </c>
      <c r="G35" s="34">
        <f>IF('Metrics'!$V$24="","",'Metrics'!$V$24)</f>
        <v/>
      </c>
      <c r="H35" s="35">
        <f>IF('Results'!$B$20="","",'Results'!$B$20)</f>
        <v/>
      </c>
      <c r="I35" s="36">
        <f>IF('DEEP Score'!$H$35="","",IF('DEEP Score'!$H$35&lt;=5,"Non-Functioning",IF('DEEP Score'!$H$35&lt;=10,"Functioning At-Risk","Functioning")))</f>
        <v/>
      </c>
    </row>
    <row r="36">
      <c r="A36" s="48" t="inlineStr">
        <is>
          <t>Biology</t>
        </is>
      </c>
      <c r="B36" s="29" t="inlineStr">
        <is>
          <t>Population support</t>
        </is>
      </c>
      <c r="C36" s="30" t="inlineStr">
        <is>
          <t>Benthic total taxa richness</t>
        </is>
      </c>
      <c r="D36" s="31" t="inlineStr"/>
      <c r="E36" s="32" t="n"/>
      <c r="F36" s="33" t="inlineStr"/>
      <c r="G36" s="34">
        <f>IF('Metrics'!$V$25="","",'Metrics'!$V$25)</f>
        <v/>
      </c>
      <c r="H36" s="35">
        <f>IF('Results'!$B$21="","",'Results'!$B$21)</f>
        <v/>
      </c>
      <c r="I36" s="36">
        <f>IF('DEEP Score'!$H$36="","",IF('DEEP Score'!$H$36&lt;=5,"Non-Functioning",IF('DEEP Score'!$H$36&lt;=10,"Functioning At-Risk","Functioning")))</f>
        <v/>
      </c>
    </row>
    <row r="37">
      <c r="A37" s="48" t="inlineStr">
        <is>
          <t>Biology</t>
        </is>
      </c>
      <c r="B37" s="29" t="inlineStr">
        <is>
          <t>Community dynamics</t>
        </is>
      </c>
      <c r="C37" s="30" t="inlineStr">
        <is>
          <t>Shannon diversity (H')</t>
        </is>
      </c>
      <c r="D37" s="31" t="inlineStr">
        <is>
          <t>H'</t>
        </is>
      </c>
      <c r="E37" s="32" t="n"/>
      <c r="F37" s="33" t="inlineStr"/>
      <c r="G37" s="34">
        <f>IF('Metrics'!$V$26="","",'Metrics'!$V$26)</f>
        <v/>
      </c>
      <c r="H37" s="35">
        <f>IF('Results'!$B$22="","",'Results'!$B$22)</f>
        <v/>
      </c>
      <c r="I37" s="36">
        <f>IF('DEEP Score'!$H$37="","",IF('DEEP Score'!$H$37&lt;=5,"Non-Functioning",IF('DEEP Score'!$H$37&lt;=10,"Functioning At-Risk","Functioning")))</f>
        <v/>
      </c>
    </row>
    <row r="38">
      <c r="A38" s="48" t="inlineStr">
        <is>
          <t>Biology</t>
        </is>
      </c>
      <c r="B38" s="29" t="inlineStr">
        <is>
          <t>Watershed connectivity</t>
        </is>
      </c>
      <c r="C38" s="30" t="inlineStr">
        <is>
          <t>Mapped dams within one mile</t>
        </is>
      </c>
      <c r="D38" s="31" t="inlineStr">
        <is>
          <t>dams</t>
        </is>
      </c>
      <c r="E38" s="32" t="n"/>
      <c r="F38" s="33" t="inlineStr"/>
      <c r="G38" s="34">
        <f>IF('Metrics'!$V$27="","",'Metrics'!$V$27)</f>
        <v/>
      </c>
      <c r="H38" s="35">
        <f>IF('Results'!$B$23="","",'Results'!$B$23)</f>
        <v/>
      </c>
      <c r="I38" s="36">
        <f>IF('DEEP Score'!$H$38="","",IF('DEEP Score'!$H$38&lt;=5,"Non-Functioning",IF('DEEP Score'!$H$38&lt;=10,"Functioning At-Risk","Functioning")))</f>
        <v/>
      </c>
    </row>
    <row r="40">
      <c r="A40" s="50" t="inlineStr">
        <is>
          <t>Summary</t>
        </is>
      </c>
    </row>
    <row r="41">
      <c r="A41" s="10" t="inlineStr">
        <is>
          <t>Outcome</t>
        </is>
      </c>
      <c r="B41" s="10" t="inlineStr">
        <is>
          <t>Sub-index (0 to 1)</t>
        </is>
      </c>
      <c r="C41" s="10" t="inlineStr">
        <is>
          <t>Condition</t>
        </is>
      </c>
    </row>
    <row r="42">
      <c r="A42" s="51" t="inlineStr">
        <is>
          <t>Physical</t>
        </is>
      </c>
      <c r="B42" s="52">
        <f>'Results'!$B$26</f>
        <v/>
      </c>
      <c r="C42" s="53">
        <f>IF('DEEP Score'!$B$42&lt;=0.39,"Non-Functioning",IF('DEEP Score'!$B$42&lt;=0.69,"Functioning At-Risk","Functioning"))</f>
        <v/>
      </c>
    </row>
    <row r="43">
      <c r="A43" s="51" t="inlineStr">
        <is>
          <t>Chemical</t>
        </is>
      </c>
      <c r="B43" s="52">
        <f>'Results'!$B$27</f>
        <v/>
      </c>
      <c r="C43" s="53">
        <f>IF('DEEP Score'!$B$43&lt;=0.39,"Non-Functioning",IF('DEEP Score'!$B$43&lt;=0.69,"Functioning At-Risk","Functioning"))</f>
        <v/>
      </c>
    </row>
    <row r="44">
      <c r="A44" s="51" t="inlineStr">
        <is>
          <t>Biological</t>
        </is>
      </c>
      <c r="B44" s="52">
        <f>'Results'!$B$28</f>
        <v/>
      </c>
      <c r="C44" s="53">
        <f>IF('DEEP Score'!$B$44&lt;=0.39,"Non-Functioning",IF('DEEP Score'!$B$44&lt;=0.69,"Functioning At-Risk","Functioning"))</f>
        <v/>
      </c>
    </row>
    <row r="45" ht="30" customHeight="1">
      <c r="A45" s="54" t="inlineStr">
        <is>
          <t>Ecosystem Condition Index</t>
        </is>
      </c>
      <c r="B45" s="55">
        <f>'Results'!$B$29</f>
        <v/>
      </c>
      <c r="C45" s="53">
        <f>IF('DEEP Score'!$B$45&lt;=0.39,"Non-Functioning",IF('DEEP Score'!$B$45&lt;=0.69,"Functioning At-Risk","Functioning"))</f>
        <v/>
      </c>
    </row>
    <row r="46">
      <c r="A46" s="5" t="inlineStr">
        <is>
          <t xml:space="preserve">Functions with a score: </t>
        </is>
      </c>
      <c r="B46" s="5">
        <f>COUNT('Results'!$B$4:$B$23)&amp;" of 20"</f>
        <v/>
      </c>
    </row>
    <row r="47">
      <c r="A47" s="5" t="inlineStr">
        <is>
          <t>This assessment covers 20 of 20 STAF functions.</t>
        </is>
      </c>
    </row>
    <row r="49">
      <c r="A49" s="56" t="inlineStr">
        <is>
          <t>Withheld for insufficient reference support (not scored)</t>
        </is>
      </c>
    </row>
    <row r="50">
      <c r="A50" t="inlineStr">
        <is>
          <t>EPT taxa richness</t>
        </is>
      </c>
      <c r="C50" s="5" t="inlineStr">
        <is>
          <t>Community dynamics</t>
        </is>
      </c>
    </row>
    <row r="51">
      <c r="A51" t="inlineStr">
        <is>
          <t>Tolerant individuals (%) ~ HBI</t>
        </is>
      </c>
      <c r="C51" s="5" t="inlineStr">
        <is>
          <t>Community dynamics</t>
        </is>
      </c>
    </row>
    <row r="52">
      <c r="A52" t="inlineStr">
        <is>
          <t>Base flow index</t>
        </is>
      </c>
      <c r="C52" s="5" t="inlineStr">
        <is>
          <t>Streamflow regime, Low flow and baseflow dynamics</t>
        </is>
      </c>
    </row>
    <row r="53">
      <c r="A53" t="inlineStr">
        <is>
          <t>Chlorophyll a</t>
        </is>
      </c>
      <c r="C53" s="5" t="inlineStr">
        <is>
          <t>Light and thermal regime</t>
        </is>
      </c>
    </row>
    <row r="54">
      <c r="A54" t="inlineStr">
        <is>
          <t>Specific conductivity</t>
        </is>
      </c>
      <c r="C54" s="5" t="inlineStr">
        <is>
          <t>Water and soil quality</t>
        </is>
      </c>
    </row>
    <row r="55">
      <c r="A55" t="inlineStr">
        <is>
          <t>Native fish taxa richness</t>
        </is>
      </c>
      <c r="C55" s="5" t="inlineStr">
        <is>
          <t>Population support</t>
        </is>
      </c>
    </row>
    <row r="56">
      <c r="A56" t="inlineStr">
        <is>
          <t>Substrate size</t>
        </is>
      </c>
      <c r="C56" s="5" t="inlineStr">
        <is>
          <t>Bed composition and bedform dynamics</t>
        </is>
      </c>
    </row>
    <row r="57">
      <c r="A57" t="inlineStr">
        <is>
          <t>Bankfull height above channel</t>
        </is>
      </c>
      <c r="C57" s="5" t="inlineStr">
        <is>
          <t>Floodplain connectivity, Channel evolution</t>
        </is>
      </c>
    </row>
    <row r="58">
      <c r="A58" t="inlineStr">
        <is>
          <t>Natural fish cover</t>
        </is>
      </c>
      <c r="C58" s="5" t="inlineStr">
        <is>
          <t>Habitat provision</t>
        </is>
      </c>
    </row>
    <row r="60">
      <c r="A60" s="6" t="inlineStr">
        <is>
          <t>Notes</t>
        </is>
      </c>
    </row>
    <row r="61">
      <c r="A61" s="57" t="n"/>
      <c r="B61" s="58" t="n"/>
      <c r="C61" s="58" t="n"/>
      <c r="D61" s="58" t="n"/>
      <c r="E61" s="58" t="n"/>
      <c r="F61" s="58" t="n"/>
      <c r="G61" s="58" t="n"/>
      <c r="H61" s="58" t="n"/>
      <c r="I61" s="59"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3" t="n"/>
      <c r="B66" s="64" t="n"/>
      <c r="C66" s="64" t="n"/>
      <c r="D66" s="64" t="n"/>
      <c r="E66" s="64" t="n"/>
      <c r="F66" s="64" t="n"/>
      <c r="G66" s="64" t="n"/>
      <c r="H66" s="64" t="n"/>
      <c r="I66" s="65" t="n"/>
    </row>
  </sheetData>
  <sheetProtection selectLockedCells="0" selectUnlockedCells="0" sheet="1" objects="0" insertRows="1" insertHyperlinks="1" autoFilter="1" scenarios="0" formatColumns="1" deleteColumns="1" insertColumns="1" pivotTables="1" deleteRows="1" formatCells="1" formatRows="1" sort="1" password="CB3B"/>
  <mergeCells count="35">
    <mergeCell ref="B27:B28"/>
    <mergeCell ref="B12:B13"/>
    <mergeCell ref="B8:D8"/>
    <mergeCell ref="H31:H32"/>
    <mergeCell ref="B23:B24"/>
    <mergeCell ref="A27:A28"/>
    <mergeCell ref="I25:I26"/>
    <mergeCell ref="A12:A13"/>
    <mergeCell ref="A25:A26"/>
    <mergeCell ref="I12:I13"/>
    <mergeCell ref="B9:D9"/>
    <mergeCell ref="I33:I34"/>
    <mergeCell ref="A4:I4"/>
    <mergeCell ref="B6:D6"/>
    <mergeCell ref="B5:D5"/>
    <mergeCell ref="H27:H28"/>
    <mergeCell ref="H12:H13"/>
    <mergeCell ref="A33:A34"/>
    <mergeCell ref="I20:I21"/>
    <mergeCell ref="B33:B34"/>
    <mergeCell ref="A23:A24"/>
    <mergeCell ref="A20:A21"/>
    <mergeCell ref="A61:I66"/>
    <mergeCell ref="B20:B21"/>
    <mergeCell ref="I23:I24"/>
    <mergeCell ref="B7:D7"/>
    <mergeCell ref="I31:I32"/>
    <mergeCell ref="H33:H34"/>
    <mergeCell ref="H20:H21"/>
    <mergeCell ref="B25:B26"/>
    <mergeCell ref="A31:A32"/>
    <mergeCell ref="H23:H24"/>
    <mergeCell ref="H25:H26"/>
    <mergeCell ref="I27:I28"/>
    <mergeCell ref="B31:B32"/>
  </mergeCells>
  <conditionalFormatting sqref="G12:G38">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38">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38">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25" showDropDown="0" showInputMessage="0" showErrorMessage="1" allowBlank="1" errorTitle="Curve set" error="Choose a curve set from the list." type="list">
      <formula1>=strata_spring_phab_lrbs_use</formula1>
    </dataValidation>
    <dataValidation sqref="F35" showDropDown="0" showInputMessage="0" showErrorMessage="1" allowBlank="1" errorTitle="Curve set" error="Choose a curve set from the list." type="list">
      <formula1>=strata_spring_phab_pct_fast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27"/>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Degree of regulation</t>
        </is>
      </c>
      <c r="B9" s="68">
        <f>IF('DEEP Score'!$E$16="","",'DEEP Score'!$E$16)</f>
        <v/>
      </c>
      <c r="C9" s="68">
        <f>""</f>
        <v/>
      </c>
      <c r="D9" s="68">
        <f>"spring_dorws|"&amp;'Metrics'!$C$9</f>
        <v/>
      </c>
      <c r="E9" s="68">
        <f>IFERROR(MATCH('Metrics'!$D$9,curve_key,0),MATCH("spring_dorws|",curve_key,0))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Residual pool depth</t>
        </is>
      </c>
      <c r="B10" s="68">
        <f>IF('DEEP Score'!$E$17="","",'DEEP Score'!$E$17)</f>
        <v/>
      </c>
      <c r="C10" s="68">
        <f>""</f>
        <v/>
      </c>
      <c r="D10" s="68">
        <f>"spring_phab_rp100_cm|"&amp;'Metrics'!$C$10</f>
        <v/>
      </c>
      <c r="E10" s="68">
        <f>IFERROR(MATCH('Metrics'!$D$10,curve_key,0),MATCH("spring_phab_rp100_cm|",curve_key,0))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Sand + fines</t>
        </is>
      </c>
      <c r="B12" s="68">
        <f>IF('DEEP Score'!$E$20="","",'DEEP Score'!$E$20)</f>
        <v/>
      </c>
      <c r="C12" s="68">
        <f>""</f>
        <v/>
      </c>
      <c r="D12" s="68">
        <f>"spring_phab_pct_safn|"&amp;'Metrics'!$C$12</f>
        <v/>
      </c>
      <c r="E12" s="68">
        <f>IFERROR(MATCH('Metrics'!$D$12,curve_key,0),MATCH("spring_phab_pct_safn|",curve_key,0))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Embeddedness</t>
        </is>
      </c>
      <c r="B13" s="68">
        <f>IF('DEEP Score'!$E$21="","",'DEEP Score'!$E$21)</f>
        <v/>
      </c>
      <c r="C13" s="68">
        <f>""</f>
        <v/>
      </c>
      <c r="D13" s="68">
        <f>"spring_phab_xembed|"&amp;'Metrics'!$C$13</f>
        <v/>
      </c>
      <c r="E13" s="68">
        <f>IFERROR(MATCH('Metrics'!$D$13,curve_key,0),MATCH("spring_phab_xembed|",curve_key,0))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Sinuosity</t>
        </is>
      </c>
      <c r="B14" s="68">
        <f>IF('DEEP Score'!$E$23="","",'DEEP Score'!$E$23)</f>
        <v/>
      </c>
      <c r="C14" s="68">
        <f>""</f>
        <v/>
      </c>
      <c r="D14" s="68">
        <f>"spring_phab_sinu|"&amp;'Metrics'!$C$14</f>
        <v/>
      </c>
      <c r="E14" s="68">
        <f>IFERROR(MATCH('Metrics'!$D$14,curve_key,0),MATCH("spring_phab_sinu|",curve_key,0))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Bank angle</t>
        </is>
      </c>
      <c r="B15" s="68">
        <f>IF('DEEP Score'!$E$24="","",'DEEP Score'!$E$24)</f>
        <v/>
      </c>
      <c r="C15" s="68">
        <f>""</f>
        <v/>
      </c>
      <c r="D15" s="68">
        <f>"spring_phab_xbka|"&amp;'Metrics'!$C$15</f>
        <v/>
      </c>
      <c r="E15" s="68">
        <f>IFERROR(MATCH('Metrics'!$D$15,curve_key,0),MATCH("spring_phab_xbka|",curve_key,0))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Relative bed stability</t>
        </is>
      </c>
      <c r="B16" s="68">
        <f>IF('DEEP Score'!$E$25="","",'DEEP Score'!$E$25)</f>
        <v/>
      </c>
      <c r="C16" s="68">
        <f>IF('DEEP Score'!$F$25="","All streams (pooled)",'DEEP Score'!$F$25)</f>
        <v/>
      </c>
      <c r="D16" s="68">
        <f>"spring_phab_lrbs_use|"&amp;'Metrics'!$C$16</f>
        <v/>
      </c>
      <c r="E16" s="68">
        <f>IFERROR(MATCH('Metrics'!$D$16,curve_key,0),MATCH("spring_phab_lrbs_use|All streams (pooled)",curve_key,0))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Large wood volume</t>
        </is>
      </c>
      <c r="B17" s="68">
        <f>IF('DEEP Score'!$E$27="","",'DEEP Score'!$E$27)</f>
        <v/>
      </c>
      <c r="C17" s="68">
        <f>""</f>
        <v/>
      </c>
      <c r="D17" s="68">
        <f>"spring_phab_lwdeqvolm100|"&amp;'Metrics'!$C$17</f>
        <v/>
      </c>
      <c r="E17" s="68">
        <f>IFERROR(MATCH('Metrics'!$D$17,curve_key,0),MATCH("spring_phab_lwdeqvolm100|",curve_key,0))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Canopy density, mid-channel</t>
        </is>
      </c>
      <c r="B18" s="68">
        <f>IF('DEEP Score'!$E$29="","",'DEEP Score'!$E$29)</f>
        <v/>
      </c>
      <c r="C18" s="68">
        <f>""</f>
        <v/>
      </c>
      <c r="D18" s="68">
        <f>"spring_phab_xcdenmid|"&amp;'Metrics'!$C$18</f>
        <v/>
      </c>
      <c r="E18" s="68">
        <f>IFERROR(MATCH('Metrics'!$D$18,curve_key,0),MATCH("spring_phab_xcdenmid|",curve_key,0))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Riparian veg cover, woody</t>
        </is>
      </c>
      <c r="B19" s="68">
        <f>IF('DEEP Score'!$E$30="","",'DEEP Score'!$E$30)</f>
        <v/>
      </c>
      <c r="C19" s="68">
        <f>""</f>
        <v/>
      </c>
      <c r="D19" s="68">
        <f>"spring_phab_xcmgw|"&amp;'Metrics'!$C$19</f>
        <v/>
      </c>
      <c r="E19" s="68">
        <f>IFERROR(MATCH('Metrics'!$D$19,curve_key,0),MATCH("spring_phab_xcmgw|",curve_key,0))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Total nitrogen</t>
        </is>
      </c>
      <c r="B20" s="68">
        <f>IF('DEEP Score'!$E$31="","",'DEEP Score'!$E$31)</f>
        <v/>
      </c>
      <c r="C20" s="68">
        <f>""</f>
        <v/>
      </c>
      <c r="D20" s="68">
        <f>"spring_chem_ntl|"&amp;'Metrics'!$C$20</f>
        <v/>
      </c>
      <c r="E20" s="68">
        <f>IFERROR(MATCH('Metrics'!$D$20,curve_key,0),MATCH("spring_chem_ntl|",curve_key,0))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Total phosphorus</t>
        </is>
      </c>
      <c r="B21" s="68">
        <f>IF('DEEP Score'!$E$32="","",'DEEP Score'!$E$32)</f>
        <v/>
      </c>
      <c r="C21" s="68">
        <f>""</f>
        <v/>
      </c>
      <c r="D21" s="68">
        <f>"spring_chem_ptl|"&amp;'Metrics'!$C$21</f>
        <v/>
      </c>
      <c r="E21" s="68">
        <f>IFERROR(MATCH('Metrics'!$D$21,curve_key,0),MATCH("spring_chem_ptl|",curve_key,0))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pH</t>
        </is>
      </c>
      <c r="B22" s="68">
        <f>IF('DEEP Score'!$E$33="","",'DEEP Score'!$E$33)</f>
        <v/>
      </c>
      <c r="C22" s="68">
        <f>""</f>
        <v/>
      </c>
      <c r="D22" s="68">
        <f>"spring_chem_ph|"&amp;'Metrics'!$C$22</f>
        <v/>
      </c>
      <c r="E22" s="68">
        <f>IFERROR(MATCH('Metrics'!$D$22,curve_key,0),MATCH("spring_chem_ph|",curve_key,0))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Turbidity</t>
        </is>
      </c>
      <c r="B23" s="68">
        <f>IF('DEEP Score'!$E$34="","",'DEEP Score'!$E$34)</f>
        <v/>
      </c>
      <c r="C23" s="68">
        <f>""</f>
        <v/>
      </c>
      <c r="D23" s="68">
        <f>"spring_chem_turb|"&amp;'Metrics'!$C$23</f>
        <v/>
      </c>
      <c r="E23" s="68">
        <f>IFERROR(MATCH('Metrics'!$D$23,curve_key,0),MATCH("spring_chem_turb|",curve_key,0))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Fast-water / riffle habitat</t>
        </is>
      </c>
      <c r="B24" s="68">
        <f>IF('DEEP Score'!$E$35="","",'DEEP Score'!$E$35)</f>
        <v/>
      </c>
      <c r="C24" s="68">
        <f>IF('DEEP Score'!$F$35="","All streams (pooled)",'DEEP Score'!$F$35)</f>
        <v/>
      </c>
      <c r="D24" s="68">
        <f>"spring_phab_pct_fast|"&amp;'Metrics'!$C$24</f>
        <v/>
      </c>
      <c r="E24" s="68">
        <f>IFERROR(MATCH('Metrics'!$D$24,curve_key,0),MATCH("spring_phab_pct_fast|All streams (pooled)",curve_key,0))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Benthic total taxa richness</t>
        </is>
      </c>
      <c r="B25" s="68">
        <f>IF('DEEP Score'!$E$36="","",'DEEP Score'!$E$36)</f>
        <v/>
      </c>
      <c r="C25" s="68">
        <f>""</f>
        <v/>
      </c>
      <c r="D25" s="68">
        <f>"spring_bent_totlntax|"&amp;'Metrics'!$C$25</f>
        <v/>
      </c>
      <c r="E25" s="68">
        <f>IFERROR(MATCH('Metrics'!$D$25,curve_key,0),MATCH("spring_bent_totlntax|",curve_key,0))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Shannon diversity (H')</t>
        </is>
      </c>
      <c r="B26" s="68">
        <f>IF('DEEP Score'!$E$37="","",'DEEP Score'!$E$37)</f>
        <v/>
      </c>
      <c r="C26" s="68">
        <f>""</f>
        <v/>
      </c>
      <c r="D26" s="68">
        <f>"spring_bent_hprime|"&amp;'Metrics'!$C$26</f>
        <v/>
      </c>
      <c r="E26" s="68">
        <f>IFERROR(MATCH('Metrics'!$D$26,curve_key,0),MATCH("spring_bent_hprime|",curve_key,0))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Mapped dams within one mile</t>
        </is>
      </c>
      <c r="B27" s="68">
        <f>IF('DEEP Score'!$E$38="","",'DEEP Score'!$E$38)</f>
        <v/>
      </c>
      <c r="C27" s="68">
        <f>""</f>
        <v/>
      </c>
      <c r="D27" s="68">
        <f>"spring_nid_dams_1mi|"&amp;'Metrics'!$C$27</f>
        <v/>
      </c>
      <c r="E27" s="68">
        <f>IFERROR(MATCH('Metrics'!$D$27,curve_key,0),MATCH("spring_nid_dams_1mi|",curve_key,0))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Score'!G16:G16)=0,"",SUM('DEEP Score'!G16:G16)/COUNT('DEEP Score'!G16:G16)*15)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Score'!G17:G17)=0,"",SUM('DEEP Score'!G17:G17)/COUNT('DEEP Score'!G17:G17)*15)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Score'!G18:G18)=0,"",SUM('DEEP Score'!G18:G18)/COUNT('DEEP Score'!G18:G18)*15)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Score'!G19:G19)=0,"",SUM('DEEP Score'!G19:G19)/COUNT('DEEP Score'!G19:G19)*15)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Score'!G20:G21)=0,"",SUM('DEEP Score'!G20:G21)/COUNT('DEEP Score'!G20:G21)*15)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Score'!G22:G22)=0,"",SUM('DEEP Score'!G22:G22)/COUNT('DEEP Score'!G22:G22)*15)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Score'!G23:G24)=0,"",SUM('DEEP Score'!G23:G24)/COUNT('DEEP Score'!G23:G24)*15)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Score'!G25:G26)=0,"",SUM('DEEP Score'!G25:G26)/COUNT('DEEP Score'!G25:G26)*15)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Score'!G27:G28)=0,"",SUM('DEEP Score'!G27:G28)/COUNT('DEEP Score'!G27:G28)*15)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Score'!G29:G29)=0,"",SUM('DEEP Score'!G29:G29)/COUNT('DEEP Score'!G29:G29)*15)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Score'!G30:G30)=0,"",SUM('DEEP Score'!G30:G30)/COUNT('DEEP Score'!G30:G30)*15)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Score'!G31:G32)=0,"",SUM('DEEP Score'!G31:G32)/COUNT('DEEP Score'!G31:G32)*15)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Score'!G33:G34)=0,"",SUM('DEEP Score'!G33:G34)/COUNT('DEEP Score'!G33:G34)*15)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Score'!G35:G35)=0,"",SUM('DEEP Score'!G35:G35)/COUNT('DEEP Score'!G35:G35)*15)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Score'!G36:G36)=0,"",SUM('DEEP Score'!G36:G36)/COUNT('DEEP Score'!G36:G36)*15)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Score'!G37:G37)=0,"",SUM('DEEP Score'!G37:G37)/COUNT('DEEP Score'!G37:G37)*15)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Score'!G38:G38)=0,"",SUM('DEEP Score'!G38:G38)/COUNT('DEEP Score'!G38:G38)*15)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45 least-disturbed stations borrowed from Level II ecoregion 9.4 (South Central Semi-Arid Prairies) under the regional screen (agriculture at most 25 percent), transfer risk moderate. The build refused this source (ACC-04: The pool is not stable, since one station moves a quartile by 0.23 of the interquartile range, more than 0.20; ACC-05/06: In the recovery test the source's class calls did not agree with reference often enough). The owner accepted it with a recorded rationale.</t>
        </is>
      </c>
      <c r="G7" s="67" t="n">
        <v>0</v>
      </c>
      <c r="H7" s="67" t="n">
        <v>0.02142857142857143</v>
      </c>
      <c r="I7" s="67" t="n">
        <v>0.05</v>
      </c>
      <c r="J7" s="67" t="n">
        <v>0.55</v>
      </c>
      <c r="K7" s="67" t="n">
        <v>0.7000000000000001</v>
      </c>
      <c r="L7" s="67" t="n">
        <v>0.7000000000000001</v>
      </c>
      <c r="M7" s="67" t="n">
        <v>0.7000000000000001</v>
      </c>
      <c r="N7" s="67" t="n">
        <v>0.7000000000000001</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spring_dorws|</t>
        </is>
      </c>
      <c r="B9" s="67" t="inlineStr">
        <is>
          <t>spring-dorws</t>
        </is>
      </c>
      <c r="C9" s="67" t="inlineStr">
        <is>
          <t>Degree of regulation</t>
        </is>
      </c>
      <c r="D9" s="67" t="inlineStr"/>
      <c r="E9" s="67" t="n">
        <v>4</v>
      </c>
      <c r="F9" s="67" t="inlineStr">
        <is>
          <t>Fixed criteria, the same in every region</t>
        </is>
      </c>
      <c r="G9" s="67" t="n">
        <v>0</v>
      </c>
      <c r="H9" s="67" t="n">
        <v>2</v>
      </c>
      <c r="I9" s="67" t="n">
        <v>15.005</v>
      </c>
      <c r="J9" s="67" t="n">
        <v>31.9115</v>
      </c>
      <c r="K9" s="67" t="n">
        <v>31.9115</v>
      </c>
      <c r="L9" s="67" t="n">
        <v>31.9115</v>
      </c>
      <c r="M9" s="67" t="n">
        <v>31.9115</v>
      </c>
      <c r="N9" s="67" t="n">
        <v>31.9115</v>
      </c>
      <c r="O9" s="67" t="n">
        <v>1</v>
      </c>
      <c r="P9" s="67" t="n">
        <v>0.6899999999999999</v>
      </c>
      <c r="Q9" s="67" t="n">
        <v>0.39</v>
      </c>
      <c r="R9" s="67" t="n">
        <v>0</v>
      </c>
      <c r="S9" s="67" t="n">
        <v>0</v>
      </c>
      <c r="T9" s="67" t="n">
        <v>0</v>
      </c>
      <c r="U9" s="67" t="n">
        <v>0</v>
      </c>
      <c r="V9" s="67" t="n">
        <v>0</v>
      </c>
    </row>
    <row r="10">
      <c r="A10" s="67" t="inlineStr">
        <is>
          <t>spring_phab_rp100_cm|</t>
        </is>
      </c>
      <c r="B10" s="67" t="inlineStr">
        <is>
          <t>spring-phab-rp100-cm</t>
        </is>
      </c>
      <c r="C10" s="67" t="inlineStr">
        <is>
          <t>Residual pool depth</t>
        </is>
      </c>
      <c r="D10" s="67" t="inlineStr"/>
      <c r="E10" s="67" t="n">
        <v>5</v>
      </c>
      <c r="F10" s="67" t="inlineStr">
        <is>
          <t>33 least-disturbed stations borrowed from Level II ecoregion 9.4 (South Central Semi-Arid Prairies) under the regional screen (agriculture at most 25 percent), transfer risk moderate. The build refused this source (ACC-05/06: In the recovery test the source's class calls did not agree with reference often enough). The owner accepted it with a recorded rationale.</t>
        </is>
      </c>
      <c r="G10" s="67" t="n">
        <v>0</v>
      </c>
      <c r="H10" s="67" t="n">
        <v>6.237141200474331</v>
      </c>
      <c r="I10" s="67" t="n">
        <v>14.55332946777344</v>
      </c>
      <c r="J10" s="67" t="n">
        <v>31.83611679077148</v>
      </c>
      <c r="K10" s="67" t="n">
        <v>37.0209529876709</v>
      </c>
      <c r="L10" s="67" t="n">
        <v>37.0209529876709</v>
      </c>
      <c r="M10" s="67" t="n">
        <v>37.0209529876709</v>
      </c>
      <c r="N10" s="67" t="n">
        <v>37.0209529876709</v>
      </c>
      <c r="O10" s="67" t="n">
        <v>0</v>
      </c>
      <c r="P10" s="67" t="n">
        <v>0.3</v>
      </c>
      <c r="Q10" s="67" t="n">
        <v>0.7</v>
      </c>
      <c r="R10" s="67" t="n">
        <v>1</v>
      </c>
      <c r="S10" s="67" t="n">
        <v>1</v>
      </c>
      <c r="T10" s="67" t="n">
        <v>1</v>
      </c>
      <c r="U10" s="67" t="n">
        <v>1</v>
      </c>
      <c r="V10" s="67" t="n">
        <v>1</v>
      </c>
    </row>
    <row r="11">
      <c r="A11" s="67" t="inlineStr">
        <is>
          <t>spring_phab_bfwd_rat|</t>
        </is>
      </c>
      <c r="B11" s="67" t="inlineStr">
        <is>
          <t>spring-phab-bfwd-rat</t>
        </is>
      </c>
      <c r="C11" s="67" t="inlineStr">
        <is>
          <t>Bankfull width:depth ratio</t>
        </is>
      </c>
      <c r="D11" s="67" t="inlineStr"/>
      <c r="E11" s="67" t="n">
        <v>7</v>
      </c>
      <c r="F11" s="67" t="inlineStr">
        <is>
          <t>47 least-disturbed stations borrowed from Level II ecoregion 9.4 (South Central Semi-Arid Prairies) under the regional screen (agriculture at most 25 percent), transfer risk moderate. The build refused this source (ACC-05/06: In the recovery test the source promoted sites systematically). The owner accepted it with a recorded rationale.</t>
        </is>
      </c>
      <c r="G11" s="67" t="n">
        <v>0</v>
      </c>
      <c r="H11" s="67" t="n">
        <v>1.263247919082642</v>
      </c>
      <c r="I11" s="67" t="n">
        <v>6.756014823913574</v>
      </c>
      <c r="J11" s="67" t="n">
        <v>22.44963455200195</v>
      </c>
      <c r="K11" s="67" t="n">
        <v>27.94240145683289</v>
      </c>
      <c r="L11" s="67" t="n">
        <v>38.14325428009033</v>
      </c>
      <c r="M11" s="67" t="n">
        <v>53.83687400817871</v>
      </c>
      <c r="N11" s="67" t="n">
        <v>53.83687400817871</v>
      </c>
      <c r="O11" s="67" t="n">
        <v>0</v>
      </c>
      <c r="P11" s="67" t="n">
        <v>0.7</v>
      </c>
      <c r="Q11" s="67" t="n">
        <v>1</v>
      </c>
      <c r="R11" s="67" t="n">
        <v>1</v>
      </c>
      <c r="S11" s="67" t="n">
        <v>0.7</v>
      </c>
      <c r="T11" s="67" t="n">
        <v>0.3</v>
      </c>
      <c r="U11" s="67" t="n">
        <v>0</v>
      </c>
      <c r="V11" s="67" t="n">
        <v>0</v>
      </c>
    </row>
    <row r="12">
      <c r="A12" s="67" t="inlineStr">
        <is>
          <t>spring_phab_pct_safn|</t>
        </is>
      </c>
      <c r="B12" s="67" t="inlineStr">
        <is>
          <t>spring-phab-pct-safn</t>
        </is>
      </c>
      <c r="C12" s="67" t="inlineStr">
        <is>
          <t>Sand + fines</t>
        </is>
      </c>
      <c r="D12" s="67" t="inlineStr"/>
      <c r="E12" s="67" t="n">
        <v>4</v>
      </c>
      <c r="F12" s="67" t="inlineStr">
        <is>
          <t>48 least-disturbed stations borrowed from Level II ecoregion 9.4 (South Central Semi-Arid Prairies) under the regional screen (agriculture at most 25 percent), transfer risk low</t>
        </is>
      </c>
      <c r="G12" s="67" t="n">
        <v>15.66666712760925</v>
      </c>
      <c r="H12" s="67" t="n">
        <v>28.80952405929565</v>
      </c>
      <c r="I12" s="67" t="n">
        <v>72.61904716491699</v>
      </c>
      <c r="J12" s="67" t="n">
        <v>100</v>
      </c>
      <c r="K12" s="67" t="n">
        <v>100</v>
      </c>
      <c r="L12" s="67" t="n">
        <v>100</v>
      </c>
      <c r="M12" s="67" t="n">
        <v>100</v>
      </c>
      <c r="N12" s="67" t="n">
        <v>100</v>
      </c>
      <c r="O12" s="67" t="n">
        <v>1</v>
      </c>
      <c r="P12" s="67" t="n">
        <v>1</v>
      </c>
      <c r="Q12" s="67" t="n">
        <v>0.7</v>
      </c>
      <c r="R12" s="67" t="n">
        <v>0</v>
      </c>
      <c r="S12" s="67" t="n">
        <v>0</v>
      </c>
      <c r="T12" s="67" t="n">
        <v>0</v>
      </c>
      <c r="U12" s="67" t="n">
        <v>0</v>
      </c>
      <c r="V12" s="67" t="n">
        <v>0</v>
      </c>
    </row>
    <row r="13">
      <c r="A13" s="67" t="inlineStr">
        <is>
          <t>spring_phab_xembed|</t>
        </is>
      </c>
      <c r="B13" s="67" t="inlineStr">
        <is>
          <t>spring-phab-xembed</t>
        </is>
      </c>
      <c r="C13" s="67" t="inlineStr">
        <is>
          <t>Embeddedness</t>
        </is>
      </c>
      <c r="D13" s="67" t="inlineStr"/>
      <c r="E13" s="67" t="n">
        <v>4</v>
      </c>
      <c r="F13" s="67" t="inlineStr">
        <is>
          <t>43 least-disturbed stations borrowed from Level II ecoregion 9.4 (South Central Semi-Arid Prairies) under the regional screen (agriculture at most 25 percent), transfer risk low</t>
        </is>
      </c>
      <c r="G13" s="67" t="n">
        <v>53.03181800842285</v>
      </c>
      <c r="H13" s="67" t="n">
        <v>61.6363639831543</v>
      </c>
      <c r="I13" s="67" t="n">
        <v>90.31818389892578</v>
      </c>
      <c r="J13" s="67" t="n">
        <v>100</v>
      </c>
      <c r="K13" s="67" t="n">
        <v>100</v>
      </c>
      <c r="L13" s="67" t="n">
        <v>100</v>
      </c>
      <c r="M13" s="67" t="n">
        <v>100</v>
      </c>
      <c r="N13" s="67" t="n">
        <v>100</v>
      </c>
      <c r="O13" s="67" t="n">
        <v>1</v>
      </c>
      <c r="P13" s="67" t="n">
        <v>1</v>
      </c>
      <c r="Q13" s="67" t="n">
        <v>0.7</v>
      </c>
      <c r="R13" s="67" t="n">
        <v>0</v>
      </c>
      <c r="S13" s="67" t="n">
        <v>0</v>
      </c>
      <c r="T13" s="67" t="n">
        <v>0</v>
      </c>
      <c r="U13" s="67" t="n">
        <v>0</v>
      </c>
      <c r="V13" s="67" t="n">
        <v>0</v>
      </c>
    </row>
    <row r="14">
      <c r="A14" s="67" t="inlineStr">
        <is>
          <t>spring_phab_sinu|</t>
        </is>
      </c>
      <c r="B14" s="67" t="inlineStr">
        <is>
          <t>spring-phab-sinu</t>
        </is>
      </c>
      <c r="C14" s="67" t="inlineStr">
        <is>
          <t>Sinuosity</t>
        </is>
      </c>
      <c r="D14" s="67" t="inlineStr"/>
      <c r="E14" s="67" t="n">
        <v>4</v>
      </c>
      <c r="F14" s="67" t="inlineStr">
        <is>
          <t>41 least-disturbed stations borrowed from Level II ecoregion 9.4 (South Central Semi-Arid Prairies) under the regional screen (agriculture at most 25 percent), transfer risk moderate</t>
        </is>
      </c>
      <c r="G14" s="67" t="n">
        <v>1</v>
      </c>
      <c r="H14" s="67" t="n">
        <v>1.088943839073181</v>
      </c>
      <c r="I14" s="67" t="n">
        <v>1.32020378112793</v>
      </c>
      <c r="J14" s="67" t="n">
        <v>1.389581763744354</v>
      </c>
      <c r="K14" s="67" t="n">
        <v>1.389581763744354</v>
      </c>
      <c r="L14" s="67" t="n">
        <v>1.389581763744354</v>
      </c>
      <c r="M14" s="67" t="n">
        <v>1.389581763744354</v>
      </c>
      <c r="N14" s="67" t="n">
        <v>1.389581763744354</v>
      </c>
      <c r="O14" s="67" t="n">
        <v>0</v>
      </c>
      <c r="P14" s="67" t="n">
        <v>0.7</v>
      </c>
      <c r="Q14" s="67" t="n">
        <v>1</v>
      </c>
      <c r="R14" s="67" t="n">
        <v>1</v>
      </c>
      <c r="S14" s="67" t="n">
        <v>1</v>
      </c>
      <c r="T14" s="67" t="n">
        <v>1</v>
      </c>
      <c r="U14" s="67" t="n">
        <v>1</v>
      </c>
      <c r="V14" s="67" t="n">
        <v>1</v>
      </c>
    </row>
    <row r="15">
      <c r="A15" s="67" t="inlineStr">
        <is>
          <t>spring_phab_xbka|</t>
        </is>
      </c>
      <c r="B15" s="67" t="inlineStr">
        <is>
          <t>spring-phab-xbka</t>
        </is>
      </c>
      <c r="C15" s="67" t="inlineStr">
        <is>
          <t>Bank angle</t>
        </is>
      </c>
      <c r="D15" s="67" t="inlineStr"/>
      <c r="E15" s="67" t="n">
        <v>7</v>
      </c>
      <c r="F15" s="67" t="inlineStr">
        <is>
          <t>43 least-disturbed stations borrowed from Level II ecoregion 9.4 (South Central Semi-Arid Prairies) under the regional screen (agriculture at most 25 percent), transfer risk low</t>
        </is>
      </c>
      <c r="G15" s="67" t="n">
        <v>0.3181829452514648</v>
      </c>
      <c r="H15" s="67" t="n">
        <v>19.21818222999573</v>
      </c>
      <c r="I15" s="67" t="n">
        <v>23.22727298736572</v>
      </c>
      <c r="J15" s="67" t="n">
        <v>34.68181800842285</v>
      </c>
      <c r="K15" s="67" t="n">
        <v>38.69090876579285</v>
      </c>
      <c r="L15" s="67" t="n">
        <v>46.13636302947998</v>
      </c>
      <c r="M15" s="67" t="n">
        <v>57.59090805053711</v>
      </c>
      <c r="N15" s="67" t="n">
        <v>57.59090805053711</v>
      </c>
      <c r="O15" s="67" t="n">
        <v>0.7</v>
      </c>
      <c r="P15" s="67" t="n">
        <v>0.7</v>
      </c>
      <c r="Q15" s="67" t="n">
        <v>1</v>
      </c>
      <c r="R15" s="67" t="n">
        <v>1</v>
      </c>
      <c r="S15" s="67" t="n">
        <v>0.7</v>
      </c>
      <c r="T15" s="67" t="n">
        <v>0.3</v>
      </c>
      <c r="U15" s="67" t="n">
        <v>0</v>
      </c>
      <c r="V15" s="67" t="n">
        <v>0</v>
      </c>
    </row>
    <row r="16">
      <c r="A16" s="67" t="inlineStr">
        <is>
          <t>spring_phab_lrbs_use|All streams (pooled)</t>
        </is>
      </c>
      <c r="B16" s="67" t="inlineStr">
        <is>
          <t>spring-phab-lrbs-use</t>
        </is>
      </c>
      <c r="C16" s="67" t="inlineStr">
        <is>
          <t>Relative bed stability</t>
        </is>
      </c>
      <c r="D16" s="67" t="inlineStr">
        <is>
          <t>All streams (pooled)</t>
        </is>
      </c>
      <c r="E16" s="67" t="n">
        <v>8</v>
      </c>
      <c r="F16" s="67" t="inlineStr">
        <is>
          <t>48 least-disturbed stations borrowed from Level II ecoregion 9.4 (South Central Semi-Arid Prairies) under the regional screen (agriculture at most 25 percent), transfer risk moderate</t>
        </is>
      </c>
      <c r="G16" s="67" t="n">
        <v>-4.284228324890137</v>
      </c>
      <c r="H16" s="67" t="n">
        <v>-3.04133066534996</v>
      </c>
      <c r="I16" s="67" t="n">
        <v>-2.233447186648846</v>
      </c>
      <c r="J16" s="67" t="n">
        <v>-1.798433005809784</v>
      </c>
      <c r="K16" s="67" t="n">
        <v>-0.5555353462696075</v>
      </c>
      <c r="L16" s="67" t="n">
        <v>-0.1205211654305458</v>
      </c>
      <c r="M16" s="67" t="n">
        <v>0.6873623132705688</v>
      </c>
      <c r="N16" s="67" t="n">
        <v>1.930259972810745</v>
      </c>
      <c r="O16" s="67" t="n">
        <v>0</v>
      </c>
      <c r="P16" s="67" t="n">
        <v>0.3</v>
      </c>
      <c r="Q16" s="67" t="n">
        <v>0.7</v>
      </c>
      <c r="R16" s="67" t="n">
        <v>1</v>
      </c>
      <c r="S16" s="67" t="n">
        <v>1</v>
      </c>
      <c r="T16" s="67" t="n">
        <v>0.7</v>
      </c>
      <c r="U16" s="67" t="n">
        <v>0.3</v>
      </c>
      <c r="V16" s="67" t="n">
        <v>0</v>
      </c>
    </row>
    <row r="17">
      <c r="A17" s="67" t="inlineStr">
        <is>
          <t>spring_phab_lrbs_use|Small stream (10 to 100 km2)</t>
        </is>
      </c>
      <c r="B17" s="67" t="inlineStr">
        <is>
          <t>spring-phab-lrbs-use</t>
        </is>
      </c>
      <c r="C17" s="67" t="inlineStr">
        <is>
          <t>Relative bed stability</t>
        </is>
      </c>
      <c r="D17" s="67" t="inlineStr">
        <is>
          <t>Small stream (10 to 100 km2)</t>
        </is>
      </c>
      <c r="E17" s="67" t="n">
        <v>8</v>
      </c>
      <c r="F17" s="67" t="inlineStr">
        <is>
          <t>48 least-disturbed stations borrowed from Level II ecoregion 9.4 (South Central Semi-Arid Prairies) under the regional screen (agriculture at most 25 percent), transfer risk moderate</t>
        </is>
      </c>
      <c r="G17" s="67" t="n">
        <v>-4.343750298023224</v>
      </c>
      <c r="H17" s="67" t="n">
        <v>-3.10857093334198</v>
      </c>
      <c r="I17" s="67" t="n">
        <v>-2.305704346299172</v>
      </c>
      <c r="J17" s="67" t="n">
        <v>-1.873391568660736</v>
      </c>
      <c r="K17" s="67" t="n">
        <v>-0.6382122039794922</v>
      </c>
      <c r="L17" s="67" t="n">
        <v>-0.2058994263410568</v>
      </c>
      <c r="M17" s="67" t="n">
        <v>0.5969671607017517</v>
      </c>
      <c r="N17" s="67" t="n">
        <v>1.832146525382996</v>
      </c>
      <c r="O17" s="67" t="n">
        <v>0</v>
      </c>
      <c r="P17" s="67" t="n">
        <v>0.3</v>
      </c>
      <c r="Q17" s="67" t="n">
        <v>0.7</v>
      </c>
      <c r="R17" s="67" t="n">
        <v>1</v>
      </c>
      <c r="S17" s="67" t="n">
        <v>1</v>
      </c>
      <c r="T17" s="67" t="n">
        <v>0.7</v>
      </c>
      <c r="U17" s="67" t="n">
        <v>0.3</v>
      </c>
      <c r="V17" s="67" t="n">
        <v>0</v>
      </c>
    </row>
    <row r="18">
      <c r="A18" s="67" t="inlineStr">
        <is>
          <t>spring_phab_lrbs_use|Large stream (over 100 km2)</t>
        </is>
      </c>
      <c r="B18" s="67" t="inlineStr">
        <is>
          <t>spring-phab-lrbs-use</t>
        </is>
      </c>
      <c r="C18" s="67" t="inlineStr">
        <is>
          <t>Relative bed stability</t>
        </is>
      </c>
      <c r="D18" s="67" t="inlineStr">
        <is>
          <t>Large stream (over 100 km2)</t>
        </is>
      </c>
      <c r="E18" s="67" t="n">
        <v>8</v>
      </c>
      <c r="F18" s="67" t="inlineStr">
        <is>
          <t>48 least-disturbed stations borrowed from Level II ecoregion 9.4 (South Central Semi-Arid Prairies) under the regional screen (agriculture at most 25 percent), transfer risk moderate</t>
        </is>
      </c>
      <c r="G18" s="67" t="n">
        <v>-4.67205885052681</v>
      </c>
      <c r="H18" s="67" t="n">
        <v>-3.191990688443184</v>
      </c>
      <c r="I18" s="67" t="n">
        <v>-2.229946383088827</v>
      </c>
      <c r="J18" s="67" t="n">
        <v>-1.711922526359558</v>
      </c>
      <c r="K18" s="67" t="n">
        <v>-0.2318543642759323</v>
      </c>
      <c r="L18" s="67" t="n">
        <v>0.2861694924533367</v>
      </c>
      <c r="M18" s="67" t="n">
        <v>1.248213797807693</v>
      </c>
      <c r="N18" s="67" t="n">
        <v>2.728281959891319</v>
      </c>
      <c r="O18" s="67" t="n">
        <v>0</v>
      </c>
      <c r="P18" s="67" t="n">
        <v>0.3</v>
      </c>
      <c r="Q18" s="67" t="n">
        <v>0.7</v>
      </c>
      <c r="R18" s="67" t="n">
        <v>1</v>
      </c>
      <c r="S18" s="67" t="n">
        <v>1</v>
      </c>
      <c r="T18" s="67" t="n">
        <v>0.7</v>
      </c>
      <c r="U18" s="67" t="n">
        <v>0.3</v>
      </c>
      <c r="V18" s="67" t="n">
        <v>0</v>
      </c>
    </row>
    <row r="19">
      <c r="A19" s="67" t="inlineStr">
        <is>
          <t>spring_phab_lwdeqvolm100|</t>
        </is>
      </c>
      <c r="B19" s="67" t="inlineStr">
        <is>
          <t>spring-phab-lwdeqvolm100</t>
        </is>
      </c>
      <c r="C19" s="67" t="inlineStr">
        <is>
          <t>Large wood volume</t>
        </is>
      </c>
      <c r="D19" s="67" t="inlineStr"/>
      <c r="E19" s="67" t="n">
        <v>2</v>
      </c>
      <c r="F19" s="67" t="inlineStr">
        <is>
          <t>40 least-disturbed stations borrowed from NARS-9 region SPL under the regional screen (agriculture at most 25 percent), transfer risk high</t>
        </is>
      </c>
      <c r="G19" s="67" t="n">
        <v>0</v>
      </c>
      <c r="H19" s="67" t="n">
        <v>1.789812505245209</v>
      </c>
      <c r="I19" s="67" t="n">
        <v>1.789812505245209</v>
      </c>
      <c r="J19" s="67" t="n">
        <v>1.789812505245209</v>
      </c>
      <c r="K19" s="67" t="n">
        <v>1.789812505245209</v>
      </c>
      <c r="L19" s="67" t="n">
        <v>1.789812505245209</v>
      </c>
      <c r="M19" s="67" t="n">
        <v>1.789812505245209</v>
      </c>
      <c r="N19" s="67" t="n">
        <v>1.789812505245209</v>
      </c>
      <c r="O19" s="67" t="n">
        <v>0</v>
      </c>
      <c r="P19" s="67" t="n">
        <v>1</v>
      </c>
      <c r="Q19" s="67" t="n">
        <v>1</v>
      </c>
      <c r="R19" s="67" t="n">
        <v>1</v>
      </c>
      <c r="S19" s="67" t="n">
        <v>1</v>
      </c>
      <c r="T19" s="67" t="n">
        <v>1</v>
      </c>
      <c r="U19" s="67" t="n">
        <v>1</v>
      </c>
      <c r="V19" s="67" t="n">
        <v>1</v>
      </c>
    </row>
    <row r="20">
      <c r="A20" s="67" t="inlineStr">
        <is>
          <t>spring_phab_xcdenmid|</t>
        </is>
      </c>
      <c r="B20" s="67" t="inlineStr">
        <is>
          <t>spring-phab-xcdenmid</t>
        </is>
      </c>
      <c r="C20" s="67" t="inlineStr">
        <is>
          <t>Canopy density, mid-channel</t>
        </is>
      </c>
      <c r="D20" s="67" t="inlineStr"/>
      <c r="E20" s="67" t="n">
        <v>5</v>
      </c>
      <c r="F20" s="67" t="inlineStr">
        <is>
          <t>47 least-disturbed stations borrowed from Level II ecoregion 9.4 (South Central Semi-Arid Prairies) under the regional screen (agriculture at most 25 percent), transfer risk moderate. The build refused this source (ACC-05/06: In the recovery test the source's class calls did not agree with reference often enough and the source promoted sites systematically). The owner accepted it with a recorded rationale.</t>
        </is>
      </c>
      <c r="G20" s="67" t="n">
        <v>0</v>
      </c>
      <c r="H20" s="67" t="n">
        <v>1.71886932849884</v>
      </c>
      <c r="I20" s="67" t="n">
        <v>4.010695099830627</v>
      </c>
      <c r="J20" s="67" t="n">
        <v>67.71390151977539</v>
      </c>
      <c r="K20" s="67" t="n">
        <v>86.82486344575882</v>
      </c>
      <c r="L20" s="67" t="n">
        <v>86.82486344575882</v>
      </c>
      <c r="M20" s="67" t="n">
        <v>86.82486344575882</v>
      </c>
      <c r="N20" s="67" t="n">
        <v>86.82486344575882</v>
      </c>
      <c r="O20" s="67" t="n">
        <v>0</v>
      </c>
      <c r="P20" s="67" t="n">
        <v>0.3</v>
      </c>
      <c r="Q20" s="67" t="n">
        <v>0.7</v>
      </c>
      <c r="R20" s="67" t="n">
        <v>1</v>
      </c>
      <c r="S20" s="67" t="n">
        <v>1</v>
      </c>
      <c r="T20" s="67" t="n">
        <v>1</v>
      </c>
      <c r="U20" s="67" t="n">
        <v>1</v>
      </c>
      <c r="V20" s="67" t="n">
        <v>1</v>
      </c>
    </row>
    <row r="21">
      <c r="A21" s="67" t="inlineStr">
        <is>
          <t>spring_phab_xcmgw|</t>
        </is>
      </c>
      <c r="B21" s="67" t="inlineStr">
        <is>
          <t>spring-phab-xcmgw</t>
        </is>
      </c>
      <c r="C21" s="67" t="inlineStr">
        <is>
          <t>Riparian veg cover, woody</t>
        </is>
      </c>
      <c r="D21" s="67" t="inlineStr"/>
      <c r="E21" s="67" t="n">
        <v>5</v>
      </c>
      <c r="F21" s="67" t="inlineStr">
        <is>
          <t>52 least-disturbed stations borrowed from Level II ecoregion 9.4 (South Central Semi-Arid Prairies) under the regional screen (agriculture at most 25 percent), transfer risk moderate. The build refused this source (ACC-05/06: In the recovery test the source's class calls did not agree with reference often enough and the source promoted sites systematically). The owner accepted it with a recorded rationale.</t>
        </is>
      </c>
      <c r="G21" s="67" t="n">
        <v>0</v>
      </c>
      <c r="H21" s="67" t="n">
        <v>0.1243100613355637</v>
      </c>
      <c r="I21" s="67" t="n">
        <v>0.2900568097829819</v>
      </c>
      <c r="J21" s="67" t="n">
        <v>0.7906250208616257</v>
      </c>
      <c r="K21" s="67" t="n">
        <v>0.9407954841852189</v>
      </c>
      <c r="L21" s="67" t="n">
        <v>0.9407954841852189</v>
      </c>
      <c r="M21" s="67" t="n">
        <v>0.9407954841852189</v>
      </c>
      <c r="N21" s="67" t="n">
        <v>0.9407954841852189</v>
      </c>
      <c r="O21" s="67" t="n">
        <v>0</v>
      </c>
      <c r="P21" s="67" t="n">
        <v>0.3</v>
      </c>
      <c r="Q21" s="67" t="n">
        <v>0.7</v>
      </c>
      <c r="R21" s="67" t="n">
        <v>1</v>
      </c>
      <c r="S21" s="67" t="n">
        <v>1</v>
      </c>
      <c r="T21" s="67" t="n">
        <v>1</v>
      </c>
      <c r="U21" s="67" t="n">
        <v>1</v>
      </c>
      <c r="V21" s="67" t="n">
        <v>1</v>
      </c>
    </row>
    <row r="22">
      <c r="A22" s="67" t="inlineStr">
        <is>
          <t>spring_chem_ntl|</t>
        </is>
      </c>
      <c r="B22" s="67" t="inlineStr">
        <is>
          <t>spring-chem-ntl</t>
        </is>
      </c>
      <c r="C22" s="67" t="inlineStr">
        <is>
          <t>Total nitrogen</t>
        </is>
      </c>
      <c r="D22" s="67" t="inlineStr"/>
      <c r="E22" s="67" t="n">
        <v>4</v>
      </c>
      <c r="F22" s="67" t="inlineStr">
        <is>
          <t>Scored against a published criterion rather than against stations from this ecoregion. The criterion carries its own definition of reference, which need not match this assessment's.</t>
        </is>
      </c>
      <c r="G22" s="67" t="n">
        <v>0</v>
      </c>
      <c r="H22" s="67" t="n">
        <v>0.5815</v>
      </c>
      <c r="I22" s="67" t="n">
        <v>1.069</v>
      </c>
      <c r="J22" s="67" t="n">
        <v>1.70275</v>
      </c>
      <c r="K22" s="67" t="n">
        <v>1.70275</v>
      </c>
      <c r="L22" s="67" t="n">
        <v>1.70275</v>
      </c>
      <c r="M22" s="67" t="n">
        <v>1.70275</v>
      </c>
      <c r="N22" s="67" t="n">
        <v>1.70275</v>
      </c>
      <c r="O22" s="67" t="n">
        <v>1</v>
      </c>
      <c r="P22" s="67" t="n">
        <v>0.6899999999999999</v>
      </c>
      <c r="Q22" s="67" t="n">
        <v>0.39</v>
      </c>
      <c r="R22" s="67" t="n">
        <v>0</v>
      </c>
      <c r="S22" s="67" t="n">
        <v>0</v>
      </c>
      <c r="T22" s="67" t="n">
        <v>0</v>
      </c>
      <c r="U22" s="67" t="n">
        <v>0</v>
      </c>
      <c r="V22" s="67" t="n">
        <v>0</v>
      </c>
    </row>
    <row r="23">
      <c r="A23" s="67" t="inlineStr">
        <is>
          <t>spring_chem_ptl|</t>
        </is>
      </c>
      <c r="B23" s="67" t="inlineStr">
        <is>
          <t>spring-chem-ptl</t>
        </is>
      </c>
      <c r="C23" s="67" t="inlineStr">
        <is>
          <t>Total phosphorus</t>
        </is>
      </c>
      <c r="D23" s="67" t="inlineStr"/>
      <c r="E23" s="67" t="n">
        <v>4</v>
      </c>
      <c r="F23" s="67" t="inlineStr">
        <is>
          <t>Scored against a published criterion rather than against stations from this ecoregion. The criterion carries its own definition of reference, which need not match this assessment's.</t>
        </is>
      </c>
      <c r="G23" s="67" t="n">
        <v>0</v>
      </c>
      <c r="H23" s="67" t="n">
        <v>55.85</v>
      </c>
      <c r="I23" s="67" t="n">
        <v>127</v>
      </c>
      <c r="J23" s="67" t="n">
        <v>219.495</v>
      </c>
      <c r="K23" s="67" t="n">
        <v>219.495</v>
      </c>
      <c r="L23" s="67" t="n">
        <v>219.495</v>
      </c>
      <c r="M23" s="67" t="n">
        <v>219.495</v>
      </c>
      <c r="N23" s="67" t="n">
        <v>219.495</v>
      </c>
      <c r="O23" s="67" t="n">
        <v>1</v>
      </c>
      <c r="P23" s="67" t="n">
        <v>0.6899999999999999</v>
      </c>
      <c r="Q23" s="67" t="n">
        <v>0.39</v>
      </c>
      <c r="R23" s="67" t="n">
        <v>0</v>
      </c>
      <c r="S23" s="67" t="n">
        <v>0</v>
      </c>
      <c r="T23" s="67" t="n">
        <v>0</v>
      </c>
      <c r="U23" s="67" t="n">
        <v>0</v>
      </c>
      <c r="V23" s="67" t="n">
        <v>0</v>
      </c>
    </row>
    <row r="24">
      <c r="A24" s="67" t="inlineStr">
        <is>
          <t>spring_chem_ph|</t>
        </is>
      </c>
      <c r="B24" s="67" t="inlineStr">
        <is>
          <t>spring-chem-ph</t>
        </is>
      </c>
      <c r="C24" s="67" t="inlineStr">
        <is>
          <t>pH</t>
        </is>
      </c>
      <c r="D24" s="67" t="inlineStr"/>
      <c r="E24" s="67" t="n">
        <v>8</v>
      </c>
      <c r="F24" s="67" t="inlineStr">
        <is>
          <t>40 least-disturbed stations borrowed from Level II ecoregion 9.4 (South Central Semi-Arid Prairies) under the regional screen (agriculture at most 25 percent), transfer risk low</t>
        </is>
      </c>
      <c r="G24" s="67" t="n">
        <v>7.545001029968262</v>
      </c>
      <c r="H24" s="67" t="n">
        <v>7.777500629425049</v>
      </c>
      <c r="I24" s="67" t="n">
        <v>7.928625369071961</v>
      </c>
      <c r="J24" s="67" t="n">
        <v>8.010000228881836</v>
      </c>
      <c r="K24" s="67" t="n">
        <v>8.242499828338623</v>
      </c>
      <c r="L24" s="67" t="n">
        <v>8.323874688148498</v>
      </c>
      <c r="M24" s="67" t="n">
        <v>8.47499942779541</v>
      </c>
      <c r="N24" s="67" t="n">
        <v>8.707499027252197</v>
      </c>
      <c r="O24" s="67" t="n">
        <v>0</v>
      </c>
      <c r="P24" s="67" t="n">
        <v>0.3</v>
      </c>
      <c r="Q24" s="67" t="n">
        <v>0.7</v>
      </c>
      <c r="R24" s="67" t="n">
        <v>1</v>
      </c>
      <c r="S24" s="67" t="n">
        <v>1</v>
      </c>
      <c r="T24" s="67" t="n">
        <v>0.7</v>
      </c>
      <c r="U24" s="67" t="n">
        <v>0.3</v>
      </c>
      <c r="V24" s="67" t="n">
        <v>0</v>
      </c>
    </row>
    <row r="25">
      <c r="A25" s="67" t="inlineStr">
        <is>
          <t>spring_chem_turb|</t>
        </is>
      </c>
      <c r="B25" s="67" t="inlineStr">
        <is>
          <t>spring-chem-turb</t>
        </is>
      </c>
      <c r="C25" s="67" t="inlineStr">
        <is>
          <t>Turbidity</t>
        </is>
      </c>
      <c r="D25" s="67" t="inlineStr"/>
      <c r="E25" s="67" t="n">
        <v>5</v>
      </c>
      <c r="F25" s="67" t="inlineStr">
        <is>
          <t>Reference curve from a modeled expectation. The response to landscape pressure is estimated nationally and this ecoregion's own level is added, because the ecoregion holds too few streams clean enough to observe reference condition directly.</t>
        </is>
      </c>
      <c r="G25" s="67" t="n">
        <v>0</v>
      </c>
      <c r="H25" s="67" t="n">
        <v>2.589141728459146</v>
      </c>
      <c r="I25" s="67" t="n">
        <v>13.19098373432703</v>
      </c>
      <c r="J25" s="67" t="n">
        <v>27.32677307548421</v>
      </c>
      <c r="K25" s="67" t="n">
        <v>37.9286150813521</v>
      </c>
      <c r="L25" s="67" t="n">
        <v>37.9286150813521</v>
      </c>
      <c r="M25" s="67" t="n">
        <v>37.9286150813521</v>
      </c>
      <c r="N25" s="67" t="n">
        <v>37.9286150813521</v>
      </c>
      <c r="O25" s="67" t="n">
        <v>1</v>
      </c>
      <c r="P25" s="67" t="n">
        <v>1</v>
      </c>
      <c r="Q25" s="67" t="n">
        <v>0.7</v>
      </c>
      <c r="R25" s="67" t="n">
        <v>0.3</v>
      </c>
      <c r="S25" s="67" t="n">
        <v>0</v>
      </c>
      <c r="T25" s="67" t="n">
        <v>0</v>
      </c>
      <c r="U25" s="67" t="n">
        <v>0</v>
      </c>
      <c r="V25" s="67" t="n">
        <v>0</v>
      </c>
    </row>
    <row r="26">
      <c r="A26" s="67" t="inlineStr">
        <is>
          <t>spring_phab_pct_fast|All streams (pooled)</t>
        </is>
      </c>
      <c r="B26" s="67" t="inlineStr">
        <is>
          <t>spring-phab-pct-fast</t>
        </is>
      </c>
      <c r="C26" s="67" t="inlineStr">
        <is>
          <t>Fast-water / riffle habitat</t>
        </is>
      </c>
      <c r="D26" s="67" t="inlineStr">
        <is>
          <t>All streams (pooled)</t>
        </is>
      </c>
      <c r="E26" s="67" t="n">
        <v>5</v>
      </c>
      <c r="F26" s="67" t="inlineStr">
        <is>
          <t>48 least-disturbed stations borrowed from Level II ecoregion 9.4 (South Central Semi-Arid Prairies) under the regional screen (agriculture at most 25 percent), transfer risk low</t>
        </is>
      </c>
      <c r="G26" s="67" t="n">
        <v>0</v>
      </c>
      <c r="H26" s="67" t="n">
        <v>0.4285714285714285</v>
      </c>
      <c r="I26" s="67" t="n">
        <v>1</v>
      </c>
      <c r="J26" s="67" t="n">
        <v>16</v>
      </c>
      <c r="K26" s="67" t="n">
        <v>20.5</v>
      </c>
      <c r="L26" s="67" t="n">
        <v>20.5</v>
      </c>
      <c r="M26" s="67" t="n">
        <v>20.5</v>
      </c>
      <c r="N26" s="67" t="n">
        <v>20.5</v>
      </c>
      <c r="O26" s="67" t="n">
        <v>0</v>
      </c>
      <c r="P26" s="67" t="n">
        <v>0.3</v>
      </c>
      <c r="Q26" s="67" t="n">
        <v>0.7</v>
      </c>
      <c r="R26" s="67" t="n">
        <v>1</v>
      </c>
      <c r="S26" s="67" t="n">
        <v>1</v>
      </c>
      <c r="T26" s="67" t="n">
        <v>1</v>
      </c>
      <c r="U26" s="67" t="n">
        <v>1</v>
      </c>
      <c r="V26" s="67" t="n">
        <v>1</v>
      </c>
    </row>
    <row r="27">
      <c r="A27" s="67" t="inlineStr">
        <is>
          <t>spring_phab_pct_fast|Low gradient (under 0.5 percent)</t>
        </is>
      </c>
      <c r="B27" s="67" t="inlineStr">
        <is>
          <t>spring-phab-pct-fast</t>
        </is>
      </c>
      <c r="C27" s="67" t="inlineStr">
        <is>
          <t>Fast-water / riffle habitat</t>
        </is>
      </c>
      <c r="D27" s="67" t="inlineStr">
        <is>
          <t>Low gradient (under 0.5 percent)</t>
        </is>
      </c>
      <c r="E27" s="67" t="n">
        <v>5</v>
      </c>
      <c r="F27" s="67" t="inlineStr">
        <is>
          <t>48 least-disturbed stations borrowed from Level II ecoregion 9.4 (South Central Semi-Arid Prairies) under the regional screen (agriculture at most 25 percent), transfer risk low</t>
        </is>
      </c>
      <c r="G27" s="67" t="n">
        <v>0</v>
      </c>
      <c r="H27" s="67" t="n">
        <v>0.4183673475469862</v>
      </c>
      <c r="I27" s="67" t="n">
        <v>0.9761904776096344</v>
      </c>
      <c r="J27" s="67" t="n">
        <v>12.83333349227905</v>
      </c>
      <c r="K27" s="67" t="n">
        <v>16.39047639667988</v>
      </c>
      <c r="L27" s="67" t="n">
        <v>16.39047639667988</v>
      </c>
      <c r="M27" s="67" t="n">
        <v>16.39047639667988</v>
      </c>
      <c r="N27" s="67" t="n">
        <v>16.39047639667988</v>
      </c>
      <c r="O27" s="67" t="n">
        <v>0</v>
      </c>
      <c r="P27" s="67" t="n">
        <v>0.3</v>
      </c>
      <c r="Q27" s="67" t="n">
        <v>0.7</v>
      </c>
      <c r="R27" s="67" t="n">
        <v>1</v>
      </c>
      <c r="S27" s="67" t="n">
        <v>1</v>
      </c>
      <c r="T27" s="67" t="n">
        <v>1</v>
      </c>
      <c r="U27" s="67" t="n">
        <v>1</v>
      </c>
      <c r="V27" s="67" t="n">
        <v>1</v>
      </c>
    </row>
    <row r="28">
      <c r="A28" s="67" t="inlineStr">
        <is>
          <t>spring_phab_pct_fast|Moderate gradient (0.5 to 2 percent)</t>
        </is>
      </c>
      <c r="B28" s="67" t="inlineStr">
        <is>
          <t>spring-phab-pct-fast</t>
        </is>
      </c>
      <c r="C28" s="67" t="inlineStr">
        <is>
          <t>Fast-water / riffle habitat</t>
        </is>
      </c>
      <c r="D28" s="67" t="inlineStr">
        <is>
          <t>Moderate gradient (0.5 to 2 percent)</t>
        </is>
      </c>
      <c r="E28" s="67" t="n">
        <v>5</v>
      </c>
      <c r="F28" s="67" t="inlineStr">
        <is>
          <t>48 least-disturbed stations borrowed from Level II ecoregion 9.4 (South Central Semi-Arid Prairies) under the regional screen (agriculture at most 25 percent), transfer risk low</t>
        </is>
      </c>
      <c r="G28" s="67" t="n">
        <v>0</v>
      </c>
      <c r="H28" s="67" t="n">
        <v>2.142857142857143</v>
      </c>
      <c r="I28" s="67" t="n">
        <v>5</v>
      </c>
      <c r="J28" s="67" t="n">
        <v>23</v>
      </c>
      <c r="K28" s="67" t="n">
        <v>28.4</v>
      </c>
      <c r="L28" s="67" t="n">
        <v>28.4</v>
      </c>
      <c r="M28" s="67" t="n">
        <v>28.4</v>
      </c>
      <c r="N28" s="67" t="n">
        <v>28.4</v>
      </c>
      <c r="O28" s="67" t="n">
        <v>0</v>
      </c>
      <c r="P28" s="67" t="n">
        <v>0.3</v>
      </c>
      <c r="Q28" s="67" t="n">
        <v>0.7</v>
      </c>
      <c r="R28" s="67" t="n">
        <v>1</v>
      </c>
      <c r="S28" s="67" t="n">
        <v>1</v>
      </c>
      <c r="T28" s="67" t="n">
        <v>1</v>
      </c>
      <c r="U28" s="67" t="n">
        <v>1</v>
      </c>
      <c r="V28" s="67" t="n">
        <v>1</v>
      </c>
    </row>
    <row r="29">
      <c r="A29" s="67" t="inlineStr">
        <is>
          <t>spring_bent_totlntax|</t>
        </is>
      </c>
      <c r="B29" s="67" t="inlineStr">
        <is>
          <t>spring-bent-totlntax</t>
        </is>
      </c>
      <c r="C29" s="67" t="inlineStr">
        <is>
          <t>Benthic total taxa richness</t>
        </is>
      </c>
      <c r="D29" s="67" t="inlineStr"/>
      <c r="E29" s="67" t="n">
        <v>5</v>
      </c>
      <c r="F29" s="67" t="inlineStr">
        <is>
          <t>Reference curve fitted to comparable least-disturbed stations drawn from the national pool, because this ecoregion and its parents hold too few of their own.</t>
        </is>
      </c>
      <c r="G29" s="67" t="n">
        <v>0</v>
      </c>
      <c r="H29" s="67" t="n">
        <v>11.14285714285714</v>
      </c>
      <c r="I29" s="67" t="n">
        <v>26</v>
      </c>
      <c r="J29" s="67" t="n">
        <v>41</v>
      </c>
      <c r="K29" s="67" t="n">
        <v>45.5</v>
      </c>
      <c r="L29" s="67" t="n">
        <v>45.5</v>
      </c>
      <c r="M29" s="67" t="n">
        <v>45.5</v>
      </c>
      <c r="N29" s="67" t="n">
        <v>45.5</v>
      </c>
      <c r="O29" s="67" t="n">
        <v>0</v>
      </c>
      <c r="P29" s="67" t="n">
        <v>0.3</v>
      </c>
      <c r="Q29" s="67" t="n">
        <v>0.7</v>
      </c>
      <c r="R29" s="67" t="n">
        <v>1</v>
      </c>
      <c r="S29" s="67" t="n">
        <v>1</v>
      </c>
      <c r="T29" s="67" t="n">
        <v>1</v>
      </c>
      <c r="U29" s="67" t="n">
        <v>1</v>
      </c>
      <c r="V29" s="67" t="n">
        <v>1</v>
      </c>
    </row>
    <row r="30">
      <c r="A30" s="67" t="inlineStr">
        <is>
          <t>spring_bent_hprime|</t>
        </is>
      </c>
      <c r="B30" s="67" t="inlineStr">
        <is>
          <t>spring-bent-hprime</t>
        </is>
      </c>
      <c r="C30" s="67" t="inlineStr">
        <is>
          <t>Shannon diversity (H')</t>
        </is>
      </c>
      <c r="D30" s="67" t="inlineStr"/>
      <c r="E30" s="67" t="n">
        <v>5</v>
      </c>
      <c r="F30" s="67" t="inlineStr">
        <is>
          <t>Reference curve fitted to comparable least-disturbed stations drawn from the national pool, because this ecoregion and its parents hold too few of their own.</t>
        </is>
      </c>
      <c r="G30" s="67" t="n">
        <v>0</v>
      </c>
      <c r="H30" s="67" t="n">
        <v>0.9728571346827916</v>
      </c>
      <c r="I30" s="67" t="n">
        <v>2.269999980926514</v>
      </c>
      <c r="J30" s="67" t="n">
        <v>2.890000104904175</v>
      </c>
      <c r="K30" s="67" t="n">
        <v>3.076000142097473</v>
      </c>
      <c r="L30" s="67" t="n">
        <v>3.076000142097473</v>
      </c>
      <c r="M30" s="67" t="n">
        <v>3.076000142097473</v>
      </c>
      <c r="N30" s="67" t="n">
        <v>3.076000142097473</v>
      </c>
      <c r="O30" s="67" t="n">
        <v>0</v>
      </c>
      <c r="P30" s="67" t="n">
        <v>0.3</v>
      </c>
      <c r="Q30" s="67" t="n">
        <v>0.7</v>
      </c>
      <c r="R30" s="67" t="n">
        <v>1</v>
      </c>
      <c r="S30" s="67" t="n">
        <v>1</v>
      </c>
      <c r="T30" s="67" t="n">
        <v>1</v>
      </c>
      <c r="U30" s="67" t="n">
        <v>1</v>
      </c>
      <c r="V30" s="67" t="n">
        <v>1</v>
      </c>
    </row>
    <row r="31">
      <c r="A31" s="67" t="inlineStr">
        <is>
          <t>spring_nid_dams_1mi|</t>
        </is>
      </c>
      <c r="B31" s="67" t="inlineStr">
        <is>
          <t>spring-nid-dams-1mi</t>
        </is>
      </c>
      <c r="C31" s="67" t="inlineStr">
        <is>
          <t>Mapped dams within one mile</t>
        </is>
      </c>
      <c r="D31" s="67" t="inlineStr"/>
      <c r="E31" s="67" t="n">
        <v>4</v>
      </c>
      <c r="F31" s="67" t="inlineStr">
        <is>
          <t>Fixed criteria, the same in every region</t>
        </is>
      </c>
      <c r="G31" s="67" t="n">
        <v>0</v>
      </c>
      <c r="H31" s="67" t="n">
        <v>1</v>
      </c>
      <c r="I31" s="67" t="n">
        <v>2</v>
      </c>
      <c r="J31" s="67" t="n">
        <v>3</v>
      </c>
      <c r="K31" s="67" t="n">
        <v>3</v>
      </c>
      <c r="L31" s="67" t="n">
        <v>3</v>
      </c>
      <c r="M31" s="67" t="n">
        <v>3</v>
      </c>
      <c r="N31" s="67" t="n">
        <v>3</v>
      </c>
      <c r="O31" s="67" t="n">
        <v>1</v>
      </c>
      <c r="P31" s="67" t="n">
        <v>0.545</v>
      </c>
      <c r="Q31" s="67" t="n">
        <v>0.195</v>
      </c>
      <c r="R31" s="67" t="n">
        <v>0</v>
      </c>
      <c r="S31" s="67" t="n">
        <v>0</v>
      </c>
      <c r="T31" s="67" t="n">
        <v>0</v>
      </c>
      <c r="U31" s="67" t="n">
        <v>0</v>
      </c>
      <c r="V31" s="67" t="n">
        <v>0</v>
      </c>
    </row>
    <row r="34">
      <c r="A34" s="56" t="inlineStr">
        <is>
          <t>Curve sets by metric</t>
        </is>
      </c>
    </row>
    <row r="35">
      <c r="A35" s="67" t="inlineStr">
        <is>
          <t>All streams (pooled)</t>
        </is>
      </c>
      <c r="B35" s="5" t="inlineStr">
        <is>
          <t>Relative bed stability</t>
        </is>
      </c>
    </row>
    <row r="36">
      <c r="A36" s="67" t="inlineStr">
        <is>
          <t>Small stream (10 to 100 km2)</t>
        </is>
      </c>
      <c r="B36" s="5" t="inlineStr">
        <is>
          <t>Relative bed stability</t>
        </is>
      </c>
    </row>
    <row r="37">
      <c r="A37" s="67" t="inlineStr">
        <is>
          <t>Large stream (over 100 km2)</t>
        </is>
      </c>
      <c r="B37" s="5" t="inlineStr">
        <is>
          <t>Relative bed stability</t>
        </is>
      </c>
    </row>
    <row r="38">
      <c r="A38" s="67" t="inlineStr">
        <is>
          <t>All streams (pooled)</t>
        </is>
      </c>
      <c r="B38" s="5" t="inlineStr">
        <is>
          <t>Fast-water / riffle habitat</t>
        </is>
      </c>
    </row>
    <row r="39">
      <c r="A39" s="67" t="inlineStr">
        <is>
          <t>Low gradient (under 0.5 percent)</t>
        </is>
      </c>
      <c r="B39" s="5" t="inlineStr">
        <is>
          <t>Fast-water / riffle habitat</t>
        </is>
      </c>
    </row>
    <row r="40">
      <c r="A40" s="67" t="inlineStr">
        <is>
          <t>Moderate gradient (0.5 to 2 percent)</t>
        </is>
      </c>
      <c r="B40" s="5" t="inlineStr">
        <is>
          <t>Fast-water / riffle habitat</t>
        </is>
      </c>
    </row>
    <row r="43">
      <c r="A43" s="56" t="inlineStr">
        <is>
          <t>Condition classes</t>
        </is>
      </c>
    </row>
    <row r="44">
      <c r="A44" t="inlineStr">
        <is>
          <t>Metric index: at or below 0.39 Non-Functioning, at or below 0.69 Functioning At-Risk, above Functioning.</t>
        </is>
      </c>
    </row>
    <row r="45">
      <c r="A45" t="inlineStr">
        <is>
          <t>Function score (0 to 15): at or below 5 Non-Functioning, at or below 10 Functioning At-Risk, above Functioning.</t>
        </is>
      </c>
    </row>
    <row r="46">
      <c r="A4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central-great-plains</t>
        </is>
      </c>
    </row>
    <row r="5">
      <c r="A5" s="67" t="inlineStr">
        <is>
          <t>Assessment name</t>
        </is>
      </c>
      <c r="B5" s="67" t="inlineStr">
        <is>
          <t>Central Great Plains reference assessment</t>
        </is>
      </c>
    </row>
    <row r="6">
      <c r="A6" s="67" t="inlineStr">
        <is>
          <t>Version</t>
        </is>
      </c>
      <c r="B6" s="67" t="n">
        <v>1</v>
      </c>
    </row>
    <row r="7">
      <c r="A7" s="67" t="inlineStr">
        <is>
          <t>Lifecycle status</t>
        </is>
      </c>
      <c r="B7" s="67" t="inlineStr">
        <is>
          <t>Draft</t>
        </is>
      </c>
    </row>
    <row r="8">
      <c r="A8" s="67" t="inlineStr">
        <is>
          <t>Content digest</t>
        </is>
      </c>
      <c r="B8" s="67" t="inlineStr">
        <is>
          <t>sha256:a8d63f254bc0d56a5c1bee680104279a79f13f69b3a4d7c73c28e64948597a6f</t>
        </is>
      </c>
    </row>
    <row r="9">
      <c r="A9" s="67" t="inlineStr">
        <is>
          <t>Region</t>
        </is>
      </c>
      <c r="B9" s="67" t="inlineStr">
        <is>
          <t>ecoregion 27 Central Great Plains</t>
        </is>
      </c>
    </row>
    <row r="10">
      <c r="A10" s="67" t="inlineStr">
        <is>
          <t>Source</t>
        </is>
      </c>
      <c r="B10" s="67" t="inlineStr">
        <is>
          <t>USEPA NRSA 2013-24 (L3 ecoregion 27), StreamCurves regional analysis, methodology 0.14-provisional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23</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2026-09-23T01:39:29Z</dcterms:created>
  <dcterms:modified xmlns:dcterms="http://purl.org/dc/terms/" xmlns:xsi="http://www.w3.org/2001/XMLSchema-instance" xsi:type="dcterms:W3CDTF">2026-09-23T01:39:29Z</dcterms:modified>
  <cp:lastModifiedBy>DEEP</cp:lastModifiedBy>
  <cp:contentStatus>Draft</cp:contentStatus>
</cp:coreProperties>
</file>