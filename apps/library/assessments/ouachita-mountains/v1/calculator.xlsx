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'Reference'!$A$5:$A$43</definedName>
    <definedName name="curve_x1">'Reference'!$G$5:$G$43</definedName>
    <definedName name="curve_y1">'Reference'!$O$5:$O$43</definedName>
    <definedName name="curve_x2">'Reference'!$H$5:$H$43</definedName>
    <definedName name="curve_y2">'Reference'!$P$5:$P$43</definedName>
    <definedName name="curve_x3">'Reference'!$I$5:$I$43</definedName>
    <definedName name="curve_y3">'Reference'!$Q$5:$Q$43</definedName>
    <definedName name="curve_x4">'Reference'!$J$5:$J$43</definedName>
    <definedName name="curve_y4">'Reference'!$R$5:$R$43</definedName>
    <definedName name="curve_x5">'Reference'!$K$5:$K$43</definedName>
    <definedName name="curve_y5">'Reference'!$S$5:$S$43</definedName>
    <definedName name="curve_x6">'Reference'!$L$5:$L$43</definedName>
    <definedName name="curve_y6">'Reference'!$T$5:$T$43</definedName>
    <definedName name="curve_x7">'Reference'!$M$5:$M$43</definedName>
    <definedName name="curve_y7">'Reference'!$U$5:$U$43</definedName>
    <definedName name="curve_x8">'Reference'!$N$5:$N$43</definedName>
    <definedName name="curve_y8">'Reference'!$V$5:$V$43</definedName>
    <definedName name="strata_spring_phab_rp100_cm">'Reference'!$A$47:$A$49</definedName>
    <definedName name="strata_spring_phab_lrbs_use">'Reference'!$A$50:$A$52</definedName>
    <definedName name="strata_spring_phab_xcdenmid">'Reference'!$A$53:$A$55</definedName>
    <definedName name="strata_spring_phab_pct_fast">'Reference'!$A$56:$A$58</definedName>
    <definedName name="strata_spring_phab_xfc_nat">'Reference'!$A$59:$A$61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fish_nat_ntolntax">'Metrics'!$V$29</definedName>
    <definedName name="idx_spring_fish_nat_ntolptax">'Metrics'!$V$30</definedName>
    <definedName name="idx_spring_bent_ept_ntax">'Metrics'!$V$31</definedName>
    <definedName name="idx_spring_bent_mmi_bent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st_spring_phab_rp100_cm">'DEEP Score'!$F$19</definedName>
    <definedName name="in_spring_phab_bfwd_rat">'DEEP Score'!$E$21</definedName>
    <definedName name="in_spring_phab_xbkf_h">'DEEP Score'!$E$22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fish_nat_ntolntax">'DEEP Score'!$E$42</definedName>
    <definedName name="in_spring_fish_nat_ntolptax">'DEEP Score'!$E$43</definedName>
    <definedName name="in_spring_bent_ept_ntax">'DEEP Score'!$E$44</definedName>
    <definedName name="in_spring_bent_mmi_bent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Ouachita Mountains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80" customHeight="1">
      <c r="A5" s="4" t="inlineStr">
        <is>
          <t>Reference condition. Reference condition is set by a fixed landscape-pressure screen, never by a score. 2 curves are fitted to this ecoregion's own streams under the documented regional screen, which relaxes agriculture only. 21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11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Ouachita Mountains reference assessment</t>
        </is>
      </c>
    </row>
    <row r="3">
      <c r="A3" s="5" t="inlineStr">
        <is>
          <t>Version 1 | Draft | USEPA NRSA 2013-24 (L3 ecoregion 36),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15" t="n"/>
      <c r="F21" s="16" t="inlineStr"/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25" t="inlineStr"/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Score'!$E$21="","",'DEEP Score'!$E$21)</f>
        <v/>
      </c>
      <c r="F25" s="39" t="inlineStr"/>
      <c r="G25" s="17">
        <f>IF('Metrics'!$V$12="","",'Metrics'!$V$12)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 t="inlineStr"/>
      <c r="G26" s="26">
        <f>IF('Metrics'!$V$13="","",'Metrics'!$V$13)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7" t="inlineStr">
        <is>
          <t>All streams (pooled)</t>
        </is>
      </c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IF('Metrics'!$V$14="","",'Metrics'!$V$14)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IF('Metrics'!$V$19="","",'Metrics'!$V$19)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5">
        <f>IF('DEEP Score'!$E$24="","",'DEEP Score'!$E$24)</f>
        <v/>
      </c>
      <c r="F32" s="46" t="inlineStr"/>
      <c r="G32" s="26">
        <f>IF('Metrics'!$V$15="","",'Metrics'!$V$15)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0" t="inlineStr">
        <is>
          <t>All streams (pooled)</t>
        </is>
      </c>
      <c r="G34" s="26">
        <f>IF('Metrics'!$V$21="","",'Metrics'!$V$21)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7" t="inlineStr">
        <is>
          <t>All streams (pooled)</t>
        </is>
      </c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0" t="inlineStr">
        <is>
          <t>All streams (pooled)</t>
        </is>
      </c>
      <c r="G41" s="26">
        <f>IF('Metrics'!$V$28="","",'Metrics'!$V$28)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Native non-tolerant fish taxa richness</t>
        </is>
      </c>
      <c r="D42" s="14" t="inlineStr"/>
      <c r="E42" s="15" t="n"/>
      <c r="F42" s="16" t="inlineStr"/>
      <c r="G42" s="17">
        <f>IF('Metrics'!$V$29="","",'Metrics'!$V$29)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Native non-tolerant fish taxa</t>
        </is>
      </c>
      <c r="D43" s="23" t="inlineStr">
        <is>
          <t>%</t>
        </is>
      </c>
      <c r="E43" s="24" t="n"/>
      <c r="F43" s="25" t="inlineStr"/>
      <c r="G43" s="26">
        <f>IF('Metrics'!$V$30="","",'Metrics'!$V$30)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IF('Metrics'!$V$31="","",'Metrics'!$V$31)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Benthic macroinvertebrate MMI</t>
        </is>
      </c>
      <c r="D45" s="23" t="inlineStr">
        <is>
          <t>MMI points</t>
        </is>
      </c>
      <c r="E45" s="24" t="n"/>
      <c r="F45" s="25" t="inlineStr"/>
      <c r="G45" s="26">
        <f>IF('Metrics'!$V$32="","",'Metrics'!$V$32)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IF('Metrics'!$V$33="","",'Metrics'!$V$33)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8" t="inlineStr">
        <is>
          <t>Withheld for insufficient reference support (not scored)</t>
        </is>
      </c>
    </row>
    <row r="58">
      <c r="A58" t="inlineStr">
        <is>
          <t>Turbidity</t>
        </is>
      </c>
      <c r="C58" s="5" t="inlineStr">
        <is>
          <t>Water and soil quality</t>
        </is>
      </c>
    </row>
    <row r="60">
      <c r="A60" s="6" t="inlineStr">
        <is>
          <t>Notes</t>
        </is>
      </c>
    </row>
    <row r="61">
      <c r="A61" s="59" t="n"/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5" t="n"/>
      <c r="B66" s="66" t="n"/>
      <c r="C66" s="66" t="n"/>
      <c r="D66" s="66" t="n"/>
      <c r="E66" s="66" t="n"/>
      <c r="F66" s="66" t="n"/>
      <c r="G66" s="66" t="n"/>
      <c r="H66" s="66" t="n"/>
      <c r="I66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5">
    <dataValidation sqref="F19" showDropDown="0" showInputMessage="0" showErrorMessage="1" allowBlank="1" errorTitle="Curve set" error="Choose a curve set from the list." type="list">
      <formula1>=strata_spring_phab_rp100_cm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 cover of the watershed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Residual pool depth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"spring_phab_rp100_cm|"&amp;'Metrics'!$C$11</f>
        <v/>
      </c>
      <c r="E11" s="70">
        <f>IFERROR(MATCH('Metrics'!$D$11,curve_key,0),MATCH("spring_phab_rp100_cm|All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width:depth ratio</t>
        </is>
      </c>
      <c r="B12" s="70">
        <f>IF('DEEP Score'!$E$21="","",'DEEP Score'!$E$21)</f>
        <v/>
      </c>
      <c r="C12" s="70">
        <f>""</f>
        <v/>
      </c>
      <c r="D12" s="70">
        <f>"spring_phab_bfwd_rat|"&amp;'Metrics'!$C$12</f>
        <v/>
      </c>
      <c r="E12" s="70">
        <f>IFERROR(MATCH('Metrics'!$D$12,curve_key,0),MATCH("spring_phab_bfwd_rat|",curve_key,0))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Bankfull height above channel</t>
        </is>
      </c>
      <c r="B13" s="70">
        <f>IF('DEEP Score'!$E$22="","",'DEEP Score'!$E$22)</f>
        <v/>
      </c>
      <c r="C13" s="70">
        <f>""</f>
        <v/>
      </c>
      <c r="D13" s="70">
        <f>"spring_phab_xbkf_h|"&amp;'Metrics'!$C$13</f>
        <v/>
      </c>
      <c r="E13" s="70">
        <f>IFERROR(MATCH('Metrics'!$D$13,curve_key,0),MATCH("spring_phab_xbkf_h|",curve_key,0))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Sand + fines</t>
        </is>
      </c>
      <c r="B14" s="70">
        <f>IF('DEEP Score'!$E$23="","",'DEEP Score'!$E$23)</f>
        <v/>
      </c>
      <c r="C14" s="70">
        <f>""</f>
        <v/>
      </c>
      <c r="D14" s="70">
        <f>"spring_phab_pct_safn|"&amp;'Metrics'!$C$14</f>
        <v/>
      </c>
      <c r="E14" s="70">
        <f>IFERROR(MATCH('Metrics'!$D$14,curve_key,0),MATCH("spring_phab_pct_safn|",curve_key,0))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Embeddedness</t>
        </is>
      </c>
      <c r="B15" s="70">
        <f>IF('DEEP Score'!$E$24="","",'DEEP Score'!$E$24)</f>
        <v/>
      </c>
      <c r="C15" s="70">
        <f>""</f>
        <v/>
      </c>
      <c r="D15" s="70">
        <f>"spring_phab_xembed|"&amp;'Metrics'!$C$15</f>
        <v/>
      </c>
      <c r="E15" s="70">
        <f>IFERROR(MATCH('Metrics'!$D$15,curve_key,0),MATCH("spring_phab_xembed|",curve_key,0))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Sinuosity</t>
        </is>
      </c>
      <c r="B16" s="70">
        <f>IF('DEEP Score'!$E$27="","",'DEEP Score'!$E$27)</f>
        <v/>
      </c>
      <c r="C16" s="70">
        <f>""</f>
        <v/>
      </c>
      <c r="D16" s="70">
        <f>"spring_phab_sinu|"&amp;'Metrics'!$C$16</f>
        <v/>
      </c>
      <c r="E16" s="70">
        <f>IFERROR(MATCH('Metrics'!$D$16,curve_key,0),MATCH("spring_phab_sinu|",curve_key,0))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Bank angle</t>
        </is>
      </c>
      <c r="B17" s="70">
        <f>IF('DEEP Score'!$E$28="","",'DEEP Score'!$E$28)</f>
        <v/>
      </c>
      <c r="C17" s="70">
        <f>""</f>
        <v/>
      </c>
      <c r="D17" s="70">
        <f>"spring_phab_xbka|"&amp;'Metrics'!$C$17</f>
        <v/>
      </c>
      <c r="E17" s="70">
        <f>IFERROR(MATCH('Metrics'!$D$17,curve_key,0),MATCH("spring_phab_xbka|",curve_key,0))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Relative bed stability</t>
        </is>
      </c>
      <c r="B18" s="70">
        <f>IF('DEEP Score'!$E$29="","",'DEEP Score'!$E$29)</f>
        <v/>
      </c>
      <c r="C18" s="70">
        <f>IF('DEEP Score'!$F$29="","All streams (pooled)",'DEEP Score'!$F$29)</f>
        <v/>
      </c>
      <c r="D18" s="70">
        <f>"spring_phab_lrbs_use|"&amp;'Metrics'!$C$18</f>
        <v/>
      </c>
      <c r="E18" s="70">
        <f>IFERROR(MATCH('Metrics'!$D$18,curve_key,0),MATCH("spring_phab_lrbs_use|All streams (pooled)",curve_key,0))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Substrate size</t>
        </is>
      </c>
      <c r="B19" s="70">
        <f>IF('DEEP Score'!$E$31="","",'DEEP Score'!$E$31)</f>
        <v/>
      </c>
      <c r="C19" s="70">
        <f>""</f>
        <v/>
      </c>
      <c r="D19" s="70">
        <f>"spring_phab_lsub_dmm|"&amp;'Metrics'!$C$19</f>
        <v/>
      </c>
      <c r="E19" s="70">
        <f>IFERROR(MATCH('Metrics'!$D$19,curve_key,0),MATCH("spring_phab_lsub_dmm|",curve_key,0))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Chlorophyll a</t>
        </is>
      </c>
      <c r="B20" s="70">
        <f>IF('DEEP Score'!$E$33="","",'DEEP Score'!$E$33)</f>
        <v/>
      </c>
      <c r="C20" s="70">
        <f>""</f>
        <v/>
      </c>
      <c r="D20" s="70">
        <f>"spring_chem_chla|"&amp;'Metrics'!$C$20</f>
        <v/>
      </c>
      <c r="E20" s="70">
        <f>IFERROR(MATCH('Metrics'!$D$20,curve_key,0),MATCH("spring_chem_chla|",curve_key,0))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Canopy density, mid-channel</t>
        </is>
      </c>
      <c r="B21" s="70">
        <f>IF('DEEP Score'!$E$34="","",'DEEP Score'!$E$34)</f>
        <v/>
      </c>
      <c r="C21" s="70">
        <f>IF('DEEP Score'!$F$34="","All streams (pooled)",'DEEP Score'!$F$34)</f>
        <v/>
      </c>
      <c r="D21" s="70">
        <f>"spring_phab_xcdenmid|"&amp;'Metrics'!$C$21</f>
        <v/>
      </c>
      <c r="E21" s="70">
        <f>IFERROR(MATCH('Metrics'!$D$21,curve_key,0),MATCH("spring_phab_xcdenmid|All streams (pooled)",curve_key,0))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Riparian veg cover, woody</t>
        </is>
      </c>
      <c r="B22" s="70">
        <f>IF('DEEP Score'!$E$35="","",'DEEP Score'!$E$35)</f>
        <v/>
      </c>
      <c r="C22" s="70">
        <f>""</f>
        <v/>
      </c>
      <c r="D22" s="70">
        <f>"spring_phab_xcmgw|"&amp;'Metrics'!$C$22</f>
        <v/>
      </c>
      <c r="E22" s="70">
        <f>IFERROR(MATCH('Metrics'!$D$22,curve_key,0),MATCH("spring_phab_xcmgw|",curve_key,0))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nitrogen</t>
        </is>
      </c>
      <c r="B23" s="70">
        <f>IF('DEEP Score'!$E$36="","",'DEEP Score'!$E$36)</f>
        <v/>
      </c>
      <c r="C23" s="70">
        <f>""</f>
        <v/>
      </c>
      <c r="D23" s="70">
        <f>"spring_chem_ntl|"&amp;'Metrics'!$C$23</f>
        <v/>
      </c>
      <c r="E23" s="70">
        <f>IFERROR(MATCH('Metrics'!$D$23,curve_key,0),MATCH("spring_chem_ntl|",curve_key,0))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Total phosphorus</t>
        </is>
      </c>
      <c r="B24" s="70">
        <f>IF('DEEP Score'!$E$37="","",'DEEP Score'!$E$37)</f>
        <v/>
      </c>
      <c r="C24" s="70">
        <f>""</f>
        <v/>
      </c>
      <c r="D24" s="70">
        <f>"spring_chem_ptl|"&amp;'Metrics'!$C$24</f>
        <v/>
      </c>
      <c r="E24" s="70">
        <f>IFERROR(MATCH('Metrics'!$D$24,curve_key,0),MATCH("spring_chem_ptl|",curve_key,0))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pH</t>
        </is>
      </c>
      <c r="B25" s="70">
        <f>IF('DEEP Score'!$E$38="","",'DEEP Score'!$E$38)</f>
        <v/>
      </c>
      <c r="C25" s="70">
        <f>""</f>
        <v/>
      </c>
      <c r="D25" s="70">
        <f>"spring_chem_ph|"&amp;'Metrics'!$C$25</f>
        <v/>
      </c>
      <c r="E25" s="70">
        <f>IFERROR(MATCH('Metrics'!$D$25,curve_key,0),MATCH("spring_chem_ph|",curve_key,0))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Specific conductivity</t>
        </is>
      </c>
      <c r="B26" s="70">
        <f>IF('DEEP Score'!$E$39="","",'DEEP Score'!$E$39)</f>
        <v/>
      </c>
      <c r="C26" s="70">
        <f>""</f>
        <v/>
      </c>
      <c r="D26" s="70">
        <f>"spring_chem_cond|"&amp;'Metrics'!$C$26</f>
        <v/>
      </c>
      <c r="E26" s="70">
        <f>IFERROR(MATCH('Metrics'!$D$26,curve_key,0),MATCH("spring_chem_cond|",curve_key,0))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Fast-water / riffle habitat</t>
        </is>
      </c>
      <c r="B27" s="70">
        <f>IF('DEEP Score'!$E$40="","",'DEEP Score'!$E$40)</f>
        <v/>
      </c>
      <c r="C27" s="70">
        <f>IF('DEEP Score'!$F$40="","All streams (pooled)",'DEEP Score'!$F$40)</f>
        <v/>
      </c>
      <c r="D27" s="70">
        <f>"spring_phab_pct_fast|"&amp;'Metrics'!$C$27</f>
        <v/>
      </c>
      <c r="E27" s="70">
        <f>IFERROR(MATCH('Metrics'!$D$27,curve_key,0),MATCH("spring_phab_pct_fast|All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Natural fish cover</t>
        </is>
      </c>
      <c r="B28" s="70">
        <f>IF('DEEP Score'!$E$41="","",'DEEP Score'!$E$41)</f>
        <v/>
      </c>
      <c r="C28" s="70">
        <f>IF('DEEP Score'!$F$41="","All streams (pooled)",'DEEP Score'!$F$41)</f>
        <v/>
      </c>
      <c r="D28" s="70">
        <f>"spring_phab_xfc_nat|"&amp;'Metrics'!$C$28</f>
        <v/>
      </c>
      <c r="E28" s="70">
        <f>IFERROR(MATCH('Metrics'!$D$28,curve_key,0),MATCH("spring_phab_xfc_nat|All streams (pooled)",curve_key,0))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Native non-tolerant fish taxa richness</t>
        </is>
      </c>
      <c r="B29" s="70">
        <f>IF('DEEP Score'!$E$42="","",'DEEP Score'!$E$42)</f>
        <v/>
      </c>
      <c r="C29" s="70">
        <f>""</f>
        <v/>
      </c>
      <c r="D29" s="70">
        <f>"spring_fish_nat_ntolntax|"&amp;'Metrics'!$C$29</f>
        <v/>
      </c>
      <c r="E29" s="70">
        <f>IFERROR(MATCH('Metrics'!$D$29,curve_key,0),MATCH("spring_fish_nat_ntolntax|",curve_key,0))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Native non-tolerant fish taxa</t>
        </is>
      </c>
      <c r="B30" s="70">
        <f>IF('DEEP Score'!$E$43="","",'DEEP Score'!$E$43)</f>
        <v/>
      </c>
      <c r="C30" s="70">
        <f>""</f>
        <v/>
      </c>
      <c r="D30" s="70">
        <f>"spring_fish_nat_ntolptax|"&amp;'Metrics'!$C$30</f>
        <v/>
      </c>
      <c r="E30" s="70">
        <f>IFERROR(MATCH('Metrics'!$D$30,curve_key,0),MATCH("spring_fish_nat_ntolptax|",curve_key,0))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EPT taxa richness</t>
        </is>
      </c>
      <c r="B31" s="70">
        <f>IF('DEEP Score'!$E$44="","",'DEEP Score'!$E$44)</f>
        <v/>
      </c>
      <c r="C31" s="70">
        <f>""</f>
        <v/>
      </c>
      <c r="D31" s="70">
        <f>"spring_bent_ept_ntax|"&amp;'Metrics'!$C$31</f>
        <v/>
      </c>
      <c r="E31" s="70">
        <f>IFERROR(MATCH('Metrics'!$D$31,curve_key,0),MATCH("spring_bent_ept_ntax|",curve_key,0))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Benthic macroinvertebrate MMI</t>
        </is>
      </c>
      <c r="B32" s="70">
        <f>IF('DEEP Score'!$E$45="","",'DEEP Score'!$E$45)</f>
        <v/>
      </c>
      <c r="C32" s="70">
        <f>""</f>
        <v/>
      </c>
      <c r="D32" s="70">
        <f>"spring_bent_mmi_bent|"&amp;'Metrics'!$C$32</f>
        <v/>
      </c>
      <c r="E32" s="70">
        <f>IFERROR(MATCH('Metrics'!$D$32,curve_key,0),MATCH("spring_bent_mmi_bent|",curve_key,0))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9" t="inlineStr">
        <is>
          <t>Mapped dams within one mile</t>
        </is>
      </c>
      <c r="B33" s="70">
        <f>IF('DEEP Score'!$E$46="","",'DEEP Score'!$E$46)</f>
        <v/>
      </c>
      <c r="C33" s="70">
        <f>""</f>
        <v/>
      </c>
      <c r="D33" s="70">
        <f>"spring_nid_dams_1mi|"&amp;'Metrics'!$C$33</f>
        <v/>
      </c>
      <c r="E33" s="70">
        <f>IFERROR(MATCH('Metrics'!$D$33,curve_key,0),MATCH("spring_nid_dams_1mi|",curve_key,0))</f>
        <v/>
      </c>
      <c r="F33" s="70">
        <f>INDEX(curve_x1,'Metrics'!$E$33)</f>
        <v/>
      </c>
      <c r="G33" s="70">
        <f>INDEX(curve_x2,'Metrics'!$E$33)</f>
        <v/>
      </c>
      <c r="H33" s="70">
        <f>INDEX(curve_x3,'Metrics'!$E$33)</f>
        <v/>
      </c>
      <c r="I33" s="70">
        <f>INDEX(curve_x4,'Metrics'!$E$33)</f>
        <v/>
      </c>
      <c r="J33" s="70">
        <f>INDEX(curve_x5,'Metrics'!$E$33)</f>
        <v/>
      </c>
      <c r="K33" s="70">
        <f>INDEX(curve_x6,'Metrics'!$E$33)</f>
        <v/>
      </c>
      <c r="L33" s="70">
        <f>INDEX(curve_x7,'Metrics'!$E$33)</f>
        <v/>
      </c>
      <c r="M33" s="70">
        <f>INDEX(curve_x8,'Metrics'!$E$33)</f>
        <v/>
      </c>
      <c r="N33" s="70">
        <f>INDEX(curve_y1,'Metrics'!$E$33)</f>
        <v/>
      </c>
      <c r="O33" s="70">
        <f>INDEX(curve_y2,'Metrics'!$E$33)</f>
        <v/>
      </c>
      <c r="P33" s="70">
        <f>INDEX(curve_y3,'Metrics'!$E$33)</f>
        <v/>
      </c>
      <c r="Q33" s="70">
        <f>INDEX(curve_y4,'Metrics'!$E$33)</f>
        <v/>
      </c>
      <c r="R33" s="70">
        <f>INDEX(curve_y5,'Metrics'!$E$33)</f>
        <v/>
      </c>
      <c r="S33" s="70">
        <f>INDEX(curve_y6,'Metrics'!$E$33)</f>
        <v/>
      </c>
      <c r="T33" s="70">
        <f>INDEX(curve_y7,'Metrics'!$E$33)</f>
        <v/>
      </c>
      <c r="U33" s="70">
        <f>INDEX(curve_y8,'Metrics'!$E$33)</f>
        <v/>
      </c>
      <c r="V33" s="71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Score'!G42:G43)=0,"",SUM('DEEP Score'!G42:G43)/COUNT('DEEP Score'!G42:G43)*15)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Score'!G44:G45)=0,"",SUM('DEEP Score'!G44:G45)/COUNT('DEEP Score'!G44:G45)*15)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Score'!G46:G46)=0,"",SUM('DEEP Score'!G46:G46)/COUNT('DEEP Score'!G46:G46)*15)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6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 cover of the watershed</t>
        </is>
      </c>
      <c r="D7" s="69" t="inlineStr"/>
      <c r="E7" s="69" t="n">
        <v>4</v>
      </c>
      <c r="F7" s="69" t="inlineStr">
        <is>
          <t>Adopted from EASI's national screening method (provisional)</t>
        </is>
      </c>
      <c r="G7" s="69" t="n">
        <v>0</v>
      </c>
      <c r="H7" s="69" t="n">
        <v>0.995</v>
      </c>
      <c r="I7" s="69" t="n">
        <v>5</v>
      </c>
      <c r="J7" s="69" t="n">
        <v>9.138500000000001</v>
      </c>
      <c r="K7" s="69" t="n">
        <v>9.138500000000001</v>
      </c>
      <c r="L7" s="69" t="n">
        <v>9.138500000000001</v>
      </c>
      <c r="M7" s="69" t="n">
        <v>9.138500000000001</v>
      </c>
      <c r="N7" s="69" t="n">
        <v>9.138500000000001</v>
      </c>
      <c r="O7" s="69" t="n">
        <v>0.315468</v>
      </c>
      <c r="P7" s="69" t="n">
        <v>0.39</v>
      </c>
      <c r="Q7" s="69" t="n">
        <v>0.6899999999999999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49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9" t="n">
        <v>0</v>
      </c>
      <c r="H9" s="69" t="n">
        <v>9.428571428571429</v>
      </c>
      <c r="I9" s="69" t="n">
        <v>22</v>
      </c>
      <c r="J9" s="69" t="n">
        <v>48.1999</v>
      </c>
      <c r="K9" s="69" t="n">
        <v>61.29985</v>
      </c>
      <c r="L9" s="69" t="n">
        <v>61.29985</v>
      </c>
      <c r="M9" s="69" t="n">
        <v>61.29985</v>
      </c>
      <c r="N9" s="69" t="n">
        <v>61.29985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spring_phab_rp100_cm|All streams (pooled)</t>
        </is>
      </c>
      <c r="B11" s="69" t="inlineStr">
        <is>
          <t>spring-phab-rp100-cm</t>
        </is>
      </c>
      <c r="C11" s="69" t="inlineStr">
        <is>
          <t>Residual pool depth</t>
        </is>
      </c>
      <c r="D11" s="69" t="inlineStr">
        <is>
          <t>All streams (pooled)</t>
        </is>
      </c>
      <c r="E11" s="69" t="n">
        <v>5</v>
      </c>
      <c r="F11" s="69" t="inlineStr">
        <is>
          <t>46 least-disturbed stations borrowed from Level II ecoregion 8.4 (Ozark/Ouachita-Appalachian Forests) under the regional screen (agriculture at most 37.8 percent), transfer risk moderate</t>
        </is>
      </c>
      <c r="G11" s="69" t="n">
        <v>0</v>
      </c>
      <c r="H11" s="69" t="n">
        <v>4.301817859922137</v>
      </c>
      <c r="I11" s="69" t="n">
        <v>10.03757500648499</v>
      </c>
      <c r="J11" s="69" t="n">
        <v>38.0479907989502</v>
      </c>
      <c r="K11" s="69" t="n">
        <v>52.0531986951828</v>
      </c>
      <c r="L11" s="69" t="n">
        <v>52.0531986951828</v>
      </c>
      <c r="M11" s="69" t="n">
        <v>52.0531986951828</v>
      </c>
      <c r="N11" s="69" t="n">
        <v>52.0531986951828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1</v>
      </c>
      <c r="U11" s="69" t="n">
        <v>1</v>
      </c>
      <c r="V11" s="69" t="n">
        <v>1</v>
      </c>
    </row>
    <row r="12">
      <c r="A12" s="69" t="inlineStr">
        <is>
          <t>spring_phab_rp100_cm|Low gradient (under 0.5 percent)</t>
        </is>
      </c>
      <c r="B12" s="69" t="inlineStr">
        <is>
          <t>spring-phab-rp100-cm</t>
        </is>
      </c>
      <c r="C12" s="69" t="inlineStr">
        <is>
          <t>Residual pool depth</t>
        </is>
      </c>
      <c r="D12" s="69" t="inlineStr">
        <is>
          <t>Low gradient (under 0.5 percent)</t>
        </is>
      </c>
      <c r="E12" s="69" t="n">
        <v>5</v>
      </c>
      <c r="F12" s="69" t="inlineStr">
        <is>
          <t>46 least-disturbed stations borrowed from Level II ecoregion 8.4 (Ozark/Ouachita-Appalachian Forests) under the regional screen (agriculture at most 37.8 percent), transfer risk moderate</t>
        </is>
      </c>
      <c r="G12" s="69" t="n">
        <v>0</v>
      </c>
      <c r="H12" s="69" t="n">
        <v>12.12608528137207</v>
      </c>
      <c r="I12" s="69" t="n">
        <v>28.29419898986816</v>
      </c>
      <c r="J12" s="69" t="n">
        <v>55.02053642272949</v>
      </c>
      <c r="K12" s="69" t="n">
        <v>68.38370513916016</v>
      </c>
      <c r="L12" s="69" t="n">
        <v>68.38370513916016</v>
      </c>
      <c r="M12" s="69" t="n">
        <v>68.38370513916016</v>
      </c>
      <c r="N12" s="69" t="n">
        <v>68.38370513916016</v>
      </c>
      <c r="O12" s="69" t="n">
        <v>0</v>
      </c>
      <c r="P12" s="69" t="n">
        <v>0.3</v>
      </c>
      <c r="Q12" s="69" t="n">
        <v>0.7</v>
      </c>
      <c r="R12" s="69" t="n">
        <v>1</v>
      </c>
      <c r="S12" s="69" t="n">
        <v>1</v>
      </c>
      <c r="T12" s="69" t="n">
        <v>1</v>
      </c>
      <c r="U12" s="69" t="n">
        <v>1</v>
      </c>
      <c r="V12" s="69" t="n">
        <v>1</v>
      </c>
    </row>
    <row r="13">
      <c r="A13" s="69" t="inlineStr">
        <is>
          <t>spring_phab_rp100_cm|Moderate gradient (0.5 to 2 percent)</t>
        </is>
      </c>
      <c r="B13" s="69" t="inlineStr">
        <is>
          <t>spring-phab-rp100-cm</t>
        </is>
      </c>
      <c r="C13" s="69" t="inlineStr">
        <is>
          <t>Residual pool depth</t>
        </is>
      </c>
      <c r="D13" s="69" t="inlineStr">
        <is>
          <t>Moderate gradient (0.5 to 2 percent)</t>
        </is>
      </c>
      <c r="E13" s="69" t="n">
        <v>5</v>
      </c>
      <c r="F13" s="69" t="inlineStr">
        <is>
          <t>46 least-disturbed stations borrowed from Level II ecoregion 8.4 (Ozark/Ouachita-Appalachian Forests) under the regional screen (agriculture at most 37.8 percent), transfer risk moderate</t>
        </is>
      </c>
      <c r="G13" s="69" t="n">
        <v>0</v>
      </c>
      <c r="H13" s="69" t="n">
        <v>2.366543361118862</v>
      </c>
      <c r="I13" s="69" t="n">
        <v>5.521934509277344</v>
      </c>
      <c r="J13" s="69" t="n">
        <v>16.48622035980225</v>
      </c>
      <c r="K13" s="69" t="n">
        <v>21.9683632850647</v>
      </c>
      <c r="L13" s="69" t="n">
        <v>21.9683632850647</v>
      </c>
      <c r="M13" s="69" t="n">
        <v>21.9683632850647</v>
      </c>
      <c r="N13" s="69" t="n">
        <v>21.9683632850647</v>
      </c>
      <c r="O13" s="69" t="n">
        <v>0</v>
      </c>
      <c r="P13" s="69" t="n">
        <v>0.3</v>
      </c>
      <c r="Q13" s="69" t="n">
        <v>0.7</v>
      </c>
      <c r="R13" s="69" t="n">
        <v>1</v>
      </c>
      <c r="S13" s="69" t="n">
        <v>1</v>
      </c>
      <c r="T13" s="69" t="n">
        <v>1</v>
      </c>
      <c r="U13" s="69" t="n">
        <v>1</v>
      </c>
      <c r="V13" s="69" t="n">
        <v>1</v>
      </c>
    </row>
    <row r="14">
      <c r="A14" s="69" t="inlineStr">
        <is>
          <t>spring_phab_bfwd_rat|</t>
        </is>
      </c>
      <c r="B14" s="69" t="inlineStr">
        <is>
          <t>spring-phab-bfwd-rat</t>
        </is>
      </c>
      <c r="C14" s="69" t="inlineStr">
        <is>
          <t>Bankfull width:depth ratio</t>
        </is>
      </c>
      <c r="D14" s="69" t="inlineStr"/>
      <c r="E14" s="69" t="n">
        <v>8</v>
      </c>
      <c r="F14" s="69" t="inlineStr">
        <is>
          <t>46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4" s="69" t="n">
        <v>0</v>
      </c>
      <c r="H14" s="69" t="n">
        <v>2.461976528167725</v>
      </c>
      <c r="I14" s="69" t="n">
        <v>10.45466849803925</v>
      </c>
      <c r="J14" s="69" t="n">
        <v>14.75842571258545</v>
      </c>
      <c r="K14" s="69" t="n">
        <v>27.05487489700317</v>
      </c>
      <c r="L14" s="69" t="n">
        <v>31.35863211154938</v>
      </c>
      <c r="M14" s="69" t="n">
        <v>39.3513240814209</v>
      </c>
      <c r="N14" s="69" t="n">
        <v>51.64777326583862</v>
      </c>
      <c r="O14" s="69" t="n">
        <v>0</v>
      </c>
      <c r="P14" s="69" t="n">
        <v>0.3</v>
      </c>
      <c r="Q14" s="69" t="n">
        <v>0.7</v>
      </c>
      <c r="R14" s="69" t="n">
        <v>1</v>
      </c>
      <c r="S14" s="69" t="n">
        <v>1</v>
      </c>
      <c r="T14" s="69" t="n">
        <v>0.7</v>
      </c>
      <c r="U14" s="69" t="n">
        <v>0.3</v>
      </c>
      <c r="V14" s="69" t="n">
        <v>0</v>
      </c>
    </row>
    <row r="15">
      <c r="A15" s="69" t="inlineStr">
        <is>
          <t>spring_phab_xbkf_h|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/>
      <c r="E15" s="69" t="n">
        <v>7</v>
      </c>
      <c r="F15" s="69" t="inlineStr">
        <is>
          <t>46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9" t="n">
        <v>0</v>
      </c>
      <c r="H15" s="69" t="n">
        <v>0.2355340778827667</v>
      </c>
      <c r="I15" s="69" t="n">
        <v>0.3818181753158569</v>
      </c>
      <c r="J15" s="69" t="n">
        <v>0.7997727394104004</v>
      </c>
      <c r="K15" s="69" t="n">
        <v>0.9460568368434906</v>
      </c>
      <c r="L15" s="69" t="n">
        <v>1.217727303504944</v>
      </c>
      <c r="M15" s="69" t="n">
        <v>1.635681867599487</v>
      </c>
      <c r="N15" s="69" t="n">
        <v>1.635681867599487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spring_phab_pct_safn|</t>
        </is>
      </c>
      <c r="B16" s="69" t="inlineStr">
        <is>
          <t>spring-phab-pct-safn</t>
        </is>
      </c>
      <c r="C16" s="69" t="inlineStr">
        <is>
          <t>Sand + fines</t>
        </is>
      </c>
      <c r="D16" s="69" t="inlineStr"/>
      <c r="E16" s="69" t="n">
        <v>5</v>
      </c>
      <c r="F16" s="69" t="inlineStr">
        <is>
          <t>46 least-disturbed stations borrowed from Level II ecoregion 8.4 (Ozark/Ouachita-Appalachian Forests) under the regional screen (agriculture at most 37.8 percent), transfer risk low</t>
        </is>
      </c>
      <c r="G16" s="69" t="n">
        <v>0</v>
      </c>
      <c r="H16" s="69" t="n">
        <v>0.9523809552192688</v>
      </c>
      <c r="I16" s="69" t="n">
        <v>18.80952382087708</v>
      </c>
      <c r="J16" s="69" t="n">
        <v>45.59523811936378</v>
      </c>
      <c r="K16" s="69" t="n">
        <v>63.45238098502159</v>
      </c>
      <c r="L16" s="69" t="n">
        <v>63.45238098502159</v>
      </c>
      <c r="M16" s="69" t="n">
        <v>63.45238098502159</v>
      </c>
      <c r="N16" s="69" t="n">
        <v>63.45238098502159</v>
      </c>
      <c r="O16" s="69" t="n">
        <v>1</v>
      </c>
      <c r="P16" s="69" t="n">
        <v>1</v>
      </c>
      <c r="Q16" s="69" t="n">
        <v>0.7</v>
      </c>
      <c r="R16" s="69" t="n">
        <v>0.3</v>
      </c>
      <c r="S16" s="69" t="n">
        <v>0</v>
      </c>
      <c r="T16" s="69" t="n">
        <v>0</v>
      </c>
      <c r="U16" s="69" t="n">
        <v>0</v>
      </c>
      <c r="V16" s="69" t="n">
        <v>0</v>
      </c>
    </row>
    <row r="17">
      <c r="A17" s="69" t="inlineStr">
        <is>
          <t>spring_phab_xembed|</t>
        </is>
      </c>
      <c r="B17" s="69" t="inlineStr">
        <is>
          <t>spring-phab-xembed</t>
        </is>
      </c>
      <c r="C17" s="69" t="inlineStr">
        <is>
          <t>Embeddedness</t>
        </is>
      </c>
      <c r="D17" s="69" t="inlineStr"/>
      <c r="E17" s="69" t="n">
        <v>5</v>
      </c>
      <c r="F17" s="69" t="inlineStr">
        <is>
          <t>32 least-disturbed stations borrowed from Level II ecoregion 8.4 (Ozark/Ouachita-Appalachian Forests) under the regional screen (agriculture at most 37.8 percent), transfer risk low</t>
        </is>
      </c>
      <c r="G17" s="69" t="n">
        <v>12.30962991714478</v>
      </c>
      <c r="H17" s="69" t="n">
        <v>24.83377838134766</v>
      </c>
      <c r="I17" s="69" t="n">
        <v>49.88207530975342</v>
      </c>
      <c r="J17" s="69" t="n">
        <v>87.45452070236206</v>
      </c>
      <c r="K17" s="69" t="n">
        <v>100</v>
      </c>
      <c r="L17" s="69" t="n">
        <v>100</v>
      </c>
      <c r="M17" s="69" t="n">
        <v>100</v>
      </c>
      <c r="N17" s="69" t="n">
        <v>100</v>
      </c>
      <c r="O17" s="69" t="n">
        <v>1</v>
      </c>
      <c r="P17" s="69" t="n">
        <v>1</v>
      </c>
      <c r="Q17" s="69" t="n">
        <v>0.7</v>
      </c>
      <c r="R17" s="69" t="n">
        <v>0.3</v>
      </c>
      <c r="S17" s="69" t="n">
        <v>0</v>
      </c>
      <c r="T17" s="69" t="n">
        <v>0</v>
      </c>
      <c r="U17" s="69" t="n">
        <v>0</v>
      </c>
      <c r="V17" s="69" t="n">
        <v>0</v>
      </c>
    </row>
    <row r="18">
      <c r="A18" s="69" t="inlineStr">
        <is>
          <t>spring_phab_sinu|</t>
        </is>
      </c>
      <c r="B18" s="69" t="inlineStr">
        <is>
          <t>spring-phab-sinu</t>
        </is>
      </c>
      <c r="C18" s="69" t="inlineStr">
        <is>
          <t>Sinuosity</t>
        </is>
      </c>
      <c r="D18" s="69" t="inlineStr"/>
      <c r="E18" s="69" t="n">
        <v>4</v>
      </c>
      <c r="F18" s="69" t="inlineStr">
        <is>
          <t>31 least-disturbed stations borrowed from Level II ecoregion 8.4 (Ozark/Ouachita-Appalachian Forests) under the regional screen (agriculture at most 37.8 percent), transfer risk moderate</t>
        </is>
      </c>
      <c r="G18" s="69" t="n">
        <v>1</v>
      </c>
      <c r="H18" s="69" t="n">
        <v>1.055147290229797</v>
      </c>
      <c r="I18" s="69" t="n">
        <v>1.167669653892517</v>
      </c>
      <c r="J18" s="69" t="n">
        <v>1.223930835723877</v>
      </c>
      <c r="K18" s="69" t="n">
        <v>1.223930835723877</v>
      </c>
      <c r="L18" s="69" t="n">
        <v>1.223930835723877</v>
      </c>
      <c r="M18" s="69" t="n">
        <v>1.223930835723877</v>
      </c>
      <c r="N18" s="69" t="n">
        <v>1.223930835723877</v>
      </c>
      <c r="O18" s="69" t="n">
        <v>0</v>
      </c>
      <c r="P18" s="69" t="n">
        <v>0.7</v>
      </c>
      <c r="Q18" s="69" t="n">
        <v>1</v>
      </c>
      <c r="R18" s="69" t="n">
        <v>1</v>
      </c>
      <c r="S18" s="69" t="n">
        <v>1</v>
      </c>
      <c r="T18" s="69" t="n">
        <v>1</v>
      </c>
      <c r="U18" s="69" t="n">
        <v>1</v>
      </c>
      <c r="V18" s="69" t="n">
        <v>1</v>
      </c>
    </row>
    <row r="19">
      <c r="A19" s="69" t="inlineStr">
        <is>
          <t>spring_phab_xbka|</t>
        </is>
      </c>
      <c r="B19" s="69" t="inlineStr">
        <is>
          <t>spring-phab-xbka</t>
        </is>
      </c>
      <c r="C19" s="69" t="inlineStr">
        <is>
          <t>Bank angle</t>
        </is>
      </c>
      <c r="D19" s="69" t="inlineStr"/>
      <c r="E19" s="69" t="n">
        <v>7</v>
      </c>
      <c r="F19" s="69" t="inlineStr">
        <is>
          <t>52 least-disturbed stations borrowed from Level I ecoregion 8 (Eastern Temperate Forests) under the regional screen (agriculture at most 37.8 percent), transfer risk moderate</t>
        </is>
      </c>
      <c r="G19" s="69" t="n">
        <v>0</v>
      </c>
      <c r="H19" s="69" t="n">
        <v>16.5027932882309</v>
      </c>
      <c r="I19" s="69" t="n">
        <v>22.60227251052856</v>
      </c>
      <c r="J19" s="69" t="n">
        <v>40.02935600280762</v>
      </c>
      <c r="K19" s="69" t="n">
        <v>46.12883522510528</v>
      </c>
      <c r="L19" s="69" t="n">
        <v>57.45643949508667</v>
      </c>
      <c r="M19" s="69" t="n">
        <v>74.88352298736572</v>
      </c>
      <c r="N19" s="69" t="n">
        <v>74.88352298736572</v>
      </c>
      <c r="O19" s="69" t="n">
        <v>0.7</v>
      </c>
      <c r="P19" s="69" t="n">
        <v>0.7</v>
      </c>
      <c r="Q19" s="69" t="n">
        <v>1</v>
      </c>
      <c r="R19" s="69" t="n">
        <v>1</v>
      </c>
      <c r="S19" s="69" t="n">
        <v>0.7</v>
      </c>
      <c r="T19" s="69" t="n">
        <v>0.3</v>
      </c>
      <c r="U19" s="69" t="n">
        <v>0</v>
      </c>
      <c r="V19" s="69" t="n">
        <v>0</v>
      </c>
    </row>
    <row r="20">
      <c r="A20" s="69" t="inlineStr">
        <is>
          <t>spring_phab_lrbs_use|All streams (pooled)</t>
        </is>
      </c>
      <c r="B20" s="69" t="inlineStr">
        <is>
          <t>spring-phab-lrbs-use</t>
        </is>
      </c>
      <c r="C20" s="69" t="inlineStr">
        <is>
          <t>Relative bed stability</t>
        </is>
      </c>
      <c r="D20" s="69" t="inlineStr">
        <is>
          <t>All streams (pooled)</t>
        </is>
      </c>
      <c r="E20" s="69" t="n">
        <v>8</v>
      </c>
      <c r="F20" s="69" t="inlineStr">
        <is>
          <t>68 least-disturbed stations borrowed from Level I ecoregion 8 (Eastern Temperate Forests) under the regional screen (agriculture at most 37.8 percent), transfer risk high</t>
        </is>
      </c>
      <c r="G20" s="69" t="n">
        <v>-3.313046559691429</v>
      </c>
      <c r="H20" s="69" t="n">
        <v>-1.948141396045685</v>
      </c>
      <c r="I20" s="69" t="n">
        <v>-1.060953039675951</v>
      </c>
      <c r="J20" s="69" t="n">
        <v>-0.5832362323999405</v>
      </c>
      <c r="K20" s="69" t="n">
        <v>0.7816689312458038</v>
      </c>
      <c r="L20" s="69" t="n">
        <v>1.259385738521814</v>
      </c>
      <c r="M20" s="69" t="n">
        <v>2.146574094891548</v>
      </c>
      <c r="N20" s="69" t="n">
        <v>3.511479258537292</v>
      </c>
      <c r="O20" s="69" t="n">
        <v>0</v>
      </c>
      <c r="P20" s="69" t="n">
        <v>0.3</v>
      </c>
      <c r="Q20" s="69" t="n">
        <v>0.7</v>
      </c>
      <c r="R20" s="69" t="n">
        <v>1</v>
      </c>
      <c r="S20" s="69" t="n">
        <v>1</v>
      </c>
      <c r="T20" s="69" t="n">
        <v>0.7</v>
      </c>
      <c r="U20" s="69" t="n">
        <v>0.3</v>
      </c>
      <c r="V20" s="69" t="n">
        <v>0</v>
      </c>
    </row>
    <row r="21">
      <c r="A21" s="69" t="inlineStr">
        <is>
          <t>spring_phab_lrbs_use|Small stream (10 to 100 km2)</t>
        </is>
      </c>
      <c r="B21" s="69" t="inlineStr">
        <is>
          <t>spring-phab-lrbs-use</t>
        </is>
      </c>
      <c r="C21" s="69" t="inlineStr">
        <is>
          <t>Relative bed stability</t>
        </is>
      </c>
      <c r="D21" s="69" t="inlineStr">
        <is>
          <t>Small stream (10 to 100 km2)</t>
        </is>
      </c>
      <c r="E21" s="69" t="n">
        <v>8</v>
      </c>
      <c r="F21" s="69" t="inlineStr">
        <is>
          <t>68 least-disturbed stations borrowed from Level I ecoregion 8 (Eastern Temperate Forests) under the regional screen (agriculture at most 37.8 percent), transfer risk high</t>
        </is>
      </c>
      <c r="G21" s="69" t="n">
        <v>-2.537161038722843</v>
      </c>
      <c r="H21" s="69" t="n">
        <v>-1.6918090141844</v>
      </c>
      <c r="I21" s="69" t="n">
        <v>-1.142330198234413</v>
      </c>
      <c r="J21" s="69" t="n">
        <v>-0.8464569896459579</v>
      </c>
      <c r="K21" s="69" t="n">
        <v>-0.001104965107515454</v>
      </c>
      <c r="L21" s="69" t="n">
        <v>0.2947682434809394</v>
      </c>
      <c r="M21" s="69" t="n">
        <v>0.844247059430927</v>
      </c>
      <c r="N21" s="69" t="n">
        <v>1.68959908396937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0.7</v>
      </c>
      <c r="U21" s="69" t="n">
        <v>0.3</v>
      </c>
      <c r="V21" s="69" t="n">
        <v>0</v>
      </c>
    </row>
    <row r="22">
      <c r="A22" s="69" t="inlineStr">
        <is>
          <t>spring_phab_lrbs_use|Large stream (over 100 km2)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Large stream (over 100 km2)</t>
        </is>
      </c>
      <c r="E22" s="69" t="n">
        <v>8</v>
      </c>
      <c r="F22" s="69" t="inlineStr">
        <is>
          <t>68 least-disturbed stations borrowed from Level I ecoregion 8 (Eastern Temperate Forests) under the regional screen (agriculture at most 37.8 percent), transfer risk high</t>
        </is>
      </c>
      <c r="G22" s="69" t="n">
        <v>-1.443604458123446</v>
      </c>
      <c r="H22" s="69" t="n">
        <v>-0.6486338898539543</v>
      </c>
      <c r="I22" s="69" t="n">
        <v>-0.131903020478785</v>
      </c>
      <c r="J22" s="69" t="n">
        <v>0.1463366784155369</v>
      </c>
      <c r="K22" s="69" t="n">
        <v>0.9413072466850281</v>
      </c>
      <c r="L22" s="69" t="n">
        <v>1.21954694557935</v>
      </c>
      <c r="M22" s="69" t="n">
        <v>1.736277814954519</v>
      </c>
      <c r="N22" s="69" t="n">
        <v>2.53124838322401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spring_phab_lsub_dmm|</t>
        </is>
      </c>
      <c r="B23" s="69" t="inlineStr">
        <is>
          <t>spring-phab-lsub-dmm</t>
        </is>
      </c>
      <c r="C23" s="69" t="inlineStr">
        <is>
          <t>Substrate size</t>
        </is>
      </c>
      <c r="D23" s="69" t="inlineStr"/>
      <c r="E23" s="69" t="n">
        <v>5</v>
      </c>
      <c r="F23" s="69" t="inlineStr">
        <is>
          <t>11 least-disturbed streams of this ecoregion under the regional screen (agriculture at most 37.8 percent)</t>
        </is>
      </c>
      <c r="G23" s="69" t="n">
        <v>0.5220702290534973</v>
      </c>
      <c r="H23" s="69" t="n">
        <v>0.9924234747886658</v>
      </c>
      <c r="I23" s="69" t="n">
        <v>1.697953343391418</v>
      </c>
      <c r="J23" s="69" t="n">
        <v>2.168306589126587</v>
      </c>
      <c r="K23" s="69" t="n">
        <v>2.403483211994171</v>
      </c>
      <c r="L23" s="69" t="n">
        <v>2.403483211994171</v>
      </c>
      <c r="M23" s="69" t="n">
        <v>2.403483211994171</v>
      </c>
      <c r="N23" s="69" t="n">
        <v>2.403483211994171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1</v>
      </c>
      <c r="U23" s="69" t="n">
        <v>1</v>
      </c>
      <c r="V23" s="69" t="n">
        <v>1</v>
      </c>
    </row>
    <row r="24">
      <c r="A24" s="69" t="inlineStr">
        <is>
          <t>spring_chem_chla|</t>
        </is>
      </c>
      <c r="B24" s="69" t="inlineStr">
        <is>
          <t>spring-chem-chla</t>
        </is>
      </c>
      <c r="C24" s="69" t="inlineStr">
        <is>
          <t>Chlorophyll a</t>
        </is>
      </c>
      <c r="D24" s="69" t="inlineStr"/>
      <c r="E24" s="69" t="n">
        <v>5</v>
      </c>
      <c r="F24" s="69" t="inlineStr">
        <is>
          <t>27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4" s="69" t="n">
        <v>0</v>
      </c>
      <c r="H24" s="69" t="n">
        <v>1.304999947547913</v>
      </c>
      <c r="I24" s="69" t="n">
        <v>5.139999866485596</v>
      </c>
      <c r="J24" s="69" t="n">
        <v>10.89249974489212</v>
      </c>
      <c r="K24" s="69" t="n">
        <v>14.7274996638298</v>
      </c>
      <c r="L24" s="69" t="n">
        <v>14.7274996638298</v>
      </c>
      <c r="M24" s="69" t="n">
        <v>14.7274996638298</v>
      </c>
      <c r="N24" s="69" t="n">
        <v>14.7274996638298</v>
      </c>
      <c r="O24" s="69" t="n">
        <v>1</v>
      </c>
      <c r="P24" s="69" t="n">
        <v>1</v>
      </c>
      <c r="Q24" s="69" t="n">
        <v>0.7</v>
      </c>
      <c r="R24" s="69" t="n">
        <v>0.3</v>
      </c>
      <c r="S24" s="69" t="n">
        <v>0</v>
      </c>
      <c r="T24" s="69" t="n">
        <v>0</v>
      </c>
      <c r="U24" s="69" t="n">
        <v>0</v>
      </c>
      <c r="V24" s="69" t="n">
        <v>0</v>
      </c>
    </row>
    <row r="25">
      <c r="A25" s="69" t="inlineStr">
        <is>
          <t>spring_phab_xcdenmid|All streams (pooled)</t>
        </is>
      </c>
      <c r="B25" s="69" t="inlineStr">
        <is>
          <t>spring-phab-xcdenmid</t>
        </is>
      </c>
      <c r="C25" s="69" t="inlineStr">
        <is>
          <t>Canopy density, mid-channel</t>
        </is>
      </c>
      <c r="D25" s="69" t="inlineStr">
        <is>
          <t>All streams (pooled)</t>
        </is>
      </c>
      <c r="E25" s="69" t="n">
        <v>5</v>
      </c>
      <c r="F25" s="69" t="inlineStr">
        <is>
          <t>49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5" s="69" t="n">
        <v>0</v>
      </c>
      <c r="H25" s="69" t="n">
        <v>17.01680701119559</v>
      </c>
      <c r="I25" s="69" t="n">
        <v>39.70588302612305</v>
      </c>
      <c r="J25" s="69" t="n">
        <v>87.96791076660156</v>
      </c>
      <c r="K25" s="69" t="n">
        <v>100</v>
      </c>
      <c r="L25" s="69" t="n">
        <v>100</v>
      </c>
      <c r="M25" s="69" t="n">
        <v>100</v>
      </c>
      <c r="N25" s="69" t="n">
        <v>100</v>
      </c>
      <c r="O25" s="69" t="n">
        <v>0</v>
      </c>
      <c r="P25" s="69" t="n">
        <v>0.3</v>
      </c>
      <c r="Q25" s="69" t="n">
        <v>0.7</v>
      </c>
      <c r="R25" s="69" t="n">
        <v>1</v>
      </c>
      <c r="S25" s="69" t="n">
        <v>1</v>
      </c>
      <c r="T25" s="69" t="n">
        <v>1</v>
      </c>
      <c r="U25" s="69" t="n">
        <v>1</v>
      </c>
      <c r="V25" s="69" t="n">
        <v>1</v>
      </c>
    </row>
    <row r="26">
      <c r="A26" s="69" t="inlineStr">
        <is>
          <t>spring_phab_xcdenmid|Small stream (10 to 100 km2)</t>
        </is>
      </c>
      <c r="B26" s="69" t="inlineStr">
        <is>
          <t>spring-phab-xcdenmid</t>
        </is>
      </c>
      <c r="C26" s="69" t="inlineStr">
        <is>
          <t>Canopy density, mid-channel</t>
        </is>
      </c>
      <c r="D26" s="69" t="inlineStr">
        <is>
          <t>Small stream (10 to 100 km2)</t>
        </is>
      </c>
      <c r="E26" s="69" t="n">
        <v>5</v>
      </c>
      <c r="F26" s="69" t="inlineStr">
        <is>
          <t>49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6" s="69" t="n">
        <v>0</v>
      </c>
      <c r="H26" s="69" t="n">
        <v>28.44728769574846</v>
      </c>
      <c r="I26" s="69" t="n">
        <v>66.37700462341309</v>
      </c>
      <c r="J26" s="69" t="n">
        <v>91.91176223754883</v>
      </c>
      <c r="K26" s="69" t="n">
        <v>100</v>
      </c>
      <c r="L26" s="69" t="n">
        <v>100</v>
      </c>
      <c r="M26" s="69" t="n">
        <v>100</v>
      </c>
      <c r="N26" s="69" t="n">
        <v>100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1</v>
      </c>
      <c r="U26" s="69" t="n">
        <v>1</v>
      </c>
      <c r="V26" s="69" t="n">
        <v>1</v>
      </c>
    </row>
    <row r="27">
      <c r="A27" s="69" t="inlineStr">
        <is>
          <t>spring_phab_xcdenmid|Large stream (over 100 km2)</t>
        </is>
      </c>
      <c r="B27" s="69" t="inlineStr">
        <is>
          <t>spring-phab-xcdenmid</t>
        </is>
      </c>
      <c r="C27" s="69" t="inlineStr">
        <is>
          <t>Canopy density, mid-channel</t>
        </is>
      </c>
      <c r="D27" s="69" t="inlineStr">
        <is>
          <t>Large stream (over 100 km2)</t>
        </is>
      </c>
      <c r="E27" s="69" t="n">
        <v>5</v>
      </c>
      <c r="F27" s="69" t="inlineStr">
        <is>
          <t>49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7" s="69" t="n">
        <v>0</v>
      </c>
      <c r="H27" s="69" t="n">
        <v>6.503055606569562</v>
      </c>
      <c r="I27" s="69" t="n">
        <v>15.17379641532898</v>
      </c>
      <c r="J27" s="69" t="n">
        <v>55.49520874023438</v>
      </c>
      <c r="K27" s="69" t="n">
        <v>75.65591490268707</v>
      </c>
      <c r="L27" s="69" t="n">
        <v>75.65591490268707</v>
      </c>
      <c r="M27" s="69" t="n">
        <v>75.65591490268707</v>
      </c>
      <c r="N27" s="69" t="n">
        <v>75.65591490268707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spring_phab_xcmgw|</t>
        </is>
      </c>
      <c r="B28" s="69" t="inlineStr">
        <is>
          <t>spring-phab-xcmgw</t>
        </is>
      </c>
      <c r="C28" s="69" t="inlineStr">
        <is>
          <t>Riparian veg cover, woody</t>
        </is>
      </c>
      <c r="D28" s="69" t="inlineStr"/>
      <c r="E28" s="69" t="n">
        <v>5</v>
      </c>
      <c r="F28" s="69" t="inlineStr">
        <is>
          <t>11 least-disturbed streams of this ecoregion under the regional screen (agriculture at most 37.8 percent)</t>
        </is>
      </c>
      <c r="G28" s="69" t="n">
        <v>0</v>
      </c>
      <c r="H28" s="69" t="n">
        <v>0.5700487068721226</v>
      </c>
      <c r="I28" s="69" t="n">
        <v>1.330113649368286</v>
      </c>
      <c r="J28" s="69" t="n">
        <v>2.194886326789856</v>
      </c>
      <c r="K28" s="69" t="n">
        <v>2.627272665500641</v>
      </c>
      <c r="L28" s="69" t="n">
        <v>2.627272665500641</v>
      </c>
      <c r="M28" s="69" t="n">
        <v>2.627272665500641</v>
      </c>
      <c r="N28" s="69" t="n">
        <v>2.627272665500641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spring_chem_ntl|</t>
        </is>
      </c>
      <c r="B29" s="69" t="inlineStr">
        <is>
          <t>spring-chem-ntl</t>
        </is>
      </c>
      <c r="C29" s="69" t="inlineStr">
        <is>
          <t>Total nitrogen</t>
        </is>
      </c>
      <c r="D29" s="69" t="inlineStr"/>
      <c r="E29" s="69" t="n">
        <v>4</v>
      </c>
      <c r="F29" s="69" t="inlineStr">
        <is>
          <t>Scored against a published criterion rather than against stations from this ecoregion. The criterion carries its own definition of reference, which need not match this assessment's.</t>
        </is>
      </c>
      <c r="G29" s="69" t="n">
        <v>0</v>
      </c>
      <c r="H29" s="69" t="n">
        <v>0.2405</v>
      </c>
      <c r="I29" s="69" t="n">
        <v>0.456</v>
      </c>
      <c r="J29" s="69" t="n">
        <v>0.73615</v>
      </c>
      <c r="K29" s="69" t="n">
        <v>0.73615</v>
      </c>
      <c r="L29" s="69" t="n">
        <v>0.73615</v>
      </c>
      <c r="M29" s="69" t="n">
        <v>0.73615</v>
      </c>
      <c r="N29" s="69" t="n">
        <v>0.73615</v>
      </c>
      <c r="O29" s="69" t="n">
        <v>1</v>
      </c>
      <c r="P29" s="69" t="n">
        <v>0.6899999999999999</v>
      </c>
      <c r="Q29" s="69" t="n">
        <v>0.39</v>
      </c>
      <c r="R29" s="69" t="n">
        <v>0</v>
      </c>
      <c r="S29" s="69" t="n">
        <v>0</v>
      </c>
      <c r="T29" s="69" t="n">
        <v>0</v>
      </c>
      <c r="U29" s="69" t="n">
        <v>0</v>
      </c>
      <c r="V29" s="69" t="n">
        <v>0</v>
      </c>
    </row>
    <row r="30">
      <c r="A30" s="69" t="inlineStr">
        <is>
          <t>spring_chem_ptl|</t>
        </is>
      </c>
      <c r="B30" s="69" t="inlineStr">
        <is>
          <t>spring-chem-ptl</t>
        </is>
      </c>
      <c r="C30" s="69" t="inlineStr">
        <is>
          <t>Total phosphorus</t>
        </is>
      </c>
      <c r="D30" s="69" t="inlineStr"/>
      <c r="E30" s="69" t="n">
        <v>4</v>
      </c>
      <c r="F30" s="69" t="inlineStr">
        <is>
          <t>Scored against a published criterion rather than against stations from this ecoregion. The criterion carries its own definition of reference, which need not match this assessment's.</t>
        </is>
      </c>
      <c r="G30" s="69" t="n">
        <v>0</v>
      </c>
      <c r="H30" s="69" t="n">
        <v>14.85</v>
      </c>
      <c r="I30" s="69" t="n">
        <v>24.4</v>
      </c>
      <c r="J30" s="69" t="n">
        <v>36.815</v>
      </c>
      <c r="K30" s="69" t="n">
        <v>36.815</v>
      </c>
      <c r="L30" s="69" t="n">
        <v>36.815</v>
      </c>
      <c r="M30" s="69" t="n">
        <v>36.815</v>
      </c>
      <c r="N30" s="69" t="n">
        <v>36.815</v>
      </c>
      <c r="O30" s="69" t="n">
        <v>1</v>
      </c>
      <c r="P30" s="69" t="n">
        <v>0.6899999999999999</v>
      </c>
      <c r="Q30" s="69" t="n">
        <v>0.39</v>
      </c>
      <c r="R30" s="69" t="n">
        <v>0</v>
      </c>
      <c r="S30" s="69" t="n">
        <v>0</v>
      </c>
      <c r="T30" s="69" t="n">
        <v>0</v>
      </c>
      <c r="U30" s="69" t="n">
        <v>0</v>
      </c>
      <c r="V30" s="69" t="n">
        <v>0</v>
      </c>
    </row>
    <row r="31">
      <c r="A31" s="69" t="inlineStr">
        <is>
          <t>spring_chem_ph|</t>
        </is>
      </c>
      <c r="B31" s="69" t="inlineStr">
        <is>
          <t>spring-chem-ph</t>
        </is>
      </c>
      <c r="C31" s="69" t="inlineStr">
        <is>
          <t>pH</t>
        </is>
      </c>
      <c r="D31" s="69" t="inlineStr"/>
      <c r="E31" s="69" t="n">
        <v>8</v>
      </c>
      <c r="F31" s="69" t="inlineStr">
        <is>
          <t>15 least-disturbed stations borrowed from Level II ecoregion 8.4 (Ozark/Ouachita-Appalachian Forests) under the regional screen (agriculture at most 37.8 percent), transfer risk low</t>
        </is>
      </c>
      <c r="G31" s="69" t="n">
        <v>6.320000171661377</v>
      </c>
      <c r="H31" s="69" t="n">
        <v>6.670000076293945</v>
      </c>
      <c r="I31" s="69" t="n">
        <v>6.897500014305114</v>
      </c>
      <c r="J31" s="69" t="n">
        <v>7.019999980926514</v>
      </c>
      <c r="K31" s="69" t="n">
        <v>7.369999885559082</v>
      </c>
      <c r="L31" s="69" t="n">
        <v>7.492499852180481</v>
      </c>
      <c r="M31" s="69" t="n">
        <v>7.71999979019165</v>
      </c>
      <c r="N31" s="69" t="n">
        <v>8.069999694824219</v>
      </c>
      <c r="O31" s="69" t="n">
        <v>0</v>
      </c>
      <c r="P31" s="69" t="n">
        <v>0.3</v>
      </c>
      <c r="Q31" s="69" t="n">
        <v>0.7</v>
      </c>
      <c r="R31" s="69" t="n">
        <v>1</v>
      </c>
      <c r="S31" s="69" t="n">
        <v>1</v>
      </c>
      <c r="T31" s="69" t="n">
        <v>0.7</v>
      </c>
      <c r="U31" s="69" t="n">
        <v>0.3</v>
      </c>
      <c r="V31" s="69" t="n">
        <v>0</v>
      </c>
    </row>
    <row r="32">
      <c r="A32" s="69" t="inlineStr">
        <is>
          <t>spring_chem_cond|</t>
        </is>
      </c>
      <c r="B32" s="69" t="inlineStr">
        <is>
          <t>spring-chem-cond</t>
        </is>
      </c>
      <c r="C32" s="69" t="inlineStr">
        <is>
          <t>Specific conductivity</t>
        </is>
      </c>
      <c r="D32" s="69" t="inlineStr"/>
      <c r="E32" s="69" t="n">
        <v>4</v>
      </c>
      <c r="F32" s="69" t="inlineStr">
        <is>
          <t>Scored against a published criterion rather than against stations from this ecoregion. The criterion carries its own definition of reference, which need not match this assessment's.</t>
        </is>
      </c>
      <c r="G32" s="69" t="n">
        <v>0</v>
      </c>
      <c r="H32" s="69" t="n">
        <v>500.05</v>
      </c>
      <c r="I32" s="69" t="n">
        <v>1000.05</v>
      </c>
      <c r="J32" s="69" t="n">
        <v>1650.05</v>
      </c>
      <c r="K32" s="69" t="n">
        <v>1650.05</v>
      </c>
      <c r="L32" s="69" t="n">
        <v>1650.05</v>
      </c>
      <c r="M32" s="69" t="n">
        <v>1650.05</v>
      </c>
      <c r="N32" s="69" t="n">
        <v>1650.05</v>
      </c>
      <c r="O32" s="69" t="n">
        <v>1</v>
      </c>
      <c r="P32" s="69" t="n">
        <v>0.6899999999999999</v>
      </c>
      <c r="Q32" s="69" t="n">
        <v>0.39</v>
      </c>
      <c r="R32" s="69" t="n">
        <v>0</v>
      </c>
      <c r="S32" s="69" t="n">
        <v>0</v>
      </c>
      <c r="T32" s="69" t="n">
        <v>0</v>
      </c>
      <c r="U32" s="69" t="n">
        <v>0</v>
      </c>
      <c r="V32" s="69" t="n">
        <v>0</v>
      </c>
    </row>
    <row r="33">
      <c r="A33" s="69" t="inlineStr">
        <is>
          <t>spring_phab_pct_fast|All streams (pooled)</t>
        </is>
      </c>
      <c r="B33" s="69" t="inlineStr">
        <is>
          <t>spring-phab-pct-fast</t>
        </is>
      </c>
      <c r="C33" s="69" t="inlineStr">
        <is>
          <t>Fast-water / riffle habitat</t>
        </is>
      </c>
      <c r="D33" s="69" t="inlineStr">
        <is>
          <t>All streams (pooled)</t>
        </is>
      </c>
      <c r="E33" s="69" t="n">
        <v>5</v>
      </c>
      <c r="F33" s="69" t="inlineStr">
        <is>
          <t>46 least-disturbed stations borrowed from Level II ecoregion 8.4 (Ozark/Ouachita-Appalachian Forests) under the regional screen (agriculture at most 37.8 percent), transfer risk low</t>
        </is>
      </c>
      <c r="G33" s="69" t="n">
        <v>0</v>
      </c>
      <c r="H33" s="69" t="n">
        <v>5.95544559614999</v>
      </c>
      <c r="I33" s="69" t="n">
        <v>13.89603972434998</v>
      </c>
      <c r="J33" s="69" t="n">
        <v>42.29545402526855</v>
      </c>
      <c r="K33" s="69" t="n">
        <v>56.49516117572784</v>
      </c>
      <c r="L33" s="69" t="n">
        <v>56.49516117572784</v>
      </c>
      <c r="M33" s="69" t="n">
        <v>56.49516117572784</v>
      </c>
      <c r="N33" s="69" t="n">
        <v>56.49516117572784</v>
      </c>
      <c r="O33" s="69" t="n">
        <v>0</v>
      </c>
      <c r="P33" s="69" t="n">
        <v>0.3</v>
      </c>
      <c r="Q33" s="69" t="n">
        <v>0.7</v>
      </c>
      <c r="R33" s="69" t="n">
        <v>1</v>
      </c>
      <c r="S33" s="69" t="n">
        <v>1</v>
      </c>
      <c r="T33" s="69" t="n">
        <v>1</v>
      </c>
      <c r="U33" s="69" t="n">
        <v>1</v>
      </c>
      <c r="V33" s="69" t="n">
        <v>1</v>
      </c>
    </row>
    <row r="34">
      <c r="A34" s="69" t="inlineStr">
        <is>
          <t>spring_phab_pct_fast|Low gradient (under 0.5 percent)</t>
        </is>
      </c>
      <c r="B34" s="69" t="inlineStr">
        <is>
          <t>spring-phab-pct-fast</t>
        </is>
      </c>
      <c r="C34" s="69" t="inlineStr">
        <is>
          <t>Fast-water / riffle habitat</t>
        </is>
      </c>
      <c r="D34" s="69" t="inlineStr">
        <is>
          <t>Low gradient (under 0.5 percent)</t>
        </is>
      </c>
      <c r="E34" s="69" t="n">
        <v>5</v>
      </c>
      <c r="F34" s="69" t="inlineStr">
        <is>
          <t>46 least-disturbed stations borrowed from Level II ecoregion 8.4 (Ozark/Ouachita-Appalachian Forests) under the regional screen (agriculture at most 37.8 percent), transfer risk low</t>
        </is>
      </c>
      <c r="G34" s="69" t="n">
        <v>0</v>
      </c>
      <c r="H34" s="69" t="n">
        <v>4.699434246335711</v>
      </c>
      <c r="I34" s="69" t="n">
        <v>10.96534657478333</v>
      </c>
      <c r="J34" s="69" t="n">
        <v>27.81818199157715</v>
      </c>
      <c r="K34" s="69" t="n">
        <v>36.24459969997406</v>
      </c>
      <c r="L34" s="69" t="n">
        <v>36.24459969997406</v>
      </c>
      <c r="M34" s="69" t="n">
        <v>36.24459969997406</v>
      </c>
      <c r="N34" s="69" t="n">
        <v>36.24459969997406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spring_phab_pct_fast|Moderate gradient (0.5 to 2 percent)</t>
        </is>
      </c>
      <c r="B35" s="69" t="inlineStr">
        <is>
          <t>spring-phab-pct-fast</t>
        </is>
      </c>
      <c r="C35" s="69" t="inlineStr">
        <is>
          <t>Fast-water / riffle habitat</t>
        </is>
      </c>
      <c r="D35" s="69" t="inlineStr">
        <is>
          <t>Moderate gradient (0.5 to 2 percent)</t>
        </is>
      </c>
      <c r="E35" s="69" t="n">
        <v>5</v>
      </c>
      <c r="F35" s="69" t="inlineStr">
        <is>
          <t>46 least-disturbed stations borrowed from Level II ecoregion 8.4 (Ozark/Ouachita-Appalachian Forests) under the regional screen (agriculture at most 37.8 percent), transfer risk low</t>
        </is>
      </c>
      <c r="G35" s="69" t="n">
        <v>0</v>
      </c>
      <c r="H35" s="69" t="n">
        <v>7.311576298304966</v>
      </c>
      <c r="I35" s="69" t="n">
        <v>17.06034469604492</v>
      </c>
      <c r="J35" s="69" t="n">
        <v>62</v>
      </c>
      <c r="K35" s="69" t="n">
        <v>84.46982765197754</v>
      </c>
      <c r="L35" s="69" t="n">
        <v>84.46982765197754</v>
      </c>
      <c r="M35" s="69" t="n">
        <v>84.46982765197754</v>
      </c>
      <c r="N35" s="69" t="n">
        <v>84.46982765197754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spring_phab_xfc_nat|All streams (pooled)</t>
        </is>
      </c>
      <c r="B36" s="69" t="inlineStr">
        <is>
          <t>spring-phab-xfc-nat</t>
        </is>
      </c>
      <c r="C36" s="69" t="inlineStr">
        <is>
          <t>Natural fish cover</t>
        </is>
      </c>
      <c r="D36" s="69" t="inlineStr">
        <is>
          <t>All streams (pooled)</t>
        </is>
      </c>
      <c r="E36" s="69" t="n">
        <v>5</v>
      </c>
      <c r="F36" s="69" t="inlineStr">
        <is>
          <t>64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6" s="69" t="n">
        <v>0</v>
      </c>
      <c r="H36" s="69" t="n">
        <v>0.08279220546994891</v>
      </c>
      <c r="I36" s="69" t="n">
        <v>0.1931818127632141</v>
      </c>
      <c r="J36" s="69" t="n">
        <v>0.5295454412698746</v>
      </c>
      <c r="K36" s="69" t="n">
        <v>0.6977272555232048</v>
      </c>
      <c r="L36" s="69" t="n">
        <v>0.6977272555232048</v>
      </c>
      <c r="M36" s="69" t="n">
        <v>0.6977272555232048</v>
      </c>
      <c r="N36" s="69" t="n">
        <v>0.6977272555232048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spring_phab_xfc_nat|Small stream (10 to 100 km2)</t>
        </is>
      </c>
      <c r="B37" s="69" t="inlineStr">
        <is>
          <t>spring-phab-xfc-nat</t>
        </is>
      </c>
      <c r="C37" s="69" t="inlineStr">
        <is>
          <t>Natural fish cover</t>
        </is>
      </c>
      <c r="D37" s="69" t="inlineStr">
        <is>
          <t>Small stream (10 to 100 km2)</t>
        </is>
      </c>
      <c r="E37" s="69" t="n">
        <v>5</v>
      </c>
      <c r="F37" s="69" t="inlineStr">
        <is>
          <t>64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7" s="69" t="n">
        <v>0</v>
      </c>
      <c r="H37" s="69" t="n">
        <v>0.08668830884354455</v>
      </c>
      <c r="I37" s="69" t="n">
        <v>0.2022727206349373</v>
      </c>
      <c r="J37" s="69" t="n">
        <v>0.7886363565921783</v>
      </c>
      <c r="K37" s="69" t="n">
        <v>1.081818174570799</v>
      </c>
      <c r="L37" s="69" t="n">
        <v>1.081818174570799</v>
      </c>
      <c r="M37" s="69" t="n">
        <v>1.081818174570799</v>
      </c>
      <c r="N37" s="69" t="n">
        <v>1.081818174570799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spring_phab_xfc_nat|Large stream (over 100 km2)</t>
        </is>
      </c>
      <c r="B38" s="69" t="inlineStr">
        <is>
          <t>spring-phab-xfc-nat</t>
        </is>
      </c>
      <c r="C38" s="69" t="inlineStr">
        <is>
          <t>Natural fish cover</t>
        </is>
      </c>
      <c r="D38" s="69" t="inlineStr">
        <is>
          <t>Large stream (over 100 km2)</t>
        </is>
      </c>
      <c r="E38" s="69" t="n">
        <v>5</v>
      </c>
      <c r="F38" s="69" t="inlineStr">
        <is>
          <t>64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8" s="69" t="n">
        <v>0</v>
      </c>
      <c r="H38" s="69" t="n">
        <v>0.07402597367763519</v>
      </c>
      <c r="I38" s="69" t="n">
        <v>0.1727272719144821</v>
      </c>
      <c r="J38" s="69" t="n">
        <v>0.4136363565921783</v>
      </c>
      <c r="K38" s="69" t="n">
        <v>0.5340908989310265</v>
      </c>
      <c r="L38" s="69" t="n">
        <v>0.5340908989310265</v>
      </c>
      <c r="M38" s="69" t="n">
        <v>0.5340908989310265</v>
      </c>
      <c r="N38" s="69" t="n">
        <v>0.5340908989310265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spring_fish_nat_ntolntax|</t>
        </is>
      </c>
      <c r="B39" s="69" t="inlineStr">
        <is>
          <t>spring-fish-nat-ntolntax</t>
        </is>
      </c>
      <c r="C39" s="69" t="inlineStr">
        <is>
          <t>Native non-tolerant fish taxa richness</t>
        </is>
      </c>
      <c r="D39" s="69" t="inlineStr"/>
      <c r="E39" s="69" t="n">
        <v>5</v>
      </c>
      <c r="F39" s="69" t="inlineStr">
        <is>
          <t>21 least-disturbed stations borrowed from Level I ecoregion 8 (Eastern Temperate Forests) under the regional screen (agriculture at most 37.8 percent), transfer risk high</t>
        </is>
      </c>
      <c r="G39" s="69" t="n">
        <v>0</v>
      </c>
      <c r="H39" s="69" t="n">
        <v>3.428571428571428</v>
      </c>
      <c r="I39" s="69" t="n">
        <v>8</v>
      </c>
      <c r="J39" s="69" t="n">
        <v>13</v>
      </c>
      <c r="K39" s="69" t="n">
        <v>15.5</v>
      </c>
      <c r="L39" s="69" t="n">
        <v>15.5</v>
      </c>
      <c r="M39" s="69" t="n">
        <v>15.5</v>
      </c>
      <c r="N39" s="69" t="n">
        <v>15.5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spring_fish_nat_ntolptax|</t>
        </is>
      </c>
      <c r="B40" s="69" t="inlineStr">
        <is>
          <t>spring-fish-nat-ntolptax</t>
        </is>
      </c>
      <c r="C40" s="69" t="inlineStr">
        <is>
          <t>Native non-tolerant fish taxa</t>
        </is>
      </c>
      <c r="D40" s="69" t="inlineStr"/>
      <c r="E40" s="69" t="n">
        <v>5</v>
      </c>
      <c r="F40" s="69" t="inlineStr">
        <is>
          <t>21 least-disturbed stations borrowed from Level I ecoregion 8 (Eastern Temperate Forests) under the regional screen (agriculture at most 37.8 percent), transfer risk high</t>
        </is>
      </c>
      <c r="G40" s="69" t="n">
        <v>0</v>
      </c>
      <c r="H40" s="69" t="n">
        <v>21.42857142857143</v>
      </c>
      <c r="I40" s="69" t="n">
        <v>50</v>
      </c>
      <c r="J40" s="69" t="n">
        <v>71.43000030517578</v>
      </c>
      <c r="K40" s="69" t="n">
        <v>82.14500045776367</v>
      </c>
      <c r="L40" s="69" t="n">
        <v>82.14500045776367</v>
      </c>
      <c r="M40" s="69" t="n">
        <v>82.14500045776367</v>
      </c>
      <c r="N40" s="69" t="n">
        <v>82.14500045776367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spring_bent_ept_ntax|</t>
        </is>
      </c>
      <c r="B41" s="69" t="inlineStr">
        <is>
          <t>spring-bent-ept-ntax</t>
        </is>
      </c>
      <c r="C41" s="69" t="inlineStr">
        <is>
          <t>EPT taxa richness</t>
        </is>
      </c>
      <c r="D41" s="69" t="inlineStr"/>
      <c r="E41" s="69" t="n">
        <v>5</v>
      </c>
      <c r="F41" s="69" t="inlineStr">
        <is>
          <t>30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41" s="69" t="n">
        <v>0</v>
      </c>
      <c r="H41" s="69" t="n">
        <v>1.714285714285714</v>
      </c>
      <c r="I41" s="69" t="n">
        <v>4</v>
      </c>
      <c r="J41" s="69" t="n">
        <v>12.75</v>
      </c>
      <c r="K41" s="69" t="n">
        <v>17.125</v>
      </c>
      <c r="L41" s="69" t="n">
        <v>17.125</v>
      </c>
      <c r="M41" s="69" t="n">
        <v>17.125</v>
      </c>
      <c r="N41" s="69" t="n">
        <v>17.125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spring_bent_mmi_bent|</t>
        </is>
      </c>
      <c r="B42" s="69" t="inlineStr">
        <is>
          <t>spring-bent-mmi-bent</t>
        </is>
      </c>
      <c r="C42" s="69" t="inlineStr">
        <is>
          <t>Benthic macroinvertebrate MMI</t>
        </is>
      </c>
      <c r="D42" s="69" t="inlineStr"/>
      <c r="E42" s="69" t="n">
        <v>4</v>
      </c>
      <c r="F42" s="69" t="inlineStr">
        <is>
          <t>Scored against a published criterion rather than against stations from this ecoregion. The criterion carries its own definition of reference, which need not match this assessment's.</t>
        </is>
      </c>
      <c r="G42" s="69" t="n">
        <v>12.335</v>
      </c>
      <c r="H42" s="69" t="n">
        <v>30.795</v>
      </c>
      <c r="I42" s="69" t="n">
        <v>44.995</v>
      </c>
      <c r="J42" s="69" t="n">
        <v>59.668333</v>
      </c>
      <c r="K42" s="69" t="n">
        <v>59.668333</v>
      </c>
      <c r="L42" s="69" t="n">
        <v>59.668333</v>
      </c>
      <c r="M42" s="69" t="n">
        <v>59.668333</v>
      </c>
      <c r="N42" s="69" t="n">
        <v>59.668333</v>
      </c>
      <c r="O42" s="69" t="n">
        <v>0</v>
      </c>
      <c r="P42" s="69" t="n">
        <v>0.39</v>
      </c>
      <c r="Q42" s="69" t="n">
        <v>0.6899999999999999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spring_nid_dams_1mi|</t>
        </is>
      </c>
      <c r="B43" s="69" t="inlineStr">
        <is>
          <t>spring-nid-dams-1mi</t>
        </is>
      </c>
      <c r="C43" s="69" t="inlineStr">
        <is>
          <t>Mapped dams within one mile</t>
        </is>
      </c>
      <c r="D43" s="69" t="inlineStr"/>
      <c r="E43" s="69" t="n">
        <v>4</v>
      </c>
      <c r="F43" s="69" t="inlineStr">
        <is>
          <t>Fixed criteria, the same in every region</t>
        </is>
      </c>
      <c r="G43" s="69" t="n">
        <v>0</v>
      </c>
      <c r="H43" s="69" t="n">
        <v>1</v>
      </c>
      <c r="I43" s="69" t="n">
        <v>2</v>
      </c>
      <c r="J43" s="69" t="n">
        <v>3</v>
      </c>
      <c r="K43" s="69" t="n">
        <v>3</v>
      </c>
      <c r="L43" s="69" t="n">
        <v>3</v>
      </c>
      <c r="M43" s="69" t="n">
        <v>3</v>
      </c>
      <c r="N43" s="69" t="n">
        <v>3</v>
      </c>
      <c r="O43" s="69" t="n">
        <v>1</v>
      </c>
      <c r="P43" s="69" t="n">
        <v>0.545</v>
      </c>
      <c r="Q43" s="69" t="n">
        <v>0.195</v>
      </c>
      <c r="R43" s="69" t="n">
        <v>0</v>
      </c>
      <c r="S43" s="69" t="n">
        <v>0</v>
      </c>
      <c r="T43" s="69" t="n">
        <v>0</v>
      </c>
      <c r="U43" s="69" t="n">
        <v>0</v>
      </c>
      <c r="V43" s="69" t="n">
        <v>0</v>
      </c>
    </row>
    <row r="46">
      <c r="A46" s="58" t="inlineStr">
        <is>
          <t>Curve sets by metric</t>
        </is>
      </c>
    </row>
    <row r="47">
      <c r="A47" s="69" t="inlineStr">
        <is>
          <t>All streams (pooled)</t>
        </is>
      </c>
      <c r="B47" s="5" t="inlineStr">
        <is>
          <t>Residual pool depth</t>
        </is>
      </c>
    </row>
    <row r="48">
      <c r="A48" s="69" t="inlineStr">
        <is>
          <t>Low gradient (under 0.5 percent)</t>
        </is>
      </c>
      <c r="B48" s="5" t="inlineStr">
        <is>
          <t>Residual pool depth</t>
        </is>
      </c>
    </row>
    <row r="49">
      <c r="A49" s="69" t="inlineStr">
        <is>
          <t>Moderate gradient (0.5 to 2 percent)</t>
        </is>
      </c>
      <c r="B49" s="5" t="inlineStr">
        <is>
          <t>Residual pool depth</t>
        </is>
      </c>
    </row>
    <row r="50">
      <c r="A50" s="69" t="inlineStr">
        <is>
          <t>All streams (pooled)</t>
        </is>
      </c>
      <c r="B50" s="5" t="inlineStr">
        <is>
          <t>Relative bed stability</t>
        </is>
      </c>
    </row>
    <row r="51">
      <c r="A51" s="69" t="inlineStr">
        <is>
          <t>Small stream (10 to 100 km2)</t>
        </is>
      </c>
      <c r="B51" s="5" t="inlineStr">
        <is>
          <t>Relative bed stability</t>
        </is>
      </c>
    </row>
    <row r="52">
      <c r="A52" s="69" t="inlineStr">
        <is>
          <t>Large stream (over 100 km2)</t>
        </is>
      </c>
      <c r="B52" s="5" t="inlineStr">
        <is>
          <t>Relative bed stability</t>
        </is>
      </c>
    </row>
    <row r="53">
      <c r="A53" s="69" t="inlineStr">
        <is>
          <t>All streams (pooled)</t>
        </is>
      </c>
      <c r="B53" s="5" t="inlineStr">
        <is>
          <t>Canopy density, mid-channel</t>
        </is>
      </c>
    </row>
    <row r="54">
      <c r="A54" s="69" t="inlineStr">
        <is>
          <t>Small stream (10 to 100 km2)</t>
        </is>
      </c>
      <c r="B54" s="5" t="inlineStr">
        <is>
          <t>Canopy density, mid-channel</t>
        </is>
      </c>
    </row>
    <row r="55">
      <c r="A55" s="69" t="inlineStr">
        <is>
          <t>Large stream (over 100 km2)</t>
        </is>
      </c>
      <c r="B55" s="5" t="inlineStr">
        <is>
          <t>Canopy density, mid-channel</t>
        </is>
      </c>
    </row>
    <row r="56">
      <c r="A56" s="69" t="inlineStr">
        <is>
          <t>All streams (pooled)</t>
        </is>
      </c>
      <c r="B56" s="5" t="inlineStr">
        <is>
          <t>Fast-water / riffle habitat</t>
        </is>
      </c>
    </row>
    <row r="57">
      <c r="A57" s="69" t="inlineStr">
        <is>
          <t>Low gradient (under 0.5 percent)</t>
        </is>
      </c>
      <c r="B57" s="5" t="inlineStr">
        <is>
          <t>Fast-water / riffle habitat</t>
        </is>
      </c>
    </row>
    <row r="58">
      <c r="A58" s="69" t="inlineStr">
        <is>
          <t>Moderate gradient (0.5 to 2 percent)</t>
        </is>
      </c>
      <c r="B58" s="5" t="inlineStr">
        <is>
          <t>Fast-water / riffle habitat</t>
        </is>
      </c>
    </row>
    <row r="59">
      <c r="A59" s="69" t="inlineStr">
        <is>
          <t>All streams (pooled)</t>
        </is>
      </c>
      <c r="B59" s="5" t="inlineStr">
        <is>
          <t>Natural fish cover</t>
        </is>
      </c>
    </row>
    <row r="60">
      <c r="A60" s="69" t="inlineStr">
        <is>
          <t>Small stream (10 to 100 km2)</t>
        </is>
      </c>
      <c r="B60" s="5" t="inlineStr">
        <is>
          <t>Natural fish cover</t>
        </is>
      </c>
    </row>
    <row r="61">
      <c r="A61" s="69" t="inlineStr">
        <is>
          <t>Large stream (over 100 km2)</t>
        </is>
      </c>
      <c r="B61" s="5" t="inlineStr">
        <is>
          <t>Natural fish cover</t>
        </is>
      </c>
    </row>
    <row r="64">
      <c r="A64" s="58" t="inlineStr">
        <is>
          <t>Condition classes</t>
        </is>
      </c>
    </row>
    <row r="65">
      <c r="A65" t="inlineStr">
        <is>
          <t>Metric index: at or below 0.39 Non-Functioning, at or below 0.69 Functioning At-Risk, above Functioning.</t>
        </is>
      </c>
    </row>
    <row r="66">
      <c r="A66" t="inlineStr">
        <is>
          <t>Function score (0 to 15): at or below 5 Non-Functioning, at or below 10 Functioning At-Risk, above Functioning.</t>
        </is>
      </c>
    </row>
    <row r="67">
      <c r="A6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ouachita-mountains</t>
        </is>
      </c>
    </row>
    <row r="5">
      <c r="A5" s="69" t="inlineStr">
        <is>
          <t>Assessment name</t>
        </is>
      </c>
      <c r="B5" s="69" t="inlineStr">
        <is>
          <t>Ouachita Mountains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sha256:ccaedde6c64137dd680e54a83fd08f8972dd6e695bd7996f28b6a1b62212f650</t>
        </is>
      </c>
    </row>
    <row r="9">
      <c r="A9" s="69" t="inlineStr">
        <is>
          <t>Region</t>
        </is>
      </c>
      <c r="B9" s="69" t="inlineStr">
        <is>
          <t>ecoregion 36 Ouachita Mountains</t>
        </is>
      </c>
    </row>
    <row r="10">
      <c r="A10" s="69" t="inlineStr">
        <is>
          <t>Source</t>
        </is>
      </c>
      <c r="B10" s="69" t="inlineStr">
        <is>
          <t>USEPA NRSA 2013-24 (L3 ecoregion 36),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29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2026-09-30T07:05:13Z</dcterms:created>
  <dcterms:modified xmlns:dcterms="http://purl.org/dc/terms/" xmlns:xsi="http://www.w3.org/2001/XMLSchema-instance" xsi:type="dcterms:W3CDTF">2026-09-30T07:05:13Z</dcterms:modified>
  <cp:lastModifiedBy>DEEP</cp:lastModifiedBy>
  <cp:contentStatus>Draft</cp:contentStatus>
</cp:coreProperties>
</file>