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'Reference'!$A$5:$A$29</definedName>
    <definedName name="curve_x1">'Reference'!$G$5:$G$29</definedName>
    <definedName name="curve_y1">'Reference'!$O$5:$O$29</definedName>
    <definedName name="curve_x2">'Reference'!$H$5:$H$29</definedName>
    <definedName name="curve_y2">'Reference'!$P$5:$P$29</definedName>
    <definedName name="curve_x3">'Reference'!$I$5:$I$29</definedName>
    <definedName name="curve_y3">'Reference'!$Q$5:$Q$29</definedName>
    <definedName name="curve_x4">'Reference'!$J$5:$J$29</definedName>
    <definedName name="curve_y4">'Reference'!$R$5:$R$29</definedName>
    <definedName name="curve_x5">'Reference'!$K$5:$K$29</definedName>
    <definedName name="curve_y5">'Reference'!$S$5:$S$29</definedName>
    <definedName name="curve_x6">'Reference'!$L$5:$L$29</definedName>
    <definedName name="curve_y6">'Reference'!$T$5:$T$29</definedName>
    <definedName name="curve_x7">'Reference'!$M$5:$M$29</definedName>
    <definedName name="curve_y7">'Reference'!$U$5:$U$29</definedName>
    <definedName name="curve_x8">'Reference'!$N$5:$N$29</definedName>
    <definedName name="curve_y8">'Reference'!$V$5:$V$29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bank_height_ratio">'Metrics'!$V$15</definedName>
    <definedName name="idx_spring_phab_xcdenmid">'Metrics'!$V$16</definedName>
    <definedName name="idx_spring_chem_chla">'Metrics'!$V$17</definedName>
    <definedName name="idx_spring_phab_xcmgw">'Metrics'!$V$18</definedName>
    <definedName name="idx_spring_chem_ntl">'Metrics'!$V$19</definedName>
    <definedName name="idx_spring_chem_ptl">'Metrics'!$V$20</definedName>
    <definedName name="idx_spring_chem_cond">'Metrics'!$V$21</definedName>
    <definedName name="idx_spring_chem_turb">'Metrics'!$V$22</definedName>
    <definedName name="idx_spring_phab_xfc_nat">'Metrics'!$V$23</definedName>
    <definedName name="idx_spring_phab_pct_fast">'Metrics'!$V$24</definedName>
    <definedName name="idx_spring_fish_nat_ntolntax">'Metrics'!$V$25</definedName>
    <definedName name="idx_spring_fish_mmi_fish">'Metrics'!$V$26</definedName>
    <definedName name="idx_spring_bent_ept_ntax">'Metrics'!$V$27</definedName>
    <definedName name="idx_spring_bent_mmi_bent">'Metrics'!$V$28</definedName>
    <definedName name="idx_spring_nid_dams_1mi">'Metrics'!$V$29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bank_height_ratio">'DEEP Score'!$E$27</definedName>
    <definedName name="in_spring_phab_xcdenmid">'DEEP Score'!$E$30</definedName>
    <definedName name="in_spring_chem_chla">'DEEP Score'!$E$31</definedName>
    <definedName name="in_spring_phab_xcmgw">'DEEP Score'!$E$32</definedName>
    <definedName name="in_spring_chem_ntl">'DEEP Score'!$E$33</definedName>
    <definedName name="in_spring_chem_ptl">'DEEP Score'!$E$34</definedName>
    <definedName name="in_spring_chem_cond">'DEEP Score'!$E$35</definedName>
    <definedName name="in_spring_chem_turb">'DEEP Score'!$E$36</definedName>
    <definedName name="in_spring_phab_xfc_nat">'DEEP Score'!$E$37</definedName>
    <definedName name="in_spring_phab_pct_fast">'DEEP Score'!$E$38</definedName>
    <definedName name="in_spring_fish_nat_ntolntax">'DEEP Score'!$E$39</definedName>
    <definedName name="in_spring_fish_mmi_fish">'DEEP Score'!$E$40</definedName>
    <definedName name="in_spring_bent_ept_ntax">'DEEP Score'!$E$41</definedName>
    <definedName name="in_spring_bent_mmi_bent">'DEEP Score'!$E$42</definedName>
    <definedName name="in_spring_nid_dams_1mi">'DEEP Score'!$E$43</definedName>
    <definedName name="site_notes">'DEEP Score'!$A$64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7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Nebraska Sand Hills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4" t="inlineStr">
        <is>
          <t>Reference condition. Reference condition is set by a fixed landscape-pressure screen, never by a score. 10 borrow comparable least-disturbed stations from a wider region, stating the region and the transfer risk. 8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17 rest on a flagged transfer: a comparable least-disturbed pool the recovery test did not confirm for this ecoregion, used because no validated source supports the metric here, with transfer risk unvalidated and confidence capped. 2 functions rest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9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Nebraska Sand Hills reference assessment</t>
        </is>
      </c>
    </row>
    <row r="3">
      <c r="A3" s="5" t="inlineStr">
        <is>
          <t>Version 1 | Draft | USEPA NRSA 2013-24 (L3 ecoregion 44),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Bankfull width:depth ratio</t>
        </is>
      </c>
      <c r="D18" s="14" t="inlineStr"/>
      <c r="E18" s="15" t="n"/>
      <c r="F18" s="16" t="inlineStr"/>
      <c r="G18" s="17">
        <f>IF('Metrics'!$V$11="","",'Metrics'!$V$11)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Base flow index</t>
        </is>
      </c>
      <c r="D19" s="23" t="inlineStr">
        <is>
          <t>%</t>
        </is>
      </c>
      <c r="E19" s="38">
        <f>IF('DEEP Score'!$E$16="","",'DEEP Score'!$E$16)</f>
        <v/>
      </c>
      <c r="F19" s="39" t="inlineStr"/>
      <c r="G19" s="26">
        <f>IF('Metrics'!$V$9="","",'Metrics'!$V$9)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43">
        <f>IF('DEEP Score'!$E$18="","",'DEEP Score'!$E$18)</f>
        <v/>
      </c>
      <c r="F21" s="44" t="inlineStr"/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25" t="inlineStr"/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5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43">
        <f>IF('DEEP Score'!$E$18="","",'DEEP Score'!$E$18)</f>
        <v/>
      </c>
      <c r="F25" s="44" t="inlineStr"/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38">
        <f>IF('DEEP Score'!$E$22="","",'DEEP Score'!$E$22)</f>
        <v/>
      </c>
      <c r="F26" s="39" t="inlineStr"/>
      <c r="G26" s="26">
        <f>IF('Metrics'!$V$12="","",'Metrics'!$V$12)</f>
        <v/>
      </c>
      <c r="H26" s="21" t="n"/>
      <c r="I26" s="27" t="n"/>
    </row>
    <row r="27">
      <c r="A27" s="46" t="inlineStr">
        <is>
          <t>Geomorphology</t>
        </is>
      </c>
      <c r="B27" s="29" t="inlineStr">
        <is>
          <t>Channel and floodplain dynamics</t>
        </is>
      </c>
      <c r="C27" s="30" t="inlineStr">
        <is>
          <t>Bank height ratio</t>
        </is>
      </c>
      <c r="D27" s="31" t="inlineStr">
        <is>
          <t>ratio</t>
        </is>
      </c>
      <c r="E27" s="32" t="n"/>
      <c r="F27" s="33" t="inlineStr"/>
      <c r="G27" s="34">
        <f>IF('Metrics'!$V$15="","",'Metrics'!$V$15)</f>
        <v/>
      </c>
      <c r="H27" s="35">
        <f>IF('Results'!$B$13="","",'Results'!$B$13)</f>
        <v/>
      </c>
      <c r="I27" s="36">
        <f>IF('DEEP Score'!$H$27="","",IF('DEEP Score'!$H$27&lt;=5,"Non-Functioning",IF('DEEP Score'!$H$27&lt;=10,"Functioning At-Risk","Functioning")))</f>
        <v/>
      </c>
    </row>
    <row r="28">
      <c r="A28" s="46" t="inlineStr">
        <is>
          <t>Geomorphology</t>
        </is>
      </c>
      <c r="B28" s="29" t="inlineStr">
        <is>
          <t>Sediment continuity</t>
        </is>
      </c>
      <c r="C28" s="30" t="inlineStr">
        <is>
          <t>Sand + fines</t>
        </is>
      </c>
      <c r="D28" s="31" t="inlineStr">
        <is>
          <t>%</t>
        </is>
      </c>
      <c r="E28" s="41">
        <f>IF('DEEP Score'!$E$23="","",'DEEP Score'!$E$23)</f>
        <v/>
      </c>
      <c r="F28" s="42" t="inlineStr"/>
      <c r="G28" s="34">
        <f>IF('Metrics'!$V$13="","",'Metrics'!$V$13)</f>
        <v/>
      </c>
      <c r="H28" s="35">
        <f>IF('Results'!$B$14="","",'Results'!$B$14)</f>
        <v/>
      </c>
      <c r="I28" s="36">
        <f>IF('DEEP Score'!$H$28="","",IF('DEEP Score'!$H$28&lt;=5,"Non-Functioning",IF('DEEP Score'!$H$28&lt;=10,"Functioning At-Risk","Functioning")))</f>
        <v/>
      </c>
    </row>
    <row r="29">
      <c r="A29" s="46" t="inlineStr">
        <is>
          <t>Geomorphology</t>
        </is>
      </c>
      <c r="B29" s="29" t="inlineStr">
        <is>
          <t>Bed composition and bedform dynamics</t>
        </is>
      </c>
      <c r="C29" s="30" t="inlineStr">
        <is>
          <t>Embeddedness</t>
        </is>
      </c>
      <c r="D29" s="31" t="inlineStr">
        <is>
          <t>%</t>
        </is>
      </c>
      <c r="E29" s="41">
        <f>IF('DEEP Score'!$E$24="","",'DEEP Score'!$E$24)</f>
        <v/>
      </c>
      <c r="F29" s="42" t="inlineStr"/>
      <c r="G29" s="34">
        <f>IF('Metrics'!$V$14="","",'Metrics'!$V$14)</f>
        <v/>
      </c>
      <c r="H29" s="35">
        <f>IF('Results'!$B$15="","",'Results'!$B$15)</f>
        <v/>
      </c>
      <c r="I29" s="36">
        <f>IF('DEEP Score'!$H$29="","",IF('DEEP Score'!$H$29&lt;=5,"Non-Functioning",IF('DEEP Score'!$H$29&lt;=10,"Functioning At-Risk","Functioning")))</f>
        <v/>
      </c>
    </row>
    <row r="30">
      <c r="A30" s="47" t="inlineStr">
        <is>
          <t>Physicochemistry</t>
        </is>
      </c>
      <c r="B30" s="12" t="inlineStr">
        <is>
          <t>Light &amp; thermal regime</t>
        </is>
      </c>
      <c r="C30" s="13" t="inlineStr">
        <is>
          <t>Canopy density, mid-channel</t>
        </is>
      </c>
      <c r="D30" s="14" t="inlineStr">
        <is>
          <t>%</t>
        </is>
      </c>
      <c r="E30" s="15" t="n"/>
      <c r="F30" s="16" t="inlineStr"/>
      <c r="G30" s="17">
        <f>IF('Metrics'!$V$16="","",'Metrics'!$V$16)</f>
        <v/>
      </c>
      <c r="H30" s="18">
        <f>IF('Results'!$B$16="","",'Results'!$B$16)</f>
        <v/>
      </c>
      <c r="I30" s="19">
        <f>IF('DEEP Score'!$H$30="","",IF('DEEP Score'!$H$30&lt;=5,"Non-Functioning",IF('DEEP Score'!$H$30&lt;=10,"Functioning At-Risk","Functioning")))</f>
        <v/>
      </c>
    </row>
    <row r="31">
      <c r="A31" s="20" t="n"/>
      <c r="B31" s="21" t="n"/>
      <c r="C31" s="22" t="inlineStr">
        <is>
          <t>Chlorophyll a</t>
        </is>
      </c>
      <c r="D31" s="23" t="inlineStr">
        <is>
          <t>ug/L</t>
        </is>
      </c>
      <c r="E31" s="24" t="n"/>
      <c r="F31" s="25" t="inlineStr"/>
      <c r="G31" s="26">
        <f>IF('Metrics'!$V$17="","",'Metrics'!$V$17)</f>
        <v/>
      </c>
      <c r="H31" s="21" t="n"/>
      <c r="I31" s="27" t="n"/>
    </row>
    <row r="32">
      <c r="A32" s="48" t="inlineStr">
        <is>
          <t>Physicochemistry</t>
        </is>
      </c>
      <c r="B32" s="29" t="inlineStr">
        <is>
          <t>Carbon processing</t>
        </is>
      </c>
      <c r="C32" s="30" t="inlineStr">
        <is>
          <t>Riparian veg cover, woody</t>
        </is>
      </c>
      <c r="D32" s="31" t="inlineStr">
        <is>
          <t>frac</t>
        </is>
      </c>
      <c r="E32" s="32" t="n"/>
      <c r="F32" s="33" t="inlineStr"/>
      <c r="G32" s="34">
        <f>IF('Metrics'!$V$18="","",'Metrics'!$V$18)</f>
        <v/>
      </c>
      <c r="H32" s="35">
        <f>IF('Results'!$B$17="","",'Results'!$B$17)</f>
        <v/>
      </c>
      <c r="I32" s="36">
        <f>IF('DEEP Score'!$H$32="","",IF('DEEP Score'!$H$32&lt;=5,"Non-Functioning",IF('DEEP Score'!$H$32&lt;=10,"Functioning At-Risk","Functioning")))</f>
        <v/>
      </c>
    </row>
    <row r="33">
      <c r="A33" s="47" t="inlineStr">
        <is>
          <t>Physicochemistry</t>
        </is>
      </c>
      <c r="B33" s="12" t="inlineStr">
        <is>
          <t>Nutrient cycling</t>
        </is>
      </c>
      <c r="C33" s="13" t="inlineStr">
        <is>
          <t>Total nitrogen</t>
        </is>
      </c>
      <c r="D33" s="14" t="inlineStr">
        <is>
          <t>mg N/L</t>
        </is>
      </c>
      <c r="E33" s="15" t="n"/>
      <c r="F33" s="16" t="inlineStr"/>
      <c r="G33" s="17">
        <f>IF('Metrics'!$V$19="","",'Metrics'!$V$19)</f>
        <v/>
      </c>
      <c r="H33" s="18">
        <f>IF('Results'!$B$18="","",'Results'!$B$18)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Total phosphorus</t>
        </is>
      </c>
      <c r="D34" s="23" t="inlineStr">
        <is>
          <t>ug/L</t>
        </is>
      </c>
      <c r="E34" s="24" t="n"/>
      <c r="F34" s="25" t="inlineStr"/>
      <c r="G34" s="26">
        <f>IF('Metrics'!$V$20="","",'Metrics'!$V$20)</f>
        <v/>
      </c>
      <c r="H34" s="21" t="n"/>
      <c r="I34" s="27" t="n"/>
    </row>
    <row r="35">
      <c r="A35" s="47" t="inlineStr">
        <is>
          <t>Physicochemistry</t>
        </is>
      </c>
      <c r="B35" s="12" t="inlineStr">
        <is>
          <t>Water &amp; soil quality</t>
        </is>
      </c>
      <c r="C35" s="13" t="inlineStr">
        <is>
          <t>Specific conductivity</t>
        </is>
      </c>
      <c r="D35" s="14" t="inlineStr">
        <is>
          <t>uS/cm</t>
        </is>
      </c>
      <c r="E35" s="15" t="n"/>
      <c r="F35" s="16" t="inlineStr"/>
      <c r="G35" s="17">
        <f>IF('Metrics'!$V$21="","",'Metrics'!$V$21)</f>
        <v/>
      </c>
      <c r="H35" s="18">
        <f>IF('Results'!$B$19="","",'Results'!$B$19)</f>
        <v/>
      </c>
      <c r="I35" s="19">
        <f>IF('DEEP Score'!$H$35="","",IF('DEEP Score'!$H$35&lt;=5,"Non-Functioning",IF('DEEP Score'!$H$35&lt;=10,"Functioning At-Risk","Functioning")))</f>
        <v/>
      </c>
    </row>
    <row r="36">
      <c r="A36" s="20" t="n"/>
      <c r="B36" s="21" t="n"/>
      <c r="C36" s="22" t="inlineStr">
        <is>
          <t>Turbidity</t>
        </is>
      </c>
      <c r="D36" s="23" t="inlineStr">
        <is>
          <t>NTU</t>
        </is>
      </c>
      <c r="E36" s="24" t="n"/>
      <c r="F36" s="25" t="inlineStr"/>
      <c r="G36" s="26">
        <f>IF('Metrics'!$V$22="","",'Metrics'!$V$22)</f>
        <v/>
      </c>
      <c r="H36" s="21" t="n"/>
      <c r="I36" s="27" t="n"/>
    </row>
    <row r="37">
      <c r="A37" s="49" t="inlineStr">
        <is>
          <t>Biology</t>
        </is>
      </c>
      <c r="B37" s="12" t="inlineStr">
        <is>
          <t>Habitat provision</t>
        </is>
      </c>
      <c r="C37" s="13" t="inlineStr">
        <is>
          <t>Natural fish cover</t>
        </is>
      </c>
      <c r="D37" s="14" t="inlineStr">
        <is>
          <t>frac</t>
        </is>
      </c>
      <c r="E37" s="15" t="n"/>
      <c r="F37" s="16" t="inlineStr"/>
      <c r="G37" s="17">
        <f>IF('Metrics'!$V$23="","",'Metrics'!$V$23)</f>
        <v/>
      </c>
      <c r="H37" s="18">
        <f>IF('Results'!$B$20="","",'Results'!$B$20)</f>
        <v/>
      </c>
      <c r="I37" s="19">
        <f>IF('DEEP Score'!$H$37="","",IF('DEEP Score'!$H$37&lt;=5,"Non-Functioning",IF('DEEP Score'!$H$37&lt;=10,"Functioning At-Risk","Functioning")))</f>
        <v/>
      </c>
    </row>
    <row r="38">
      <c r="A38" s="20" t="n"/>
      <c r="B38" s="21" t="n"/>
      <c r="C38" s="22" t="inlineStr">
        <is>
          <t>Fast-water / riffle habitat</t>
        </is>
      </c>
      <c r="D38" s="23" t="inlineStr">
        <is>
          <t>%</t>
        </is>
      </c>
      <c r="E38" s="24" t="n"/>
      <c r="F38" s="25" t="inlineStr"/>
      <c r="G38" s="26">
        <f>IF('Metrics'!$V$24="","",'Metrics'!$V$24)</f>
        <v/>
      </c>
      <c r="H38" s="21" t="n"/>
      <c r="I38" s="27" t="n"/>
    </row>
    <row r="39">
      <c r="A39" s="49" t="inlineStr">
        <is>
          <t>Biology</t>
        </is>
      </c>
      <c r="B39" s="12" t="inlineStr">
        <is>
          <t>Population support</t>
        </is>
      </c>
      <c r="C39" s="13" t="inlineStr">
        <is>
          <t>Native non-tolerant fish taxa richness</t>
        </is>
      </c>
      <c r="D39" s="14" t="inlineStr"/>
      <c r="E39" s="15" t="n"/>
      <c r="F39" s="16" t="inlineStr"/>
      <c r="G39" s="17">
        <f>IF('Metrics'!$V$25="","",'Metrics'!$V$25)</f>
        <v/>
      </c>
      <c r="H39" s="18">
        <f>IF('Results'!$B$21="","",'Results'!$B$21)</f>
        <v/>
      </c>
      <c r="I39" s="19">
        <f>IF('DEEP Score'!$H$39="","",IF('DEEP Score'!$H$39&lt;=5,"Non-Functioning",IF('DEEP Score'!$H$39&lt;=10,"Functioning At-Risk","Functioning")))</f>
        <v/>
      </c>
    </row>
    <row r="40">
      <c r="A40" s="20" t="n"/>
      <c r="B40" s="21" t="n"/>
      <c r="C40" s="22" t="inlineStr">
        <is>
          <t>Fish MMI</t>
        </is>
      </c>
      <c r="D40" s="23" t="inlineStr">
        <is>
          <t>MMI points</t>
        </is>
      </c>
      <c r="E40" s="24" t="n"/>
      <c r="F40" s="25" t="inlineStr"/>
      <c r="G40" s="26">
        <f>IF('Metrics'!$V$26="","",'Metrics'!$V$26)</f>
        <v/>
      </c>
      <c r="H40" s="21" t="n"/>
      <c r="I40" s="27" t="n"/>
    </row>
    <row r="41">
      <c r="A41" s="49" t="inlineStr">
        <is>
          <t>Biology</t>
        </is>
      </c>
      <c r="B41" s="12" t="inlineStr">
        <is>
          <t>Community dynamics</t>
        </is>
      </c>
      <c r="C41" s="13" t="inlineStr">
        <is>
          <t>EPT taxa richness</t>
        </is>
      </c>
      <c r="D41" s="14" t="inlineStr"/>
      <c r="E41" s="15" t="n"/>
      <c r="F41" s="16" t="inlineStr"/>
      <c r="G41" s="17">
        <f>IF('Metrics'!$V$27="","",'Metrics'!$V$27)</f>
        <v/>
      </c>
      <c r="H41" s="18">
        <f>IF('Results'!$B$22="","",'Results'!$B$22)</f>
        <v/>
      </c>
      <c r="I41" s="19">
        <f>IF('DEEP Score'!$H$41="","",IF('DEEP Score'!$H$41&lt;=5,"Non-Functioning",IF('DEEP Score'!$H$41&lt;=10,"Functioning At-Risk","Functioning")))</f>
        <v/>
      </c>
    </row>
    <row r="42">
      <c r="A42" s="20" t="n"/>
      <c r="B42" s="21" t="n"/>
      <c r="C42" s="22" t="inlineStr">
        <is>
          <t>Benthic macroinvertebrate MMI</t>
        </is>
      </c>
      <c r="D42" s="23" t="inlineStr">
        <is>
          <t>MMI points</t>
        </is>
      </c>
      <c r="E42" s="24" t="n"/>
      <c r="F42" s="25" t="inlineStr"/>
      <c r="G42" s="26">
        <f>IF('Metrics'!$V$28="","",'Metrics'!$V$28)</f>
        <v/>
      </c>
      <c r="H42" s="21" t="n"/>
      <c r="I42" s="27" t="n"/>
    </row>
    <row r="43">
      <c r="A43" s="50" t="inlineStr">
        <is>
          <t>Biology</t>
        </is>
      </c>
      <c r="B43" s="29" t="inlineStr">
        <is>
          <t>Watershed connectivity</t>
        </is>
      </c>
      <c r="C43" s="30" t="inlineStr">
        <is>
          <t>Mapped dams within one mile</t>
        </is>
      </c>
      <c r="D43" s="31" t="inlineStr">
        <is>
          <t>dams</t>
        </is>
      </c>
      <c r="E43" s="32" t="n"/>
      <c r="F43" s="33" t="inlineStr"/>
      <c r="G43" s="34">
        <f>IF('Metrics'!$V$29="","",'Metrics'!$V$29)</f>
        <v/>
      </c>
      <c r="H43" s="35">
        <f>IF('Results'!$B$23="","",'Results'!$B$23)</f>
        <v/>
      </c>
      <c r="I43" s="36">
        <f>IF('DEEP Score'!$H$43="","",IF('DEEP Score'!$H$43&lt;=5,"Non-Functioning",IF('DEEP Score'!$H$43&lt;=10,"Functioning At-Risk","Functioning")))</f>
        <v/>
      </c>
    </row>
    <row r="45">
      <c r="A45" s="51" t="inlineStr">
        <is>
          <t>Summary</t>
        </is>
      </c>
    </row>
    <row r="46">
      <c r="A46" s="10" t="inlineStr">
        <is>
          <t>Outcome</t>
        </is>
      </c>
      <c r="B46" s="10" t="inlineStr">
        <is>
          <t>Sub-index (0 to 1)</t>
        </is>
      </c>
      <c r="C46" s="10" t="inlineStr">
        <is>
          <t>Condition</t>
        </is>
      </c>
    </row>
    <row r="47">
      <c r="A47" s="52" t="inlineStr">
        <is>
          <t>Physical</t>
        </is>
      </c>
      <c r="B47" s="53">
        <f>'Results'!$B$26</f>
        <v/>
      </c>
      <c r="C47" s="54">
        <f>IF('DEEP Score'!$B$47&lt;=0.39,"Non-Functioning",IF('DEEP Score'!$B$47&lt;=0.69,"Functioning At-Risk","Functioning"))</f>
        <v/>
      </c>
    </row>
    <row r="48">
      <c r="A48" s="52" t="inlineStr">
        <is>
          <t>Chemical</t>
        </is>
      </c>
      <c r="B48" s="53">
        <f>'Results'!$B$27</f>
        <v/>
      </c>
      <c r="C48" s="54">
        <f>IF('DEEP Score'!$B$48&lt;=0.39,"Non-Functioning",IF('DEEP Score'!$B$48&lt;=0.69,"Functioning At-Risk","Functioning"))</f>
        <v/>
      </c>
    </row>
    <row r="49">
      <c r="A49" s="52" t="inlineStr">
        <is>
          <t>Biological</t>
        </is>
      </c>
      <c r="B49" s="53">
        <f>'Results'!$B$28</f>
        <v/>
      </c>
      <c r="C49" s="54">
        <f>IF('DEEP Score'!$B$49&lt;=0.39,"Non-Functioning",IF('DEEP Score'!$B$49&lt;=0.69,"Functioning At-Risk","Functioning"))</f>
        <v/>
      </c>
    </row>
    <row r="50" ht="30" customHeight="1">
      <c r="A50" s="55" t="inlineStr">
        <is>
          <t>Ecosystem Condition Index</t>
        </is>
      </c>
      <c r="B50" s="56">
        <f>'Results'!$B$29</f>
        <v/>
      </c>
      <c r="C50" s="54">
        <f>IF('DEEP Score'!$B$50&lt;=0.39,"Non-Functioning",IF('DEEP Score'!$B$50&lt;=0.69,"Functioning At-Risk","Functioning"))</f>
        <v/>
      </c>
    </row>
    <row r="51">
      <c r="A51" s="5" t="inlineStr">
        <is>
          <t xml:space="preserve">Functions with a score: </t>
        </is>
      </c>
      <c r="B51" s="5">
        <f>COUNT('Results'!$B$4:$B$23)&amp;" of 20"</f>
        <v/>
      </c>
    </row>
    <row r="52">
      <c r="A52" s="5" t="inlineStr">
        <is>
          <t>This assessment covers 20 of 20 STAF functions.</t>
        </is>
      </c>
    </row>
    <row r="54">
      <c r="A54" s="57" t="inlineStr">
        <is>
          <t>Withheld for insufficient reference support (not scored)</t>
        </is>
      </c>
    </row>
    <row r="55">
      <c r="A55" t="inlineStr">
        <is>
          <t>Tolerant individuals (%) ~ HBI</t>
        </is>
      </c>
      <c r="C55" s="5" t="inlineStr">
        <is>
          <t>Community dynamics</t>
        </is>
      </c>
    </row>
    <row r="56">
      <c r="A56" t="inlineStr">
        <is>
          <t>pH</t>
        </is>
      </c>
      <c r="C56" s="5" t="inlineStr">
        <is>
          <t>Water and soil quality</t>
        </is>
      </c>
    </row>
    <row r="57">
      <c r="A57" t="inlineStr">
        <is>
          <t>Relative bed stability</t>
        </is>
      </c>
      <c r="C57" s="5" t="inlineStr">
        <is>
          <t>Sediment continuity</t>
        </is>
      </c>
    </row>
    <row r="58">
      <c r="A58" t="inlineStr">
        <is>
          <t>Substrate size</t>
        </is>
      </c>
      <c r="C58" s="5" t="inlineStr">
        <is>
          <t>Bed composition and bedform dynamics</t>
        </is>
      </c>
    </row>
    <row r="59">
      <c r="A59" t="inlineStr">
        <is>
          <t>Large wood volume</t>
        </is>
      </c>
      <c r="C59" s="5" t="inlineStr">
        <is>
          <t>Bed composition and bedform dynamics</t>
        </is>
      </c>
    </row>
    <row r="60">
      <c r="A60" t="inlineStr">
        <is>
          <t>Sinuosity</t>
        </is>
      </c>
      <c r="C60" s="5" t="inlineStr">
        <is>
          <t>Channel and floodplain dynamics</t>
        </is>
      </c>
    </row>
    <row r="61">
      <c r="A61" t="inlineStr">
        <is>
          <t>Bank angle</t>
        </is>
      </c>
      <c r="C61" s="5" t="inlineStr">
        <is>
          <t>Channel and floodplain dynamics</t>
        </is>
      </c>
    </row>
    <row r="63">
      <c r="A63" s="6" t="inlineStr">
        <is>
          <t>Notes</t>
        </is>
      </c>
    </row>
    <row r="64">
      <c r="A64" s="58" t="n"/>
      <c r="B64" s="59" t="n"/>
      <c r="C64" s="59" t="n"/>
      <c r="D64" s="59" t="n"/>
      <c r="E64" s="59" t="n"/>
      <c r="F64" s="59" t="n"/>
      <c r="G64" s="59" t="n"/>
      <c r="H64" s="59" t="n"/>
      <c r="I64" s="60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1" t="n"/>
      <c r="B66" s="62" t="n"/>
      <c r="C66" s="62" t="n"/>
      <c r="D66" s="62" t="n"/>
      <c r="E66" s="62" t="n"/>
      <c r="F66" s="62" t="n"/>
      <c r="G66" s="62" t="n"/>
      <c r="H66" s="62" t="n"/>
      <c r="I66" s="63" t="n"/>
    </row>
    <row r="67">
      <c r="A67" s="61" t="n"/>
      <c r="B67" s="62" t="n"/>
      <c r="C67" s="62" t="n"/>
      <c r="D67" s="62" t="n"/>
      <c r="E67" s="62" t="n"/>
      <c r="F67" s="62" t="n"/>
      <c r="G67" s="62" t="n"/>
      <c r="H67" s="62" t="n"/>
      <c r="I67" s="63" t="n"/>
    </row>
    <row r="68">
      <c r="A68" s="61" t="n"/>
      <c r="B68" s="62" t="n"/>
      <c r="C68" s="62" t="n"/>
      <c r="D68" s="62" t="n"/>
      <c r="E68" s="62" t="n"/>
      <c r="F68" s="62" t="n"/>
      <c r="G68" s="62" t="n"/>
      <c r="H68" s="62" t="n"/>
      <c r="I68" s="63" t="n"/>
    </row>
    <row r="69">
      <c r="A69" s="64" t="n"/>
      <c r="B69" s="65" t="n"/>
      <c r="C69" s="65" t="n"/>
      <c r="D69" s="65" t="n"/>
      <c r="E69" s="65" t="n"/>
      <c r="F69" s="65" t="n"/>
      <c r="G69" s="65" t="n"/>
      <c r="H69" s="65" t="n"/>
      <c r="I69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5">
    <mergeCell ref="I30:I31"/>
    <mergeCell ref="B12:B13"/>
    <mergeCell ref="B18:B19"/>
    <mergeCell ref="B8:D8"/>
    <mergeCell ref="I16:I17"/>
    <mergeCell ref="A41:A42"/>
    <mergeCell ref="H41:H42"/>
    <mergeCell ref="A16:A17"/>
    <mergeCell ref="H21:H22"/>
    <mergeCell ref="I41:I42"/>
    <mergeCell ref="B23:B24"/>
    <mergeCell ref="H35:H36"/>
    <mergeCell ref="B39:B40"/>
    <mergeCell ref="H39:H40"/>
    <mergeCell ref="I18:I19"/>
    <mergeCell ref="I25:I26"/>
    <mergeCell ref="A12:A13"/>
    <mergeCell ref="A25:A26"/>
    <mergeCell ref="I12:I13"/>
    <mergeCell ref="B9:D9"/>
    <mergeCell ref="I21:I22"/>
    <mergeCell ref="A37:A38"/>
    <mergeCell ref="I37:I38"/>
    <mergeCell ref="I33:I34"/>
    <mergeCell ref="A18:A19"/>
    <mergeCell ref="B6:D6"/>
    <mergeCell ref="B37:B38"/>
    <mergeCell ref="A4:I4"/>
    <mergeCell ref="A21:A22"/>
    <mergeCell ref="A64:I69"/>
    <mergeCell ref="B5:D5"/>
    <mergeCell ref="I39:I40"/>
    <mergeCell ref="H16:H17"/>
    <mergeCell ref="H12:H13"/>
    <mergeCell ref="A33:A34"/>
    <mergeCell ref="B33:B34"/>
    <mergeCell ref="A23:A24"/>
    <mergeCell ref="I23:I24"/>
    <mergeCell ref="H37:H38"/>
    <mergeCell ref="B7:D7"/>
    <mergeCell ref="H18:H19"/>
    <mergeCell ref="B30:B31"/>
    <mergeCell ref="I35:I36"/>
    <mergeCell ref="A35:A36"/>
    <mergeCell ref="H30:H31"/>
    <mergeCell ref="H33:H34"/>
    <mergeCell ref="A39:A40"/>
    <mergeCell ref="B25:B26"/>
    <mergeCell ref="B41:B42"/>
    <mergeCell ref="B16:B17"/>
    <mergeCell ref="H23:H24"/>
    <mergeCell ref="H25:H26"/>
    <mergeCell ref="B21:B22"/>
    <mergeCell ref="B35:B36"/>
    <mergeCell ref="A30:A31"/>
  </mergeCells>
  <conditionalFormatting sqref="G12:G4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29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Score'!$E$18="","",'DEEP Score'!$E$18)</f>
        <v/>
      </c>
      <c r="C11" s="69">
        <f>""</f>
        <v/>
      </c>
      <c r="D11" s="69">
        <f>"spring_phab_bfwd_rat|"&amp;'Metrics'!$C$11</f>
        <v/>
      </c>
      <c r="E11" s="69">
        <f>IFERROR(MATCH('Metrics'!$D$11,curve_key,0),MATCH("spring_phab_bfwd_rat|",curve_key,0))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""</f>
        <v/>
      </c>
      <c r="D12" s="69">
        <f>"spring_phab_xbkf_h|"&amp;'Metrics'!$C$12</f>
        <v/>
      </c>
      <c r="E12" s="69">
        <f>IFERROR(MATCH('Metrics'!$D$12,curve_key,0),MATCH("spring_phab_xbkf_h|",curve_key,0))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Bank height ratio</t>
        </is>
      </c>
      <c r="B15" s="69">
        <f>IF('DEEP Score'!$E$27="","",'DEEP Score'!$E$27)</f>
        <v/>
      </c>
      <c r="C15" s="69">
        <f>""</f>
        <v/>
      </c>
      <c r="D15" s="69">
        <f>"spring_bank_height_ratio|"&amp;'Metrics'!$C$15</f>
        <v/>
      </c>
      <c r="E15" s="69">
        <f>IFERROR(MATCH('Metrics'!$D$15,curve_key,0),MATCH("spring_bank_height_ratio|",curve_key,0))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Canopy density, mid-channel</t>
        </is>
      </c>
      <c r="B16" s="69">
        <f>IF('DEEP Score'!$E$30="","",'DEEP Score'!$E$30)</f>
        <v/>
      </c>
      <c r="C16" s="69">
        <f>""</f>
        <v/>
      </c>
      <c r="D16" s="69">
        <f>"spring_phab_xcdenmid|"&amp;'Metrics'!$C$16</f>
        <v/>
      </c>
      <c r="E16" s="69">
        <f>IFERROR(MATCH('Metrics'!$D$16,curve_key,0),MATCH("spring_phab_xcdenmid|",curve_key,0))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Chlorophyll a</t>
        </is>
      </c>
      <c r="B17" s="69">
        <f>IF('DEEP Score'!$E$31="","",'DEEP Score'!$E$31)</f>
        <v/>
      </c>
      <c r="C17" s="69">
        <f>""</f>
        <v/>
      </c>
      <c r="D17" s="69">
        <f>"spring_chem_chla|"&amp;'Metrics'!$C$17</f>
        <v/>
      </c>
      <c r="E17" s="69">
        <f>IFERROR(MATCH('Metrics'!$D$17,curve_key,0),MATCH("spring_chem_chla|",curve_key,0))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Riparian veg cover, woody</t>
        </is>
      </c>
      <c r="B18" s="69">
        <f>IF('DEEP Score'!$E$32="","",'DEEP Score'!$E$32)</f>
        <v/>
      </c>
      <c r="C18" s="69">
        <f>""</f>
        <v/>
      </c>
      <c r="D18" s="69">
        <f>"spring_phab_xcmgw|"&amp;'Metrics'!$C$18</f>
        <v/>
      </c>
      <c r="E18" s="69">
        <f>IFERROR(MATCH('Metrics'!$D$18,curve_key,0),MATCH("spring_phab_xcmgw|",curve_key,0))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Total nitrogen</t>
        </is>
      </c>
      <c r="B19" s="69">
        <f>IF('DEEP Score'!$E$33="","",'DEEP Score'!$E$33)</f>
        <v/>
      </c>
      <c r="C19" s="69">
        <f>""</f>
        <v/>
      </c>
      <c r="D19" s="69">
        <f>"spring_chem_ntl|"&amp;'Metrics'!$C$19</f>
        <v/>
      </c>
      <c r="E19" s="69">
        <f>IFERROR(MATCH('Metrics'!$D$19,curve_key,0),MATCH("spring_chem_ntl|",curve_key,0))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Total phosphorus</t>
        </is>
      </c>
      <c r="B20" s="69">
        <f>IF('DEEP Score'!$E$34="","",'DEEP Score'!$E$34)</f>
        <v/>
      </c>
      <c r="C20" s="69">
        <f>""</f>
        <v/>
      </c>
      <c r="D20" s="69">
        <f>"spring_chem_ptl|"&amp;'Metrics'!$C$20</f>
        <v/>
      </c>
      <c r="E20" s="69">
        <f>IFERROR(MATCH('Metrics'!$D$20,curve_key,0),MATCH("spring_chem_ptl|",curve_key,0))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Specific conductivity</t>
        </is>
      </c>
      <c r="B21" s="69">
        <f>IF('DEEP Score'!$E$35="","",'DEEP Score'!$E$35)</f>
        <v/>
      </c>
      <c r="C21" s="69">
        <f>""</f>
        <v/>
      </c>
      <c r="D21" s="69">
        <f>"spring_chem_cond|"&amp;'Metrics'!$C$21</f>
        <v/>
      </c>
      <c r="E21" s="69">
        <f>IFERROR(MATCH('Metrics'!$D$21,curve_key,0),MATCH("spring_chem_cond|",curve_key,0))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Turbidity</t>
        </is>
      </c>
      <c r="B22" s="69">
        <f>IF('DEEP Score'!$E$36="","",'DEEP Score'!$E$36)</f>
        <v/>
      </c>
      <c r="C22" s="69">
        <f>""</f>
        <v/>
      </c>
      <c r="D22" s="69">
        <f>"spring_chem_turb|"&amp;'Metrics'!$C$22</f>
        <v/>
      </c>
      <c r="E22" s="69">
        <f>IFERROR(MATCH('Metrics'!$D$22,curve_key,0),MATCH("spring_chem_turb|",curve_key,0))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Natural fish cover</t>
        </is>
      </c>
      <c r="B23" s="69">
        <f>IF('DEEP Score'!$E$37="","",'DEEP Score'!$E$37)</f>
        <v/>
      </c>
      <c r="C23" s="69">
        <f>""</f>
        <v/>
      </c>
      <c r="D23" s="69">
        <f>"spring_phab_xfc_nat|"&amp;'Metrics'!$C$23</f>
        <v/>
      </c>
      <c r="E23" s="69">
        <f>IFERROR(MATCH('Metrics'!$D$23,curve_key,0),MATCH("spring_phab_xfc_nat|",curve_key,0))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Fast-water / riffle habitat</t>
        </is>
      </c>
      <c r="B24" s="69">
        <f>IF('DEEP Score'!$E$38="","",'DEEP Score'!$E$38)</f>
        <v/>
      </c>
      <c r="C24" s="69">
        <f>""</f>
        <v/>
      </c>
      <c r="D24" s="69">
        <f>"spring_phab_pct_fast|"&amp;'Metrics'!$C$24</f>
        <v/>
      </c>
      <c r="E24" s="69">
        <f>IFERROR(MATCH('Metrics'!$D$24,curve_key,0),MATCH("spring_phab_pct_fast|",curve_key,0))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Native non-tolerant fish taxa richness</t>
        </is>
      </c>
      <c r="B25" s="69">
        <f>IF('DEEP Score'!$E$39="","",'DEEP Score'!$E$39)</f>
        <v/>
      </c>
      <c r="C25" s="69">
        <f>""</f>
        <v/>
      </c>
      <c r="D25" s="69">
        <f>"spring_fish_nat_ntolntax|"&amp;'Metrics'!$C$25</f>
        <v/>
      </c>
      <c r="E25" s="69">
        <f>IFERROR(MATCH('Metrics'!$D$25,curve_key,0),MATCH("spring_fish_nat_ntolntax|",curve_key,0))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Fish MMI</t>
        </is>
      </c>
      <c r="B26" s="69">
        <f>IF('DEEP Score'!$E$40="","",'DEEP Score'!$E$40)</f>
        <v/>
      </c>
      <c r="C26" s="69">
        <f>""</f>
        <v/>
      </c>
      <c r="D26" s="69">
        <f>"spring_fish_mmi_fish|"&amp;'Metrics'!$C$26</f>
        <v/>
      </c>
      <c r="E26" s="69">
        <f>IFERROR(MATCH('Metrics'!$D$26,curve_key,0),MATCH("spring_fish_mmi_fish|",curve_key,0))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EPT taxa richness</t>
        </is>
      </c>
      <c r="B27" s="69">
        <f>IF('DEEP Score'!$E$41="","",'DEEP Score'!$E$41)</f>
        <v/>
      </c>
      <c r="C27" s="69">
        <f>""</f>
        <v/>
      </c>
      <c r="D27" s="69">
        <f>"spring_bent_ept_ntax|"&amp;'Metrics'!$C$27</f>
        <v/>
      </c>
      <c r="E27" s="69">
        <f>IFERROR(MATCH('Metrics'!$D$27,curve_key,0),MATCH("spring_bent_ept_ntax|",curve_key,0))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Benthic macroinvertebrate MMI</t>
        </is>
      </c>
      <c r="B28" s="69">
        <f>IF('DEEP Score'!$E$42="","",'DEEP Score'!$E$42)</f>
        <v/>
      </c>
      <c r="C28" s="69">
        <f>""</f>
        <v/>
      </c>
      <c r="D28" s="69">
        <f>"spring_bent_mmi_bent|"&amp;'Metrics'!$C$28</f>
        <v/>
      </c>
      <c r="E28" s="69">
        <f>IFERROR(MATCH('Metrics'!$D$28,curve_key,0),MATCH("spring_bent_mmi_bent|",curve_key,0))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Mapped dams within one mile</t>
        </is>
      </c>
      <c r="B29" s="69">
        <f>IF('DEEP Score'!$E$43="","",'DEEP Score'!$E$43)</f>
        <v/>
      </c>
      <c r="C29" s="69">
        <f>""</f>
        <v/>
      </c>
      <c r="D29" s="69">
        <f>"spring_nid_dams_1mi|"&amp;'Metrics'!$C$29</f>
        <v/>
      </c>
      <c r="E29" s="69">
        <f>IFERROR(MATCH('Metrics'!$D$29,curve_key,0),MATCH("spring_nid_dams_1mi|",curve_key,0))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Score'!G27:G27)=0,"",SUM('DEEP Score'!G27:G27)/COUNT('DEEP Score'!G27:G27)*15)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Score'!G28:G28)=0,"",SUM('DEEP Score'!G28:G28)/COUNT('DEEP Score'!G28:G28)*15)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Score'!G29:G29)=0,"",SUM('DEEP Score'!G29:G29)/COUNT('DEEP Score'!G29:G29)*15)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Score'!G30:G31)=0,"",SUM('DEEP Score'!G30:G31)/COUNT('DEEP Score'!G30:G31)*15)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Score'!G32:G32)=0,"",SUM('DEEP Score'!G32:G32)/COUNT('DEEP Score'!G32:G32)*15)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Score'!G33:G34)=0,"",SUM('DEEP Score'!G33:G34)/COUNT('DEEP Score'!G33:G34)*15)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Score'!G35:G36)=0,"",SUM('DEEP Score'!G35:G36)/COUNT('DEEP Score'!G35:G36)*15)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Score'!G37:G38)=0,"",SUM('DEEP Score'!G37:G38)/COUNT('DEEP Score'!G37:G38)*15)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Score'!G39:G40)=0,"",SUM('DEEP Score'!G39:G40)/COUNT('DEEP Score'!G39:G40)*15)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Score'!G41:G42)=0,"",SUM('DEEP Score'!G41:G42)/COUNT('DEEP Score'!G41:G42)*15)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Score'!G43:G43)=0,"",SUM('DEEP Score'!G43:G43)/COUNT('DEEP Score'!G43:G43)*15)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38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0.37 of evaluation regions; two thirds required; net optimism +0.11, at most 0.05 allowed); confidence capped at 39.</t>
        </is>
      </c>
      <c r="G9" s="68" t="n">
        <v>0</v>
      </c>
      <c r="H9" s="68" t="n">
        <v>25.90011428571428</v>
      </c>
      <c r="I9" s="68" t="n">
        <v>60.4336</v>
      </c>
      <c r="J9" s="68" t="n">
        <v>70.7122</v>
      </c>
      <c r="K9" s="68" t="n">
        <v>75.85149999999999</v>
      </c>
      <c r="L9" s="68" t="n">
        <v>75.85149999999999</v>
      </c>
      <c r="M9" s="68" t="n">
        <v>75.85149999999999</v>
      </c>
      <c r="N9" s="68" t="n">
        <v>75.85149999999999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/>
      <c r="E11" s="68" t="n">
        <v>7</v>
      </c>
      <c r="F11" s="68" t="inlineStr">
        <is>
          <t>10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8" t="n">
        <v>0</v>
      </c>
      <c r="H11" s="68" t="n">
        <v>1.629520058631897</v>
      </c>
      <c r="I11" s="68" t="n">
        <v>4.337102890014648</v>
      </c>
      <c r="J11" s="68" t="n">
        <v>12.07305383682251</v>
      </c>
      <c r="K11" s="68" t="n">
        <v>14.78063666820526</v>
      </c>
      <c r="L11" s="68" t="n">
        <v>19.80900478363037</v>
      </c>
      <c r="M11" s="68" t="n">
        <v>27.54495573043823</v>
      </c>
      <c r="N11" s="68" t="n">
        <v>27.54495573043823</v>
      </c>
      <c r="O11" s="68" t="n">
        <v>0</v>
      </c>
      <c r="P11" s="68" t="n">
        <v>0.7</v>
      </c>
      <c r="Q11" s="68" t="n">
        <v>1</v>
      </c>
      <c r="R11" s="68" t="n">
        <v>1</v>
      </c>
      <c r="S11" s="68" t="n">
        <v>0.7</v>
      </c>
      <c r="T11" s="68" t="n">
        <v>0.3</v>
      </c>
      <c r="U11" s="68" t="n">
        <v>0</v>
      </c>
      <c r="V11" s="68" t="n">
        <v>0</v>
      </c>
    </row>
    <row r="12">
      <c r="A12" s="68" t="inlineStr">
        <is>
          <t>spring_phab_xbkf_h|</t>
        </is>
      </c>
      <c r="B12" s="68" t="inlineStr">
        <is>
          <t>spring-phab-xbkf-h</t>
        </is>
      </c>
      <c r="C12" s="68" t="inlineStr">
        <is>
          <t>Bankfull height above channel</t>
        </is>
      </c>
      <c r="D12" s="68" t="inlineStr"/>
      <c r="E12" s="68" t="n">
        <v>8</v>
      </c>
      <c r="F12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required; net optimism +0.10, at most 0.05 allowed); confidence capped at 39.</t>
        </is>
      </c>
      <c r="G12" s="68" t="n">
        <v>0</v>
      </c>
      <c r="H12" s="68" t="n">
        <v>0.1009090542793274</v>
      </c>
      <c r="I12" s="68" t="n">
        <v>0.3780454248189926</v>
      </c>
      <c r="J12" s="68" t="n">
        <v>0.5272727012634277</v>
      </c>
      <c r="K12" s="68" t="n">
        <v>0.9536363482475281</v>
      </c>
      <c r="L12" s="68" t="n">
        <v>1.102863624691963</v>
      </c>
      <c r="M12" s="68" t="n">
        <v>1.379999995231628</v>
      </c>
      <c r="N12" s="68" t="n">
        <v>1.806363642215729</v>
      </c>
      <c r="O12" s="68" t="n">
        <v>0</v>
      </c>
      <c r="P12" s="68" t="n">
        <v>0.3</v>
      </c>
      <c r="Q12" s="68" t="n">
        <v>0.7</v>
      </c>
      <c r="R12" s="68" t="n">
        <v>1</v>
      </c>
      <c r="S12" s="68" t="n">
        <v>1</v>
      </c>
      <c r="T12" s="68" t="n">
        <v>0.7</v>
      </c>
      <c r="U12" s="68" t="n">
        <v>0.3</v>
      </c>
      <c r="V12" s="68" t="n">
        <v>0</v>
      </c>
    </row>
    <row r="13">
      <c r="A13" s="68" t="inlineStr">
        <is>
          <t>spring_phab_pct_safn|</t>
        </is>
      </c>
      <c r="B13" s="68" t="inlineStr">
        <is>
          <t>spring-phab-pct-safn</t>
        </is>
      </c>
      <c r="C13" s="68" t="inlineStr">
        <is>
          <t>Sand + fines</t>
        </is>
      </c>
      <c r="D13" s="68" t="inlineStr"/>
      <c r="E13" s="68" t="n">
        <v>4</v>
      </c>
      <c r="F13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0.47 of evaluation regions; two thirds required; net optimism +0.10, at most 0.05 allowed); confidence capped at 39.</t>
        </is>
      </c>
      <c r="G13" s="68" t="n">
        <v>0</v>
      </c>
      <c r="H13" s="68" t="n">
        <v>21.4285717010498</v>
      </c>
      <c r="I13" s="68" t="n">
        <v>88.09523773193359</v>
      </c>
      <c r="J13" s="68" t="n">
        <v>100</v>
      </c>
      <c r="K13" s="68" t="n">
        <v>100</v>
      </c>
      <c r="L13" s="68" t="n">
        <v>100</v>
      </c>
      <c r="M13" s="68" t="n">
        <v>100</v>
      </c>
      <c r="N13" s="68" t="n">
        <v>100</v>
      </c>
      <c r="O13" s="68" t="n">
        <v>1</v>
      </c>
      <c r="P13" s="68" t="n">
        <v>1</v>
      </c>
      <c r="Q13" s="68" t="n">
        <v>0.7</v>
      </c>
      <c r="R13" s="68" t="n">
        <v>0</v>
      </c>
      <c r="S13" s="68" t="n">
        <v>0</v>
      </c>
      <c r="T13" s="68" t="n">
        <v>0</v>
      </c>
      <c r="U13" s="68" t="n">
        <v>0</v>
      </c>
      <c r="V13" s="68" t="n">
        <v>0</v>
      </c>
    </row>
    <row r="14">
      <c r="A14" s="68" t="inlineStr">
        <is>
          <t>spring_phab_xembed|</t>
        </is>
      </c>
      <c r="B14" s="68" t="inlineStr">
        <is>
          <t>spring-phab-xembed</t>
        </is>
      </c>
      <c r="C14" s="68" t="inlineStr">
        <is>
          <t>Embeddedness</t>
        </is>
      </c>
      <c r="D14" s="68" t="inlineStr"/>
      <c r="E14" s="68" t="n">
        <v>4</v>
      </c>
      <c r="F14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0.63 of evaluation regions; two thirds required; net optimism +0.07, at most 0.05 allowed); confidence capped at 39.</t>
        </is>
      </c>
      <c r="G14" s="68" t="n">
        <v>0</v>
      </c>
      <c r="H14" s="68" t="n">
        <v>24.27272796630859</v>
      </c>
      <c r="I14" s="68" t="n">
        <v>74.45454788208008</v>
      </c>
      <c r="J14" s="68" t="n">
        <v>100</v>
      </c>
      <c r="K14" s="68" t="n">
        <v>100</v>
      </c>
      <c r="L14" s="68" t="n">
        <v>100</v>
      </c>
      <c r="M14" s="68" t="n">
        <v>100</v>
      </c>
      <c r="N14" s="68" t="n">
        <v>100</v>
      </c>
      <c r="O14" s="68" t="n">
        <v>1</v>
      </c>
      <c r="P14" s="68" t="n">
        <v>1</v>
      </c>
      <c r="Q14" s="68" t="n">
        <v>0.7</v>
      </c>
      <c r="R14" s="68" t="n">
        <v>0</v>
      </c>
      <c r="S14" s="68" t="n">
        <v>0</v>
      </c>
      <c r="T14" s="68" t="n">
        <v>0</v>
      </c>
      <c r="U14" s="68" t="n">
        <v>0</v>
      </c>
      <c r="V14" s="68" t="n">
        <v>0</v>
      </c>
    </row>
    <row r="15">
      <c r="A15" s="68" t="inlineStr">
        <is>
          <t>spring_bank_height_ratio|</t>
        </is>
      </c>
      <c r="B15" s="68" t="inlineStr">
        <is>
          <t>spring-bank-height-ratio</t>
        </is>
      </c>
      <c r="C15" s="68" t="inlineStr">
        <is>
          <t>Bank height ratio</t>
        </is>
      </c>
      <c r="D15" s="68" t="inlineStr"/>
      <c r="E15" s="68" t="n">
        <v>4</v>
      </c>
      <c r="F15" s="68" t="inlineStr">
        <is>
          <t>Adopted from EASI's national screening method (provisional)</t>
        </is>
      </c>
      <c r="G15" s="68" t="n">
        <v>1</v>
      </c>
      <c r="H15" s="68" t="n">
        <v>1.305</v>
      </c>
      <c r="I15" s="68" t="n">
        <v>1.505</v>
      </c>
      <c r="J15" s="68" t="n">
        <v>1.765</v>
      </c>
      <c r="K15" s="68" t="n">
        <v>1.765</v>
      </c>
      <c r="L15" s="68" t="n">
        <v>1.765</v>
      </c>
      <c r="M15" s="68" t="n">
        <v>1.765</v>
      </c>
      <c r="N15" s="68" t="n">
        <v>1.765</v>
      </c>
      <c r="O15" s="68" t="n">
        <v>1</v>
      </c>
      <c r="P15" s="68" t="n">
        <v>0.6899999999999999</v>
      </c>
      <c r="Q15" s="68" t="n">
        <v>0.39</v>
      </c>
      <c r="R15" s="68" t="n">
        <v>0</v>
      </c>
      <c r="S15" s="68" t="n">
        <v>0</v>
      </c>
      <c r="T15" s="68" t="n">
        <v>0</v>
      </c>
      <c r="U15" s="68" t="n">
        <v>0</v>
      </c>
      <c r="V15" s="68" t="n">
        <v>0</v>
      </c>
    </row>
    <row r="16">
      <c r="A16" s="68" t="inlineStr">
        <is>
          <t>spring_phab_xcdenmid|</t>
        </is>
      </c>
      <c r="B16" s="68" t="inlineStr">
        <is>
          <t>spring-phab-xcdenmid</t>
        </is>
      </c>
      <c r="C16" s="68" t="inlineStr">
        <is>
          <t>Canopy density, mid-channel</t>
        </is>
      </c>
      <c r="D16" s="68" t="inlineStr"/>
      <c r="E16" s="68" t="n">
        <v>5</v>
      </c>
      <c r="F16" s="68" t="inlineStr">
        <is>
          <t>28 least-disturbed stations borrowed from Level II ecoregion 9.3 (West-Central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16" s="68" t="n">
        <v>0</v>
      </c>
      <c r="H16" s="68" t="n">
        <v>2.291825805391584</v>
      </c>
      <c r="I16" s="68" t="n">
        <v>5.347593545913696</v>
      </c>
      <c r="J16" s="68" t="n">
        <v>46.65775299072266</v>
      </c>
      <c r="K16" s="68" t="n">
        <v>67.31283271312714</v>
      </c>
      <c r="L16" s="68" t="n">
        <v>67.31283271312714</v>
      </c>
      <c r="M16" s="68" t="n">
        <v>67.31283271312714</v>
      </c>
      <c r="N16" s="68" t="n">
        <v>67.31283271312714</v>
      </c>
      <c r="O16" s="68" t="n">
        <v>0</v>
      </c>
      <c r="P16" s="68" t="n">
        <v>0.3</v>
      </c>
      <c r="Q16" s="68" t="n">
        <v>0.7</v>
      </c>
      <c r="R16" s="68" t="n">
        <v>1</v>
      </c>
      <c r="S16" s="68" t="n">
        <v>1</v>
      </c>
      <c r="T16" s="68" t="n">
        <v>1</v>
      </c>
      <c r="U16" s="68" t="n">
        <v>1</v>
      </c>
      <c r="V16" s="68" t="n">
        <v>1</v>
      </c>
    </row>
    <row r="17">
      <c r="A17" s="68" t="inlineStr">
        <is>
          <t>spring_chem_chla|</t>
        </is>
      </c>
      <c r="B17" s="68" t="inlineStr">
        <is>
          <t>spring-chem-chla</t>
        </is>
      </c>
      <c r="C17" s="68" t="inlineStr">
        <is>
          <t>Chlorophyll a</t>
        </is>
      </c>
      <c r="D17" s="68" t="inlineStr"/>
      <c r="E17" s="68" t="n">
        <v>5</v>
      </c>
      <c r="F17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required); confidence capped at 39.</t>
        </is>
      </c>
      <c r="G17" s="68" t="n">
        <v>0.3352499976754189</v>
      </c>
      <c r="H17" s="68" t="n">
        <v>0.9834999889135361</v>
      </c>
      <c r="I17" s="68" t="n">
        <v>2.279999971389771</v>
      </c>
      <c r="J17" s="68" t="n">
        <v>4.224749945104122</v>
      </c>
      <c r="K17" s="68" t="n">
        <v>5.521249927580357</v>
      </c>
      <c r="L17" s="68" t="n">
        <v>5.521249927580357</v>
      </c>
      <c r="M17" s="68" t="n">
        <v>5.521249927580357</v>
      </c>
      <c r="N17" s="68" t="n">
        <v>5.521249927580357</v>
      </c>
      <c r="O17" s="68" t="n">
        <v>1</v>
      </c>
      <c r="P17" s="68" t="n">
        <v>1</v>
      </c>
      <c r="Q17" s="68" t="n">
        <v>0.7</v>
      </c>
      <c r="R17" s="68" t="n">
        <v>0.3</v>
      </c>
      <c r="S17" s="68" t="n">
        <v>0</v>
      </c>
      <c r="T17" s="68" t="n">
        <v>0</v>
      </c>
      <c r="U17" s="68" t="n">
        <v>0</v>
      </c>
      <c r="V17" s="68" t="n">
        <v>0</v>
      </c>
    </row>
    <row r="18">
      <c r="A18" s="68" t="inlineStr">
        <is>
          <t>spring_phab_xcmgw|</t>
        </is>
      </c>
      <c r="B18" s="68" t="inlineStr">
        <is>
          <t>spring-phab-xcmgw</t>
        </is>
      </c>
      <c r="C18" s="68" t="inlineStr">
        <is>
          <t>Riparian veg cover, woody</t>
        </is>
      </c>
      <c r="D18" s="68" t="inlineStr"/>
      <c r="E18" s="68" t="n">
        <v>5</v>
      </c>
      <c r="F18" s="68" t="inlineStr">
        <is>
          <t>29 least-disturbed stations borrowed from Level II ecoregion 9.3 (West-Central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+0.10, at most 0.05 allowed); confidence capped at 39.</t>
        </is>
      </c>
      <c r="G18" s="68" t="n">
        <v>0</v>
      </c>
      <c r="H18" s="68" t="n">
        <v>0.0769480551992144</v>
      </c>
      <c r="I18" s="68" t="n">
        <v>0.1795454621315002</v>
      </c>
      <c r="J18" s="68" t="n">
        <v>0.6363636255264282</v>
      </c>
      <c r="K18" s="68" t="n">
        <v>0.8647727072238922</v>
      </c>
      <c r="L18" s="68" t="n">
        <v>0.8647727072238922</v>
      </c>
      <c r="M18" s="68" t="n">
        <v>0.8647727072238922</v>
      </c>
      <c r="N18" s="68" t="n">
        <v>0.8647727072238922</v>
      </c>
      <c r="O18" s="68" t="n">
        <v>0</v>
      </c>
      <c r="P18" s="68" t="n">
        <v>0.3</v>
      </c>
      <c r="Q18" s="68" t="n">
        <v>0.7</v>
      </c>
      <c r="R18" s="68" t="n">
        <v>1</v>
      </c>
      <c r="S18" s="68" t="n">
        <v>1</v>
      </c>
      <c r="T18" s="68" t="n">
        <v>1</v>
      </c>
      <c r="U18" s="68" t="n">
        <v>1</v>
      </c>
      <c r="V18" s="68" t="n">
        <v>1</v>
      </c>
    </row>
    <row r="19">
      <c r="A19" s="68" t="inlineStr">
        <is>
          <t>spring_chem_ntl|</t>
        </is>
      </c>
      <c r="B19" s="68" t="inlineStr">
        <is>
          <t>spring-chem-ntl</t>
        </is>
      </c>
      <c r="C19" s="68" t="inlineStr">
        <is>
          <t>Total nitrogen</t>
        </is>
      </c>
      <c r="D19" s="68" t="inlineStr"/>
      <c r="E19" s="68" t="n">
        <v>4</v>
      </c>
      <c r="F19" s="68" t="inlineStr">
        <is>
          <t>Scored against a published criterion rather than against stations from this ecoregion. The criterion carries its own definition of reference, which need not match this assessment's.</t>
        </is>
      </c>
      <c r="G19" s="68" t="n">
        <v>0</v>
      </c>
      <c r="H19" s="68" t="n">
        <v>0.5815</v>
      </c>
      <c r="I19" s="68" t="n">
        <v>1.069</v>
      </c>
      <c r="J19" s="68" t="n">
        <v>1.70275</v>
      </c>
      <c r="K19" s="68" t="n">
        <v>1.70275</v>
      </c>
      <c r="L19" s="68" t="n">
        <v>1.70275</v>
      </c>
      <c r="M19" s="68" t="n">
        <v>1.70275</v>
      </c>
      <c r="N19" s="68" t="n">
        <v>1.70275</v>
      </c>
      <c r="O19" s="68" t="n">
        <v>1</v>
      </c>
      <c r="P19" s="68" t="n">
        <v>0.6899999999999999</v>
      </c>
      <c r="Q19" s="68" t="n">
        <v>0.39</v>
      </c>
      <c r="R19" s="68" t="n">
        <v>0</v>
      </c>
      <c r="S19" s="68" t="n">
        <v>0</v>
      </c>
      <c r="T19" s="68" t="n">
        <v>0</v>
      </c>
      <c r="U19" s="68" t="n">
        <v>0</v>
      </c>
      <c r="V19" s="68" t="n">
        <v>0</v>
      </c>
    </row>
    <row r="20">
      <c r="A20" s="68" t="inlineStr">
        <is>
          <t>spring_chem_ptl|</t>
        </is>
      </c>
      <c r="B20" s="68" t="inlineStr">
        <is>
          <t>spring-chem-ptl</t>
        </is>
      </c>
      <c r="C20" s="68" t="inlineStr">
        <is>
          <t>Total phosphorus</t>
        </is>
      </c>
      <c r="D20" s="68" t="inlineStr"/>
      <c r="E20" s="68" t="n">
        <v>4</v>
      </c>
      <c r="F20" s="68" t="inlineStr">
        <is>
          <t>Scored against a published criterion rather than against stations from this ecoregion. The criterion carries its own definition of reference, which need not match this assessment's.</t>
        </is>
      </c>
      <c r="G20" s="68" t="n">
        <v>0</v>
      </c>
      <c r="H20" s="68" t="n">
        <v>55.85</v>
      </c>
      <c r="I20" s="68" t="n">
        <v>127</v>
      </c>
      <c r="J20" s="68" t="n">
        <v>219.495</v>
      </c>
      <c r="K20" s="68" t="n">
        <v>219.495</v>
      </c>
      <c r="L20" s="68" t="n">
        <v>219.495</v>
      </c>
      <c r="M20" s="68" t="n">
        <v>219.495</v>
      </c>
      <c r="N20" s="68" t="n">
        <v>219.495</v>
      </c>
      <c r="O20" s="68" t="n">
        <v>1</v>
      </c>
      <c r="P20" s="68" t="n">
        <v>0.6899999999999999</v>
      </c>
      <c r="Q20" s="68" t="n">
        <v>0.39</v>
      </c>
      <c r="R20" s="68" t="n">
        <v>0</v>
      </c>
      <c r="S20" s="68" t="n">
        <v>0</v>
      </c>
      <c r="T20" s="68" t="n">
        <v>0</v>
      </c>
      <c r="U20" s="68" t="n">
        <v>0</v>
      </c>
      <c r="V20" s="68" t="n">
        <v>0</v>
      </c>
    </row>
    <row r="21">
      <c r="A21" s="68" t="inlineStr">
        <is>
          <t>spring_chem_cond|</t>
        </is>
      </c>
      <c r="B21" s="68" t="inlineStr">
        <is>
          <t>spring-chem-cond</t>
        </is>
      </c>
      <c r="C21" s="68" t="inlineStr">
        <is>
          <t>Specific conductivity</t>
        </is>
      </c>
      <c r="D21" s="68" t="inlineStr"/>
      <c r="E21" s="68" t="n">
        <v>4</v>
      </c>
      <c r="F21" s="68" t="inlineStr">
        <is>
          <t>Scored against a published criterion rather than against stations from this ecoregion. The criterion carries its own definition of reference, which need not match this assessment's.</t>
        </is>
      </c>
      <c r="G21" s="68" t="n">
        <v>0</v>
      </c>
      <c r="H21" s="68" t="n">
        <v>1000.05</v>
      </c>
      <c r="I21" s="68" t="n">
        <v>2000.05</v>
      </c>
      <c r="J21" s="68" t="n">
        <v>3300.05</v>
      </c>
      <c r="K21" s="68" t="n">
        <v>3300.05</v>
      </c>
      <c r="L21" s="68" t="n">
        <v>3300.05</v>
      </c>
      <c r="M21" s="68" t="n">
        <v>3300.05</v>
      </c>
      <c r="N21" s="68" t="n">
        <v>3300.05</v>
      </c>
      <c r="O21" s="68" t="n">
        <v>1</v>
      </c>
      <c r="P21" s="68" t="n">
        <v>0.6899999999999999</v>
      </c>
      <c r="Q21" s="68" t="n">
        <v>0.39</v>
      </c>
      <c r="R21" s="68" t="n">
        <v>0</v>
      </c>
      <c r="S21" s="68" t="n">
        <v>0</v>
      </c>
      <c r="T21" s="68" t="n">
        <v>0</v>
      </c>
      <c r="U21" s="68" t="n">
        <v>0</v>
      </c>
      <c r="V21" s="68" t="n">
        <v>0</v>
      </c>
    </row>
    <row r="22">
      <c r="A22" s="68" t="inlineStr">
        <is>
          <t>spring_chem_turb|</t>
        </is>
      </c>
      <c r="B22" s="68" t="inlineStr">
        <is>
          <t>spring-chem-turb</t>
        </is>
      </c>
      <c r="C22" s="68" t="inlineStr">
        <is>
          <t>Turbidity</t>
        </is>
      </c>
      <c r="D22" s="68" t="inlineStr"/>
      <c r="E22" s="68" t="n">
        <v>5</v>
      </c>
      <c r="F22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required; net optimism +0.06, at most 0.05 allowed); confidence capped at 39.</t>
        </is>
      </c>
      <c r="G22" s="68" t="n">
        <v>0</v>
      </c>
      <c r="H22" s="68" t="n">
        <v>0.239999994635582</v>
      </c>
      <c r="I22" s="68" t="n">
        <v>2.659999907016754</v>
      </c>
      <c r="J22" s="68" t="n">
        <v>6.289999775588512</v>
      </c>
      <c r="K22" s="68" t="n">
        <v>8.709999687969685</v>
      </c>
      <c r="L22" s="68" t="n">
        <v>8.709999687969685</v>
      </c>
      <c r="M22" s="68" t="n">
        <v>8.709999687969685</v>
      </c>
      <c r="N22" s="68" t="n">
        <v>8.709999687969685</v>
      </c>
      <c r="O22" s="68" t="n">
        <v>1</v>
      </c>
      <c r="P22" s="68" t="n">
        <v>1</v>
      </c>
      <c r="Q22" s="68" t="n">
        <v>0.7</v>
      </c>
      <c r="R22" s="68" t="n">
        <v>0.3</v>
      </c>
      <c r="S22" s="68" t="n">
        <v>0</v>
      </c>
      <c r="T22" s="68" t="n">
        <v>0</v>
      </c>
      <c r="U22" s="68" t="n">
        <v>0</v>
      </c>
      <c r="V22" s="68" t="n">
        <v>0</v>
      </c>
    </row>
    <row r="23">
      <c r="A23" s="68" t="inlineStr">
        <is>
          <t>spring_phab_xfc_nat|</t>
        </is>
      </c>
      <c r="B23" s="68" t="inlineStr">
        <is>
          <t>spring-phab-xfc-nat</t>
        </is>
      </c>
      <c r="C23" s="68" t="inlineStr">
        <is>
          <t>Natural fish cover</t>
        </is>
      </c>
      <c r="D23" s="68" t="inlineStr"/>
      <c r="E23" s="68" t="n">
        <v>5</v>
      </c>
      <c r="F23" s="68" t="inlineStr">
        <is>
          <t>29 least-disturbed stations borrowed from Level II ecoregion 9.3 (West-Central Semi-Arid Prairies)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23" s="68" t="n">
        <v>0</v>
      </c>
      <c r="H23" s="68" t="n">
        <v>0.07792208024433681</v>
      </c>
      <c r="I23" s="68" t="n">
        <v>0.1818181872367859</v>
      </c>
      <c r="J23" s="68" t="n">
        <v>0.4000000059604645</v>
      </c>
      <c r="K23" s="68" t="n">
        <v>0.5090909153223038</v>
      </c>
      <c r="L23" s="68" t="n">
        <v>0.5090909153223038</v>
      </c>
      <c r="M23" s="68" t="n">
        <v>0.5090909153223038</v>
      </c>
      <c r="N23" s="68" t="n">
        <v>0.5090909153223038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1</v>
      </c>
      <c r="U23" s="68" t="n">
        <v>1</v>
      </c>
      <c r="V23" s="68" t="n">
        <v>1</v>
      </c>
    </row>
    <row r="24">
      <c r="A24" s="68" t="inlineStr">
        <is>
          <t>spring_phab_pct_fast|</t>
        </is>
      </c>
      <c r="B24" s="68" t="inlineStr">
        <is>
          <t>spring-phab-pct-fast</t>
        </is>
      </c>
      <c r="C24" s="68" t="inlineStr">
        <is>
          <t>Fast-water / riffle habitat</t>
        </is>
      </c>
      <c r="D24" s="68" t="inlineStr"/>
      <c r="E24" s="68" t="n">
        <v>5</v>
      </c>
      <c r="F24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required; net optimism +0.09, at most 0.05 allowed); confidence capped at 39.</t>
        </is>
      </c>
      <c r="G24" s="68" t="n">
        <v>0</v>
      </c>
      <c r="H24" s="68" t="n">
        <v>6.214285714285714</v>
      </c>
      <c r="I24" s="68" t="n">
        <v>14.5</v>
      </c>
      <c r="J24" s="68" t="n">
        <v>29.07323217391968</v>
      </c>
      <c r="K24" s="68" t="n">
        <v>36.35984826087952</v>
      </c>
      <c r="L24" s="68" t="n">
        <v>36.35984826087952</v>
      </c>
      <c r="M24" s="68" t="n">
        <v>36.35984826087952</v>
      </c>
      <c r="N24" s="68" t="n">
        <v>36.35984826087952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spring_fish_nat_ntolntax|</t>
        </is>
      </c>
      <c r="B25" s="68" t="inlineStr">
        <is>
          <t>spring-fish-nat-ntolntax</t>
        </is>
      </c>
      <c r="C25" s="68" t="inlineStr">
        <is>
          <t>Native non-tolerant fish taxa richness</t>
        </is>
      </c>
      <c r="D25" s="68" t="inlineStr"/>
      <c r="E25" s="68" t="n">
        <v>5</v>
      </c>
      <c r="F25" s="68" t="inlineStr">
        <is>
          <t>18 least-disturbed stations borrowed from Level I ecoregion 9 (Great Plains) under the regional screen (agriculture at most 25 percent), transfer risk high</t>
        </is>
      </c>
      <c r="G25" s="68" t="n">
        <v>0</v>
      </c>
      <c r="H25" s="68" t="n">
        <v>0.4285714285714285</v>
      </c>
      <c r="I25" s="68" t="n">
        <v>1</v>
      </c>
      <c r="J25" s="68" t="n">
        <v>4</v>
      </c>
      <c r="K25" s="68" t="n">
        <v>5.5</v>
      </c>
      <c r="L25" s="68" t="n">
        <v>5.5</v>
      </c>
      <c r="M25" s="68" t="n">
        <v>5.5</v>
      </c>
      <c r="N25" s="68" t="n">
        <v>5.5</v>
      </c>
      <c r="O25" s="68" t="n">
        <v>0</v>
      </c>
      <c r="P25" s="68" t="n">
        <v>0.3</v>
      </c>
      <c r="Q25" s="68" t="n">
        <v>0.7</v>
      </c>
      <c r="R25" s="68" t="n">
        <v>1</v>
      </c>
      <c r="S25" s="68" t="n">
        <v>1</v>
      </c>
      <c r="T25" s="68" t="n">
        <v>1</v>
      </c>
      <c r="U25" s="68" t="n">
        <v>1</v>
      </c>
      <c r="V25" s="68" t="n">
        <v>1</v>
      </c>
    </row>
    <row r="26">
      <c r="A26" s="68" t="inlineStr">
        <is>
          <t>spring_fish_mmi_fish|</t>
        </is>
      </c>
      <c r="B26" s="68" t="inlineStr">
        <is>
          <t>spring-fish-mmi-fish</t>
        </is>
      </c>
      <c r="C26" s="68" t="inlineStr">
        <is>
          <t>Fish MMI</t>
        </is>
      </c>
      <c r="D26" s="68" t="inlineStr"/>
      <c r="E26" s="68" t="n">
        <v>4</v>
      </c>
      <c r="F26" s="68" t="inlineStr">
        <is>
          <t>Scored against a published criterion rather than against stations from this ecoregion. The criterion carries its own definition of reference, which need not match this assessment's.</t>
        </is>
      </c>
      <c r="G26" s="68" t="n">
        <v>26.045</v>
      </c>
      <c r="H26" s="68" t="n">
        <v>39.695</v>
      </c>
      <c r="I26" s="68" t="n">
        <v>50.195</v>
      </c>
      <c r="J26" s="68" t="n">
        <v>61.045</v>
      </c>
      <c r="K26" s="68" t="n">
        <v>61.045</v>
      </c>
      <c r="L26" s="68" t="n">
        <v>61.045</v>
      </c>
      <c r="M26" s="68" t="n">
        <v>61.045</v>
      </c>
      <c r="N26" s="68" t="n">
        <v>61.045</v>
      </c>
      <c r="O26" s="68" t="n">
        <v>0</v>
      </c>
      <c r="P26" s="68" t="n">
        <v>0.39</v>
      </c>
      <c r="Q26" s="68" t="n">
        <v>0.6899999999999999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spring_bent_ept_ntax|</t>
        </is>
      </c>
      <c r="B27" s="68" t="inlineStr">
        <is>
          <t>spring-bent-ept-ntax</t>
        </is>
      </c>
      <c r="C27" s="68" t="inlineStr">
        <is>
          <t>EPT taxa richness</t>
        </is>
      </c>
      <c r="D27" s="68" t="inlineStr"/>
      <c r="E27" s="68" t="n">
        <v>5</v>
      </c>
      <c r="F27" s="68" t="inlineStr">
        <is>
          <t>20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27" s="68" t="n">
        <v>0</v>
      </c>
      <c r="H27" s="68" t="n">
        <v>1.607142857142857</v>
      </c>
      <c r="I27" s="68" t="n">
        <v>3.75</v>
      </c>
      <c r="J27" s="68" t="n">
        <v>11</v>
      </c>
      <c r="K27" s="68" t="n">
        <v>14.625</v>
      </c>
      <c r="L27" s="68" t="n">
        <v>14.625</v>
      </c>
      <c r="M27" s="68" t="n">
        <v>14.625</v>
      </c>
      <c r="N27" s="68" t="n">
        <v>14.625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spring_bent_mmi_bent|</t>
        </is>
      </c>
      <c r="B28" s="68" t="inlineStr">
        <is>
          <t>spring-bent-mmi-bent</t>
        </is>
      </c>
      <c r="C28" s="68" t="inlineStr">
        <is>
          <t>Benthic macroinvertebrate MMI</t>
        </is>
      </c>
      <c r="D28" s="68" t="inlineStr"/>
      <c r="E28" s="68" t="n">
        <v>4</v>
      </c>
      <c r="F28" s="68" t="inlineStr">
        <is>
          <t>Scored against a published criterion rather than against stations from this ecoregion. The criterion carries its own definition of reference, which need not match this assessment's.</t>
        </is>
      </c>
      <c r="G28" s="68" t="n">
        <v>2.835</v>
      </c>
      <c r="H28" s="68" t="n">
        <v>21.295</v>
      </c>
      <c r="I28" s="68" t="n">
        <v>35.495</v>
      </c>
      <c r="J28" s="68" t="n">
        <v>50.168333</v>
      </c>
      <c r="K28" s="68" t="n">
        <v>50.168333</v>
      </c>
      <c r="L28" s="68" t="n">
        <v>50.168333</v>
      </c>
      <c r="M28" s="68" t="n">
        <v>50.168333</v>
      </c>
      <c r="N28" s="68" t="n">
        <v>50.168333</v>
      </c>
      <c r="O28" s="68" t="n">
        <v>0</v>
      </c>
      <c r="P28" s="68" t="n">
        <v>0.39</v>
      </c>
      <c r="Q28" s="68" t="n">
        <v>0.6899999999999999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spring_nid_dams_1mi|</t>
        </is>
      </c>
      <c r="B29" s="68" t="inlineStr">
        <is>
          <t>spring-nid-dams-1mi</t>
        </is>
      </c>
      <c r="C29" s="68" t="inlineStr">
        <is>
          <t>Mapped dams within one mile</t>
        </is>
      </c>
      <c r="D29" s="68" t="inlineStr"/>
      <c r="E29" s="68" t="n">
        <v>4</v>
      </c>
      <c r="F29" s="68" t="inlineStr">
        <is>
          <t>Fixed criteria, the same in every region</t>
        </is>
      </c>
      <c r="G29" s="68" t="n">
        <v>0</v>
      </c>
      <c r="H29" s="68" t="n">
        <v>1</v>
      </c>
      <c r="I29" s="68" t="n">
        <v>2</v>
      </c>
      <c r="J29" s="68" t="n">
        <v>3</v>
      </c>
      <c r="K29" s="68" t="n">
        <v>3</v>
      </c>
      <c r="L29" s="68" t="n">
        <v>3</v>
      </c>
      <c r="M29" s="68" t="n">
        <v>3</v>
      </c>
      <c r="N29" s="68" t="n">
        <v>3</v>
      </c>
      <c r="O29" s="68" t="n">
        <v>1</v>
      </c>
      <c r="P29" s="68" t="n">
        <v>0.545</v>
      </c>
      <c r="Q29" s="68" t="n">
        <v>0.195</v>
      </c>
      <c r="R29" s="68" t="n">
        <v>0</v>
      </c>
      <c r="S29" s="68" t="n">
        <v>0</v>
      </c>
      <c r="T29" s="68" t="n">
        <v>0</v>
      </c>
      <c r="U29" s="68" t="n">
        <v>0</v>
      </c>
      <c r="V29" s="68" t="n">
        <v>0</v>
      </c>
    </row>
    <row r="32">
      <c r="A32" s="57" t="inlineStr">
        <is>
          <t>Curve sets by metric</t>
        </is>
      </c>
    </row>
    <row r="35">
      <c r="A35" s="57" t="inlineStr">
        <is>
          <t>Condition classes</t>
        </is>
      </c>
    </row>
    <row r="36">
      <c r="A36" t="inlineStr">
        <is>
          <t>Metric index: at or below 0.39 Non-Functioning, at or below 0.69 Functioning At-Risk, above Functioning.</t>
        </is>
      </c>
    </row>
    <row r="37">
      <c r="A37" t="inlineStr">
        <is>
          <t>Function score (0 to 15): at or below 5 Non-Functioning, at or below 10 Functioning At-Risk, above Functioning.</t>
        </is>
      </c>
    </row>
    <row r="38">
      <c r="A38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8" t="inlineStr">
        <is>
          <t>Assessment id</t>
        </is>
      </c>
      <c r="B4" s="68" t="inlineStr">
        <is>
          <t>nebraska-sand-hills</t>
        </is>
      </c>
    </row>
    <row r="5">
      <c r="A5" s="68" t="inlineStr">
        <is>
          <t>Assessment name</t>
        </is>
      </c>
      <c r="B5" s="68" t="inlineStr">
        <is>
          <t>Nebraska Sand Hills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>
        <is>
          <t>Draft</t>
        </is>
      </c>
    </row>
    <row r="8">
      <c r="A8" s="68" t="inlineStr">
        <is>
          <t>Content digest</t>
        </is>
      </c>
      <c r="B8" s="68" t="inlineStr">
        <is>
          <t>sha256:42e3b24ac13c2e8355bcc07b3527d336957a041a5b611a31dd7d74b565528b21</t>
        </is>
      </c>
    </row>
    <row r="9">
      <c r="A9" s="68" t="inlineStr">
        <is>
          <t>Region</t>
        </is>
      </c>
      <c r="B9" s="68" t="inlineStr">
        <is>
          <t>ecoregion 44 Nebraska Sand Hills</t>
        </is>
      </c>
    </row>
    <row r="10">
      <c r="A10" s="68" t="inlineStr">
        <is>
          <t>Source</t>
        </is>
      </c>
      <c r="B10" s="68" t="inlineStr">
        <is>
          <t>USEPA NRSA 2013-24 (L3 ecoregion 44),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25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1.1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2026-09-30T07:05:34Z</dcterms:created>
  <dcterms:modified xmlns:dcterms="http://purl.org/dc/terms/" xmlns:xsi="http://www.w3.org/2001/XMLSchema-instance" xsi:type="dcterms:W3CDTF">2026-09-30T07:05:34Z</dcterms:modified>
  <cp:lastModifiedBy>DEEP</cp:lastModifiedBy>
  <cp:contentStatus>Draft</cp:contentStatus>
</cp:coreProperties>
</file>