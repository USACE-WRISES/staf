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'Reference'!$A$57:$A$59</definedName>
    <definedName name="strata_spring_phab_pct_fast">'Reference'!$A$60:$A$62</definedName>
    <definedName name="strata_spring_phab_xfc_nat">'Reference'!$A$63:$A$65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tolrpind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tolrpind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Madrean Archipelago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3" t="inlineStr">
        <is>
          <t>Reference condition. Reference condition is set by a fixed landscape-pressure screen, never by a score. 19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Madrean Archipelago reference assessment</t>
        </is>
      </c>
    </row>
    <row r="3">
      <c r="A3" s="4" t="inlineStr">
        <is>
          <t>Version 1 | USEPA NRSA 2013-24 (L3 ecoregion 79),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7">
        <f>IF('DEEP Score'!$E$24="","",'DEEP Score'!$E$24)</f>
        <v/>
      </c>
      <c r="F31" s="38" t="inlineStr"/>
      <c r="G31" s="16">
        <f>IF('Metrics'!$V$14="","",'Metrics'!$V$14)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IF('Metrics'!$V$18="","",'Metrics'!$V$18)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Fish MMI</t>
        </is>
      </c>
      <c r="D43" s="22" t="inlineStr">
        <is>
          <t>MMI points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Tolerant individuals (%) ~ HBI</t>
        </is>
      </c>
      <c r="D44" s="13" t="inlineStr"/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Shannon diversity (H')</t>
        </is>
      </c>
      <c r="C58" s="4" t="inlineStr">
        <is>
          <t>Community dynamics</t>
        </is>
      </c>
    </row>
    <row r="59">
      <c r="A59" t="inlineStr">
        <is>
          <t>Native fish taxa richness</t>
        </is>
      </c>
      <c r="C59" s="4" t="inlineStr">
        <is>
          <t>Population support</t>
        </is>
      </c>
    </row>
    <row r="60">
      <c r="A60" t="inlineStr">
        <is>
          <t>Residual pool depth</t>
        </is>
      </c>
      <c r="C60" s="4" t="inlineStr">
        <is>
          <t>Low flow and baseflow dynamics</t>
        </is>
      </c>
    </row>
    <row r="62">
      <c r="A62" s="5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Large wood volume</t>
        </is>
      </c>
      <c r="B18" s="69">
        <f>IF('DEEP Score'!$E$32="","",'DEEP Score'!$E$32)</f>
        <v/>
      </c>
      <c r="C18" s="69">
        <f>""</f>
        <v/>
      </c>
      <c r="D18" s="69">
        <f>"spring_phab_lwdeqvolm100|"&amp;'Metrics'!$C$18</f>
        <v/>
      </c>
      <c r="E18" s="69">
        <f>IFERROR(MATCH('Metrics'!$D$18,curve_key,0),MATCH("spring_phab_lwdeqvolm100|",curve_key,0))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pH</t>
        </is>
      </c>
      <c r="B24" s="69">
        <f>IF('DEEP Score'!$E$38="","",'DEEP Score'!$E$38)</f>
        <v/>
      </c>
      <c r="C24" s="69">
        <f>""</f>
        <v/>
      </c>
      <c r="D24" s="69">
        <f>"spring_chem_ph|"&amp;'Metrics'!$C$24</f>
        <v/>
      </c>
      <c r="E24" s="69">
        <f>IFERROR(MATCH('Metrics'!$D$24,curve_key,0),MATCH("spring_chem_ph|",curve_key,0))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Score'!$E$39="","",'DEEP Score'!$E$39)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Fish MMI</t>
        </is>
      </c>
      <c r="B29" s="69">
        <f>IF('DEEP Score'!$E$43="","",'DEEP Score'!$E$43)</f>
        <v/>
      </c>
      <c r="C29" s="69">
        <f>""</f>
        <v/>
      </c>
      <c r="D29" s="69">
        <f>"spring_fish_mmi_fish|"&amp;'Metrics'!$C$29</f>
        <v/>
      </c>
      <c r="E29" s="69">
        <f>IFERROR(MATCH('Metrics'!$D$29,curve_key,0),MATCH("spring_fish_mmi_fish|",curve_key,0))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Tolerant individuals (%) ~ HBI</t>
        </is>
      </c>
      <c r="B30" s="69">
        <f>IF('DEEP Score'!$E$44="","",'DEEP Score'!$E$44)</f>
        <v/>
      </c>
      <c r="C30" s="69">
        <f>""</f>
        <v/>
      </c>
      <c r="D30" s="69">
        <f>"spring_bent_tolrpind|"&amp;'Metrics'!$C$30</f>
        <v/>
      </c>
      <c r="E30" s="69">
        <f>IFERROR(MATCH('Metrics'!$D$30,curve_key,0),MATCH("spring_bent_tolrpind|",curve_key,0))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Benthic macroinvertebrate MMI</t>
        </is>
      </c>
      <c r="B31" s="69">
        <f>IF('DEEP Score'!$E$45="","",'DEEP Score'!$E$45)</f>
        <v/>
      </c>
      <c r="C31" s="69">
        <f>""</f>
        <v/>
      </c>
      <c r="D31" s="69">
        <f>"spring_bent_mmi_bent|"&amp;'Metrics'!$C$31</f>
        <v/>
      </c>
      <c r="E31" s="69">
        <f>IFERROR(MATCH('Metrics'!$D$31,curve_key,0),MATCH("spring_bent_mmi_bent|",curve_key,0))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Score'!$E$46="","",'DEEP Score'!$E$46)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/>
      <c r="E7" s="68" t="n">
        <v>5</v>
      </c>
      <c r="F7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8" t="n">
        <v>0</v>
      </c>
      <c r="H7" s="68" t="n">
        <v>0.1296428571428571</v>
      </c>
      <c r="I7" s="68" t="n">
        <v>0.3025</v>
      </c>
      <c r="J7" s="68" t="n">
        <v>2.385</v>
      </c>
      <c r="K7" s="68" t="n">
        <v>3.42625</v>
      </c>
      <c r="L7" s="68" t="n">
        <v>3.42625</v>
      </c>
      <c r="M7" s="68" t="n">
        <v>3.42625</v>
      </c>
      <c r="N7" s="68" t="n">
        <v>3.42625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80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8" t="n">
        <v>0</v>
      </c>
      <c r="H9" s="68" t="n">
        <v>25.71312857142857</v>
      </c>
      <c r="I9" s="68" t="n">
        <v>59.9973</v>
      </c>
      <c r="J9" s="68" t="n">
        <v>69.254925</v>
      </c>
      <c r="K9" s="68" t="n">
        <v>73.8837375</v>
      </c>
      <c r="L9" s="68" t="n">
        <v>73.8837375</v>
      </c>
      <c r="M9" s="68" t="n">
        <v>73.8837375</v>
      </c>
      <c r="N9" s="68" t="n">
        <v>73.8837375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8" t="n">
        <v>0</v>
      </c>
      <c r="H11" s="68" t="n">
        <v>0.823375940322876</v>
      </c>
      <c r="I11" s="68" t="n">
        <v>4.737914645671845</v>
      </c>
      <c r="J11" s="68" t="n">
        <v>6.845743179321289</v>
      </c>
      <c r="K11" s="68" t="n">
        <v>12.8681104183197</v>
      </c>
      <c r="L11" s="68" t="n">
        <v>14.97593895196915</v>
      </c>
      <c r="M11" s="68" t="n">
        <v>18.89047765731812</v>
      </c>
      <c r="N11" s="68" t="n">
        <v>24.91284489631653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8</v>
      </c>
      <c r="F12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8" t="n">
        <v>0</v>
      </c>
      <c r="H12" s="68" t="n">
        <v>2.763870716094971</v>
      </c>
      <c r="I12" s="68" t="n">
        <v>4.826766014099121</v>
      </c>
      <c r="J12" s="68" t="n">
        <v>5.93755578994751</v>
      </c>
      <c r="K12" s="68" t="n">
        <v>9.111240863800049</v>
      </c>
      <c r="L12" s="68" t="n">
        <v>10.22203063964844</v>
      </c>
      <c r="M12" s="68" t="n">
        <v>12.28492593765259</v>
      </c>
      <c r="N12" s="68" t="n">
        <v>15.45861101150513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8</v>
      </c>
      <c r="F13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8" t="n">
        <v>0</v>
      </c>
      <c r="H13" s="68" t="n">
        <v>1.352458238601685</v>
      </c>
      <c r="I13" s="68" t="n">
        <v>6.004187953472138</v>
      </c>
      <c r="J13" s="68" t="n">
        <v>8.508965492248535</v>
      </c>
      <c r="K13" s="68" t="n">
        <v>15.66547274589539</v>
      </c>
      <c r="L13" s="68" t="n">
        <v>18.17025028467178</v>
      </c>
      <c r="M13" s="68" t="n">
        <v>22.82197999954224</v>
      </c>
      <c r="N13" s="68" t="n">
        <v>29.97848725318909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8" t="n">
        <v>0</v>
      </c>
      <c r="H14" s="68" t="n">
        <v>0.1773181661963463</v>
      </c>
      <c r="I14" s="68" t="n">
        <v>0.290909081697464</v>
      </c>
      <c r="J14" s="68" t="n">
        <v>0.6154545545578003</v>
      </c>
      <c r="K14" s="68" t="n">
        <v>0.729045470058918</v>
      </c>
      <c r="L14" s="68" t="n">
        <v>0.9400000274181366</v>
      </c>
      <c r="M14" s="68" t="n">
        <v>1.264545500278473</v>
      </c>
      <c r="N14" s="68" t="n">
        <v>1.264545500278473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7</v>
      </c>
      <c r="F15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8" t="n">
        <v>0</v>
      </c>
      <c r="H15" s="68" t="n">
        <v>0.1361068218946457</v>
      </c>
      <c r="I15" s="68" t="n">
        <v>0.2293888926506042</v>
      </c>
      <c r="J15" s="68" t="n">
        <v>0.4959090948104858</v>
      </c>
      <c r="K15" s="68" t="n">
        <v>0.5891911655664444</v>
      </c>
      <c r="L15" s="68" t="n">
        <v>0.7624292969703674</v>
      </c>
      <c r="M15" s="68" t="n">
        <v>1.028949499130249</v>
      </c>
      <c r="N15" s="68" t="n">
        <v>1.028949499130249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7</v>
      </c>
      <c r="F16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8" t="n">
        <v>0</v>
      </c>
      <c r="H16" s="68" t="n">
        <v>0.1740795563906431</v>
      </c>
      <c r="I16" s="68" t="n">
        <v>0.3286363705992699</v>
      </c>
      <c r="J16" s="68" t="n">
        <v>0.7702272683382034</v>
      </c>
      <c r="K16" s="68" t="n">
        <v>0.9247840825468302</v>
      </c>
      <c r="L16" s="68" t="n">
        <v>1.211818166077137</v>
      </c>
      <c r="M16" s="68" t="n">
        <v>1.653409063816071</v>
      </c>
      <c r="N16" s="68" t="n">
        <v>1.653409063816071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5</v>
      </c>
      <c r="F17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7" s="68" t="n">
        <v>0.2855221033096313</v>
      </c>
      <c r="H17" s="68" t="n">
        <v>16.59090876579285</v>
      </c>
      <c r="I17" s="68" t="n">
        <v>49.20168209075928</v>
      </c>
      <c r="J17" s="68" t="n">
        <v>98.11784207820892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0.3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72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8" t="n">
        <v>27.52272987365723</v>
      </c>
      <c r="H18" s="68" t="n">
        <v>41.90909194946289</v>
      </c>
      <c r="I18" s="68" t="n">
        <v>70.68181610107422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72 least-disturbed stations borrowed from NARS-9 region XER under the regional screen (agriculture at most 25 percent), transfer risk high</t>
        </is>
      </c>
      <c r="G19" s="68" t="n">
        <v>1</v>
      </c>
      <c r="H19" s="68" t="n">
        <v>1.066747426986694</v>
      </c>
      <c r="I19" s="68" t="n">
        <v>1.32821974158287</v>
      </c>
      <c r="J19" s="68" t="n">
        <v>1.458955898880959</v>
      </c>
      <c r="K19" s="68" t="n">
        <v>1.458955898880959</v>
      </c>
      <c r="L19" s="68" t="n">
        <v>1.458955898880959</v>
      </c>
      <c r="M19" s="68" t="n">
        <v>1.458955898880959</v>
      </c>
      <c r="N19" s="68" t="n">
        <v>1.458955898880959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72 least-disturbed stations borrowed from NARS-9 region XER under the regional screen (agriculture at most 25 percent), transfer risk moderate</t>
        </is>
      </c>
      <c r="G20" s="68" t="n">
        <v>0</v>
      </c>
      <c r="H20" s="68" t="n">
        <v>15.72448768615723</v>
      </c>
      <c r="I20" s="68" t="n">
        <v>22.00340843200684</v>
      </c>
      <c r="J20" s="68" t="n">
        <v>39.94318199157715</v>
      </c>
      <c r="K20" s="68" t="n">
        <v>46.22210273742676</v>
      </c>
      <c r="L20" s="68" t="n">
        <v>57.88295555114746</v>
      </c>
      <c r="M20" s="68" t="n">
        <v>75.82272911071777</v>
      </c>
      <c r="N20" s="68" t="n">
        <v>75.82272911071777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8" t="n">
        <v>-3.928427696228027</v>
      </c>
      <c r="H21" s="68" t="n">
        <v>-2.779598534107208</v>
      </c>
      <c r="I21" s="68" t="n">
        <v>-2.032859578728676</v>
      </c>
      <c r="J21" s="68" t="n">
        <v>-1.630769371986389</v>
      </c>
      <c r="K21" s="68" t="n">
        <v>-0.4819402098655701</v>
      </c>
      <c r="L21" s="68" t="n">
        <v>-0.07985000312328339</v>
      </c>
      <c r="M21" s="68" t="n">
        <v>0.666888952255249</v>
      </c>
      <c r="N21" s="68" t="n">
        <v>1.815718114376068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8" t="n">
        <v>-3.641086578369141</v>
      </c>
      <c r="H22" s="68" t="n">
        <v>-2.690020799636841</v>
      </c>
      <c r="I22" s="68" t="n">
        <v>-2.071828043460846</v>
      </c>
      <c r="J22" s="68" t="n">
        <v>-1.738955020904541</v>
      </c>
      <c r="K22" s="68" t="n">
        <v>-0.7878892421722412</v>
      </c>
      <c r="L22" s="68" t="n">
        <v>-0.4550162196159363</v>
      </c>
      <c r="M22" s="68" t="n">
        <v>0.1631765365600586</v>
      </c>
      <c r="N22" s="68" t="n">
        <v>1.114242315292358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77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8" t="n">
        <v>-3.313267856836319</v>
      </c>
      <c r="H23" s="68" t="n">
        <v>-2.336573645472527</v>
      </c>
      <c r="I23" s="68" t="n">
        <v>-1.701722408086062</v>
      </c>
      <c r="J23" s="68" t="n">
        <v>-1.359879434108734</v>
      </c>
      <c r="K23" s="68" t="n">
        <v>-0.3831852227449417</v>
      </c>
      <c r="L23" s="68" t="n">
        <v>-0.04134224876761439</v>
      </c>
      <c r="M23" s="68" t="n">
        <v>0.5935089886188507</v>
      </c>
      <c r="N23" s="68" t="n">
        <v>1.570203199982643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spring_phab_lwdeqvolm100|</t>
        </is>
      </c>
      <c r="B24" s="68" t="inlineStr">
        <is>
          <t>spring-phab-lwdeqvolm100</t>
        </is>
      </c>
      <c r="C24" s="68" t="inlineStr">
        <is>
          <t>Large wood volume</t>
        </is>
      </c>
      <c r="D24" s="68" t="inlineStr"/>
      <c r="E24" s="68" t="n">
        <v>5</v>
      </c>
      <c r="F24" s="68" t="inlineStr">
        <is>
          <t>Reference curve fitted to comparable least-disturbed stations drawn from the national pool, because this ecoregion and its parents hold too few of their own.</t>
        </is>
      </c>
      <c r="G24" s="68" t="n">
        <v>0</v>
      </c>
      <c r="H24" s="68" t="n">
        <v>0.01560000064117568</v>
      </c>
      <c r="I24" s="68" t="n">
        <v>0.03640000149607658</v>
      </c>
      <c r="J24" s="68" t="n">
        <v>7.022666454315186</v>
      </c>
      <c r="K24" s="68" t="n">
        <v>10.51579968072474</v>
      </c>
      <c r="L24" s="68" t="n">
        <v>10.51579968072474</v>
      </c>
      <c r="M24" s="68" t="n">
        <v>10.51579968072474</v>
      </c>
      <c r="N24" s="68" t="n">
        <v>10.51579968072474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79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5" s="68" t="n">
        <v>0.2055000215768814</v>
      </c>
      <c r="H25" s="68" t="n">
        <v>0.9469999969005585</v>
      </c>
      <c r="I25" s="68" t="n">
        <v>2.429999947547913</v>
      </c>
      <c r="J25" s="68" t="n">
        <v>4.654499873518944</v>
      </c>
      <c r="K25" s="68" t="n">
        <v>6.137499824166298</v>
      </c>
      <c r="L25" s="68" t="n">
        <v>6.137499824166298</v>
      </c>
      <c r="M25" s="68" t="n">
        <v>6.137499824166298</v>
      </c>
      <c r="N25" s="68" t="n">
        <v>6.137499824166298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6" s="68" t="n">
        <v>0</v>
      </c>
      <c r="H26" s="68" t="n">
        <v>6.302520888192313</v>
      </c>
      <c r="I26" s="68" t="n">
        <v>14.70588207244873</v>
      </c>
      <c r="J26" s="68" t="n">
        <v>68.18181610107422</v>
      </c>
      <c r="K26" s="68" t="n">
        <v>94.91978311538696</v>
      </c>
      <c r="L26" s="68" t="n">
        <v>94.91978311538696</v>
      </c>
      <c r="M26" s="68" t="n">
        <v>94.91978311538696</v>
      </c>
      <c r="N26" s="68" t="n">
        <v>94.91978311538696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spring_phab_xcdenmid|Small stream (10 to 100 km2)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Small stream (10 to 100 km2)</t>
        </is>
      </c>
      <c r="E27" s="68" t="n">
        <v>5</v>
      </c>
      <c r="F27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7" s="68" t="n">
        <v>0</v>
      </c>
      <c r="H27" s="68" t="n">
        <v>14.09472840172904</v>
      </c>
      <c r="I27" s="68" t="n">
        <v>32.88769960403442</v>
      </c>
      <c r="J27" s="68" t="n">
        <v>82.70053672790527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spring_phab_xcdenmid|Large stream (over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Large stream (over 100 km2)</t>
        </is>
      </c>
      <c r="E28" s="68" t="n">
        <v>5</v>
      </c>
      <c r="F28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8" s="68" t="n">
        <v>0</v>
      </c>
      <c r="H28" s="68" t="n">
        <v>2.141424792153495</v>
      </c>
      <c r="I28" s="68" t="n">
        <v>4.996657848358154</v>
      </c>
      <c r="J28" s="68" t="n">
        <v>37.86764717102051</v>
      </c>
      <c r="K28" s="68" t="n">
        <v>54.30314183235168</v>
      </c>
      <c r="L28" s="68" t="n">
        <v>54.30314183235168</v>
      </c>
      <c r="M28" s="68" t="n">
        <v>54.30314183235168</v>
      </c>
      <c r="N28" s="68" t="n">
        <v>54.30314183235168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spring_phab_xcmgw|</t>
        </is>
      </c>
      <c r="B29" s="68" t="inlineStr">
        <is>
          <t>spring-phab-xcmgw</t>
        </is>
      </c>
      <c r="C29" s="68" t="inlineStr">
        <is>
          <t>Riparian veg cover, woody</t>
        </is>
      </c>
      <c r="D29" s="68" t="inlineStr"/>
      <c r="E29" s="68" t="n">
        <v>5</v>
      </c>
      <c r="F29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9" s="68" t="n">
        <v>0</v>
      </c>
      <c r="H29" s="68" t="n">
        <v>0.166071423462459</v>
      </c>
      <c r="I29" s="68" t="n">
        <v>0.387499988079071</v>
      </c>
      <c r="J29" s="68" t="n">
        <v>0.9352272748947144</v>
      </c>
      <c r="K29" s="68" t="n">
        <v>1.209090918302536</v>
      </c>
      <c r="L29" s="68" t="n">
        <v>1.209090918302536</v>
      </c>
      <c r="M29" s="68" t="n">
        <v>1.209090918302536</v>
      </c>
      <c r="N29" s="68" t="n">
        <v>1.209090918302536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spring_chem_ntl|</t>
        </is>
      </c>
      <c r="B30" s="68" t="inlineStr">
        <is>
          <t>spring-chem-ntl</t>
        </is>
      </c>
      <c r="C30" s="68" t="inlineStr">
        <is>
          <t>Total nitrogen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0.2855</v>
      </c>
      <c r="I30" s="68" t="n">
        <v>0.529</v>
      </c>
      <c r="J30" s="68" t="n">
        <v>0.84555</v>
      </c>
      <c r="K30" s="68" t="n">
        <v>0.84555</v>
      </c>
      <c r="L30" s="68" t="n">
        <v>0.84555</v>
      </c>
      <c r="M30" s="68" t="n">
        <v>0.84555</v>
      </c>
      <c r="N30" s="68" t="n">
        <v>0.84555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spring_chem_ptl|</t>
        </is>
      </c>
      <c r="B31" s="68" t="inlineStr">
        <is>
          <t>spring-chem-ptl</t>
        </is>
      </c>
      <c r="C31" s="68" t="inlineStr">
        <is>
          <t>Total phosphorus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52.05</v>
      </c>
      <c r="I31" s="68" t="n">
        <v>95.90000000000001</v>
      </c>
      <c r="J31" s="68" t="n">
        <v>152.905</v>
      </c>
      <c r="K31" s="68" t="n">
        <v>152.905</v>
      </c>
      <c r="L31" s="68" t="n">
        <v>152.905</v>
      </c>
      <c r="M31" s="68" t="n">
        <v>152.905</v>
      </c>
      <c r="N31" s="68" t="n">
        <v>152.905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spring_chem_ph|</t>
        </is>
      </c>
      <c r="B32" s="68" t="inlineStr">
        <is>
          <t>spring-chem-ph</t>
        </is>
      </c>
      <c r="C32" s="68" t="inlineStr">
        <is>
          <t>pH</t>
        </is>
      </c>
      <c r="D32" s="68" t="inlineStr"/>
      <c r="E32" s="68" t="n">
        <v>8</v>
      </c>
      <c r="F32" s="68" t="inlineStr">
        <is>
          <t>80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2" s="68" t="n">
        <v>7.007500171661377</v>
      </c>
      <c r="H32" s="68" t="n">
        <v>7.422500133514404</v>
      </c>
      <c r="I32" s="68" t="n">
        <v>7.692250108718872</v>
      </c>
      <c r="J32" s="68" t="n">
        <v>7.837500095367432</v>
      </c>
      <c r="K32" s="68" t="n">
        <v>8.252500057220459</v>
      </c>
      <c r="L32" s="68" t="n">
        <v>8.397750043869019</v>
      </c>
      <c r="M32" s="68" t="n">
        <v>8.667500019073486</v>
      </c>
      <c r="N32" s="68" t="n">
        <v>9.082499980926514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0.7</v>
      </c>
      <c r="U32" s="68" t="n">
        <v>0.3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500.05</v>
      </c>
      <c r="I33" s="68" t="n">
        <v>1000.05</v>
      </c>
      <c r="J33" s="68" t="n">
        <v>1650.05</v>
      </c>
      <c r="K33" s="68" t="n">
        <v>1650.05</v>
      </c>
      <c r="L33" s="68" t="n">
        <v>1650.05</v>
      </c>
      <c r="M33" s="68" t="n">
        <v>1650.05</v>
      </c>
      <c r="N33" s="68" t="n">
        <v>1650.05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spring_phab_pct_fast|All streams (pooled)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All streams (pooled)</t>
        </is>
      </c>
      <c r="E34" s="68" t="n">
        <v>5</v>
      </c>
      <c r="F34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8" t="n">
        <v>0</v>
      </c>
      <c r="H34" s="68" t="n">
        <v>3.571428537368774</v>
      </c>
      <c r="I34" s="68" t="n">
        <v>8.333333253860474</v>
      </c>
      <c r="J34" s="68" t="n">
        <v>63.83333301544189</v>
      </c>
      <c r="K34" s="68" t="n">
        <v>91.5833328962326</v>
      </c>
      <c r="L34" s="68" t="n">
        <v>91.5833328962326</v>
      </c>
      <c r="M34" s="68" t="n">
        <v>91.5833328962326</v>
      </c>
      <c r="N34" s="68" t="n">
        <v>91.5833328962326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spring_phab_pct_fast|Moderate gradient (0.5 to 2 percent)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Moderate gradient (0.5 to 2 percent)</t>
        </is>
      </c>
      <c r="E35" s="68" t="n">
        <v>5</v>
      </c>
      <c r="F35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8" t="n">
        <v>0</v>
      </c>
      <c r="H35" s="68" t="n">
        <v>6.760107789720808</v>
      </c>
      <c r="I35" s="68" t="n">
        <v>15.77358484268188</v>
      </c>
      <c r="J35" s="68" t="n">
        <v>41.25</v>
      </c>
      <c r="K35" s="68" t="n">
        <v>53.98820757865906</v>
      </c>
      <c r="L35" s="68" t="n">
        <v>53.98820757865906</v>
      </c>
      <c r="M35" s="68" t="n">
        <v>53.98820757865906</v>
      </c>
      <c r="N35" s="68" t="n">
        <v>53.98820757865906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spring_phab_pct_fast|Steep (2 percent and above)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Steep (2 percent and above)</t>
        </is>
      </c>
      <c r="E36" s="68" t="n">
        <v>5</v>
      </c>
      <c r="F36" s="68" t="inlineStr">
        <is>
          <t>78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8" t="n">
        <v>0</v>
      </c>
      <c r="H36" s="68" t="n">
        <v>11.85714278902326</v>
      </c>
      <c r="I36" s="68" t="n">
        <v>27.66666650772095</v>
      </c>
      <c r="J36" s="68" t="n">
        <v>89.75</v>
      </c>
      <c r="K36" s="68" t="n">
        <v>100</v>
      </c>
      <c r="L36" s="68" t="n">
        <v>100</v>
      </c>
      <c r="M36" s="68" t="n">
        <v>100</v>
      </c>
      <c r="N36" s="68" t="n">
        <v>100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spring_phab_xfc_nat|All streams (pooled)</t>
        </is>
      </c>
      <c r="B37" s="68" t="inlineStr">
        <is>
          <t>spring-phab-xfc-nat</t>
        </is>
      </c>
      <c r="C37" s="68" t="inlineStr">
        <is>
          <t>Natural fish cover</t>
        </is>
      </c>
      <c r="D37" s="68" t="inlineStr">
        <is>
          <t>All streams (pooled)</t>
        </is>
      </c>
      <c r="E37" s="68" t="n">
        <v>5</v>
      </c>
      <c r="F37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7" s="68" t="n">
        <v>0</v>
      </c>
      <c r="H37" s="68" t="n">
        <v>0.07305194863251277</v>
      </c>
      <c r="I37" s="68" t="n">
        <v>0.1704545468091965</v>
      </c>
      <c r="J37" s="68" t="n">
        <v>0.5931817889213562</v>
      </c>
      <c r="K37" s="68" t="n">
        <v>0.8045454099774361</v>
      </c>
      <c r="L37" s="68" t="n">
        <v>0.8045454099774361</v>
      </c>
      <c r="M37" s="68" t="n">
        <v>0.8045454099774361</v>
      </c>
      <c r="N37" s="68" t="n">
        <v>0.8045454099774361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spring_phab_xfc_nat|Small stream (10 to 100 km2)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Small stream (10 to 100 km2)</t>
        </is>
      </c>
      <c r="E38" s="68" t="n">
        <v>5</v>
      </c>
      <c r="F38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8" s="68" t="n">
        <v>0</v>
      </c>
      <c r="H38" s="68" t="n">
        <v>0.1032467505761555</v>
      </c>
      <c r="I38" s="68" t="n">
        <v>0.2409090846776962</v>
      </c>
      <c r="J38" s="68" t="n">
        <v>0.8045454621315002</v>
      </c>
      <c r="K38" s="68" t="n">
        <v>1.086363650858402</v>
      </c>
      <c r="L38" s="68" t="n">
        <v>1.086363650858402</v>
      </c>
      <c r="M38" s="68" t="n">
        <v>1.086363650858402</v>
      </c>
      <c r="N38" s="68" t="n">
        <v>1.086363650858402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spring_phab_xfc_nat|Large stream (over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Large stream (over 100 km2)</t>
        </is>
      </c>
      <c r="E39" s="68" t="n">
        <v>5</v>
      </c>
      <c r="F39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9" s="68" t="n">
        <v>0</v>
      </c>
      <c r="H39" s="68" t="n">
        <v>0.05746753194502422</v>
      </c>
      <c r="I39" s="68" t="n">
        <v>0.1340909078717232</v>
      </c>
      <c r="J39" s="68" t="n">
        <v>0.4368589818477631</v>
      </c>
      <c r="K39" s="68" t="n">
        <v>0.588243018835783</v>
      </c>
      <c r="L39" s="68" t="n">
        <v>0.588243018835783</v>
      </c>
      <c r="M39" s="68" t="n">
        <v>0.588243018835783</v>
      </c>
      <c r="N39" s="68" t="n">
        <v>0.588243018835783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spring_bent_totlntax|</t>
        </is>
      </c>
      <c r="B40" s="68" t="inlineStr">
        <is>
          <t>spring-bent-totlntax</t>
        </is>
      </c>
      <c r="C40" s="68" t="inlineStr">
        <is>
          <t>Benthic total taxa richness</t>
        </is>
      </c>
      <c r="D40" s="68" t="inlineStr"/>
      <c r="E40" s="68" t="n">
        <v>5</v>
      </c>
      <c r="F40" s="68" t="inlineStr">
        <is>
          <t>50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0" s="68" t="n">
        <v>0</v>
      </c>
      <c r="H40" s="68" t="n">
        <v>9</v>
      </c>
      <c r="I40" s="68" t="n">
        <v>21</v>
      </c>
      <c r="J40" s="68" t="n">
        <v>33</v>
      </c>
      <c r="K40" s="68" t="n">
        <v>39</v>
      </c>
      <c r="L40" s="68" t="n">
        <v>39</v>
      </c>
      <c r="M40" s="68" t="n">
        <v>39</v>
      </c>
      <c r="N40" s="68" t="n">
        <v>39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spring_fish_mmi_fish|</t>
        </is>
      </c>
      <c r="B41" s="68" t="inlineStr">
        <is>
          <t>spring-fish-mmi-fish</t>
        </is>
      </c>
      <c r="C41" s="68" t="inlineStr">
        <is>
          <t>Fish MMI</t>
        </is>
      </c>
      <c r="D41" s="68" t="inlineStr"/>
      <c r="E41" s="68" t="n">
        <v>4</v>
      </c>
      <c r="F41" s="68" t="inlineStr">
        <is>
          <t>Scored against a published criterion rather than against stations from this ecoregion. The criterion carries its own definition of reference, which need not match this assessment's.</t>
        </is>
      </c>
      <c r="G41" s="68" t="n">
        <v>52.645</v>
      </c>
      <c r="H41" s="68" t="n">
        <v>66.295</v>
      </c>
      <c r="I41" s="68" t="n">
        <v>76.795</v>
      </c>
      <c r="J41" s="68" t="n">
        <v>87.645</v>
      </c>
      <c r="K41" s="68" t="n">
        <v>87.645</v>
      </c>
      <c r="L41" s="68" t="n">
        <v>87.645</v>
      </c>
      <c r="M41" s="68" t="n">
        <v>87.645</v>
      </c>
      <c r="N41" s="68" t="n">
        <v>87.645</v>
      </c>
      <c r="O41" s="68" t="n">
        <v>0</v>
      </c>
      <c r="P41" s="68" t="n">
        <v>0.39</v>
      </c>
      <c r="Q41" s="68" t="n">
        <v>0.6899999999999999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spring_bent_tolrpind|</t>
        </is>
      </c>
      <c r="B42" s="68" t="inlineStr">
        <is>
          <t>spring-bent-tolrpind</t>
        </is>
      </c>
      <c r="C42" s="68" t="inlineStr">
        <is>
          <t>Tolerant individuals (%) ~ HBI</t>
        </is>
      </c>
      <c r="D42" s="68" t="inlineStr"/>
      <c r="E42" s="68" t="n">
        <v>5</v>
      </c>
      <c r="F42" s="68" t="inlineStr">
        <is>
          <t>50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+0.09, at most 0.05 allowed); confidence capped at 39.</t>
        </is>
      </c>
      <c r="G42" s="68" t="n">
        <v>0</v>
      </c>
      <c r="H42" s="68" t="n">
        <v>4.920000076293945</v>
      </c>
      <c r="I42" s="68" t="n">
        <v>25.24749994277954</v>
      </c>
      <c r="J42" s="68" t="n">
        <v>55.73874974250793</v>
      </c>
      <c r="K42" s="68" t="n">
        <v>76.06624960899353</v>
      </c>
      <c r="L42" s="68" t="n">
        <v>76.06624960899353</v>
      </c>
      <c r="M42" s="68" t="n">
        <v>76.06624960899353</v>
      </c>
      <c r="N42" s="68" t="n">
        <v>76.06624960899353</v>
      </c>
      <c r="O42" s="68" t="n">
        <v>1</v>
      </c>
      <c r="P42" s="68" t="n">
        <v>1</v>
      </c>
      <c r="Q42" s="68" t="n">
        <v>0.7</v>
      </c>
      <c r="R42" s="68" t="n">
        <v>0.3</v>
      </c>
      <c r="S42" s="68" t="n">
        <v>0</v>
      </c>
      <c r="T42" s="68" t="n">
        <v>0</v>
      </c>
      <c r="U42" s="68" t="n">
        <v>0</v>
      </c>
      <c r="V42" s="68" t="n">
        <v>0</v>
      </c>
    </row>
    <row r="43">
      <c r="A43" s="68" t="inlineStr">
        <is>
          <t>spring_bent_mmi_bent|</t>
        </is>
      </c>
      <c r="B43" s="68" t="inlineStr">
        <is>
          <t>spring-bent-mmi-bent</t>
        </is>
      </c>
      <c r="C43" s="68" t="inlineStr">
        <is>
          <t>Benthic macroinvertebrate MMI</t>
        </is>
      </c>
      <c r="D43" s="68" t="inlineStr"/>
      <c r="E43" s="68" t="n">
        <v>4</v>
      </c>
      <c r="F43" s="68" t="inlineStr">
        <is>
          <t>Scored against a published criterion rather than against stations from this ecoregion. The criterion carries its own definition of reference, which need not match this assessment's.</t>
        </is>
      </c>
      <c r="G43" s="68" t="n">
        <v>24.335</v>
      </c>
      <c r="H43" s="68" t="n">
        <v>42.795</v>
      </c>
      <c r="I43" s="68" t="n">
        <v>56.995</v>
      </c>
      <c r="J43" s="68" t="n">
        <v>71.668333</v>
      </c>
      <c r="K43" s="68" t="n">
        <v>71.668333</v>
      </c>
      <c r="L43" s="68" t="n">
        <v>71.668333</v>
      </c>
      <c r="M43" s="68" t="n">
        <v>71.668333</v>
      </c>
      <c r="N43" s="68" t="n">
        <v>71.668333</v>
      </c>
      <c r="O43" s="68" t="n">
        <v>0</v>
      </c>
      <c r="P43" s="68" t="n">
        <v>0.39</v>
      </c>
      <c r="Q43" s="68" t="n">
        <v>0.6899999999999999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spring_nid_dams_1mi|</t>
        </is>
      </c>
      <c r="B44" s="68" t="inlineStr">
        <is>
          <t>spring-nid-dams-1mi</t>
        </is>
      </c>
      <c r="C44" s="68" t="inlineStr">
        <is>
          <t>Mapped dams within one mile</t>
        </is>
      </c>
      <c r="D44" s="68" t="inlineStr"/>
      <c r="E44" s="68" t="n">
        <v>4</v>
      </c>
      <c r="F44" s="68" t="inlineStr">
        <is>
          <t>Fixed criteria, the same in every region</t>
        </is>
      </c>
      <c r="G44" s="68" t="n">
        <v>0</v>
      </c>
      <c r="H44" s="68" t="n">
        <v>1</v>
      </c>
      <c r="I44" s="68" t="n">
        <v>2</v>
      </c>
      <c r="J44" s="68" t="n">
        <v>3</v>
      </c>
      <c r="K44" s="68" t="n">
        <v>3</v>
      </c>
      <c r="L44" s="68" t="n">
        <v>3</v>
      </c>
      <c r="M44" s="68" t="n">
        <v>3</v>
      </c>
      <c r="N44" s="68" t="n">
        <v>3</v>
      </c>
      <c r="O44" s="68" t="n">
        <v>1</v>
      </c>
      <c r="P44" s="68" t="n">
        <v>0.545</v>
      </c>
      <c r="Q44" s="68" t="n">
        <v>0.195</v>
      </c>
      <c r="R44" s="68" t="n">
        <v>0</v>
      </c>
      <c r="S44" s="68" t="n">
        <v>0</v>
      </c>
      <c r="T44" s="68" t="n">
        <v>0</v>
      </c>
      <c r="U44" s="68" t="n">
        <v>0</v>
      </c>
      <c r="V44" s="68" t="n">
        <v>0</v>
      </c>
    </row>
    <row r="47">
      <c r="A47" s="57" t="inlineStr">
        <is>
          <t>Curve sets by metric</t>
        </is>
      </c>
    </row>
    <row r="48">
      <c r="A48" s="68" t="inlineStr">
        <is>
          <t>All streams (pooled)</t>
        </is>
      </c>
      <c r="B48" s="4" t="inlineStr">
        <is>
          <t>Bankfull width:depth ratio</t>
        </is>
      </c>
    </row>
    <row r="49">
      <c r="A49" s="68" t="inlineStr">
        <is>
          <t>Small stream (10 to 100 km2)</t>
        </is>
      </c>
      <c r="B49" s="4" t="inlineStr">
        <is>
          <t>Bankfull width:depth ratio</t>
        </is>
      </c>
    </row>
    <row r="50">
      <c r="A50" s="68" t="inlineStr">
        <is>
          <t>Large stream (over 100 km2)</t>
        </is>
      </c>
      <c r="B50" s="4" t="inlineStr">
        <is>
          <t>Bankfull width:depth ratio</t>
        </is>
      </c>
    </row>
    <row r="51">
      <c r="A51" s="68" t="inlineStr">
        <is>
          <t>All streams (pooled)</t>
        </is>
      </c>
      <c r="B51" s="4" t="inlineStr">
        <is>
          <t>Bankfull height above channel</t>
        </is>
      </c>
    </row>
    <row r="52">
      <c r="A52" s="68" t="inlineStr">
        <is>
          <t>Small stream (10 to 100 km2)</t>
        </is>
      </c>
      <c r="B52" s="4" t="inlineStr">
        <is>
          <t>Bankfull height above channel</t>
        </is>
      </c>
    </row>
    <row r="53">
      <c r="A53" s="68" t="inlineStr">
        <is>
          <t>Large stream (over 100 km2)</t>
        </is>
      </c>
      <c r="B53" s="4" t="inlineStr">
        <is>
          <t>Bankfull height above channel</t>
        </is>
      </c>
    </row>
    <row r="54">
      <c r="A54" s="68" t="inlineStr">
        <is>
          <t>All streams (pooled)</t>
        </is>
      </c>
      <c r="B54" s="4" t="inlineStr">
        <is>
          <t>Relative bed stability</t>
        </is>
      </c>
    </row>
    <row r="55">
      <c r="A55" s="68" t="inlineStr">
        <is>
          <t>Small stream (10 to 100 km2)</t>
        </is>
      </c>
      <c r="B55" s="4" t="inlineStr">
        <is>
          <t>Relative bed stability</t>
        </is>
      </c>
    </row>
    <row r="56">
      <c r="A56" s="68" t="inlineStr">
        <is>
          <t>Large stream (over 100 km2)</t>
        </is>
      </c>
      <c r="B56" s="4" t="inlineStr">
        <is>
          <t>Relative bed stability</t>
        </is>
      </c>
    </row>
    <row r="57">
      <c r="A57" s="68" t="inlineStr">
        <is>
          <t>All streams (pooled)</t>
        </is>
      </c>
      <c r="B57" s="4" t="inlineStr">
        <is>
          <t>Canopy density, mid-channel</t>
        </is>
      </c>
    </row>
    <row r="58">
      <c r="A58" s="68" t="inlineStr">
        <is>
          <t>Small stream (10 to 100 km2)</t>
        </is>
      </c>
      <c r="B58" s="4" t="inlineStr">
        <is>
          <t>Canopy density, mid-channel</t>
        </is>
      </c>
    </row>
    <row r="59">
      <c r="A59" s="68" t="inlineStr">
        <is>
          <t>Large stream (over 100 km2)</t>
        </is>
      </c>
      <c r="B59" s="4" t="inlineStr">
        <is>
          <t>Canopy density, mid-channel</t>
        </is>
      </c>
    </row>
    <row r="60">
      <c r="A60" s="68" t="inlineStr">
        <is>
          <t>All streams (pooled)</t>
        </is>
      </c>
      <c r="B60" s="4" t="inlineStr">
        <is>
          <t>Fast-water / riffle habitat</t>
        </is>
      </c>
    </row>
    <row r="61">
      <c r="A61" s="68" t="inlineStr">
        <is>
          <t>Moderate gradient (0.5 to 2 percent)</t>
        </is>
      </c>
      <c r="B61" s="4" t="inlineStr">
        <is>
          <t>Fast-water / riffle habitat</t>
        </is>
      </c>
    </row>
    <row r="62">
      <c r="A62" s="68" t="inlineStr">
        <is>
          <t>Steep (2 percent and above)</t>
        </is>
      </c>
      <c r="B62" s="4" t="inlineStr">
        <is>
          <t>Fast-water / riffle habitat</t>
        </is>
      </c>
    </row>
    <row r="63">
      <c r="A63" s="68" t="inlineStr">
        <is>
          <t>All streams (pooled)</t>
        </is>
      </c>
      <c r="B63" s="4" t="inlineStr">
        <is>
          <t>Natural fish cover</t>
        </is>
      </c>
    </row>
    <row r="64">
      <c r="A64" s="68" t="inlineStr">
        <is>
          <t>Small stream (10 to 100 km2)</t>
        </is>
      </c>
      <c r="B64" s="4" t="inlineStr">
        <is>
          <t>Natural fish cover</t>
        </is>
      </c>
    </row>
    <row r="65">
      <c r="A65" s="68" t="inlineStr">
        <is>
          <t>Large stream (over 100 km2)</t>
        </is>
      </c>
      <c r="B65" s="4" t="inlineStr">
        <is>
          <t>Natural fish cover</t>
        </is>
      </c>
    </row>
    <row r="68">
      <c r="A68" s="57" t="inlineStr">
        <is>
          <t>Condition classes</t>
        </is>
      </c>
    </row>
    <row r="69">
      <c r="A69" t="inlineStr">
        <is>
          <t>Metric index: at or below 0.39 Non-Functioning, at or below 0.69 Functioning At-Risk, above Functioning.</t>
        </is>
      </c>
    </row>
    <row r="70">
      <c r="A70" t="inlineStr">
        <is>
          <t>Function score (0 to 15): at or below 5 Non-Functioning, at or below 10 Functioning At-Risk, above Functioning.</t>
        </is>
      </c>
    </row>
    <row r="71">
      <c r="A7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madrean-archipelago</t>
        </is>
      </c>
    </row>
    <row r="5">
      <c r="A5" s="68" t="inlineStr">
        <is>
          <t>Assessment name</t>
        </is>
      </c>
      <c r="B5" s="68" t="inlineStr">
        <is>
          <t>Madrean Archipelago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sha256:f738d6007f5794d91d26bf56f86265a511249180aa054ff9fa2b411c2735f0f7</t>
        </is>
      </c>
    </row>
    <row r="9">
      <c r="A9" s="68" t="inlineStr">
        <is>
          <t>Region</t>
        </is>
      </c>
      <c r="B9" s="68" t="inlineStr">
        <is>
          <t>ecoregion 79 Madrean Archipelago</t>
        </is>
      </c>
    </row>
    <row r="10">
      <c r="A10" s="68" t="inlineStr">
        <is>
          <t>Source</t>
        </is>
      </c>
      <c r="B10" s="68" t="inlineStr">
        <is>
          <t>USEPA NRSA 2013-24 (L3 ecoregion 79),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2026-09-30T07:07:06Z</dcterms:created>
  <dcterms:modified xmlns:dcterms="http://purl.org/dc/terms/" xmlns:xsi="http://www.w3.org/2001/XMLSchema-instance" xsi:type="dcterms:W3CDTF">2026-09-30T07:07:06Z</dcterms:modified>
  <cp:lastModifiedBy>DEEP</cp:lastModifiedBy>
</cp:coreProperties>
</file>