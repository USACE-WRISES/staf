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'Reference'!$A$5:$A$47</definedName>
    <definedName name="curve_x1">'Reference'!$G$5:$G$47</definedName>
    <definedName name="curve_y1">'Reference'!$O$5:$O$47</definedName>
    <definedName name="curve_x2">'Reference'!$H$5:$H$47</definedName>
    <definedName name="curve_y2">'Reference'!$P$5:$P$47</definedName>
    <definedName name="curve_x3">'Reference'!$I$5:$I$47</definedName>
    <definedName name="curve_y3">'Reference'!$Q$5:$Q$47</definedName>
    <definedName name="curve_x4">'Reference'!$J$5:$J$47</definedName>
    <definedName name="curve_y4">'Reference'!$R$5:$R$47</definedName>
    <definedName name="curve_x5">'Reference'!$K$5:$K$47</definedName>
    <definedName name="curve_y5">'Reference'!$S$5:$S$47</definedName>
    <definedName name="curve_x6">'Reference'!$L$5:$L$47</definedName>
    <definedName name="curve_y6">'Reference'!$T$5:$T$47</definedName>
    <definedName name="curve_x7">'Reference'!$M$5:$M$47</definedName>
    <definedName name="curve_y7">'Reference'!$U$5:$U$47</definedName>
    <definedName name="curve_x8">'Reference'!$N$5:$N$47</definedName>
    <definedName name="curve_y8">'Reference'!$V$5:$V$47</definedName>
    <definedName name="strata_spring_phab_bfwd_rat">'Reference'!$A$51:$A$53</definedName>
    <definedName name="strata_spring_phab_xbkf_h">'Reference'!$A$54:$A$56</definedName>
    <definedName name="strata_spring_phab_lrbs_use">'Reference'!$A$57:$A$60</definedName>
    <definedName name="strata_spring_phab_xcdenmid">'Reference'!$A$61:$A$64</definedName>
    <definedName name="strata_spring_phab_pct_fast">'Reference'!$A$65:$A$67</definedName>
    <definedName name="strata_spring_phab_xfc_nat">'Reference'!$A$68:$A$71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fish_nat_ntolptax">'Metrics'!$V$28</definedName>
    <definedName name="idx_spring_fish_nat_tolrpind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fish_nat_ntolptax">'DEEP Score'!$E$42</definedName>
    <definedName name="in_spring_fish_nat_tolrpind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Arkansas Valley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19 borrow comparable least-disturbed stations from a wider region, stating the region and the transfer risk. 6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Arkansas Valley reference assessment</t>
        </is>
      </c>
    </row>
    <row r="3">
      <c r="A3" s="5" t="inlineStr">
        <is>
          <t>Version 1 | Draft | USEPA NRSA 2013-24 (L3 ecoregion 37),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IF('Metrics'!$V$14="","",'Metrics'!$V$14)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IF('Metrics'!$V$18="","",'Metrics'!$V$18)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Native non-tolerant fish taxa</t>
        </is>
      </c>
      <c r="D42" s="14" t="inlineStr">
        <is>
          <t>%</t>
        </is>
      </c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Tolerant native fish individuals</t>
        </is>
      </c>
      <c r="D43" s="23" t="inlineStr">
        <is>
          <t>%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Turbidity</t>
        </is>
      </c>
      <c r="C58" s="5" t="inlineStr">
        <is>
          <t>Water and soil quality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Large wood volume</t>
        </is>
      </c>
      <c r="B18" s="70">
        <f>IF('DEEP Score'!$E$32="","",'DEEP Score'!$E$32)</f>
        <v/>
      </c>
      <c r="C18" s="70">
        <f>""</f>
        <v/>
      </c>
      <c r="D18" s="70">
        <f>"spring_phab_lwdeqvolm100|"&amp;'Metrics'!$C$18</f>
        <v/>
      </c>
      <c r="E18" s="70">
        <f>IFERROR(MATCH('Metrics'!$D$18,curve_key,0),MATCH("spring_phab_lwdeqvolm100|",curve_key,0))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Native non-tolerant fish taxa</t>
        </is>
      </c>
      <c r="B28" s="70">
        <f>IF('DEEP Score'!$E$42="","",'DEEP Score'!$E$42)</f>
        <v/>
      </c>
      <c r="C28" s="70">
        <f>""</f>
        <v/>
      </c>
      <c r="D28" s="70">
        <f>"spring_fish_nat_ntolptax|"&amp;'Metrics'!$C$28</f>
        <v/>
      </c>
      <c r="E28" s="70">
        <f>IFERROR(MATCH('Metrics'!$D$28,curve_key,0),MATCH("spring_fish_nat_ntolptax|",curve_key,0))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Tolerant native fish individuals</t>
        </is>
      </c>
      <c r="B29" s="70">
        <f>IF('DEEP Score'!$E$43="","",'DEEP Score'!$E$43)</f>
        <v/>
      </c>
      <c r="C29" s="70">
        <f>""</f>
        <v/>
      </c>
      <c r="D29" s="70">
        <f>"spring_fish_nat_tolrpind|"&amp;'Metrics'!$C$29</f>
        <v/>
      </c>
      <c r="E29" s="70">
        <f>IFERROR(MATCH('Metrics'!$D$29,curve_key,0),MATCH("spring_fish_nat_tolrpind|",curve_key,0))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Score'!$E$44="","",'DEEP Score'!$E$44)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Benthic macroinvertebrate MMI</t>
        </is>
      </c>
      <c r="B31" s="70">
        <f>IF('DEEP Score'!$E$45="","",'DEEP Score'!$E$45)</f>
        <v/>
      </c>
      <c r="C31" s="70">
        <f>""</f>
        <v/>
      </c>
      <c r="D31" s="70">
        <f>"spring_bent_mmi_bent|"&amp;'Metrics'!$C$31</f>
        <v/>
      </c>
      <c r="E31" s="70">
        <f>IFERROR(MATCH('Metrics'!$D$31,curve_key,0),MATCH("spring_bent_mmi_bent|",curve_key,0))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61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10.9206</v>
      </c>
      <c r="I9" s="69" t="n">
        <v>25.4814</v>
      </c>
      <c r="J9" s="69" t="n">
        <v>46.0998</v>
      </c>
      <c r="K9" s="69" t="n">
        <v>56.40900000000001</v>
      </c>
      <c r="L9" s="69" t="n">
        <v>56.40900000000001</v>
      </c>
      <c r="M9" s="69" t="n">
        <v>56.40900000000001</v>
      </c>
      <c r="N9" s="69" t="n">
        <v>56.40900000000001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7</v>
      </c>
      <c r="F11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1" s="69" t="n">
        <v>0</v>
      </c>
      <c r="H11" s="69" t="n">
        <v>4.506835281848907</v>
      </c>
      <c r="I11" s="69" t="n">
        <v>9.548089265823364</v>
      </c>
      <c r="J11" s="69" t="n">
        <v>23.95167207717896</v>
      </c>
      <c r="K11" s="69" t="n">
        <v>28.99292606115341</v>
      </c>
      <c r="L11" s="69" t="n">
        <v>38.35525488853455</v>
      </c>
      <c r="M11" s="69" t="n">
        <v>52.75883769989014</v>
      </c>
      <c r="N11" s="69" t="n">
        <v>52.75883769989014</v>
      </c>
      <c r="O11" s="69" t="n">
        <v>0</v>
      </c>
      <c r="P11" s="69" t="n">
        <v>0.7</v>
      </c>
      <c r="Q11" s="69" t="n">
        <v>1</v>
      </c>
      <c r="R11" s="69" t="n">
        <v>1</v>
      </c>
      <c r="S11" s="69" t="n">
        <v>0.7</v>
      </c>
      <c r="T11" s="69" t="n">
        <v>0.3</v>
      </c>
      <c r="U11" s="69" t="n">
        <v>0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8</v>
      </c>
      <c r="F12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9" t="n">
        <v>0</v>
      </c>
      <c r="H12" s="69" t="n">
        <v>3.669660568237305</v>
      </c>
      <c r="I12" s="69" t="n">
        <v>7.677877879142761</v>
      </c>
      <c r="J12" s="69" t="n">
        <v>9.836148738861084</v>
      </c>
      <c r="K12" s="69" t="n">
        <v>16.00263690948486</v>
      </c>
      <c r="L12" s="69" t="n">
        <v>18.16090776920318</v>
      </c>
      <c r="M12" s="69" t="n">
        <v>22.16912508010864</v>
      </c>
      <c r="N12" s="69" t="n">
        <v>28.33561325073242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0.7</v>
      </c>
      <c r="U12" s="69" t="n">
        <v>0.3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8</v>
      </c>
      <c r="F13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3" s="69" t="n">
        <v>0</v>
      </c>
      <c r="H13" s="69" t="n">
        <v>7.390660285949707</v>
      </c>
      <c r="I13" s="69" t="n">
        <v>14.27840785980225</v>
      </c>
      <c r="J13" s="69" t="n">
        <v>17.98719501495361</v>
      </c>
      <c r="K13" s="69" t="n">
        <v>28.58372974395752</v>
      </c>
      <c r="L13" s="69" t="n">
        <v>32.29251689910889</v>
      </c>
      <c r="M13" s="69" t="n">
        <v>39.18026447296143</v>
      </c>
      <c r="N13" s="69" t="n">
        <v>49.77679920196533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0.7</v>
      </c>
      <c r="U13" s="69" t="n">
        <v>0.3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9" t="n">
        <v>0</v>
      </c>
      <c r="H14" s="69" t="n">
        <v>0.2281818177551031</v>
      </c>
      <c r="I14" s="69" t="n">
        <v>0.3681818172335625</v>
      </c>
      <c r="J14" s="69" t="n">
        <v>0.7681818157434464</v>
      </c>
      <c r="K14" s="69" t="n">
        <v>0.9081818152219057</v>
      </c>
      <c r="L14" s="69" t="n">
        <v>1.16818181425333</v>
      </c>
      <c r="M14" s="69" t="n">
        <v>1.568181812763214</v>
      </c>
      <c r="N14" s="69" t="n">
        <v>1.568181812763214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8</v>
      </c>
      <c r="F15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0.2363636195659637</v>
      </c>
      <c r="I15" s="69" t="n">
        <v>0.4343181699514389</v>
      </c>
      <c r="J15" s="69" t="n">
        <v>0.540909081697464</v>
      </c>
      <c r="K15" s="69" t="n">
        <v>0.8454545438289642</v>
      </c>
      <c r="L15" s="69" t="n">
        <v>0.9520454555749893</v>
      </c>
      <c r="M15" s="69" t="n">
        <v>1.150000005960464</v>
      </c>
      <c r="N15" s="69" t="n">
        <v>1.454545468091965</v>
      </c>
      <c r="O15" s="69" t="n">
        <v>0</v>
      </c>
      <c r="P15" s="69" t="n">
        <v>0.3</v>
      </c>
      <c r="Q15" s="69" t="n">
        <v>0.7</v>
      </c>
      <c r="R15" s="69" t="n">
        <v>1</v>
      </c>
      <c r="S15" s="69" t="n">
        <v>1</v>
      </c>
      <c r="T15" s="69" t="n">
        <v>0.7</v>
      </c>
      <c r="U15" s="69" t="n">
        <v>0.3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8</v>
      </c>
      <c r="F16" s="69" t="inlineStr">
        <is>
          <t>56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0.01136365532875061</v>
      </c>
      <c r="I16" s="69" t="n">
        <v>0.2728409208357334</v>
      </c>
      <c r="J16" s="69" t="n">
        <v>0.4136363714933395</v>
      </c>
      <c r="K16" s="69" t="n">
        <v>0.8159090876579285</v>
      </c>
      <c r="L16" s="69" t="n">
        <v>0.9567045383155346</v>
      </c>
      <c r="M16" s="69" t="n">
        <v>1.218181803822517</v>
      </c>
      <c r="N16" s="69" t="n">
        <v>1.620454519987106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5</v>
      </c>
      <c r="F17" s="69" t="inlineStr">
        <is>
          <t>56 least-disturbed stations borrowed from Level II ecoregion 8.4 (Ozark/Ouachita-Appalachian Forests) under the regional screen (agriculture at most 37.8 percent), transfer risk low</t>
        </is>
      </c>
      <c r="G17" s="69" t="n">
        <v>0</v>
      </c>
      <c r="H17" s="69" t="n">
        <v>2.942008554935455</v>
      </c>
      <c r="I17" s="69" t="n">
        <v>32.85714149475098</v>
      </c>
      <c r="J17" s="69" t="n">
        <v>77.72984090447426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0.3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49 least-disturbed stations borrowed from Level II ecoregion 8.4 (Ozark/Ouachita-Appalachian Forests) under the regional screen (agriculture at most 37.8 percent), transfer risk low</t>
        </is>
      </c>
      <c r="G18" s="69" t="n">
        <v>14.31818103790283</v>
      </c>
      <c r="H18" s="69" t="n">
        <v>30.54545402526855</v>
      </c>
      <c r="I18" s="69" t="n">
        <v>63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48 least-disturbed stations borrowed from Level II ecoregion 8.4 (Ozark/Ouachita-Appalachian Forests) under the regional screen (agriculture at most 37.8 percent), transfer risk moderate</t>
        </is>
      </c>
      <c r="G19" s="69" t="n">
        <v>1</v>
      </c>
      <c r="H19" s="69" t="n">
        <v>1.04861244559288</v>
      </c>
      <c r="I19" s="69" t="n">
        <v>1.179086446762085</v>
      </c>
      <c r="J19" s="69" t="n">
        <v>1.244323447346687</v>
      </c>
      <c r="K19" s="69" t="n">
        <v>1.244323447346687</v>
      </c>
      <c r="L19" s="69" t="n">
        <v>1.244323447346687</v>
      </c>
      <c r="M19" s="69" t="n">
        <v>1.244323447346687</v>
      </c>
      <c r="N19" s="69" t="n">
        <v>1.244323447346687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129 least-disturbed stations borrowed from Level I ecoregion 8 (Eastern Temperate Forests) under the regional screen (agriculture at most 37.8 percent), transfer risk moderate</t>
        </is>
      </c>
      <c r="G20" s="69" t="n">
        <v>0</v>
      </c>
      <c r="H20" s="69" t="n">
        <v>17.07954568862915</v>
      </c>
      <c r="I20" s="69" t="n">
        <v>24.31818199157715</v>
      </c>
      <c r="J20" s="69" t="n">
        <v>45</v>
      </c>
      <c r="K20" s="69" t="n">
        <v>52.238636302948</v>
      </c>
      <c r="L20" s="69" t="n">
        <v>65.68181800842285</v>
      </c>
      <c r="M20" s="69" t="n">
        <v>86.3636360168457</v>
      </c>
      <c r="N20" s="69" t="n">
        <v>86.3636360168457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146 least-disturbed stations borrowed from Level I ecoregion 8 (Eastern Temperate Forests) under the regional screen (agriculture at most 37.8 percent), transfer risk high</t>
        </is>
      </c>
      <c r="G21" s="69" t="n">
        <v>-4.05384084302932</v>
      </c>
      <c r="H21" s="69" t="n">
        <v>-2.690019814763218</v>
      </c>
      <c r="I21" s="69" t="n">
        <v>-1.803536146390252</v>
      </c>
      <c r="J21" s="69" t="n">
        <v>-1.326198786497116</v>
      </c>
      <c r="K21" s="69" t="n">
        <v>0.03762224176898599</v>
      </c>
      <c r="L21" s="69" t="n">
        <v>0.5149596016621216</v>
      </c>
      <c r="M21" s="69" t="n">
        <v>1.401443270035088</v>
      </c>
      <c r="N21" s="69" t="n">
        <v>2.76526429830119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spring_phab_lrbs_use|Headwater (10 km2 and under)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Headwater (10 km2 and under)</t>
        </is>
      </c>
      <c r="E22" s="69" t="n">
        <v>8</v>
      </c>
      <c r="F22" s="69" t="inlineStr">
        <is>
          <t>146 least-disturbed stations borrowed from Level I ecoregion 8 (Eastern Temperate Forests) under the regional screen (agriculture at most 37.8 percent), transfer risk high</t>
        </is>
      </c>
      <c r="G22" s="69" t="n">
        <v>-4.073578730225563</v>
      </c>
      <c r="H22" s="69" t="n">
        <v>-2.778274782001972</v>
      </c>
      <c r="I22" s="69" t="n">
        <v>-1.936327215656638</v>
      </c>
      <c r="J22" s="69" t="n">
        <v>-1.482970833778381</v>
      </c>
      <c r="K22" s="69" t="n">
        <v>-0.1876668855547905</v>
      </c>
      <c r="L22" s="69" t="n">
        <v>0.2656894963234663</v>
      </c>
      <c r="M22" s="69" t="n">
        <v>1.1076370626688</v>
      </c>
      <c r="N22" s="69" t="n">
        <v>2.402941010892391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spring_phab_lrbs_use|Small stream (10 to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Small stream (10 to 100 km2)</t>
        </is>
      </c>
      <c r="E23" s="69" t="n">
        <v>8</v>
      </c>
      <c r="F23" s="69" t="inlineStr">
        <is>
          <t>146 least-disturbed stations borrowed from Level I ecoregion 8 (Eastern Temperate Forests) under the regional screen (agriculture at most 37.8 percent), transfer risk high</t>
        </is>
      </c>
      <c r="G23" s="69" t="n">
        <v>-3.466576606035233</v>
      </c>
      <c r="H23" s="69" t="n">
        <v>-2.400728598237038</v>
      </c>
      <c r="I23" s="69" t="n">
        <v>-1.707927393168211</v>
      </c>
      <c r="J23" s="69" t="n">
        <v>-1.334880590438843</v>
      </c>
      <c r="K23" s="69" t="n">
        <v>-0.2690325826406479</v>
      </c>
      <c r="L23" s="69" t="n">
        <v>0.1040142200887203</v>
      </c>
      <c r="M23" s="69" t="n">
        <v>0.796815425157547</v>
      </c>
      <c r="N23" s="69" t="n">
        <v>1.862663432955742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spring_phab_lrbs_use|Large stream (over 100 km2)</t>
        </is>
      </c>
      <c r="B24" s="69" t="inlineStr">
        <is>
          <t>spring-phab-lrbs-use</t>
        </is>
      </c>
      <c r="C24" s="69" t="inlineStr">
        <is>
          <t>Relative bed stability</t>
        </is>
      </c>
      <c r="D24" s="69" t="inlineStr">
        <is>
          <t>Large stream (over 100 km2)</t>
        </is>
      </c>
      <c r="E24" s="69" t="n">
        <v>8</v>
      </c>
      <c r="F24" s="69" t="inlineStr">
        <is>
          <t>146 least-disturbed stations borrowed from Level I ecoregion 8 (Eastern Temperate Forests) under the regional screen (agriculture at most 37.8 percent), transfer risk high</t>
        </is>
      </c>
      <c r="G24" s="69" t="n">
        <v>-4.16534087061882</v>
      </c>
      <c r="H24" s="69" t="n">
        <v>-2.55092841386795</v>
      </c>
      <c r="I24" s="69" t="n">
        <v>-1.501560316979885</v>
      </c>
      <c r="J24" s="69" t="n">
        <v>-0.9365159571170807</v>
      </c>
      <c r="K24" s="69" t="n">
        <v>0.6778964996337891</v>
      </c>
      <c r="L24" s="69" t="n">
        <v>1.242940859496593</v>
      </c>
      <c r="M24" s="69" t="n">
        <v>2.292308956384659</v>
      </c>
      <c r="N24" s="69" t="n">
        <v>3.906721413135529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spring_phab_lwdeqvolm100|</t>
        </is>
      </c>
      <c r="B25" s="69" t="inlineStr">
        <is>
          <t>spring-phab-lwdeqvolm100</t>
        </is>
      </c>
      <c r="C25" s="69" t="inlineStr">
        <is>
          <t>Large wood volume</t>
        </is>
      </c>
      <c r="D25" s="69" t="inlineStr"/>
      <c r="E25" s="69" t="n">
        <v>5</v>
      </c>
      <c r="F25" s="69" t="inlineStr">
        <is>
          <t>Reference curve fitted to comparable least-disturbed stations drawn from the national pool, because this ecoregion and its parents hold too few of their own.</t>
        </is>
      </c>
      <c r="G25" s="69" t="n">
        <v>0</v>
      </c>
      <c r="H25" s="69" t="n">
        <v>0.02744505554437637</v>
      </c>
      <c r="I25" s="69" t="n">
        <v>0.0640384629368782</v>
      </c>
      <c r="J25" s="69" t="n">
        <v>4.344689011573792</v>
      </c>
      <c r="K25" s="69" t="n">
        <v>6.485014285892248</v>
      </c>
      <c r="L25" s="69" t="n">
        <v>6.485014285892248</v>
      </c>
      <c r="M25" s="69" t="n">
        <v>6.485014285892248</v>
      </c>
      <c r="N25" s="69" t="n">
        <v>6.485014285892248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spring_chem_chla|</t>
        </is>
      </c>
      <c r="B26" s="69" t="inlineStr">
        <is>
          <t>spring-chem-chla</t>
        </is>
      </c>
      <c r="C26" s="69" t="inlineStr">
        <is>
          <t>Chlorophyll a</t>
        </is>
      </c>
      <c r="D26" s="69" t="inlineStr"/>
      <c r="E26" s="69" t="n">
        <v>5</v>
      </c>
      <c r="F26" s="69" t="inlineStr">
        <is>
          <t>50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6" s="69" t="n">
        <v>0</v>
      </c>
      <c r="H26" s="69" t="n">
        <v>1.69499996304512</v>
      </c>
      <c r="I26" s="69" t="n">
        <v>6.275000095367432</v>
      </c>
      <c r="J26" s="69" t="n">
        <v>13.1450002938509</v>
      </c>
      <c r="K26" s="69" t="n">
        <v>17.72500042617321</v>
      </c>
      <c r="L26" s="69" t="n">
        <v>17.72500042617321</v>
      </c>
      <c r="M26" s="69" t="n">
        <v>17.72500042617321</v>
      </c>
      <c r="N26" s="69" t="n">
        <v>17.72500042617321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spring_phab_xcdenmid|All streams (pooled)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All streams (pooled)</t>
        </is>
      </c>
      <c r="E27" s="69" t="n">
        <v>5</v>
      </c>
      <c r="F27" s="69" t="inlineStr">
        <is>
          <t>61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23.56849724905831</v>
      </c>
      <c r="I27" s="69" t="n">
        <v>54.99316024780273</v>
      </c>
      <c r="J27" s="69" t="n">
        <v>93.5828857421875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spring_phab_xcdenmid|Headwater (10 km2 and under)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Headwater (10 km2 and under)</t>
        </is>
      </c>
      <c r="E28" s="69" t="n">
        <v>5</v>
      </c>
      <c r="F28" s="69" t="inlineStr">
        <is>
          <t>61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33.56092480250767</v>
      </c>
      <c r="I28" s="69" t="n">
        <v>78.30882453918457</v>
      </c>
      <c r="J28" s="69" t="n">
        <v>98.16176414489746</v>
      </c>
      <c r="K28" s="69" t="n">
        <v>100</v>
      </c>
      <c r="L28" s="69" t="n">
        <v>100</v>
      </c>
      <c r="M28" s="69" t="n">
        <v>100</v>
      </c>
      <c r="N28" s="69" t="n">
        <v>100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spring_phab_xcdenmid|Small stream (10 to 100 km2)</t>
        </is>
      </c>
      <c r="B29" s="69" t="inlineStr">
        <is>
          <t>spring-phab-xcdenmid</t>
        </is>
      </c>
      <c r="C29" s="69" t="inlineStr">
        <is>
          <t>Canopy density, mid-channel</t>
        </is>
      </c>
      <c r="D29" s="69" t="inlineStr">
        <is>
          <t>Small stream (10 to 100 km2)</t>
        </is>
      </c>
      <c r="E29" s="69" t="n">
        <v>5</v>
      </c>
      <c r="F29" s="69" t="inlineStr">
        <is>
          <t>61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9" t="n">
        <v>0</v>
      </c>
      <c r="H29" s="69" t="n">
        <v>29.06321566445487</v>
      </c>
      <c r="I29" s="69" t="n">
        <v>67.81416988372803</v>
      </c>
      <c r="J29" s="69" t="n">
        <v>91.07620048522949</v>
      </c>
      <c r="K29" s="69" t="n">
        <v>100</v>
      </c>
      <c r="L29" s="69" t="n">
        <v>100</v>
      </c>
      <c r="M29" s="69" t="n">
        <v>100</v>
      </c>
      <c r="N29" s="69" t="n">
        <v>100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spring_phab_xcdenmid|Large stream (over 100 km2)</t>
        </is>
      </c>
      <c r="B30" s="69" t="inlineStr">
        <is>
          <t>spring-phab-xcdenmid</t>
        </is>
      </c>
      <c r="C30" s="69" t="inlineStr">
        <is>
          <t>Canopy density, mid-channel</t>
        </is>
      </c>
      <c r="D30" s="69" t="inlineStr">
        <is>
          <t>Large stream (over 100 km2)</t>
        </is>
      </c>
      <c r="E30" s="69" t="n">
        <v>5</v>
      </c>
      <c r="F30" s="69" t="inlineStr">
        <is>
          <t>61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0" s="69" t="n">
        <v>0</v>
      </c>
      <c r="H30" s="69" t="n">
        <v>6.875477313995361</v>
      </c>
      <c r="I30" s="69" t="n">
        <v>16.04278039932251</v>
      </c>
      <c r="J30" s="69" t="n">
        <v>54.31706619262695</v>
      </c>
      <c r="K30" s="69" t="n">
        <v>73.45420908927917</v>
      </c>
      <c r="L30" s="69" t="n">
        <v>73.45420908927917</v>
      </c>
      <c r="M30" s="69" t="n">
        <v>73.45420908927917</v>
      </c>
      <c r="N30" s="69" t="n">
        <v>73.45420908927917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spring_phab_xcmgw|</t>
        </is>
      </c>
      <c r="B31" s="69" t="inlineStr">
        <is>
          <t>spring-phab-xcmgw</t>
        </is>
      </c>
      <c r="C31" s="69" t="inlineStr">
        <is>
          <t>Riparian veg cover, woody</t>
        </is>
      </c>
      <c r="D31" s="69" t="inlineStr"/>
      <c r="E31" s="69" t="n">
        <v>5</v>
      </c>
      <c r="F31" s="69" t="inlineStr">
        <is>
          <t>69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required; net optimism +0.10, at most 0.05 allowed); confidence capped at 39.</t>
        </is>
      </c>
      <c r="G31" s="69" t="n">
        <v>0</v>
      </c>
      <c r="H31" s="69" t="n">
        <v>0.3389610477856227</v>
      </c>
      <c r="I31" s="69" t="n">
        <v>0.7909091114997864</v>
      </c>
      <c r="J31" s="69" t="n">
        <v>1.44772732257843</v>
      </c>
      <c r="K31" s="69" t="n">
        <v>1.776136428117752</v>
      </c>
      <c r="L31" s="69" t="n">
        <v>1.776136428117752</v>
      </c>
      <c r="M31" s="69" t="n">
        <v>1.776136428117752</v>
      </c>
      <c r="N31" s="69" t="n">
        <v>1.776136428117752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spring_chem_ntl|</t>
        </is>
      </c>
      <c r="B32" s="69" t="inlineStr">
        <is>
          <t>spring-chem-ntl</t>
        </is>
      </c>
      <c r="C32" s="69" t="inlineStr">
        <is>
          <t>Total nitrogen</t>
        </is>
      </c>
      <c r="D32" s="69" t="inlineStr"/>
      <c r="E32" s="69" t="n">
        <v>4</v>
      </c>
      <c r="F32" s="69" t="inlineStr">
        <is>
          <t>Scored against a published criterion rather than against stations from this ecoregion. The criterion carries its own definition of reference, which need not match this assessment's.</t>
        </is>
      </c>
      <c r="G32" s="69" t="n">
        <v>0</v>
      </c>
      <c r="H32" s="69" t="n">
        <v>0.2405</v>
      </c>
      <c r="I32" s="69" t="n">
        <v>0.456</v>
      </c>
      <c r="J32" s="69" t="n">
        <v>0.73615</v>
      </c>
      <c r="K32" s="69" t="n">
        <v>0.73615</v>
      </c>
      <c r="L32" s="69" t="n">
        <v>0.73615</v>
      </c>
      <c r="M32" s="69" t="n">
        <v>0.73615</v>
      </c>
      <c r="N32" s="69" t="n">
        <v>0.73615</v>
      </c>
      <c r="O32" s="69" t="n">
        <v>1</v>
      </c>
      <c r="P32" s="69" t="n">
        <v>0.6899999999999999</v>
      </c>
      <c r="Q32" s="69" t="n">
        <v>0.39</v>
      </c>
      <c r="R32" s="69" t="n">
        <v>0</v>
      </c>
      <c r="S32" s="69" t="n">
        <v>0</v>
      </c>
      <c r="T32" s="69" t="n">
        <v>0</v>
      </c>
      <c r="U32" s="69" t="n">
        <v>0</v>
      </c>
      <c r="V32" s="69" t="n">
        <v>0</v>
      </c>
    </row>
    <row r="33">
      <c r="A33" s="69" t="inlineStr">
        <is>
          <t>spring_chem_ptl|</t>
        </is>
      </c>
      <c r="B33" s="69" t="inlineStr">
        <is>
          <t>spring-chem-ptl</t>
        </is>
      </c>
      <c r="C33" s="69" t="inlineStr">
        <is>
          <t>Total phosphorus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14.85</v>
      </c>
      <c r="I33" s="69" t="n">
        <v>24.4</v>
      </c>
      <c r="J33" s="69" t="n">
        <v>36.815</v>
      </c>
      <c r="K33" s="69" t="n">
        <v>36.815</v>
      </c>
      <c r="L33" s="69" t="n">
        <v>36.815</v>
      </c>
      <c r="M33" s="69" t="n">
        <v>36.815</v>
      </c>
      <c r="N33" s="69" t="n">
        <v>36.815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spring_chem_ph|</t>
        </is>
      </c>
      <c r="B34" s="69" t="inlineStr">
        <is>
          <t>spring-chem-ph</t>
        </is>
      </c>
      <c r="C34" s="69" t="inlineStr">
        <is>
          <t>pH</t>
        </is>
      </c>
      <c r="D34" s="69" t="inlineStr"/>
      <c r="E34" s="69" t="n">
        <v>8</v>
      </c>
      <c r="F34" s="69" t="inlineStr">
        <is>
          <t>47 least-disturbed stations borrowed from Level I ecoregion 8 (Eastern Temperate Forests) under the regional screen (agriculture at most 37.8 percent), transfer risk moderate</t>
        </is>
      </c>
      <c r="G34" s="69" t="n">
        <v>5.979999303817749</v>
      </c>
      <c r="H34" s="69" t="n">
        <v>6.604999542236328</v>
      </c>
      <c r="I34" s="69" t="n">
        <v>7.011249697208404</v>
      </c>
      <c r="J34" s="69" t="n">
        <v>7.229999780654907</v>
      </c>
      <c r="K34" s="69" t="n">
        <v>7.855000019073486</v>
      </c>
      <c r="L34" s="69" t="n">
        <v>8.073750102519989</v>
      </c>
      <c r="M34" s="69" t="n">
        <v>8.480000257492065</v>
      </c>
      <c r="N34" s="69" t="n">
        <v>9.105000495910645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0.7</v>
      </c>
      <c r="U34" s="69" t="n">
        <v>0.3</v>
      </c>
      <c r="V34" s="69" t="n">
        <v>0</v>
      </c>
    </row>
    <row r="35">
      <c r="A35" s="69" t="inlineStr">
        <is>
          <t>spring_chem_cond|</t>
        </is>
      </c>
      <c r="B35" s="69" t="inlineStr">
        <is>
          <t>spring-chem-cond</t>
        </is>
      </c>
      <c r="C35" s="69" t="inlineStr">
        <is>
          <t>Specific conductivity</t>
        </is>
      </c>
      <c r="D35" s="69" t="inlineStr"/>
      <c r="E35" s="69" t="n">
        <v>4</v>
      </c>
      <c r="F35" s="69" t="inlineStr">
        <is>
          <t>Scored against a published criterion rather than against stations from this ecoregion. The criterion carries its own definition of reference, which need not match this assessment's.</t>
        </is>
      </c>
      <c r="G35" s="69" t="n">
        <v>0</v>
      </c>
      <c r="H35" s="69" t="n">
        <v>500.05</v>
      </c>
      <c r="I35" s="69" t="n">
        <v>1000.05</v>
      </c>
      <c r="J35" s="69" t="n">
        <v>1650.05</v>
      </c>
      <c r="K35" s="69" t="n">
        <v>1650.05</v>
      </c>
      <c r="L35" s="69" t="n">
        <v>1650.05</v>
      </c>
      <c r="M35" s="69" t="n">
        <v>1650.05</v>
      </c>
      <c r="N35" s="69" t="n">
        <v>1650.05</v>
      </c>
      <c r="O35" s="69" t="n">
        <v>1</v>
      </c>
      <c r="P35" s="69" t="n">
        <v>0.6899999999999999</v>
      </c>
      <c r="Q35" s="69" t="n">
        <v>0.39</v>
      </c>
      <c r="R35" s="69" t="n">
        <v>0</v>
      </c>
      <c r="S35" s="69" t="n">
        <v>0</v>
      </c>
      <c r="T35" s="69" t="n">
        <v>0</v>
      </c>
      <c r="U35" s="69" t="n">
        <v>0</v>
      </c>
      <c r="V35" s="69" t="n">
        <v>0</v>
      </c>
    </row>
    <row r="36">
      <c r="A36" s="69" t="inlineStr">
        <is>
          <t>spring_phab_pct_fast|All streams (pooled)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All streams (pooled)</t>
        </is>
      </c>
      <c r="E36" s="69" t="n">
        <v>5</v>
      </c>
      <c r="F36" s="69" t="inlineStr">
        <is>
          <t>56 least-disturbed stations borrowed from Level II ecoregion 8.4 (Ozark/Ouachita-Appalachian Forests) under the regional screen (agriculture at most 37.8 percent), transfer risk low</t>
        </is>
      </c>
      <c r="G36" s="69" t="n">
        <v>0</v>
      </c>
      <c r="H36" s="69" t="n">
        <v>4.285714285714286</v>
      </c>
      <c r="I36" s="69" t="n">
        <v>10</v>
      </c>
      <c r="J36" s="69" t="n">
        <v>43.04545402526855</v>
      </c>
      <c r="K36" s="69" t="n">
        <v>59.56818103790283</v>
      </c>
      <c r="L36" s="69" t="n">
        <v>59.56818103790283</v>
      </c>
      <c r="M36" s="69" t="n">
        <v>59.56818103790283</v>
      </c>
      <c r="N36" s="69" t="n">
        <v>59.56818103790283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spring_phab_pct_fast|Low gradient (under 0.5 percent)</t>
        </is>
      </c>
      <c r="B37" s="69" t="inlineStr">
        <is>
          <t>spring-phab-pct-fast</t>
        </is>
      </c>
      <c r="C37" s="69" t="inlineStr">
        <is>
          <t>Fast-water / riffle habitat</t>
        </is>
      </c>
      <c r="D37" s="69" t="inlineStr">
        <is>
          <t>Low gradient (under 0.5 percent)</t>
        </is>
      </c>
      <c r="E37" s="69" t="n">
        <v>5</v>
      </c>
      <c r="F37" s="69" t="inlineStr">
        <is>
          <t>56 least-disturbed stations borrowed from Level II ecoregion 8.4 (Ozark/Ouachita-Appalachian Forests) under the regional screen (agriculture at most 37.8 percent), transfer risk low</t>
        </is>
      </c>
      <c r="G37" s="69" t="n">
        <v>0</v>
      </c>
      <c r="H37" s="69" t="n">
        <v>4.285714285714286</v>
      </c>
      <c r="I37" s="69" t="n">
        <v>10</v>
      </c>
      <c r="J37" s="69" t="n">
        <v>31.68316841125488</v>
      </c>
      <c r="K37" s="69" t="n">
        <v>42.52475261688232</v>
      </c>
      <c r="L37" s="69" t="n">
        <v>42.52475261688232</v>
      </c>
      <c r="M37" s="69" t="n">
        <v>42.52475261688232</v>
      </c>
      <c r="N37" s="69" t="n">
        <v>42.52475261688232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spring_phab_pct_fast|Moderate gradient (0.5 to 2 percent)</t>
        </is>
      </c>
      <c r="B38" s="69" t="inlineStr">
        <is>
          <t>spring-phab-pct-fast</t>
        </is>
      </c>
      <c r="C38" s="69" t="inlineStr">
        <is>
          <t>Fast-water / riffle habitat</t>
        </is>
      </c>
      <c r="D38" s="69" t="inlineStr">
        <is>
          <t>Moderate gradient (0.5 to 2 percent)</t>
        </is>
      </c>
      <c r="E38" s="69" t="n">
        <v>5</v>
      </c>
      <c r="F38" s="69" t="inlineStr">
        <is>
          <t>56 least-disturbed stations borrowed from Level II ecoregion 8.4 (Ozark/Ouachita-Appalachian Forests) under the regional screen (agriculture at most 37.8 percent), transfer risk low</t>
        </is>
      </c>
      <c r="G38" s="69" t="n">
        <v>0</v>
      </c>
      <c r="H38" s="69" t="n">
        <v>5.25</v>
      </c>
      <c r="I38" s="69" t="n">
        <v>12.25</v>
      </c>
      <c r="J38" s="69" t="n">
        <v>53.68181800842285</v>
      </c>
      <c r="K38" s="69" t="n">
        <v>74.39772701263428</v>
      </c>
      <c r="L38" s="69" t="n">
        <v>74.39772701263428</v>
      </c>
      <c r="M38" s="69" t="n">
        <v>74.39772701263428</v>
      </c>
      <c r="N38" s="69" t="n">
        <v>74.39772701263428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spring_phab_xfc_nat|All streams (pooled)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All streams (pooled)</t>
        </is>
      </c>
      <c r="E39" s="69" t="n">
        <v>5</v>
      </c>
      <c r="F39" s="69" t="inlineStr">
        <is>
          <t>69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9" s="69" t="n">
        <v>0</v>
      </c>
      <c r="H39" s="69" t="n">
        <v>0.09155844364847456</v>
      </c>
      <c r="I39" s="69" t="n">
        <v>0.2136363685131073</v>
      </c>
      <c r="J39" s="69" t="n">
        <v>0.5</v>
      </c>
      <c r="K39" s="69" t="n">
        <v>0.6431818157434464</v>
      </c>
      <c r="L39" s="69" t="n">
        <v>0.6431818157434464</v>
      </c>
      <c r="M39" s="69" t="n">
        <v>0.6431818157434464</v>
      </c>
      <c r="N39" s="69" t="n">
        <v>0.6431818157434464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spring_phab_xfc_nat|Headwater (10 km2 and under)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Headwater (10 km2 and under)</t>
        </is>
      </c>
      <c r="E40" s="69" t="n">
        <v>5</v>
      </c>
      <c r="F40" s="69" t="inlineStr">
        <is>
          <t>69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40" s="69" t="n">
        <v>0</v>
      </c>
      <c r="H40" s="69" t="n">
        <v>0.09550324667777334</v>
      </c>
      <c r="I40" s="69" t="n">
        <v>0.2228409089148045</v>
      </c>
      <c r="J40" s="69" t="n">
        <v>0.4119318127632141</v>
      </c>
      <c r="K40" s="69" t="n">
        <v>0.5064772646874189</v>
      </c>
      <c r="L40" s="69" t="n">
        <v>0.5064772646874189</v>
      </c>
      <c r="M40" s="69" t="n">
        <v>0.5064772646874189</v>
      </c>
      <c r="N40" s="69" t="n">
        <v>0.5064772646874189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spring_phab_xfc_nat|Small stream (10 to 100 km2)</t>
        </is>
      </c>
      <c r="B41" s="69" t="inlineStr">
        <is>
          <t>spring-phab-xfc-nat</t>
        </is>
      </c>
      <c r="C41" s="69" t="inlineStr">
        <is>
          <t>Natural fish cover</t>
        </is>
      </c>
      <c r="D41" s="69" t="inlineStr">
        <is>
          <t>Small stream (10 to 100 km2)</t>
        </is>
      </c>
      <c r="E41" s="69" t="n">
        <v>5</v>
      </c>
      <c r="F41" s="69" t="inlineStr">
        <is>
          <t>69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41" s="69" t="n">
        <v>0</v>
      </c>
      <c r="H41" s="69" t="n">
        <v>0.08814934800778117</v>
      </c>
      <c r="I41" s="69" t="n">
        <v>0.2056818120181561</v>
      </c>
      <c r="J41" s="69" t="n">
        <v>0.782954528927803</v>
      </c>
      <c r="K41" s="69" t="n">
        <v>1.071590887382627</v>
      </c>
      <c r="L41" s="69" t="n">
        <v>1.071590887382627</v>
      </c>
      <c r="M41" s="69" t="n">
        <v>1.071590887382627</v>
      </c>
      <c r="N41" s="69" t="n">
        <v>1.071590887382627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spring_phab_xfc_nat|Large stream (over 100 km2)</t>
        </is>
      </c>
      <c r="B42" s="69" t="inlineStr">
        <is>
          <t>spring-phab-xfc-nat</t>
        </is>
      </c>
      <c r="C42" s="69" t="inlineStr">
        <is>
          <t>Natural fish cover</t>
        </is>
      </c>
      <c r="D42" s="69" t="inlineStr">
        <is>
          <t>Large stream (over 100 km2)</t>
        </is>
      </c>
      <c r="E42" s="69" t="n">
        <v>5</v>
      </c>
      <c r="F42" s="69" t="inlineStr">
        <is>
          <t>69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42" s="69" t="n">
        <v>0</v>
      </c>
      <c r="H42" s="69" t="n">
        <v>0.09740260030542101</v>
      </c>
      <c r="I42" s="69" t="n">
        <v>0.2272727340459824</v>
      </c>
      <c r="J42" s="69" t="n">
        <v>0.4238636344671249</v>
      </c>
      <c r="K42" s="69" t="n">
        <v>0.5221590846776962</v>
      </c>
      <c r="L42" s="69" t="n">
        <v>0.5221590846776962</v>
      </c>
      <c r="M42" s="69" t="n">
        <v>0.5221590846776962</v>
      </c>
      <c r="N42" s="69" t="n">
        <v>0.5221590846776962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spring_fish_nat_ntolptax|</t>
        </is>
      </c>
      <c r="B43" s="69" t="inlineStr">
        <is>
          <t>spring-fish-nat-ntolptax</t>
        </is>
      </c>
      <c r="C43" s="69" t="inlineStr">
        <is>
          <t>Native non-tolerant fish taxa</t>
        </is>
      </c>
      <c r="D43" s="69" t="inlineStr"/>
      <c r="E43" s="69" t="n">
        <v>5</v>
      </c>
      <c r="F43" s="69" t="inlineStr">
        <is>
          <t>14 least-disturbed stations borrowed from Level I ecoregion 8 (Eastern Temperate Forests) under the regional screen (agriculture at most 37.8 percent), transfer risk high</t>
        </is>
      </c>
      <c r="G43" s="69" t="n">
        <v>0</v>
      </c>
      <c r="H43" s="69" t="n">
        <v>19.41964285714286</v>
      </c>
      <c r="I43" s="69" t="n">
        <v>45.3125</v>
      </c>
      <c r="J43" s="69" t="n">
        <v>73.35499954223633</v>
      </c>
      <c r="K43" s="69" t="n">
        <v>87.37624931335449</v>
      </c>
      <c r="L43" s="69" t="n">
        <v>87.37624931335449</v>
      </c>
      <c r="M43" s="69" t="n">
        <v>87.37624931335449</v>
      </c>
      <c r="N43" s="69" t="n">
        <v>87.37624931335449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spring_fish_nat_tolrpind|</t>
        </is>
      </c>
      <c r="B44" s="69" t="inlineStr">
        <is>
          <t>spring-fish-nat-tolrpind</t>
        </is>
      </c>
      <c r="C44" s="69" t="inlineStr">
        <is>
          <t>Tolerant native fish individuals</t>
        </is>
      </c>
      <c r="D44" s="69" t="inlineStr"/>
      <c r="E44" s="69" t="n">
        <v>5</v>
      </c>
      <c r="F44" s="69" t="inlineStr">
        <is>
          <t>Reference curve fitted to comparable least-disturbed stations drawn from the national pool, because this ecoregion and its parents hold too few of their own.</t>
        </is>
      </c>
      <c r="G44" s="69" t="n">
        <v>5.609999656677246</v>
      </c>
      <c r="H44" s="69" t="n">
        <v>17.60000038146973</v>
      </c>
      <c r="I44" s="69" t="n">
        <v>41.58000183105469</v>
      </c>
      <c r="J44" s="69" t="n">
        <v>77.55000400543213</v>
      </c>
      <c r="K44" s="69" t="n">
        <v>100</v>
      </c>
      <c r="L44" s="69" t="n">
        <v>100</v>
      </c>
      <c r="M44" s="69" t="n">
        <v>100</v>
      </c>
      <c r="N44" s="69" t="n">
        <v>100</v>
      </c>
      <c r="O44" s="69" t="n">
        <v>1</v>
      </c>
      <c r="P44" s="69" t="n">
        <v>1</v>
      </c>
      <c r="Q44" s="69" t="n">
        <v>0.7</v>
      </c>
      <c r="R44" s="69" t="n">
        <v>0.3</v>
      </c>
      <c r="S44" s="69" t="n">
        <v>0</v>
      </c>
      <c r="T44" s="69" t="n">
        <v>0</v>
      </c>
      <c r="U44" s="69" t="n">
        <v>0</v>
      </c>
      <c r="V44" s="69" t="n">
        <v>0</v>
      </c>
    </row>
    <row r="45">
      <c r="A45" s="69" t="inlineStr">
        <is>
          <t>spring_bent_ept_ntax|</t>
        </is>
      </c>
      <c r="B45" s="69" t="inlineStr">
        <is>
          <t>spring-bent-ept-ntax</t>
        </is>
      </c>
      <c r="C45" s="69" t="inlineStr">
        <is>
          <t>EPT taxa richness</t>
        </is>
      </c>
      <c r="D45" s="69" t="inlineStr"/>
      <c r="E45" s="69" t="n">
        <v>5</v>
      </c>
      <c r="F45" s="69" t="inlineStr">
        <is>
          <t>21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5" s="69" t="n">
        <v>0</v>
      </c>
      <c r="H45" s="69" t="n">
        <v>2.142857142857143</v>
      </c>
      <c r="I45" s="69" t="n">
        <v>5</v>
      </c>
      <c r="J45" s="69" t="n">
        <v>15</v>
      </c>
      <c r="K45" s="69" t="n">
        <v>20</v>
      </c>
      <c r="L45" s="69" t="n">
        <v>20</v>
      </c>
      <c r="M45" s="69" t="n">
        <v>20</v>
      </c>
      <c r="N45" s="69" t="n">
        <v>20</v>
      </c>
      <c r="O45" s="69" t="n">
        <v>0</v>
      </c>
      <c r="P45" s="69" t="n">
        <v>0.3</v>
      </c>
      <c r="Q45" s="69" t="n">
        <v>0.7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spring_bent_mmi_bent|</t>
        </is>
      </c>
      <c r="B46" s="69" t="inlineStr">
        <is>
          <t>spring-bent-mmi-bent</t>
        </is>
      </c>
      <c r="C46" s="69" t="inlineStr">
        <is>
          <t>Benthic macroinvertebrate MMI</t>
        </is>
      </c>
      <c r="D46" s="69" t="inlineStr"/>
      <c r="E46" s="69" t="n">
        <v>4</v>
      </c>
      <c r="F46" s="69" t="inlineStr">
        <is>
          <t>Scored against a published criterion rather than against stations from this ecoregion. The criterion carries its own definition of reference, which need not match this assessment's.</t>
        </is>
      </c>
      <c r="G46" s="69" t="n">
        <v>12.335</v>
      </c>
      <c r="H46" s="69" t="n">
        <v>30.795</v>
      </c>
      <c r="I46" s="69" t="n">
        <v>44.995</v>
      </c>
      <c r="J46" s="69" t="n">
        <v>59.668333</v>
      </c>
      <c r="K46" s="69" t="n">
        <v>59.668333</v>
      </c>
      <c r="L46" s="69" t="n">
        <v>59.668333</v>
      </c>
      <c r="M46" s="69" t="n">
        <v>59.668333</v>
      </c>
      <c r="N46" s="69" t="n">
        <v>59.668333</v>
      </c>
      <c r="O46" s="69" t="n">
        <v>0</v>
      </c>
      <c r="P46" s="69" t="n">
        <v>0.39</v>
      </c>
      <c r="Q46" s="69" t="n">
        <v>0.6899999999999999</v>
      </c>
      <c r="R46" s="69" t="n">
        <v>1</v>
      </c>
      <c r="S46" s="69" t="n">
        <v>1</v>
      </c>
      <c r="T46" s="69" t="n">
        <v>1</v>
      </c>
      <c r="U46" s="69" t="n">
        <v>1</v>
      </c>
      <c r="V46" s="69" t="n">
        <v>1</v>
      </c>
    </row>
    <row r="47">
      <c r="A47" s="69" t="inlineStr">
        <is>
          <t>spring_nid_dams_1mi|</t>
        </is>
      </c>
      <c r="B47" s="69" t="inlineStr">
        <is>
          <t>spring-nid-dams-1mi</t>
        </is>
      </c>
      <c r="C47" s="69" t="inlineStr">
        <is>
          <t>Mapped dams within one mile</t>
        </is>
      </c>
      <c r="D47" s="69" t="inlineStr"/>
      <c r="E47" s="69" t="n">
        <v>4</v>
      </c>
      <c r="F47" s="69" t="inlineStr">
        <is>
          <t>Fixed criteria, the same in every region</t>
        </is>
      </c>
      <c r="G47" s="69" t="n">
        <v>0</v>
      </c>
      <c r="H47" s="69" t="n">
        <v>1</v>
      </c>
      <c r="I47" s="69" t="n">
        <v>2</v>
      </c>
      <c r="J47" s="69" t="n">
        <v>3</v>
      </c>
      <c r="K47" s="69" t="n">
        <v>3</v>
      </c>
      <c r="L47" s="69" t="n">
        <v>3</v>
      </c>
      <c r="M47" s="69" t="n">
        <v>3</v>
      </c>
      <c r="N47" s="69" t="n">
        <v>3</v>
      </c>
      <c r="O47" s="69" t="n">
        <v>1</v>
      </c>
      <c r="P47" s="69" t="n">
        <v>0.545</v>
      </c>
      <c r="Q47" s="69" t="n">
        <v>0.195</v>
      </c>
      <c r="R47" s="69" t="n">
        <v>0</v>
      </c>
      <c r="S47" s="69" t="n">
        <v>0</v>
      </c>
      <c r="T47" s="69" t="n">
        <v>0</v>
      </c>
      <c r="U47" s="69" t="n">
        <v>0</v>
      </c>
      <c r="V47" s="69" t="n">
        <v>0</v>
      </c>
    </row>
    <row r="50">
      <c r="A50" s="58" t="inlineStr">
        <is>
          <t>Curve sets by metric</t>
        </is>
      </c>
    </row>
    <row r="51">
      <c r="A51" s="69" t="inlineStr">
        <is>
          <t>All streams (pooled)</t>
        </is>
      </c>
      <c r="B51" s="5" t="inlineStr">
        <is>
          <t>Bankfull width:depth ratio</t>
        </is>
      </c>
    </row>
    <row r="52">
      <c r="A52" s="69" t="inlineStr">
        <is>
          <t>Small stream (10 to 100 km2)</t>
        </is>
      </c>
      <c r="B52" s="5" t="inlineStr">
        <is>
          <t>Bankfull width:depth ratio</t>
        </is>
      </c>
    </row>
    <row r="53">
      <c r="A53" s="69" t="inlineStr">
        <is>
          <t>Large stream (over 100 km2)</t>
        </is>
      </c>
      <c r="B53" s="5" t="inlineStr">
        <is>
          <t>Bankfull width:depth ratio</t>
        </is>
      </c>
    </row>
    <row r="54">
      <c r="A54" s="69" t="inlineStr">
        <is>
          <t>All streams (pooled)</t>
        </is>
      </c>
      <c r="B54" s="5" t="inlineStr">
        <is>
          <t>Bankfull height above channel</t>
        </is>
      </c>
    </row>
    <row r="55">
      <c r="A55" s="69" t="inlineStr">
        <is>
          <t>Small stream (10 to 100 km2)</t>
        </is>
      </c>
      <c r="B55" s="5" t="inlineStr">
        <is>
          <t>Bankfull height above channel</t>
        </is>
      </c>
    </row>
    <row r="56">
      <c r="A56" s="69" t="inlineStr">
        <is>
          <t>Large stream (over 100 km2)</t>
        </is>
      </c>
      <c r="B56" s="5" t="inlineStr">
        <is>
          <t>Bankfull height above channel</t>
        </is>
      </c>
    </row>
    <row r="57">
      <c r="A57" s="69" t="inlineStr">
        <is>
          <t>All streams (pooled)</t>
        </is>
      </c>
      <c r="B57" s="5" t="inlineStr">
        <is>
          <t>Relative bed stability</t>
        </is>
      </c>
    </row>
    <row r="58">
      <c r="A58" s="69" t="inlineStr">
        <is>
          <t>Headwater (10 km2 and under)</t>
        </is>
      </c>
      <c r="B58" s="5" t="inlineStr">
        <is>
          <t>Relative bed stability</t>
        </is>
      </c>
    </row>
    <row r="59">
      <c r="A59" s="69" t="inlineStr">
        <is>
          <t>Small stream (10 to 100 km2)</t>
        </is>
      </c>
      <c r="B59" s="5" t="inlineStr">
        <is>
          <t>Relative bed stability</t>
        </is>
      </c>
    </row>
    <row r="60">
      <c r="A60" s="69" t="inlineStr">
        <is>
          <t>Large stream (over 100 km2)</t>
        </is>
      </c>
      <c r="B60" s="5" t="inlineStr">
        <is>
          <t>Relative bed stability</t>
        </is>
      </c>
    </row>
    <row r="61">
      <c r="A61" s="69" t="inlineStr">
        <is>
          <t>All streams (pooled)</t>
        </is>
      </c>
      <c r="B61" s="5" t="inlineStr">
        <is>
          <t>Canopy density, mid-channel</t>
        </is>
      </c>
    </row>
    <row r="62">
      <c r="A62" s="69" t="inlineStr">
        <is>
          <t>Headwater (10 km2 and under)</t>
        </is>
      </c>
      <c r="B62" s="5" t="inlineStr">
        <is>
          <t>Canopy density, mid-channel</t>
        </is>
      </c>
    </row>
    <row r="63">
      <c r="A63" s="69" t="inlineStr">
        <is>
          <t>Small stream (10 to 100 km2)</t>
        </is>
      </c>
      <c r="B63" s="5" t="inlineStr">
        <is>
          <t>Canopy density, mid-channel</t>
        </is>
      </c>
    </row>
    <row r="64">
      <c r="A64" s="69" t="inlineStr">
        <is>
          <t>Large stream (over 100 km2)</t>
        </is>
      </c>
      <c r="B64" s="5" t="inlineStr">
        <is>
          <t>Canopy density, mid-channel</t>
        </is>
      </c>
    </row>
    <row r="65">
      <c r="A65" s="69" t="inlineStr">
        <is>
          <t>All streams (pooled)</t>
        </is>
      </c>
      <c r="B65" s="5" t="inlineStr">
        <is>
          <t>Fast-water / riffle habitat</t>
        </is>
      </c>
    </row>
    <row r="66">
      <c r="A66" s="69" t="inlineStr">
        <is>
          <t>Low gradient (under 0.5 percent)</t>
        </is>
      </c>
      <c r="B66" s="5" t="inlineStr">
        <is>
          <t>Fast-water / riffle habitat</t>
        </is>
      </c>
    </row>
    <row r="67">
      <c r="A67" s="69" t="inlineStr">
        <is>
          <t>Moderate gradient (0.5 to 2 percent)</t>
        </is>
      </c>
      <c r="B67" s="5" t="inlineStr">
        <is>
          <t>Fast-water / riffle habitat</t>
        </is>
      </c>
    </row>
    <row r="68">
      <c r="A68" s="69" t="inlineStr">
        <is>
          <t>All streams (pooled)</t>
        </is>
      </c>
      <c r="B68" s="5" t="inlineStr">
        <is>
          <t>Natural fish cover</t>
        </is>
      </c>
    </row>
    <row r="69">
      <c r="A69" s="69" t="inlineStr">
        <is>
          <t>Headwater (10 km2 and under)</t>
        </is>
      </c>
      <c r="B69" s="5" t="inlineStr">
        <is>
          <t>Natural fish cover</t>
        </is>
      </c>
    </row>
    <row r="70">
      <c r="A70" s="69" t="inlineStr">
        <is>
          <t>Small stream (10 to 100 km2)</t>
        </is>
      </c>
      <c r="B70" s="5" t="inlineStr">
        <is>
          <t>Natural fish cover</t>
        </is>
      </c>
    </row>
    <row r="71">
      <c r="A71" s="69" t="inlineStr">
        <is>
          <t>Large stream (over 100 km2)</t>
        </is>
      </c>
      <c r="B71" s="5" t="inlineStr">
        <is>
          <t>Natural fish cover</t>
        </is>
      </c>
    </row>
    <row r="74">
      <c r="A74" s="58" t="inlineStr">
        <is>
          <t>Condition classes</t>
        </is>
      </c>
    </row>
    <row r="75">
      <c r="A75" t="inlineStr">
        <is>
          <t>Metric index: at or below 0.39 Non-Functioning, at or below 0.69 Functioning At-Risk, above Functioning.</t>
        </is>
      </c>
    </row>
    <row r="76">
      <c r="A76" t="inlineStr">
        <is>
          <t>Function score (0 to 15): at or below 5 Non-Functioning, at or below 10 Functioning At-Risk, above Functioning.</t>
        </is>
      </c>
    </row>
    <row r="77">
      <c r="A7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arkansas-valley</t>
        </is>
      </c>
    </row>
    <row r="5">
      <c r="A5" s="69" t="inlineStr">
        <is>
          <t>Assessment name</t>
        </is>
      </c>
      <c r="B5" s="69" t="inlineStr">
        <is>
          <t>Arkansas Valley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sha256:ba846cc11891c8219c558ce0b9687ecc17465d0a82f92530a7a72859a998ae0e</t>
        </is>
      </c>
    </row>
    <row r="9">
      <c r="A9" s="69" t="inlineStr">
        <is>
          <t>Region</t>
        </is>
      </c>
      <c r="B9" s="69" t="inlineStr">
        <is>
          <t>ecoregion 37 Arkansas Valley</t>
        </is>
      </c>
    </row>
    <row r="10">
      <c r="A10" s="69" t="inlineStr">
        <is>
          <t>Source</t>
        </is>
      </c>
      <c r="B10" s="69" t="inlineStr">
        <is>
          <t>USEPA NRSA 2013-24 (L3 ecoregion 37),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2026-09-30T07:05:11Z</dcterms:created>
  <dcterms:modified xmlns:dcterms="http://purl.org/dc/terms/" xmlns:xsi="http://www.w3.org/2001/XMLSchema-instance" xsi:type="dcterms:W3CDTF">2026-09-30T07:05:11Z</dcterms:modified>
  <cp:lastModifiedBy>DEEP</cp:lastModifiedBy>
  <cp:contentStatus>Draft</cp:contentStatus>
</cp:coreProperties>
</file>