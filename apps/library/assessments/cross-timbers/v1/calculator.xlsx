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'Reference'!$A$5:$A$37</definedName>
    <definedName name="curve_x1">'Reference'!$G$5:$G$37</definedName>
    <definedName name="curve_y1">'Reference'!$O$5:$O$37</definedName>
    <definedName name="curve_x2">'Reference'!$H$5:$H$37</definedName>
    <definedName name="curve_y2">'Reference'!$P$5:$P$37</definedName>
    <definedName name="curve_x3">'Reference'!$I$5:$I$37</definedName>
    <definedName name="curve_y3">'Reference'!$Q$5:$Q$37</definedName>
    <definedName name="curve_x4">'Reference'!$J$5:$J$37</definedName>
    <definedName name="curve_y4">'Reference'!$R$5:$R$37</definedName>
    <definedName name="curve_x5">'Reference'!$K$5:$K$37</definedName>
    <definedName name="curve_y5">'Reference'!$S$5:$S$37</definedName>
    <definedName name="curve_x6">'Reference'!$L$5:$L$37</definedName>
    <definedName name="curve_y6">'Reference'!$T$5:$T$37</definedName>
    <definedName name="curve_x7">'Reference'!$M$5:$M$37</definedName>
    <definedName name="curve_y7">'Reference'!$U$5:$U$37</definedName>
    <definedName name="curve_x8">'Reference'!$N$5:$N$37</definedName>
    <definedName name="curve_y8">'Reference'!$V$5:$V$37</definedName>
    <definedName name="strata_spring_phab_bfwd_rat">'Reference'!$A$41:$A$43</definedName>
    <definedName name="strata_spring_phab_xbkf_h">'Reference'!$A$44:$A$46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turb">'Metrics'!$V$26</definedName>
    <definedName name="idx_spring_phab_pct_fast">'Metrics'!$V$27</definedName>
    <definedName name="idx_spring_phab_xfc_nat">'Metrics'!$V$28</definedName>
    <definedName name="idx_spring_fish_nat_totlntax">'Metrics'!$V$29</definedName>
    <definedName name="idx_spring_ben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turb">'DEEP Score'!$E$39</definedName>
    <definedName name="in_spring_phab_pct_fast">'DEEP Score'!$E$40</definedName>
    <definedName name="in_spring_phab_xfc_nat">'DEEP Score'!$E$41</definedName>
    <definedName name="in_spring_fish_nat_totlntax">'DEEP Score'!$E$42</definedName>
    <definedName name="in_spring_bent_totlntax">'DEEP Score'!$E$43</definedName>
    <definedName name="in_spring_bent_ept_ntax">'DEEP Score'!$E$44</definedName>
    <definedName name="in_spring_bent_hprime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Cross Timbers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4" t="inlineStr">
        <is>
          <t>Reference condition. Reference condition is set by a fixed landscape-pressure screen, never by a score. 1 curve is fitted to this ecoregion's own streams under the documented regional screen, which relaxes agriculture only. 20 borrow comparable least-disturbed stations from a wider region, stating the region and the transfer risk. 4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12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Cross Timbers reference assessment</t>
        </is>
      </c>
    </row>
    <row r="3">
      <c r="A3" s="5" t="inlineStr">
        <is>
          <t>Version 1 | Draft | USEPA NRSA 2013-24 (L3 ecoregion 29),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38" t="inlineStr">
        <is>
          <t>All streams (pooled)</t>
        </is>
      </c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IF('Metrics'!$V$12="","",'Metrics'!$V$12)</f>
        <v/>
      </c>
      <c r="H19" s="21" t="n"/>
      <c r="I19" s="27" t="n"/>
    </row>
    <row r="20">
      <c r="A20" s="39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0">
        <f>IF('DEEP Score'!$E$12="","",'DEEP Score'!$E$12)</f>
        <v/>
      </c>
      <c r="F20" s="41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42">
        <f>IF('DEEP Score'!$E$18="","",'DEEP Score'!$E$18)</f>
        <v/>
      </c>
      <c r="F21" s="43">
        <f>IF('DEEP Score'!$F$18="","",'DEEP Score'!$F$18)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4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42">
        <f>IF('DEEP Score'!$E$18="","",'DEEP Score'!$E$18)</f>
        <v/>
      </c>
      <c r="F25" s="43">
        <f>IF('DEEP Score'!$F$18="","",'DEEP Score'!$F$18)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42">
        <f>IF('DEEP Score'!$E$24="","",'DEEP Score'!$E$24)</f>
        <v/>
      </c>
      <c r="F31" s="43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Turbidity</t>
        </is>
      </c>
      <c r="D39" s="23" t="inlineStr">
        <is>
          <t>NTU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Native fish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Benthic total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Shannon diversity (H')</t>
        </is>
      </c>
      <c r="D45" s="23" t="inlineStr">
        <is>
          <t>H'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6" t="inlineStr">
        <is>
          <t>Notes</t>
        </is>
      </c>
    </row>
    <row r="58">
      <c r="A58" s="58" t="n"/>
      <c r="B58" s="59" t="n"/>
      <c r="C58" s="59" t="n"/>
      <c r="D58" s="59" t="n"/>
      <c r="E58" s="59" t="n"/>
      <c r="F58" s="59" t="n"/>
      <c r="G58" s="59" t="n"/>
      <c r="H58" s="59" t="n"/>
      <c r="I58" s="60" t="n"/>
    </row>
    <row r="59">
      <c r="A59" s="61" t="n"/>
      <c r="B59" s="62" t="n"/>
      <c r="C59" s="62" t="n"/>
      <c r="D59" s="62" t="n"/>
      <c r="E59" s="62" t="n"/>
      <c r="F59" s="62" t="n"/>
      <c r="G59" s="62" t="n"/>
      <c r="H59" s="62" t="n"/>
      <c r="I59" s="63" t="n"/>
    </row>
    <row r="60">
      <c r="A60" s="61" t="n"/>
      <c r="B60" s="62" t="n"/>
      <c r="C60" s="62" t="n"/>
      <c r="D60" s="62" t="n"/>
      <c r="E60" s="62" t="n"/>
      <c r="F60" s="62" t="n"/>
      <c r="G60" s="62" t="n"/>
      <c r="H60" s="62" t="n"/>
      <c r="I60" s="63" t="n"/>
    </row>
    <row r="61">
      <c r="A61" s="61" t="n"/>
      <c r="B61" s="62" t="n"/>
      <c r="C61" s="62" t="n"/>
      <c r="D61" s="62" t="n"/>
      <c r="E61" s="62" t="n"/>
      <c r="F61" s="62" t="n"/>
      <c r="G61" s="62" t="n"/>
      <c r="H61" s="62" t="n"/>
      <c r="I61" s="63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4" t="n"/>
      <c r="B63" s="65" t="n"/>
      <c r="C63" s="65" t="n"/>
      <c r="D63" s="65" t="n"/>
      <c r="E63" s="65" t="n"/>
      <c r="F63" s="65" t="n"/>
      <c r="G63" s="65" t="n"/>
      <c r="H63" s="65" t="n"/>
      <c r="I63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2"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Score'!$E$18="","",'DEEP Score'!$E$18)</f>
        <v/>
      </c>
      <c r="C11" s="69">
        <f>IF('DEEP Score'!$F$18="","All streams (pooled)",'DEEP Score'!$F$18)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Residual pool depth</t>
        </is>
      </c>
      <c r="B12" s="69">
        <f>IF('DEEP Score'!$E$19="","",'DEEP Score'!$E$19)</f>
        <v/>
      </c>
      <c r="C12" s="69">
        <f>""</f>
        <v/>
      </c>
      <c r="D12" s="69">
        <f>"spring_phab_rp100_cm|"&amp;'Metrics'!$C$12</f>
        <v/>
      </c>
      <c r="E12" s="69">
        <f>IFERROR(MATCH('Metrics'!$D$12,curve_key,0),MATCH("spring_phab_rp100_cm|",curve_key,0))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IF('DEEP Score'!$F$22="","All streams (pooled)",'DEEP Score'!$F$22)</f>
        <v/>
      </c>
      <c r="D13" s="69">
        <f>"spring_phab_xbkf_h|"&amp;'Metrics'!$C$13</f>
        <v/>
      </c>
      <c r="E13" s="69">
        <f>IFERROR(MATCH('Metrics'!$D$13,curve_key,0),MATCH("spring_phab_xbkf_h|All streams (pooled)",curve_key,0))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""</f>
        <v/>
      </c>
      <c r="D18" s="69">
        <f>"spring_phab_lrbs_use|"&amp;'Metrics'!$C$18</f>
        <v/>
      </c>
      <c r="E18" s="69">
        <f>IFERROR(MATCH('Metrics'!$D$18,curve_key,0),MATCH("spring_phab_lrbs_use|",curve_key,0))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Large wood volume</t>
        </is>
      </c>
      <c r="B19" s="69">
        <f>IF('DEEP Score'!$E$32="","",'DEEP Score'!$E$32)</f>
        <v/>
      </c>
      <c r="C19" s="69">
        <f>""</f>
        <v/>
      </c>
      <c r="D19" s="69">
        <f>"spring_phab_lwdeqvolm100|"&amp;'Metrics'!$C$19</f>
        <v/>
      </c>
      <c r="E19" s="69">
        <f>IFERROR(MATCH('Metrics'!$D$19,curve_key,0),MATCH("spring_phab_lwdeqvolm100|",curve_key,0))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""</f>
        <v/>
      </c>
      <c r="D21" s="69">
        <f>"spring_phab_xcdenmid|"&amp;'Metrics'!$C$21</f>
        <v/>
      </c>
      <c r="E21" s="69">
        <f>IFERROR(MATCH('Metrics'!$D$21,curve_key,0),MATCH("spring_phab_xcdenmid|",curve_key,0))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Score'!$E$38="","",'DEEP Score'!$E$38)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Turbidity</t>
        </is>
      </c>
      <c r="B26" s="69">
        <f>IF('DEEP Score'!$E$39="","",'DEEP Score'!$E$39)</f>
        <v/>
      </c>
      <c r="C26" s="69">
        <f>""</f>
        <v/>
      </c>
      <c r="D26" s="69">
        <f>"spring_chem_turb|"&amp;'Metrics'!$C$26</f>
        <v/>
      </c>
      <c r="E26" s="69">
        <f>IFERROR(MATCH('Metrics'!$D$26,curve_key,0),MATCH("spring_chem_turb|",curve_key,0))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""</f>
        <v/>
      </c>
      <c r="D27" s="69">
        <f>"spring_phab_pct_fast|"&amp;'Metrics'!$C$27</f>
        <v/>
      </c>
      <c r="E27" s="69">
        <f>IFERROR(MATCH('Metrics'!$D$27,curve_key,0),MATCH("spring_phab_pct_fast|",curve_key,0))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""</f>
        <v/>
      </c>
      <c r="D28" s="69">
        <f>"spring_phab_xfc_nat|"&amp;'Metrics'!$C$28</f>
        <v/>
      </c>
      <c r="E28" s="69">
        <f>IFERROR(MATCH('Metrics'!$D$28,curve_key,0),MATCH("spring_phab_xfc_nat|",curve_key,0))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Native fish taxa richness</t>
        </is>
      </c>
      <c r="B29" s="69">
        <f>IF('DEEP Score'!$E$42="","",'DEEP Score'!$E$42)</f>
        <v/>
      </c>
      <c r="C29" s="69">
        <f>""</f>
        <v/>
      </c>
      <c r="D29" s="69">
        <f>"spring_fish_nat_totlntax|"&amp;'Metrics'!$C$29</f>
        <v/>
      </c>
      <c r="E29" s="69">
        <f>IFERROR(MATCH('Metrics'!$D$29,curve_key,0),MATCH("spring_fish_nat_totlntax|",curve_key,0))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Benthic total taxa richness</t>
        </is>
      </c>
      <c r="B30" s="69">
        <f>IF('DEEP Score'!$E$43="","",'DEEP Score'!$E$43)</f>
        <v/>
      </c>
      <c r="C30" s="69">
        <f>""</f>
        <v/>
      </c>
      <c r="D30" s="69">
        <f>"spring_bent_totlntax|"&amp;'Metrics'!$C$30</f>
        <v/>
      </c>
      <c r="E30" s="69">
        <f>IFERROR(MATCH('Metrics'!$D$30,curve_key,0),MATCH("spring_bent_totlntax|",curve_key,0))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EPT taxa richness</t>
        </is>
      </c>
      <c r="B31" s="69">
        <f>IF('DEEP Score'!$E$44="","",'DEEP Score'!$E$44)</f>
        <v/>
      </c>
      <c r="C31" s="69">
        <f>""</f>
        <v/>
      </c>
      <c r="D31" s="69">
        <f>"spring_bent_ept_ntax|"&amp;'Metrics'!$C$31</f>
        <v/>
      </c>
      <c r="E31" s="69">
        <f>IFERROR(MATCH('Metrics'!$D$31,curve_key,0),MATCH("spring_bent_ept_ntax|",curve_key,0))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Shannon diversity (H')</t>
        </is>
      </c>
      <c r="B32" s="69">
        <f>IF('DEEP Score'!$E$45="","",'DEEP Score'!$E$45)</f>
        <v/>
      </c>
      <c r="C32" s="69">
        <f>""</f>
        <v/>
      </c>
      <c r="D32" s="69">
        <f>"spring_bent_hprime|"&amp;'Metrics'!$C$32</f>
        <v/>
      </c>
      <c r="E32" s="69">
        <f>IFERROR(MATCH('Metrics'!$D$32,curve_key,0),MATCH("spring_bent_hprime|",curve_key,0))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52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9" s="68" t="n">
        <v>0</v>
      </c>
      <c r="H9" s="68" t="n">
        <v>25.97532857142857</v>
      </c>
      <c r="I9" s="68" t="n">
        <v>60.6091</v>
      </c>
      <c r="J9" s="68" t="n">
        <v>69.822</v>
      </c>
      <c r="K9" s="68" t="n">
        <v>74.42845</v>
      </c>
      <c r="L9" s="68" t="n">
        <v>74.42845</v>
      </c>
      <c r="M9" s="68" t="n">
        <v>74.42845</v>
      </c>
      <c r="N9" s="68" t="n">
        <v>74.42845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60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8" t="n">
        <v>0</v>
      </c>
      <c r="H11" s="68" t="n">
        <v>2.19903147816658</v>
      </c>
      <c r="I11" s="68" t="n">
        <v>5.364985823631287</v>
      </c>
      <c r="J11" s="68" t="n">
        <v>14.41056966781616</v>
      </c>
      <c r="K11" s="68" t="n">
        <v>17.57652401328087</v>
      </c>
      <c r="L11" s="68" t="n">
        <v>23.45615351200104</v>
      </c>
      <c r="M11" s="68" t="n">
        <v>32.50173735618591</v>
      </c>
      <c r="N11" s="68" t="n">
        <v>32.50173735618591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7</v>
      </c>
      <c r="F12" s="68" t="inlineStr">
        <is>
          <t>60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8" t="n">
        <v>0</v>
      </c>
      <c r="H12" s="68" t="n">
        <v>3.195158958435059</v>
      </c>
      <c r="I12" s="68" t="n">
        <v>5.392398834228516</v>
      </c>
      <c r="J12" s="68" t="n">
        <v>11.67022705078125</v>
      </c>
      <c r="K12" s="68" t="n">
        <v>13.86746692657471</v>
      </c>
      <c r="L12" s="68" t="n">
        <v>17.94805526733398</v>
      </c>
      <c r="M12" s="68" t="n">
        <v>24.22588348388672</v>
      </c>
      <c r="N12" s="68" t="n">
        <v>24.22588348388672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7</v>
      </c>
      <c r="F13" s="68" t="inlineStr">
        <is>
          <t>60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8" t="n">
        <v>0</v>
      </c>
      <c r="H13" s="68" t="n">
        <v>1.120049047470093</v>
      </c>
      <c r="I13" s="68" t="n">
        <v>5.323912620544434</v>
      </c>
      <c r="J13" s="68" t="n">
        <v>17.33495140075684</v>
      </c>
      <c r="K13" s="68" t="n">
        <v>21.53881497383118</v>
      </c>
      <c r="L13" s="68" t="n">
        <v>29.34599018096924</v>
      </c>
      <c r="M13" s="68" t="n">
        <v>41.35702896118164</v>
      </c>
      <c r="N13" s="68" t="n">
        <v>41.35702896118164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spring_phab_rp100_cm|</t>
        </is>
      </c>
      <c r="B14" s="68" t="inlineStr">
        <is>
          <t>spring-phab-rp100-cm</t>
        </is>
      </c>
      <c r="C14" s="68" t="inlineStr">
        <is>
          <t>Residual pool depth</t>
        </is>
      </c>
      <c r="D14" s="68" t="inlineStr"/>
      <c r="E14" s="68" t="n">
        <v>5</v>
      </c>
      <c r="F14" s="68" t="inlineStr">
        <is>
          <t>34 least-disturbed stations borrowed from Level II ecoregion 9.4 (South Central Semi-Arid Prairies) under the regional screen (agriculture at most 25 percent), transfer risk moderate</t>
        </is>
      </c>
      <c r="G14" s="68" t="n">
        <v>0</v>
      </c>
      <c r="H14" s="68" t="n">
        <v>7.268974031720843</v>
      </c>
      <c r="I14" s="68" t="n">
        <v>16.96093940734863</v>
      </c>
      <c r="J14" s="68" t="n">
        <v>35.5976734161377</v>
      </c>
      <c r="K14" s="68" t="n">
        <v>44.91604042053223</v>
      </c>
      <c r="L14" s="68" t="n">
        <v>44.91604042053223</v>
      </c>
      <c r="M14" s="68" t="n">
        <v>44.91604042053223</v>
      </c>
      <c r="N14" s="68" t="n">
        <v>44.91604042053223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1</v>
      </c>
      <c r="U14" s="68" t="n">
        <v>1</v>
      </c>
      <c r="V14" s="68" t="n">
        <v>1</v>
      </c>
    </row>
    <row r="15">
      <c r="A15" s="68" t="inlineStr">
        <is>
          <t>spring_phab_xbkf_h|All streams (pooled)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All streams (pooled)</t>
        </is>
      </c>
      <c r="E15" s="68" t="n">
        <v>7</v>
      </c>
      <c r="F15" s="68" t="inlineStr">
        <is>
          <t>62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8" t="n">
        <v>0</v>
      </c>
      <c r="H15" s="68" t="n">
        <v>0.1563068211078644</v>
      </c>
      <c r="I15" s="68" t="n">
        <v>0.3102272748947144</v>
      </c>
      <c r="J15" s="68" t="n">
        <v>0.75</v>
      </c>
      <c r="K15" s="68" t="n">
        <v>0.9039204537868499</v>
      </c>
      <c r="L15" s="68" t="n">
        <v>1.189772725105286</v>
      </c>
      <c r="M15" s="68" t="n">
        <v>1.629545450210571</v>
      </c>
      <c r="N15" s="68" t="n">
        <v>1.629545450210571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spring_phab_xbkf_h|Small stream (10 to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Small stream (10 to 100 km2)</t>
        </is>
      </c>
      <c r="E16" s="68" t="n">
        <v>7</v>
      </c>
      <c r="F16" s="68" t="inlineStr">
        <is>
          <t>62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8" t="n">
        <v>0</v>
      </c>
      <c r="H16" s="68" t="n">
        <v>0.1129090949892998</v>
      </c>
      <c r="I16" s="68" t="n">
        <v>0.2745454609394073</v>
      </c>
      <c r="J16" s="68" t="n">
        <v>0.7363636493682861</v>
      </c>
      <c r="K16" s="68" t="n">
        <v>0.8980000153183937</v>
      </c>
      <c r="L16" s="68" t="n">
        <v>1.198181837797165</v>
      </c>
      <c r="M16" s="68" t="n">
        <v>1.660000026226044</v>
      </c>
      <c r="N16" s="68" t="n">
        <v>1.660000026226044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spring_phab_xbkf_h|Large stream (over 100 km2)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Large stream (over 100 km2)</t>
        </is>
      </c>
      <c r="E17" s="68" t="n">
        <v>7</v>
      </c>
      <c r="F17" s="68" t="inlineStr">
        <is>
          <t>62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8" t="n">
        <v>0</v>
      </c>
      <c r="H17" s="68" t="n">
        <v>0.1693181820213795</v>
      </c>
      <c r="I17" s="68" t="n">
        <v>0.3299999982118607</v>
      </c>
      <c r="J17" s="68" t="n">
        <v>0.7890909016132355</v>
      </c>
      <c r="K17" s="68" t="n">
        <v>0.9497727178037166</v>
      </c>
      <c r="L17" s="68" t="n">
        <v>1.24818180501461</v>
      </c>
      <c r="M17" s="68" t="n">
        <v>1.707272708415985</v>
      </c>
      <c r="N17" s="68" t="n">
        <v>1.707272708415985</v>
      </c>
      <c r="O17" s="68" t="n">
        <v>0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spring_phab_pct_safn|</t>
        </is>
      </c>
      <c r="B18" s="68" t="inlineStr">
        <is>
          <t>spring-phab-pct-safn</t>
        </is>
      </c>
      <c r="C18" s="68" t="inlineStr">
        <is>
          <t>Sand + fines</t>
        </is>
      </c>
      <c r="D18" s="68" t="inlineStr"/>
      <c r="E18" s="68" t="n">
        <v>4</v>
      </c>
      <c r="F18" s="68" t="inlineStr">
        <is>
          <t>35 least-disturbed stations borrowed from Level II ecoregion 9.4 (South Central Semi-Arid Prairies) under the regional screen (agriculture at most 25 percent), transfer risk low</t>
        </is>
      </c>
      <c r="G18" s="68" t="n">
        <v>0.7142868041992188</v>
      </c>
      <c r="H18" s="68" t="n">
        <v>22.38095283508301</v>
      </c>
      <c r="I18" s="68" t="n">
        <v>65.71428489685059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spring_phab_xembed|</t>
        </is>
      </c>
      <c r="B19" s="68" t="inlineStr">
        <is>
          <t>spring-phab-xembed</t>
        </is>
      </c>
      <c r="C19" s="68" t="inlineStr">
        <is>
          <t>Embeddedness</t>
        </is>
      </c>
      <c r="D19" s="68" t="inlineStr"/>
      <c r="E19" s="68" t="n">
        <v>4</v>
      </c>
      <c r="F19" s="68" t="inlineStr">
        <is>
          <t>32 least-disturbed stations borrowed from Level II ecoregion 9.4 (South Central Semi-Arid Prairies) under the regional screen (agriculture at most 25 percent), transfer risk low</t>
        </is>
      </c>
      <c r="G19" s="68" t="n">
        <v>38.56818199157715</v>
      </c>
      <c r="H19" s="68" t="n">
        <v>52.65909194946289</v>
      </c>
      <c r="I19" s="68" t="n">
        <v>80.84091186523438</v>
      </c>
      <c r="J19" s="68" t="n">
        <v>100</v>
      </c>
      <c r="K19" s="68" t="n">
        <v>100</v>
      </c>
      <c r="L19" s="68" t="n">
        <v>100</v>
      </c>
      <c r="M19" s="68" t="n">
        <v>100</v>
      </c>
      <c r="N19" s="68" t="n">
        <v>100</v>
      </c>
      <c r="O19" s="68" t="n">
        <v>1</v>
      </c>
      <c r="P19" s="68" t="n">
        <v>1</v>
      </c>
      <c r="Q19" s="68" t="n">
        <v>0.7</v>
      </c>
      <c r="R19" s="68" t="n">
        <v>0</v>
      </c>
      <c r="S19" s="68" t="n">
        <v>0</v>
      </c>
      <c r="T19" s="68" t="n">
        <v>0</v>
      </c>
      <c r="U19" s="68" t="n">
        <v>0</v>
      </c>
      <c r="V19" s="68" t="n">
        <v>0</v>
      </c>
    </row>
    <row r="20">
      <c r="A20" s="68" t="inlineStr">
        <is>
          <t>spring_phab_sinu|</t>
        </is>
      </c>
      <c r="B20" s="68" t="inlineStr">
        <is>
          <t>spring-phab-sinu</t>
        </is>
      </c>
      <c r="C20" s="68" t="inlineStr">
        <is>
          <t>Sinuosity</t>
        </is>
      </c>
      <c r="D20" s="68" t="inlineStr"/>
      <c r="E20" s="68" t="n">
        <v>4</v>
      </c>
      <c r="F20" s="68" t="inlineStr">
        <is>
          <t>31 least-disturbed stations borrowed from Level II ecoregion 9.4 (South Central Semi-Arid Prairies) under the regional screen (agriculture at most 25 percent), transfer risk moderate</t>
        </is>
      </c>
      <c r="G20" s="68" t="n">
        <v>1</v>
      </c>
      <c r="H20" s="68" t="n">
        <v>1.123575568199158</v>
      </c>
      <c r="I20" s="68" t="n">
        <v>1.350763916969299</v>
      </c>
      <c r="J20" s="68" t="n">
        <v>1.46435809135437</v>
      </c>
      <c r="K20" s="68" t="n">
        <v>1.46435809135437</v>
      </c>
      <c r="L20" s="68" t="n">
        <v>1.46435809135437</v>
      </c>
      <c r="M20" s="68" t="n">
        <v>1.46435809135437</v>
      </c>
      <c r="N20" s="68" t="n">
        <v>1.46435809135437</v>
      </c>
      <c r="O20" s="68" t="n">
        <v>0</v>
      </c>
      <c r="P20" s="68" t="n">
        <v>0.7</v>
      </c>
      <c r="Q20" s="68" t="n">
        <v>1</v>
      </c>
      <c r="R20" s="68" t="n">
        <v>1</v>
      </c>
      <c r="S20" s="68" t="n">
        <v>1</v>
      </c>
      <c r="T20" s="68" t="n">
        <v>1</v>
      </c>
      <c r="U20" s="68" t="n">
        <v>1</v>
      </c>
      <c r="V20" s="68" t="n">
        <v>1</v>
      </c>
    </row>
    <row r="21">
      <c r="A21" s="68" t="inlineStr">
        <is>
          <t>spring_phab_xbka|</t>
        </is>
      </c>
      <c r="B21" s="68" t="inlineStr">
        <is>
          <t>spring-phab-xbka</t>
        </is>
      </c>
      <c r="C21" s="68" t="inlineStr">
        <is>
          <t>Bank angle</t>
        </is>
      </c>
      <c r="D21" s="68" t="inlineStr"/>
      <c r="E21" s="68" t="n">
        <v>7</v>
      </c>
      <c r="F21" s="68" t="inlineStr">
        <is>
          <t>32 least-disturbed stations borrowed from Level II ecoregion 9.4 (South Central Semi-Arid Prairies) under the regional screen (agriculture at most 25 percent), transfer risk low</t>
        </is>
      </c>
      <c r="G21" s="68" t="n">
        <v>5.53409481048584</v>
      </c>
      <c r="H21" s="68" t="n">
        <v>21.79034209251404</v>
      </c>
      <c r="I21" s="68" t="n">
        <v>25.23863697052002</v>
      </c>
      <c r="J21" s="68" t="n">
        <v>35.09090805053711</v>
      </c>
      <c r="K21" s="68" t="n">
        <v>38.53920292854309</v>
      </c>
      <c r="L21" s="68" t="n">
        <v>44.9431791305542</v>
      </c>
      <c r="M21" s="68" t="n">
        <v>54.79545021057129</v>
      </c>
      <c r="N21" s="68" t="n">
        <v>54.79545021057129</v>
      </c>
      <c r="O21" s="68" t="n">
        <v>0.7</v>
      </c>
      <c r="P21" s="68" t="n">
        <v>0.7</v>
      </c>
      <c r="Q21" s="68" t="n">
        <v>1</v>
      </c>
      <c r="R21" s="68" t="n">
        <v>1</v>
      </c>
      <c r="S21" s="68" t="n">
        <v>0.7</v>
      </c>
      <c r="T21" s="68" t="n">
        <v>0.3</v>
      </c>
      <c r="U21" s="68" t="n">
        <v>0</v>
      </c>
      <c r="V21" s="68" t="n">
        <v>0</v>
      </c>
    </row>
    <row r="22">
      <c r="A22" s="68" t="inlineStr">
        <is>
          <t>spring_phab_lrbs_use|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/>
      <c r="E22" s="68" t="n">
        <v>8</v>
      </c>
      <c r="F22" s="68" t="inlineStr">
        <is>
          <t>35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2" s="68" t="n">
        <v>-3.989487297832966</v>
      </c>
      <c r="H22" s="68" t="n">
        <v>-2.760125402361155</v>
      </c>
      <c r="I22" s="68" t="n">
        <v>-1.961040170304477</v>
      </c>
      <c r="J22" s="68" t="n">
        <v>-1.530763506889343</v>
      </c>
      <c r="K22" s="68" t="n">
        <v>-0.301401611417532</v>
      </c>
      <c r="L22" s="68" t="n">
        <v>0.128875051997602</v>
      </c>
      <c r="M22" s="68" t="n">
        <v>0.9279602840542793</v>
      </c>
      <c r="N22" s="68" t="n">
        <v>2.157322179526091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spring_phab_lwdeqvolm100|</t>
        </is>
      </c>
      <c r="B23" s="68" t="inlineStr">
        <is>
          <t>spring-phab-lwdeqvolm100</t>
        </is>
      </c>
      <c r="C23" s="68" t="inlineStr">
        <is>
          <t>Large wood volume</t>
        </is>
      </c>
      <c r="D23" s="68" t="inlineStr"/>
      <c r="E23" s="68" t="n">
        <v>5</v>
      </c>
      <c r="F23" s="68" t="inlineStr">
        <is>
          <t>Reference curve fitted to comparable least-disturbed stations drawn from the national pool, because this ecoregion and its parents hold too few of their own.</t>
        </is>
      </c>
      <c r="G23" s="68" t="n">
        <v>0</v>
      </c>
      <c r="H23" s="68" t="n">
        <v>0.1783928530556815</v>
      </c>
      <c r="I23" s="68" t="n">
        <v>0.4162499904632568</v>
      </c>
      <c r="J23" s="68" t="n">
        <v>14.44727230072021</v>
      </c>
      <c r="K23" s="68" t="n">
        <v>21.46278345584869</v>
      </c>
      <c r="L23" s="68" t="n">
        <v>21.46278345584869</v>
      </c>
      <c r="M23" s="68" t="n">
        <v>21.46278345584869</v>
      </c>
      <c r="N23" s="68" t="n">
        <v>21.46278345584869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1</v>
      </c>
      <c r="U23" s="68" t="n">
        <v>1</v>
      </c>
      <c r="V23" s="68" t="n">
        <v>1</v>
      </c>
    </row>
    <row r="24">
      <c r="A24" s="68" t="inlineStr">
        <is>
          <t>spring_chem_chla|</t>
        </is>
      </c>
      <c r="B24" s="68" t="inlineStr">
        <is>
          <t>spring-chem-chla</t>
        </is>
      </c>
      <c r="C24" s="68" t="inlineStr">
        <is>
          <t>Chlorophyll a</t>
        </is>
      </c>
      <c r="D24" s="68" t="inlineStr"/>
      <c r="E24" s="68" t="n">
        <v>5</v>
      </c>
      <c r="F24" s="68" t="inlineStr">
        <is>
          <t>30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4" s="68" t="n">
        <v>0</v>
      </c>
      <c r="H24" s="68" t="n">
        <v>1.602500021457672</v>
      </c>
      <c r="I24" s="68" t="n">
        <v>7.529999971389771</v>
      </c>
      <c r="J24" s="68" t="n">
        <v>16.42124989628792</v>
      </c>
      <c r="K24" s="68" t="n">
        <v>22.34874984622002</v>
      </c>
      <c r="L24" s="68" t="n">
        <v>22.34874984622002</v>
      </c>
      <c r="M24" s="68" t="n">
        <v>22.34874984622002</v>
      </c>
      <c r="N24" s="68" t="n">
        <v>22.34874984622002</v>
      </c>
      <c r="O24" s="68" t="n">
        <v>1</v>
      </c>
      <c r="P24" s="68" t="n">
        <v>1</v>
      </c>
      <c r="Q24" s="68" t="n">
        <v>0.7</v>
      </c>
      <c r="R24" s="68" t="n">
        <v>0.3</v>
      </c>
      <c r="S24" s="68" t="n">
        <v>0</v>
      </c>
      <c r="T24" s="68" t="n">
        <v>0</v>
      </c>
      <c r="U24" s="68" t="n">
        <v>0</v>
      </c>
      <c r="V24" s="68" t="n">
        <v>0</v>
      </c>
    </row>
    <row r="25">
      <c r="A25" s="68" t="inlineStr">
        <is>
          <t>spring_phab_xcdenmid|</t>
        </is>
      </c>
      <c r="B25" s="68" t="inlineStr">
        <is>
          <t>spring-phab-xcdenmid</t>
        </is>
      </c>
      <c r="C25" s="68" t="inlineStr">
        <is>
          <t>Canopy density, mid-channel</t>
        </is>
      </c>
      <c r="D25" s="68" t="inlineStr"/>
      <c r="E25" s="68" t="n">
        <v>5</v>
      </c>
      <c r="F25" s="68" t="inlineStr">
        <is>
          <t>23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5" s="68" t="n">
        <v>0</v>
      </c>
      <c r="H25" s="68" t="n">
        <v>13.55901432037354</v>
      </c>
      <c r="I25" s="68" t="n">
        <v>31.63770008087158</v>
      </c>
      <c r="J25" s="68" t="n">
        <v>74.93315505981445</v>
      </c>
      <c r="K25" s="68" t="n">
        <v>96.58088254928589</v>
      </c>
      <c r="L25" s="68" t="n">
        <v>96.58088254928589</v>
      </c>
      <c r="M25" s="68" t="n">
        <v>96.58088254928589</v>
      </c>
      <c r="N25" s="68" t="n">
        <v>96.58088254928589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1</v>
      </c>
      <c r="U25" s="68" t="n">
        <v>1</v>
      </c>
      <c r="V25" s="68" t="n">
        <v>1</v>
      </c>
    </row>
    <row r="26">
      <c r="A26" s="68" t="inlineStr">
        <is>
          <t>spring_phab_xcmgw|</t>
        </is>
      </c>
      <c r="B26" s="68" t="inlineStr">
        <is>
          <t>spring-phab-xcmgw</t>
        </is>
      </c>
      <c r="C26" s="68" t="inlineStr">
        <is>
          <t>Riparian veg cover, woody</t>
        </is>
      </c>
      <c r="D26" s="68" t="inlineStr"/>
      <c r="E26" s="68" t="n">
        <v>5</v>
      </c>
      <c r="F26" s="68" t="inlineStr">
        <is>
          <t>26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+0.10, at most 0.05 allowed); confidence capped at 39.</t>
        </is>
      </c>
      <c r="G26" s="68" t="n">
        <v>0</v>
      </c>
      <c r="H26" s="68" t="n">
        <v>0.2069926921810423</v>
      </c>
      <c r="I26" s="68" t="n">
        <v>0.4829829484224319</v>
      </c>
      <c r="J26" s="68" t="n">
        <v>0.9579545557498932</v>
      </c>
      <c r="K26" s="68" t="n">
        <v>1.195440359413624</v>
      </c>
      <c r="L26" s="68" t="n">
        <v>1.195440359413624</v>
      </c>
      <c r="M26" s="68" t="n">
        <v>1.195440359413624</v>
      </c>
      <c r="N26" s="68" t="n">
        <v>1.195440359413624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spring_chem_ntl|</t>
        </is>
      </c>
      <c r="B27" s="68" t="inlineStr">
        <is>
          <t>spring-chem-ntl</t>
        </is>
      </c>
      <c r="C27" s="68" t="inlineStr">
        <is>
          <t>Total nitrogen</t>
        </is>
      </c>
      <c r="D27" s="68" t="inlineStr"/>
      <c r="E27" s="68" t="n">
        <v>4</v>
      </c>
      <c r="F27" s="68" t="inlineStr">
        <is>
          <t>Scored against a published criterion rather than against stations from this ecoregion. The criterion carries its own definition of reference, which need not match this assessment's.</t>
        </is>
      </c>
      <c r="G27" s="68" t="n">
        <v>0</v>
      </c>
      <c r="H27" s="68" t="n">
        <v>0.5815</v>
      </c>
      <c r="I27" s="68" t="n">
        <v>1.069</v>
      </c>
      <c r="J27" s="68" t="n">
        <v>1.70275</v>
      </c>
      <c r="K27" s="68" t="n">
        <v>1.70275</v>
      </c>
      <c r="L27" s="68" t="n">
        <v>1.70275</v>
      </c>
      <c r="M27" s="68" t="n">
        <v>1.70275</v>
      </c>
      <c r="N27" s="68" t="n">
        <v>1.70275</v>
      </c>
      <c r="O27" s="68" t="n">
        <v>1</v>
      </c>
      <c r="P27" s="68" t="n">
        <v>0.6899999999999999</v>
      </c>
      <c r="Q27" s="68" t="n">
        <v>0.39</v>
      </c>
      <c r="R27" s="68" t="n">
        <v>0</v>
      </c>
      <c r="S27" s="68" t="n">
        <v>0</v>
      </c>
      <c r="T27" s="68" t="n">
        <v>0</v>
      </c>
      <c r="U27" s="68" t="n">
        <v>0</v>
      </c>
      <c r="V27" s="68" t="n">
        <v>0</v>
      </c>
    </row>
    <row r="28">
      <c r="A28" s="68" t="inlineStr">
        <is>
          <t>spring_chem_ptl|</t>
        </is>
      </c>
      <c r="B28" s="68" t="inlineStr">
        <is>
          <t>spring-chem-ptl</t>
        </is>
      </c>
      <c r="C28" s="68" t="inlineStr">
        <is>
          <t>Total phosphorus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0</v>
      </c>
      <c r="H28" s="68" t="n">
        <v>55.85</v>
      </c>
      <c r="I28" s="68" t="n">
        <v>127</v>
      </c>
      <c r="J28" s="68" t="n">
        <v>219.495</v>
      </c>
      <c r="K28" s="68" t="n">
        <v>219.495</v>
      </c>
      <c r="L28" s="68" t="n">
        <v>219.495</v>
      </c>
      <c r="M28" s="68" t="n">
        <v>219.495</v>
      </c>
      <c r="N28" s="68" t="n">
        <v>219.495</v>
      </c>
      <c r="O28" s="68" t="n">
        <v>1</v>
      </c>
      <c r="P28" s="68" t="n">
        <v>0.6899999999999999</v>
      </c>
      <c r="Q28" s="68" t="n">
        <v>0.39</v>
      </c>
      <c r="R28" s="68" t="n">
        <v>0</v>
      </c>
      <c r="S28" s="68" t="n">
        <v>0</v>
      </c>
      <c r="T28" s="68" t="n">
        <v>0</v>
      </c>
      <c r="U28" s="68" t="n">
        <v>0</v>
      </c>
      <c r="V28" s="68" t="n">
        <v>0</v>
      </c>
    </row>
    <row r="29">
      <c r="A29" s="68" t="inlineStr">
        <is>
          <t>spring_chem_ph|</t>
        </is>
      </c>
      <c r="B29" s="68" t="inlineStr">
        <is>
          <t>spring-chem-ph</t>
        </is>
      </c>
      <c r="C29" s="68" t="inlineStr">
        <is>
          <t>pH</t>
        </is>
      </c>
      <c r="D29" s="68" t="inlineStr"/>
      <c r="E29" s="68" t="n">
        <v>8</v>
      </c>
      <c r="F29" s="68" t="inlineStr">
        <is>
          <t>22 least-disturbed stations borrowed from Level II ecoregion 9.4 (South Central Semi-Arid Prairies) under the regional screen (agriculture at most 25 percent), transfer risk low</t>
        </is>
      </c>
      <c r="G29" s="68" t="n">
        <v>7.495000600814819</v>
      </c>
      <c r="H29" s="68" t="n">
        <v>7.760000467300415</v>
      </c>
      <c r="I29" s="68" t="n">
        <v>7.932250380516052</v>
      </c>
      <c r="J29" s="68" t="n">
        <v>8.025000333786011</v>
      </c>
      <c r="K29" s="68" t="n">
        <v>8.290000200271606</v>
      </c>
      <c r="L29" s="68" t="n">
        <v>8.382750153541565</v>
      </c>
      <c r="M29" s="68" t="n">
        <v>8.555000066757202</v>
      </c>
      <c r="N29" s="68" t="n">
        <v>8.819999933242798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0.7</v>
      </c>
      <c r="U29" s="68" t="n">
        <v>0.3</v>
      </c>
      <c r="V29" s="68" t="n">
        <v>0</v>
      </c>
    </row>
    <row r="30">
      <c r="A30" s="68" t="inlineStr">
        <is>
          <t>spring_chem_turb|</t>
        </is>
      </c>
      <c r="B30" s="68" t="inlineStr">
        <is>
          <t>spring-chem-turb</t>
        </is>
      </c>
      <c r="C30" s="68" t="inlineStr">
        <is>
          <t>Turbidity</t>
        </is>
      </c>
      <c r="D30" s="68" t="inlineStr"/>
      <c r="E30" s="68" t="n">
        <v>5</v>
      </c>
      <c r="F30" s="68" t="inlineStr">
        <is>
          <t>10 least-disturbed streams of this ecoregion under the regional screen (agriculture at most 25 percent)</t>
        </is>
      </c>
      <c r="G30" s="68" t="n">
        <v>0</v>
      </c>
      <c r="H30" s="68" t="n">
        <v>2.782500028610229</v>
      </c>
      <c r="I30" s="68" t="n">
        <v>18.92500066757202</v>
      </c>
      <c r="J30" s="68" t="n">
        <v>43.13875162601471</v>
      </c>
      <c r="K30" s="68" t="n">
        <v>59.2812522649765</v>
      </c>
      <c r="L30" s="68" t="n">
        <v>59.2812522649765</v>
      </c>
      <c r="M30" s="68" t="n">
        <v>59.2812522649765</v>
      </c>
      <c r="N30" s="68" t="n">
        <v>59.2812522649765</v>
      </c>
      <c r="O30" s="68" t="n">
        <v>1</v>
      </c>
      <c r="P30" s="68" t="n">
        <v>1</v>
      </c>
      <c r="Q30" s="68" t="n">
        <v>0.7</v>
      </c>
      <c r="R30" s="68" t="n">
        <v>0.3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spring_phab_pct_fast|</t>
        </is>
      </c>
      <c r="B31" s="68" t="inlineStr">
        <is>
          <t>spring-phab-pct-fast</t>
        </is>
      </c>
      <c r="C31" s="68" t="inlineStr">
        <is>
          <t>Fast-water / riffle habitat</t>
        </is>
      </c>
      <c r="D31" s="68" t="inlineStr"/>
      <c r="E31" s="68" t="n">
        <v>5</v>
      </c>
      <c r="F31" s="68" t="inlineStr">
        <is>
          <t>35 least-disturbed stations borrowed from Level II ecoregion 9.4 (South Central Semi-Arid Prairies) under the regional screen (agriculture at most 25 percent), transfer risk low</t>
        </is>
      </c>
      <c r="G31" s="68" t="n">
        <v>0</v>
      </c>
      <c r="H31" s="68" t="n">
        <v>0.4183673475469862</v>
      </c>
      <c r="I31" s="68" t="n">
        <v>0.9761904776096344</v>
      </c>
      <c r="J31" s="68" t="n">
        <v>16.88888931274414</v>
      </c>
      <c r="K31" s="68" t="n">
        <v>24.84523873031139</v>
      </c>
      <c r="L31" s="68" t="n">
        <v>24.84523873031139</v>
      </c>
      <c r="M31" s="68" t="n">
        <v>24.84523873031139</v>
      </c>
      <c r="N31" s="68" t="n">
        <v>24.84523873031139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spring_phab_xfc_nat|</t>
        </is>
      </c>
      <c r="B32" s="68" t="inlineStr">
        <is>
          <t>spring-phab-xfc-nat</t>
        </is>
      </c>
      <c r="C32" s="68" t="inlineStr">
        <is>
          <t>Natural fish cover</t>
        </is>
      </c>
      <c r="D32" s="68" t="inlineStr"/>
      <c r="E32" s="68" t="n">
        <v>5</v>
      </c>
      <c r="F32" s="68" t="inlineStr">
        <is>
          <t>26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2" s="68" t="n">
        <v>0</v>
      </c>
      <c r="H32" s="68" t="n">
        <v>0.07061688282660075</v>
      </c>
      <c r="I32" s="68" t="n">
        <v>0.1647727265954018</v>
      </c>
      <c r="J32" s="68" t="n">
        <v>0.3323863670229912</v>
      </c>
      <c r="K32" s="68" t="n">
        <v>0.4161931872367859</v>
      </c>
      <c r="L32" s="68" t="n">
        <v>0.4161931872367859</v>
      </c>
      <c r="M32" s="68" t="n">
        <v>0.4161931872367859</v>
      </c>
      <c r="N32" s="68" t="n">
        <v>0.4161931872367859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spring_fish_nat_totlntax|</t>
        </is>
      </c>
      <c r="B33" s="68" t="inlineStr">
        <is>
          <t>spring-fish-nat-totlntax</t>
        </is>
      </c>
      <c r="C33" s="68" t="inlineStr">
        <is>
          <t>Native fish taxa richness</t>
        </is>
      </c>
      <c r="D33" s="68" t="inlineStr"/>
      <c r="E33" s="68" t="n">
        <v>5</v>
      </c>
      <c r="F33" s="68" t="inlineStr">
        <is>
          <t>26 least-disturbed stations borrowed from NARS-9 region SPL under the regional screen (agriculture at most 25 percent), transfer risk moderate</t>
        </is>
      </c>
      <c r="G33" s="68" t="n">
        <v>0</v>
      </c>
      <c r="H33" s="68" t="n">
        <v>2.142857142857143</v>
      </c>
      <c r="I33" s="68" t="n">
        <v>5</v>
      </c>
      <c r="J33" s="68" t="n">
        <v>12</v>
      </c>
      <c r="K33" s="68" t="n">
        <v>15.5</v>
      </c>
      <c r="L33" s="68" t="n">
        <v>15.5</v>
      </c>
      <c r="M33" s="68" t="n">
        <v>15.5</v>
      </c>
      <c r="N33" s="68" t="n">
        <v>15.5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spring_bent_totlntax|</t>
        </is>
      </c>
      <c r="B34" s="68" t="inlineStr">
        <is>
          <t>spring-bent-totlntax</t>
        </is>
      </c>
      <c r="C34" s="68" t="inlineStr">
        <is>
          <t>Benthic total taxa richness</t>
        </is>
      </c>
      <c r="D34" s="68" t="inlineStr"/>
      <c r="E34" s="68" t="n">
        <v>5</v>
      </c>
      <c r="F34" s="68" t="inlineStr">
        <is>
          <t>Reference curve fitted to comparable least-disturbed stations drawn from the national pool, because this ecoregion and its parents hold too few of their own.</t>
        </is>
      </c>
      <c r="G34" s="68" t="n">
        <v>0</v>
      </c>
      <c r="H34" s="68" t="n">
        <v>9.428571428571429</v>
      </c>
      <c r="I34" s="68" t="n">
        <v>22</v>
      </c>
      <c r="J34" s="68" t="n">
        <v>46</v>
      </c>
      <c r="K34" s="68" t="n">
        <v>58</v>
      </c>
      <c r="L34" s="68" t="n">
        <v>58</v>
      </c>
      <c r="M34" s="68" t="n">
        <v>58</v>
      </c>
      <c r="N34" s="68" t="n">
        <v>58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spring_bent_ept_ntax|</t>
        </is>
      </c>
      <c r="B35" s="68" t="inlineStr">
        <is>
          <t>spring-bent-ept-ntax</t>
        </is>
      </c>
      <c r="C35" s="68" t="inlineStr">
        <is>
          <t>EPT taxa richness</t>
        </is>
      </c>
      <c r="D35" s="68" t="inlineStr"/>
      <c r="E35" s="68" t="n">
        <v>5</v>
      </c>
      <c r="F35" s="68" t="inlineStr">
        <is>
          <t>28 least-disturbed stations borrowed from Level II ecoregion 9.4 (South Central Semi-Arid Prairies)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35" s="68" t="n">
        <v>0</v>
      </c>
      <c r="H35" s="68" t="n">
        <v>1.071428571428571</v>
      </c>
      <c r="I35" s="68" t="n">
        <v>2.5</v>
      </c>
      <c r="J35" s="68" t="n">
        <v>7.25</v>
      </c>
      <c r="K35" s="68" t="n">
        <v>9.625</v>
      </c>
      <c r="L35" s="68" t="n">
        <v>9.625</v>
      </c>
      <c r="M35" s="68" t="n">
        <v>9.625</v>
      </c>
      <c r="N35" s="68" t="n">
        <v>9.625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spring_bent_hprime|</t>
        </is>
      </c>
      <c r="B36" s="68" t="inlineStr">
        <is>
          <t>spring-bent-hprime</t>
        </is>
      </c>
      <c r="C36" s="68" t="inlineStr">
        <is>
          <t>Shannon diversity (H')</t>
        </is>
      </c>
      <c r="D36" s="68" t="inlineStr"/>
      <c r="E36" s="68" t="n">
        <v>5</v>
      </c>
      <c r="F36" s="68" t="inlineStr">
        <is>
          <t>Reference curve fitted to comparable least-disturbed stations drawn from the national pool, because this ecoregion and its parents hold too few of their own.</t>
        </is>
      </c>
      <c r="G36" s="68" t="n">
        <v>0</v>
      </c>
      <c r="H36" s="68" t="n">
        <v>0.9342857428959438</v>
      </c>
      <c r="I36" s="68" t="n">
        <v>2.180000066757202</v>
      </c>
      <c r="J36" s="68" t="n">
        <v>3.150000095367432</v>
      </c>
      <c r="K36" s="68" t="n">
        <v>3.635000109672546</v>
      </c>
      <c r="L36" s="68" t="n">
        <v>3.635000109672546</v>
      </c>
      <c r="M36" s="68" t="n">
        <v>3.635000109672546</v>
      </c>
      <c r="N36" s="68" t="n">
        <v>3.635000109672546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spring_nid_dams_1mi|</t>
        </is>
      </c>
      <c r="B37" s="68" t="inlineStr">
        <is>
          <t>spring-nid-dams-1mi</t>
        </is>
      </c>
      <c r="C37" s="68" t="inlineStr">
        <is>
          <t>Mapped dams within one mile</t>
        </is>
      </c>
      <c r="D37" s="68" t="inlineStr"/>
      <c r="E37" s="68" t="n">
        <v>4</v>
      </c>
      <c r="F37" s="68" t="inlineStr">
        <is>
          <t>Fixed criteria, the same in every region</t>
        </is>
      </c>
      <c r="G37" s="68" t="n">
        <v>0</v>
      </c>
      <c r="H37" s="68" t="n">
        <v>1</v>
      </c>
      <c r="I37" s="68" t="n">
        <v>2</v>
      </c>
      <c r="J37" s="68" t="n">
        <v>3</v>
      </c>
      <c r="K37" s="68" t="n">
        <v>3</v>
      </c>
      <c r="L37" s="68" t="n">
        <v>3</v>
      </c>
      <c r="M37" s="68" t="n">
        <v>3</v>
      </c>
      <c r="N37" s="68" t="n">
        <v>3</v>
      </c>
      <c r="O37" s="68" t="n">
        <v>1</v>
      </c>
      <c r="P37" s="68" t="n">
        <v>0.545</v>
      </c>
      <c r="Q37" s="68" t="n">
        <v>0.195</v>
      </c>
      <c r="R37" s="68" t="n">
        <v>0</v>
      </c>
      <c r="S37" s="68" t="n">
        <v>0</v>
      </c>
      <c r="T37" s="68" t="n">
        <v>0</v>
      </c>
      <c r="U37" s="68" t="n">
        <v>0</v>
      </c>
      <c r="V37" s="68" t="n">
        <v>0</v>
      </c>
    </row>
    <row r="40">
      <c r="A40" s="71" t="inlineStr">
        <is>
          <t>Curve sets by metric</t>
        </is>
      </c>
    </row>
    <row r="41">
      <c r="A41" s="68" t="inlineStr">
        <is>
          <t>All streams (pooled)</t>
        </is>
      </c>
      <c r="B41" s="5" t="inlineStr">
        <is>
          <t>Bankfull width:depth ratio</t>
        </is>
      </c>
    </row>
    <row r="42">
      <c r="A42" s="68" t="inlineStr">
        <is>
          <t>Small stream (10 to 100 km2)</t>
        </is>
      </c>
      <c r="B42" s="5" t="inlineStr">
        <is>
          <t>Bankfull width:depth ratio</t>
        </is>
      </c>
    </row>
    <row r="43">
      <c r="A43" s="68" t="inlineStr">
        <is>
          <t>Large stream (over 100 km2)</t>
        </is>
      </c>
      <c r="B43" s="5" t="inlineStr">
        <is>
          <t>Bankfull width:depth ratio</t>
        </is>
      </c>
    </row>
    <row r="44">
      <c r="A44" s="68" t="inlineStr">
        <is>
          <t>All streams (pooled)</t>
        </is>
      </c>
      <c r="B44" s="5" t="inlineStr">
        <is>
          <t>Bankfull height above channel</t>
        </is>
      </c>
    </row>
    <row r="45">
      <c r="A45" s="68" t="inlineStr">
        <is>
          <t>Small stream (10 to 100 km2)</t>
        </is>
      </c>
      <c r="B45" s="5" t="inlineStr">
        <is>
          <t>Bankfull height above channel</t>
        </is>
      </c>
    </row>
    <row r="46">
      <c r="A46" s="68" t="inlineStr">
        <is>
          <t>Large stream (over 100 km2)</t>
        </is>
      </c>
      <c r="B46" s="5" t="inlineStr">
        <is>
          <t>Bankfull height above channel</t>
        </is>
      </c>
    </row>
    <row r="49">
      <c r="A49" s="71" t="inlineStr">
        <is>
          <t>Condition classes</t>
        </is>
      </c>
    </row>
    <row r="50">
      <c r="A50" t="inlineStr">
        <is>
          <t>Metric index: at or below 0.39 Non-Functioning, at or below 0.69 Functioning At-Risk, above Functioning.</t>
        </is>
      </c>
    </row>
    <row r="51">
      <c r="A51" t="inlineStr">
        <is>
          <t>Function score (0 to 15): at or below 5 Non-Functioning, at or below 10 Functioning At-Risk, above Functioning.</t>
        </is>
      </c>
    </row>
    <row r="52">
      <c r="A52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cross-timbers</t>
        </is>
      </c>
    </row>
    <row r="5">
      <c r="A5" s="68" t="inlineStr">
        <is>
          <t>Assessment name</t>
        </is>
      </c>
      <c r="B5" s="68" t="inlineStr">
        <is>
          <t>Cross Timbers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sha256:4ac69278cd70b3a5a34488fd6431a81a3a5b57ff80780ee04df7fa62d3360b6e</t>
        </is>
      </c>
    </row>
    <row r="9">
      <c r="A9" s="68" t="inlineStr">
        <is>
          <t>Region</t>
        </is>
      </c>
      <c r="B9" s="68" t="inlineStr">
        <is>
          <t>ecoregion 29 Cross Timbers</t>
        </is>
      </c>
    </row>
    <row r="10">
      <c r="A10" s="68" t="inlineStr">
        <is>
          <t>Source</t>
        </is>
      </c>
      <c r="B10" s="68" t="inlineStr">
        <is>
          <t>USEPA NRSA 2013-24 (L3 ecoregion 29),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71" t="inlineStr">
        <is>
          <t>Outcome</t>
        </is>
      </c>
      <c r="B24" s="71" t="inlineStr">
        <is>
          <t>Score</t>
        </is>
      </c>
      <c r="C24" s="71" t="inlineStr">
        <is>
          <t>Non-Functioning (0.00-0.39)</t>
        </is>
      </c>
      <c r="D24" s="71" t="inlineStr">
        <is>
          <t>Functioning At-Risk (0.40-0.69)</t>
        </is>
      </c>
      <c r="E24" s="71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2026-09-30T07:05:22Z</dcterms:created>
  <dcterms:modified xmlns:dcterms="http://purl.org/dc/terms/" xmlns:xsi="http://www.w3.org/2001/XMLSchema-instance" xsi:type="dcterms:W3CDTF">2026-09-30T07:05:22Z</dcterms:modified>
  <cp:lastModifiedBy>DEEP</cp:lastModifiedBy>
  <cp:contentStatus>Draft</cp:contentStatus>
</cp:coreProperties>
</file>