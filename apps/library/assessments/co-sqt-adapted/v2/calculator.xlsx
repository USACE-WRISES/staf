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DEEP Score" sheetId="2" state="visible" r:id="rId2"/>
    <sheet xmlns:r="http://schemas.openxmlformats.org/officeDocument/2006/relationships" name="Metrics" sheetId="3" state="visible" r:id="rId3"/>
    <sheet xmlns:r="http://schemas.openxmlformats.org/officeDocument/2006/relationships" name="Results" sheetId="4" state="hidden" r:id="rId4"/>
    <sheet xmlns:r="http://schemas.openxmlformats.org/officeDocument/2006/relationships" name="Reference" sheetId="5" state="visible" r:id="rId5"/>
    <sheet xmlns:r="http://schemas.openxmlformats.org/officeDocument/2006/relationships" name="Metadata" sheetId="6" state="visible" r:id="rId6"/>
    <sheet xmlns:r="http://schemas.openxmlformats.org/officeDocument/2006/relationships" name="ChartData" sheetId="7" state="hidden" r:id="rId7"/>
  </sheets>
  <definedNames>
    <definedName name="curve_key">'Reference'!$A$5:$A$54</definedName>
    <definedName name="curve_x1">'Reference'!$G$5:$G$54</definedName>
    <definedName name="curve_y1">'Reference'!$O$5:$O$54</definedName>
    <definedName name="curve_x2">'Reference'!$H$5:$H$54</definedName>
    <definedName name="curve_y2">'Reference'!$P$5:$P$54</definedName>
    <definedName name="curve_x3">'Reference'!$I$5:$I$54</definedName>
    <definedName name="curve_y3">'Reference'!$Q$5:$Q$54</definedName>
    <definedName name="curve_x4">'Reference'!$J$5:$J$54</definedName>
    <definedName name="curve_y4">'Reference'!$R$5:$R$54</definedName>
    <definedName name="curve_x5">'Reference'!$K$5:$K$54</definedName>
    <definedName name="curve_y5">'Reference'!$S$5:$S$54</definedName>
    <definedName name="curve_x6">'Reference'!$L$5:$L$54</definedName>
    <definedName name="curve_y6">'Reference'!$T$5:$T$54</definedName>
    <definedName name="curve_x7">'Reference'!$M$5:$M$54</definedName>
    <definedName name="curve_y7">'Reference'!$U$5:$U$54</definedName>
    <definedName name="curve_x8">'Reference'!$N$5:$N$54</definedName>
    <definedName name="curve_y8">'Reference'!$V$5:$V$54</definedName>
    <definedName name="strata_low_flow_and_baseflow_dynamics_average_depth">'Reference'!$A$58:$A$60</definedName>
    <definedName name="strata_floodplain_connectivity_entrenchment_ratio_er">'Reference'!$A$61:$A$64</definedName>
    <definedName name="strata_channel_and_floodplain_dynamics_bank_height_ratio_bhr">'Reference'!$A$65:$A$66</definedName>
    <definedName name="strata_channel_and_floodplain_dynamics_percent_side_channels">'Reference'!$A$67:$A$68</definedName>
    <definedName name="strata_light_and_thermal_regime_mwat">'Reference'!$A$69:$A$74</definedName>
    <definedName name="strata_carbon_processing_chlorophyll">'Reference'!$A$75:$A$76</definedName>
    <definedName name="strata_carbon_processing_riparian_extent">'Reference'!$A$77:$A$78</definedName>
    <definedName name="strata_carbon_processing_woody_vegetation_cover">'Reference'!$A$79:$A$80</definedName>
    <definedName name="strata_habitat_provision_percent_riffle">'Reference'!$A$81:$A$82</definedName>
    <definedName name="strata_habitat_provision_pool_spacing_ratio">'Reference'!$A$83:$A$87</definedName>
    <definedName name="strata_population_support_co_mmi">'Reference'!$A$88:$A$90</definedName>
    <definedName name="strata_population_support_wild_trout_biomass">'Reference'!$A$91:$A$93</definedName>
    <definedName name="idx_catchment_hydrology_land_use_coefficient">'Metrics'!$V$5</definedName>
    <definedName name="idx_reach_inflow_concentrated_flow_points">'Metrics'!$V$6</definedName>
    <definedName name="idx_streamflow_regime_flow_alteration_module">'Metrics'!$V$7</definedName>
    <definedName name="idx_low_flow_and_baseflow_dynamics_average_depth">'Metrics'!$V$8</definedName>
    <definedName name="idx_floodplain_connectivity_entrenchment_ratio_er">'Metrics'!$V$9</definedName>
    <definedName name="idx_channel_and_floodplain_dynamics_bank_height_ratio_bhr">'Metrics'!$V$10</definedName>
    <definedName name="idx_channel_and_floodplain_dynamics_greenline_stability_rating">'Metrics'!$V$11</definedName>
    <definedName name="idx_channel_and_floodplain_dynamics_percent_armoring">'Metrics'!$V$12</definedName>
    <definedName name="idx_channel_and_floodplain_dynamics_percent_side_channels">'Metrics'!$V$13</definedName>
    <definedName name="idx_channel_and_floodplain_dynamics_percent_streambank_erosion">'Metrics'!$V$14</definedName>
    <definedName name="idx_sediment_continuity_aggradation_ratio">'Metrics'!$V$15</definedName>
    <definedName name="idx_light_and_thermal_regime_mwat">'Metrics'!$V$16</definedName>
    <definedName name="idx_carbon_processing_chlorophyll">'Metrics'!$V$17</definedName>
    <definedName name="idx_carbon_processing_herbaceous_vegetation_cover">'Metrics'!$V$18</definedName>
    <definedName name="idx_carbon_processing_percent_native_cover">'Metrics'!$V$19</definedName>
    <definedName name="idx_carbon_processing_riparian_extent">'Metrics'!$V$20</definedName>
    <definedName name="idx_carbon_processing_woody_vegetation_cover">'Metrics'!$V$21</definedName>
    <definedName name="idx_water_and_soil_quality_dissolved_oxygen_concentration">'Metrics'!$V$22</definedName>
    <definedName name="idx_habitat_provision_lwd">'Metrics'!$V$23</definedName>
    <definedName name="idx_habitat_provision_lwd_index">'Metrics'!$V$24</definedName>
    <definedName name="idx_habitat_provision_percent_riffle">'Metrics'!$V$25</definedName>
    <definedName name="idx_habitat_provision_pool_depth_ratio">'Metrics'!$V$26</definedName>
    <definedName name="idx_habitat_provision_pool_spacing_ratio">'Metrics'!$V$27</definedName>
    <definedName name="idx_population_support_co_mmi">'Metrics'!$V$28</definedName>
    <definedName name="idx_population_support_wild_trout_biomass">'Metrics'!$V$29</definedName>
    <definedName name="idx_community_dynamics_native_fish_species_richness">'Metrics'!$V$30</definedName>
    <definedName name="fs_catchment_hydrology">'Results'!$B$4</definedName>
    <definedName name="fs_reach_inflow">'Results'!$B$5</definedName>
    <definedName name="fs_streamflow_regime">'Results'!$B$6</definedName>
    <definedName name="fs_low_flow_baseflow_dynamics">'Results'!$B$7</definedName>
    <definedName name="fs_floodplain_connectivity">'Results'!$B$8</definedName>
    <definedName name="fs_channel_floodplain_dynamics">'Results'!$B$9</definedName>
    <definedName name="fs_sediment_continuity">'Results'!$B$10</definedName>
    <definedName name="fs_light_thermal_regime">'Results'!$B$11</definedName>
    <definedName name="fs_carbon_processing">'Results'!$B$12</definedName>
    <definedName name="fs_water_soil_quality">'Results'!$B$13</definedName>
    <definedName name="fs_habitat_provision">'Results'!$B$14</definedName>
    <definedName name="fs_population_support">'Results'!$B$15</definedName>
    <definedName name="fs_community_dynamics">'Results'!$B$16</definedName>
    <definedName name="sub_index_physical">'Results'!$B$19</definedName>
    <definedName name="sub_index_chemical">'Results'!$B$20</definedName>
    <definedName name="sub_index_biological">'Results'!$B$21</definedName>
    <definedName name="eci">'Results'!$B$22</definedName>
    <definedName name="site_name">'DEEP Score'!$B$5</definedName>
    <definedName name="site_reach">'DEEP Score'!$B$6</definedName>
    <definedName name="site_coords">'DEEP Score'!$B$7</definedName>
    <definedName name="site_date">'DEEP Score'!$B$8</definedName>
    <definedName name="site_assessor">'DEEP Score'!$B$9</definedName>
    <definedName name="in_catchment_hydrology_land_use_coefficient">'DEEP Score'!$E$12</definedName>
    <definedName name="in_reach_inflow_concentrated_flow_points">'DEEP Score'!$E$13</definedName>
    <definedName name="in_streamflow_regime_flow_alteration_module">'DEEP Score'!$E$14</definedName>
    <definedName name="in_low_flow_and_baseflow_dynamics_average_depth">'DEEP Score'!$E$15</definedName>
    <definedName name="st_low_flow_and_baseflow_dynamics_average_depth">'DEEP Score'!$F$15</definedName>
    <definedName name="in_floodplain_connectivity_entrenchment_ratio_er">'DEEP Score'!$E$16</definedName>
    <definedName name="st_floodplain_connectivity_entrenchment_ratio_er">'DEEP Score'!$F$16</definedName>
    <definedName name="in_channel_and_floodplain_dynamics_bank_height_ratio_bhr">'DEEP Score'!$E$17</definedName>
    <definedName name="st_channel_and_floodplain_dynamics_bank_height_ratio_bhr">'DEEP Score'!$F$17</definedName>
    <definedName name="in_channel_and_floodplain_dynamics_greenline_stability_rating">'DEEP Score'!$E$18</definedName>
    <definedName name="in_channel_and_floodplain_dynamics_percent_armoring">'DEEP Score'!$E$19</definedName>
    <definedName name="in_channel_and_floodplain_dynamics_percent_side_channels">'DEEP Score'!$E$20</definedName>
    <definedName name="st_channel_and_floodplain_dynamics_percent_side_channels">'DEEP Score'!$F$20</definedName>
    <definedName name="in_channel_and_floodplain_dynamics_percent_streambank_erosion">'DEEP Score'!$E$21</definedName>
    <definedName name="in_sediment_continuity_aggradation_ratio">'DEEP Score'!$E$22</definedName>
    <definedName name="in_light_and_thermal_regime_mwat">'DEEP Score'!$E$23</definedName>
    <definedName name="st_light_and_thermal_regime_mwat">'DEEP Score'!$F$23</definedName>
    <definedName name="in_carbon_processing_chlorophyll">'DEEP Score'!$E$24</definedName>
    <definedName name="st_carbon_processing_chlorophyll">'DEEP Score'!$F$24</definedName>
    <definedName name="in_carbon_processing_herbaceous_vegetation_cover">'DEEP Score'!$E$25</definedName>
    <definedName name="in_carbon_processing_percent_native_cover">'DEEP Score'!$E$26</definedName>
    <definedName name="in_carbon_processing_riparian_extent">'DEEP Score'!$E$27</definedName>
    <definedName name="st_carbon_processing_riparian_extent">'DEEP Score'!$F$27</definedName>
    <definedName name="in_carbon_processing_woody_vegetation_cover">'DEEP Score'!$E$28</definedName>
    <definedName name="st_carbon_processing_woody_vegetation_cover">'DEEP Score'!$F$28</definedName>
    <definedName name="in_water_and_soil_quality_dissolved_oxygen_concentration">'DEEP Score'!$E$29</definedName>
    <definedName name="in_habitat_provision_lwd">'DEEP Score'!$E$30</definedName>
    <definedName name="in_habitat_provision_lwd_index">'DEEP Score'!$E$31</definedName>
    <definedName name="in_habitat_provision_percent_riffle">'DEEP Score'!$E$32</definedName>
    <definedName name="st_habitat_provision_percent_riffle">'DEEP Score'!$F$32</definedName>
    <definedName name="in_habitat_provision_pool_depth_ratio">'DEEP Score'!$E$33</definedName>
    <definedName name="in_habitat_provision_pool_spacing_ratio">'DEEP Score'!$E$34</definedName>
    <definedName name="st_habitat_provision_pool_spacing_ratio">'DEEP Score'!$F$34</definedName>
    <definedName name="in_population_support_co_mmi">'DEEP Score'!$E$35</definedName>
    <definedName name="st_population_support_co_mmi">'DEEP Score'!$F$35</definedName>
    <definedName name="in_population_support_wild_trout_biomass">'DEEP Score'!$E$36</definedName>
    <definedName name="st_population_support_wild_trout_biomass">'DEEP Score'!$F$36</definedName>
    <definedName name="in_community_dynamics_native_fish_species_richness">'DEEP Score'!$E$37</definedName>
    <definedName name="site_notes">'DEEP Score'!$A$50</definedName>
    <definedName name="meta_assessment_id">'Metadata'!$B$4</definedName>
    <definedName name="meta_assessment_name">'Metadata'!$B$5</definedName>
    <definedName name="meta_version">'Metadata'!$B$6</definedName>
    <definedName name="meta_lifecycle_status">'Metadata'!$B$7</definedName>
    <definedName name="meta_content_digest">'Metadata'!$B$8</definedName>
    <definedName name="meta_region">'Metadata'!$B$9</definedName>
    <definedName name="meta_source">'Metadata'!$B$10</definedName>
    <definedName name="meta_reference_method">'Metadata'!$B$11</definedName>
    <definedName name="meta_reference_screen">'Metadata'!$B$12</definedName>
    <definedName name="meta_scoring_method">'Metadata'!$B$13</definedName>
    <definedName name="meta_functions_scored">'Metadata'!$B$14</definedName>
    <definedName name="meta_metrics">'Metadata'!$B$15</definedName>
    <definedName name="meta_function_coverage">'Metadata'!$B$16</definedName>
    <definedName name="meta_generator">'Metadata'!$B$17</definedName>
    <definedName name="meta_generator_version">'Metadata'!$B$18</definedName>
    <definedName name="meta_formula_vocabulary">'Metadata'!$B$19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00"/>
    <numFmt numFmtId="165" formatCode="yyyy-mm-dd"/>
    <numFmt numFmtId="166" formatCode="0.0"/>
  </numFmts>
  <fonts count="8">
    <font>
      <name val="Calibri"/>
      <family val="2"/>
      <color theme="1"/>
      <sz val="11"/>
      <scheme val="minor"/>
    </font>
    <font>
      <b val="1"/>
      <sz val="13"/>
    </font>
    <font>
      <i val="1"/>
      <color rgb="00555555"/>
      <sz val="9"/>
    </font>
    <font>
      <b val="1"/>
    </font>
    <font>
      <b val="1"/>
      <sz val="14"/>
    </font>
    <font>
      <b val="1"/>
      <sz val="11"/>
    </font>
    <font>
      <b val="1"/>
      <sz val="12"/>
    </font>
    <font>
      <b val="1"/>
      <color rgb="00FFFFFF"/>
      <sz val="11"/>
    </font>
  </fonts>
  <fills count="11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EDEDED"/>
        <bgColor rgb="00EDEDED"/>
      </patternFill>
    </fill>
    <fill>
      <patternFill patternType="solid">
        <fgColor rgb="00F8CBAD"/>
        <bgColor rgb="00F8CBAD"/>
      </patternFill>
    </fill>
    <fill>
      <patternFill patternType="solid">
        <fgColor rgb="00D9E1F2"/>
        <bgColor rgb="00D9E1F2"/>
      </patternFill>
    </fill>
    <fill>
      <patternFill patternType="solid">
        <fgColor rgb="00B4C6E7"/>
        <bgColor rgb="00B4C6E7"/>
      </patternFill>
    </fill>
    <fill>
      <patternFill patternType="solid">
        <fgColor rgb="00FCE4D6"/>
        <bgColor rgb="00FCE4D6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B45309"/>
        <bgColor rgb="00B45309"/>
      </patternFill>
    </fill>
  </fills>
  <borders count="25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</border>
    <border>
      <left style="thin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</border>
    <border>
      <left style="medium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</border>
    <border>
      <left style="medium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</border>
    <border>
      <left style="medium">
        <color rgb="00000000"/>
      </left>
      <right/>
      <top style="medium">
        <color rgb="00000000"/>
      </top>
      <bottom/>
    </border>
    <border>
      <left/>
      <right/>
      <top style="medium">
        <color rgb="00000000"/>
      </top>
      <bottom/>
    </border>
    <border>
      <left/>
      <right style="medium">
        <color rgb="00000000"/>
      </right>
      <top style="medium">
        <color rgb="00000000"/>
      </top>
      <bottom/>
    </border>
    <border>
      <left style="medium">
        <color rgb="00000000"/>
      </left>
      <right/>
      <top/>
      <bottom/>
    </border>
    <border>
      <left/>
      <right/>
      <top/>
      <bottom/>
    </border>
    <border>
      <left/>
      <right style="medium">
        <color rgb="00000000"/>
      </right>
      <top/>
      <bottom/>
    </border>
    <border>
      <left style="medium">
        <color rgb="00000000"/>
      </left>
      <right/>
      <top/>
      <bottom style="medium">
        <color rgb="00000000"/>
      </bottom>
    </border>
    <border>
      <left/>
      <right/>
      <top/>
      <bottom style="medium">
        <color rgb="00000000"/>
      </bottom>
    </border>
    <border>
      <left/>
      <right style="medium">
        <color rgb="00000000"/>
      </right>
      <top/>
      <bottom style="medium">
        <color rgb="00000000"/>
      </bottom>
    </border>
  </borders>
  <cellStyleXfs count="1">
    <xf numFmtId="0" fontId="0" fillId="0" borderId="0"/>
  </cellStyleXfs>
  <cellXfs count="74">
    <xf numFmtId="0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7" fillId="10" borderId="0" applyAlignment="1" pivotButton="0" quotePrefix="0" xfId="0">
      <alignment horizontal="left" vertical="center" indent="1"/>
    </xf>
    <xf numFmtId="0" fontId="0" fillId="0" borderId="0" applyAlignment="1" pivotButton="0" quotePrefix="0" xfId="0">
      <alignment horizontal="left" vertical="top" wrapText="1"/>
    </xf>
    <xf numFmtId="0" fontId="2" fillId="0" borderId="0" pivotButton="0" quotePrefix="0" xfId="0"/>
    <xf numFmtId="0" fontId="3" fillId="2" borderId="1" pivotButton="0" quotePrefix="0" xfId="0"/>
    <xf numFmtId="0" fontId="0" fillId="4" borderId="1" applyAlignment="1" applyProtection="1" pivotButton="0" quotePrefix="0" xfId="0">
      <alignment horizontal="left" vertical="center" wrapText="1"/>
      <protection locked="0" hidden="0"/>
    </xf>
    <xf numFmtId="0" fontId="0" fillId="4" borderId="1" applyProtection="1" pivotButton="0" quotePrefix="0" xfId="0">
      <protection locked="0" hidden="0"/>
    </xf>
    <xf numFmtId="165" fontId="0" fillId="4" borderId="1" applyAlignment="1" applyProtection="1" pivotButton="0" quotePrefix="0" xfId="0">
      <alignment horizontal="left" vertical="center" wrapText="1"/>
      <protection locked="0" hidden="0"/>
    </xf>
    <xf numFmtId="0" fontId="3" fillId="2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left" vertical="center" wrapText="1"/>
    </xf>
    <xf numFmtId="0" fontId="0" fillId="0" borderId="3" applyAlignment="1" pivotButton="0" quotePrefix="0" xfId="0">
      <alignment horizontal="left" vertical="center" wrapText="1"/>
    </xf>
    <xf numFmtId="0" fontId="0" fillId="0" borderId="3" applyAlignment="1" pivotButton="0" quotePrefix="0" xfId="0">
      <alignment horizontal="center" vertical="center" wrapText="1"/>
    </xf>
    <xf numFmtId="0" fontId="0" fillId="4" borderId="3" applyAlignment="1" applyProtection="1" pivotButton="0" quotePrefix="0" xfId="0">
      <alignment horizontal="center" vertical="center" wrapText="1"/>
      <protection locked="0" hidden="0"/>
    </xf>
    <xf numFmtId="0" fontId="0" fillId="2" borderId="3" pivotButton="0" quotePrefix="0" xfId="0"/>
    <xf numFmtId="2" fontId="0" fillId="3" borderId="3" applyAlignment="1" pivotButton="0" quotePrefix="0" xfId="0">
      <alignment horizontal="center" vertical="center" wrapText="1"/>
    </xf>
    <xf numFmtId="166" fontId="3" fillId="0" borderId="3" applyAlignment="1" pivotButton="0" quotePrefix="0" xfId="0">
      <alignment horizontal="center" vertical="center" wrapText="1"/>
    </xf>
    <xf numFmtId="0" fontId="0" fillId="0" borderId="4" applyAlignment="1" pivotButton="0" quotePrefix="0" xfId="0">
      <alignment horizontal="center" vertical="center" wrapText="1"/>
    </xf>
    <xf numFmtId="0" fontId="3" fillId="6" borderId="2" applyAlignment="1" pivotButton="0" quotePrefix="0" xfId="0">
      <alignment horizontal="center" vertical="center" wrapText="1"/>
    </xf>
    <xf numFmtId="0" fontId="0" fillId="4" borderId="3" applyAlignment="1" applyProtection="1" pivotButton="0" quotePrefix="0" xfId="0">
      <alignment horizontal="left" vertical="center" wrapText="1"/>
      <protection locked="0" hidden="0"/>
    </xf>
    <xf numFmtId="0" fontId="3" fillId="7" borderId="8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left" vertical="center" wrapText="1"/>
    </xf>
    <xf numFmtId="0" fontId="0" fillId="0" borderId="9" applyAlignment="1" pivotButton="0" quotePrefix="0" xfId="0">
      <alignment horizontal="left" vertical="center" wrapText="1"/>
    </xf>
    <xf numFmtId="0" fontId="0" fillId="0" borderId="9" applyAlignment="1" pivotButton="0" quotePrefix="0" xfId="0">
      <alignment horizontal="center" vertical="center" wrapText="1"/>
    </xf>
    <xf numFmtId="0" fontId="0" fillId="4" borderId="9" applyAlignment="1" applyProtection="1" pivotButton="0" quotePrefix="0" xfId="0">
      <alignment horizontal="center" vertical="center" wrapText="1"/>
      <protection locked="0" hidden="0"/>
    </xf>
    <xf numFmtId="0" fontId="0" fillId="4" borderId="9" applyAlignment="1" applyProtection="1" pivotButton="0" quotePrefix="0" xfId="0">
      <alignment horizontal="left" vertical="center" wrapText="1"/>
      <protection locked="0" hidden="0"/>
    </xf>
    <xf numFmtId="2" fontId="0" fillId="3" borderId="9" applyAlignment="1" pivotButton="0" quotePrefix="0" xfId="0">
      <alignment horizontal="center" vertical="center" wrapText="1"/>
    </xf>
    <xf numFmtId="166" fontId="3" fillId="0" borderId="9" applyAlignment="1" pivotButton="0" quotePrefix="0" xfId="0">
      <alignment horizontal="center" vertical="center" wrapText="1"/>
    </xf>
    <xf numFmtId="0" fontId="0" fillId="0" borderId="10" applyAlignment="1" pivotButton="0" quotePrefix="0" xfId="0">
      <alignment horizontal="center" vertical="center" wrapText="1"/>
    </xf>
    <xf numFmtId="0" fontId="0" fillId="0" borderId="11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4" borderId="1" applyAlignment="1" applyProtection="1" pivotButton="0" quotePrefix="0" xfId="0">
      <alignment horizontal="center" vertical="center" wrapText="1"/>
      <protection locked="0" hidden="0"/>
    </xf>
    <xf numFmtId="0" fontId="0" fillId="2" borderId="1" pivotButton="0" quotePrefix="0" xfId="0"/>
    <xf numFmtId="2" fontId="0" fillId="3" borderId="1" applyAlignment="1" pivotButton="0" quotePrefix="0" xfId="0">
      <alignment horizontal="center" vertical="center" wrapText="1"/>
    </xf>
    <xf numFmtId="0" fontId="0" fillId="0" borderId="12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4" applyAlignment="1" pivotButton="0" quotePrefix="0" xfId="0">
      <alignment horizontal="left" vertical="center" wrapText="1"/>
    </xf>
    <xf numFmtId="0" fontId="0" fillId="0" borderId="14" applyAlignment="1" pivotButton="0" quotePrefix="0" xfId="0">
      <alignment horizontal="center" vertical="center" wrapText="1"/>
    </xf>
    <xf numFmtId="0" fontId="0" fillId="4" borderId="14" applyAlignment="1" applyProtection="1" pivotButton="0" quotePrefix="0" xfId="0">
      <alignment horizontal="center" vertical="center" wrapText="1"/>
      <protection locked="0" hidden="0"/>
    </xf>
    <xf numFmtId="0" fontId="0" fillId="2" borderId="14" pivotButton="0" quotePrefix="0" xfId="0"/>
    <xf numFmtId="2" fontId="0" fillId="3" borderId="14" applyAlignment="1" pivotButton="0" quotePrefix="0" xfId="0">
      <alignment horizontal="center" vertical="center" wrapText="1"/>
    </xf>
    <xf numFmtId="0" fontId="0" fillId="0" borderId="15" pivotButton="0" quotePrefix="0" xfId="0"/>
    <xf numFmtId="0" fontId="3" fillId="7" borderId="2" applyAlignment="1" pivotButton="0" quotePrefix="0" xfId="0">
      <alignment horizontal="center" vertical="center" wrapText="1"/>
    </xf>
    <xf numFmtId="0" fontId="3" fillId="8" borderId="2" applyAlignment="1" pivotButton="0" quotePrefix="0" xfId="0">
      <alignment horizontal="center" vertical="center" wrapText="1"/>
    </xf>
    <xf numFmtId="0" fontId="3" fillId="8" borderId="8" applyAlignment="1" pivotButton="0" quotePrefix="0" xfId="0">
      <alignment horizontal="center" vertical="center" wrapText="1"/>
    </xf>
    <xf numFmtId="0" fontId="0" fillId="4" borderId="14" applyAlignment="1" applyProtection="1" pivotButton="0" quotePrefix="0" xfId="0">
      <alignment horizontal="left" vertical="center" wrapText="1"/>
      <protection locked="0" hidden="0"/>
    </xf>
    <xf numFmtId="0" fontId="3" fillId="9" borderId="8" applyAlignment="1" pivotButton="0" quotePrefix="0" xfId="0">
      <alignment horizontal="center" vertical="center" wrapText="1"/>
    </xf>
    <xf numFmtId="0" fontId="0" fillId="2" borderId="9" pivotButton="0" quotePrefix="0" xfId="0"/>
    <xf numFmtId="0" fontId="3" fillId="9" borderId="2" applyAlignment="1" pivotButton="0" quotePrefix="0" xfId="0">
      <alignment horizontal="center" vertical="center" wrapText="1"/>
    </xf>
    <xf numFmtId="0" fontId="6" fillId="0" borderId="0" pivotButton="0" quotePrefix="0" xfId="0"/>
    <xf numFmtId="0" fontId="3" fillId="0" borderId="1" pivotButton="0" quotePrefix="0" xfId="0"/>
    <xf numFmtId="2" fontId="0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2" fontId="3" fillId="0" borderId="1" applyAlignment="1" pivotButton="0" quotePrefix="0" xfId="0">
      <alignment horizontal="center" vertical="center" wrapText="1"/>
    </xf>
    <xf numFmtId="0" fontId="0" fillId="4" borderId="16" applyAlignment="1" applyProtection="1" pivotButton="0" quotePrefix="0" xfId="0">
      <alignment horizontal="left" vertical="top" wrapText="1"/>
      <protection locked="0" hidden="0"/>
    </xf>
    <xf numFmtId="0" fontId="0" fillId="4" borderId="17" applyProtection="1" pivotButton="0" quotePrefix="0" xfId="0">
      <protection locked="0" hidden="0"/>
    </xf>
    <xf numFmtId="0" fontId="0" fillId="4" borderId="18" applyProtection="1" pivotButton="0" quotePrefix="0" xfId="0">
      <protection locked="0" hidden="0"/>
    </xf>
    <xf numFmtId="0" fontId="0" fillId="4" borderId="19" applyProtection="1" pivotButton="0" quotePrefix="0" xfId="0">
      <protection locked="0" hidden="0"/>
    </xf>
    <xf numFmtId="0" fontId="0" fillId="4" borderId="20" applyProtection="1" pivotButton="0" quotePrefix="0" xfId="0">
      <protection locked="0" hidden="0"/>
    </xf>
    <xf numFmtId="0" fontId="0" fillId="4" borderId="21" applyProtection="1" pivotButton="0" quotePrefix="0" xfId="0">
      <protection locked="0" hidden="0"/>
    </xf>
    <xf numFmtId="0" fontId="0" fillId="4" borderId="22" applyProtection="1" pivotButton="0" quotePrefix="0" xfId="0">
      <protection locked="0" hidden="0"/>
    </xf>
    <xf numFmtId="0" fontId="0" fillId="4" borderId="23" applyProtection="1" pivotButton="0" quotePrefix="0" xfId="0">
      <protection locked="0" hidden="0"/>
    </xf>
    <xf numFmtId="0" fontId="0" fillId="4" borderId="24" applyProtection="1" pivotButton="0" quotePrefix="0" xfId="0">
      <protection locked="0" hidden="0"/>
    </xf>
    <xf numFmtId="0" fontId="1" fillId="0" borderId="0" pivotButton="0" quotePrefix="0" xfId="0"/>
    <xf numFmtId="0" fontId="0" fillId="3" borderId="1" pivotButton="0" quotePrefix="0" xfId="0"/>
    <xf numFmtId="164" fontId="0" fillId="3" borderId="1" pivotButton="0" quotePrefix="0" xfId="0"/>
    <xf numFmtId="0" fontId="3" fillId="0" borderId="0" pivotButton="0" quotePrefix="0" xfId="0"/>
    <xf numFmtId="166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FF6969"/>
          <bgColor rgb="00FF6969"/>
        </patternFill>
      </fill>
    </dxf>
    <dxf>
      <fill>
        <patternFill patternType="solid">
          <fgColor rgb="00FFFF99"/>
          <bgColor rgb="00FFFF99"/>
        </patternFill>
      </fill>
    </dxf>
    <dxf>
      <fill>
        <patternFill patternType="solid">
          <fgColor rgb="008FAADC"/>
          <bgColor rgb="008FAAD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Function Score</a:t>
            </a:r>
          </a:p>
        </rich>
      </tx>
      <overlay val="0"/>
    </title>
    <plotArea>
      <barChart>
        <barDir val="bar"/>
        <grouping val="clustered"/>
        <ser>
          <idx val="0"/>
          <order val="0"/>
          <tx>
            <strRef>
              <f>'ChartData'!C2</f>
            </strRef>
          </tx>
          <spPr>
            <a:solidFill xmlns:a="http://schemas.openxmlformats.org/drawingml/2006/main">
              <a:srgbClr val="FF6969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cat>
            <numRef>
              <f>'ChartData'!$A$3:$A$15</f>
            </numRef>
          </cat>
          <val>
            <numRef>
              <f>'ChartData'!$C$3:$C$15</f>
            </numRef>
          </val>
        </ser>
        <ser>
          <idx val="1"/>
          <order val="1"/>
          <tx>
            <strRef>
              <f>'ChartData'!D2</f>
            </strRef>
          </tx>
          <spPr>
            <a:solidFill xmlns:a="http://schemas.openxmlformats.org/drawingml/2006/main">
              <a:srgbClr val="FFFF99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cat>
            <numRef>
              <f>'ChartData'!$A$3:$A$15</f>
            </numRef>
          </cat>
          <val>
            <numRef>
              <f>'ChartData'!$D$3:$D$15</f>
            </numRef>
          </val>
        </ser>
        <ser>
          <idx val="2"/>
          <order val="2"/>
          <tx>
            <strRef>
              <f>'ChartData'!E2</f>
            </strRef>
          </tx>
          <spPr>
            <a:solidFill xmlns:a="http://schemas.openxmlformats.org/drawingml/2006/main">
              <a:srgbClr val="8FAADC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cat>
            <numRef>
              <f>'ChartData'!$A$3:$A$15</f>
            </numRef>
          </cat>
          <val>
            <numRef>
              <f>'ChartData'!$E$3:$E$15</f>
            </numRef>
          </val>
        </ser>
        <dLbls>
          <showLegendKey val="0"/>
          <showVal val="1"/>
          <showCatName val="0"/>
          <showSerName val="0"/>
        </dLbls>
        <gapWidth val="40"/>
        <overlap val="10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5"/>
          <min val="0"/>
        </scaling>
        <delete val="0"/>
        <axPos val="l"/>
        <numFmt formatCode="0" sourceLinked="0"/>
        <majorTickMark val="none"/>
        <minorTickMark val="none"/>
        <crossAx val="10"/>
        <majorUnit val="1"/>
      </valAx>
    </plotArea>
    <legend>
      <legendPos val="b"/>
      <overlay val="0"/>
    </legend>
    <plotVisOnly val="1"/>
    <dispBlanksAs val="gap"/>
    <extLst>
      <ext xmlns:c16r3="http://schemas.microsoft.com/office/drawing/2017/03/chart" uri="{56B9EC1D-385E-4148-901F-78D8002777C0}">
        <c16r3:dataDisplayOptions16>
          <c16r3:dispNaAsBlank val="1"/>
        </c16r3:dataDisplayOptions16>
      </ext>
    </extLst>
  </chart>
</chartSpace>
</file>

<file path=xl/charts/chart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Outcome Score</a:t>
            </a:r>
          </a:p>
        </rich>
      </tx>
      <overlay val="0"/>
    </title>
    <plotArea>
      <barChart>
        <barDir val="bar"/>
        <grouping val="clustered"/>
        <ser>
          <idx val="0"/>
          <order val="0"/>
          <tx>
            <strRef>
              <f>'ChartData'!C17</f>
            </strRef>
          </tx>
          <spPr>
            <a:solidFill xmlns:a="http://schemas.openxmlformats.org/drawingml/2006/main">
              <a:srgbClr val="FF6969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cat>
            <numRef>
              <f>'ChartData'!$A$18:$A$20</f>
            </numRef>
          </cat>
          <val>
            <numRef>
              <f>'ChartData'!$C$18:$C$20</f>
            </numRef>
          </val>
        </ser>
        <ser>
          <idx val="1"/>
          <order val="1"/>
          <tx>
            <strRef>
              <f>'ChartData'!D17</f>
            </strRef>
          </tx>
          <spPr>
            <a:solidFill xmlns:a="http://schemas.openxmlformats.org/drawingml/2006/main">
              <a:srgbClr val="FFFF99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cat>
            <numRef>
              <f>'ChartData'!$A$18:$A$20</f>
            </numRef>
          </cat>
          <val>
            <numRef>
              <f>'ChartData'!$D$18:$D$20</f>
            </numRef>
          </val>
        </ser>
        <ser>
          <idx val="2"/>
          <order val="2"/>
          <tx>
            <strRef>
              <f>'ChartData'!E17</f>
            </strRef>
          </tx>
          <spPr>
            <a:solidFill xmlns:a="http://schemas.openxmlformats.org/drawingml/2006/main">
              <a:srgbClr val="8FAADC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cat>
            <numRef>
              <f>'ChartData'!$A$18:$A$20</f>
            </numRef>
          </cat>
          <val>
            <numRef>
              <f>'ChartData'!$E$18:$E$20</f>
            </numRef>
          </val>
        </ser>
        <dLbls>
          <showLegendKey val="0"/>
          <showVal val="1"/>
          <showCatName val="0"/>
          <showSerName val="0"/>
        </dLbls>
        <gapWidth val="40"/>
        <overlap val="10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"/>
          <min val="0"/>
        </scaling>
        <delete val="0"/>
        <axPos val="l"/>
        <numFmt formatCode="0.00" sourceLinked="0"/>
        <majorTickMark val="none"/>
        <minorTickMark val="none"/>
        <crossAx val="10"/>
        <majorUnit val="0.1"/>
      </valAx>
    </plotArea>
    <legend>
      <legendPos val="b"/>
      <overlay val="0"/>
    </legend>
    <plotVisOnly val="1"/>
    <dispBlanksAs val="gap"/>
    <extLst>
      <ext xmlns:c16r3="http://schemas.microsoft.com/office/drawing/2017/03/chart" uri="{56B9EC1D-385E-4148-901F-78D8002777C0}">
        <c16r3:dataDisplayOptions16>
          <c16r3:dispNaAsBlank val="1"/>
        </c16r3:dataDisplayOptions16>
      </ext>
    </extLst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10</col>
      <colOff>0</colOff>
      <row>4</row>
      <rowOff>0</rowOff>
    </from>
    <ext cx="7920000" cy="29016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10</col>
      <colOff>0</colOff>
      <row>32</row>
      <rowOff>0</rowOff>
    </from>
    <ext cx="7920000" cy="23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B45309"/>
    <outlinePr summaryBelow="1" summaryRight="1"/>
    <pageSetUpPr/>
  </sheetPr>
  <dimension ref="A1:A13"/>
  <sheetViews>
    <sheetView showGridLines="0" tabSelected="0"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Detailed Evaluation of Ecosystem Processes (DEEP) Calculator</t>
        </is>
      </c>
    </row>
    <row r="2">
      <c r="A2" s="2" t="inlineStr">
        <is>
          <t>CO SQT Adapted</t>
        </is>
      </c>
    </row>
    <row r="3" ht="21" customHeight="1">
      <c r="A3" s="3" t="inlineStr">
        <is>
          <t>Assessment status: Preliminary. Reviewed and approved as Preliminary.</t>
        </is>
      </c>
    </row>
    <row r="4" ht="30" customHeight="1">
      <c r="A4" s="4" t="inlineStr">
        <is>
          <t>This workbook scores one detailed assessment. It carries the assessment's metrics and their reference curves, and it scores exactly as the DEEP web application does.</t>
        </is>
      </c>
    </row>
    <row r="5" ht="30" customHeight="1">
      <c r="A5" s="4" t="inlineStr">
        <is>
          <t>1. On the DEEP Score sheet, fill the site block and type each metric's measured value in its orange cell, in the units shown.</t>
        </is>
      </c>
    </row>
    <row r="6" ht="30" customHeight="1">
      <c r="A6" s="4" t="inlineStr">
        <is>
          <t>2. Where a metric has several curve sets, choose the set that fits the reach from the list beside the value. Left alone, the default set applies.</t>
        </is>
      </c>
    </row>
    <row r="7" ht="15" customHeight="1">
      <c r="A7" s="4" t="inlineStr">
        <is>
          <t>3. Leave a value blank when the metric does not apply. It drops out of the score.</t>
        </is>
      </c>
    </row>
    <row r="8" ht="15" customHeight="1">
      <c r="A8" s="4" t="inlineStr">
        <is>
          <t>4. A metric that serves more than one function is entered once. The grey cells repeat it.</t>
        </is>
      </c>
    </row>
    <row r="9" ht="30" customHeight="1">
      <c r="A9" s="4" t="inlineStr">
        <is>
          <t>5. The index of each metric (0 to 1) is read from its reference curve. The function score is the mean index of the function's metrics times 15.</t>
        </is>
      </c>
    </row>
    <row r="10" ht="30" customHeight="1">
      <c r="A10" s="4" t="inlineStr">
        <is>
          <t>6. The outcome sub-indices weigh each function's score by its direct or indirect contribution, and the Ecosystem Condition Index is the mean of the three.</t>
        </is>
      </c>
    </row>
    <row r="11" ht="30" customHeight="1">
      <c r="A11" s="4" t="inlineStr">
        <is>
          <t>Condition classes. Index at or below 0.39 Non-Functioning, at or below 0.69 Functioning At-Risk, above Functioning. Function score at or below 5 Non-Functioning, at or below 10 Functioning At-Risk, above Functioning.</t>
        </is>
      </c>
    </row>
    <row r="12" ht="30" customHeight="1">
      <c r="A12" s="4" t="inlineStr">
        <is>
          <t>Sheets. DEEP Score (entries and results), Metrics (the interpolation of every metric), Reference (curves, curve sets, classes), Metadata (assessment identity).</t>
        </is>
      </c>
    </row>
    <row r="13" ht="15" customHeight="1">
      <c r="A13" s="4" t="inlineStr">
        <is>
          <t>The sheets are protected against accidental edits. The password is deep.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pageMargins left="0.75" right="0.75" top="1" bottom="1" header="0.5" footer="0.5"/>
  <headerFooter>
    <oddHeader>&amp;C&amp;"Calibri,Bold"&amp;KB45309Assessment status: Preliminary._x000a_Reviewed and approved as Preliminary.</oddHeader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B45309"/>
    <outlinePr summaryBelow="1" summaryRight="1"/>
    <pageSetUpPr/>
  </sheetPr>
  <dimension ref="A1:I55"/>
  <sheetViews>
    <sheetView showGridLines="0" tabSelected="1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40" customWidth="1" min="3" max="3"/>
    <col width="12" customWidth="1" min="4" max="4"/>
    <col width="14" customWidth="1" min="5" max="5"/>
    <col width="40" customWidth="1" min="6" max="6"/>
    <col width="10" customWidth="1" min="7" max="7"/>
    <col width="16" customWidth="1" min="8" max="8"/>
    <col width="22" customWidth="1" min="9" max="9"/>
  </cols>
  <sheetData>
    <row r="1">
      <c r="A1" s="1" t="inlineStr">
        <is>
          <t>Detailed Evaluation of Ecosystem Processes (DEEP) Calculator</t>
        </is>
      </c>
    </row>
    <row r="2">
      <c r="A2" s="2" t="inlineStr">
        <is>
          <t>CO SQT Adapted</t>
        </is>
      </c>
    </row>
    <row r="3">
      <c r="A3" s="5" t="inlineStr">
        <is>
          <t>Version 2 | Preliminary | Colorado SQT</t>
        </is>
      </c>
    </row>
    <row r="4" ht="21" customHeight="1">
      <c r="A4" s="3" t="inlineStr">
        <is>
          <t>Assessment status: Preliminary. Reviewed and approved as Preliminary.</t>
        </is>
      </c>
    </row>
    <row r="5">
      <c r="A5" s="6" t="inlineStr">
        <is>
          <t>Stream or site</t>
        </is>
      </c>
      <c r="B5" s="7" t="n"/>
      <c r="C5" s="8" t="n"/>
      <c r="D5" s="8" t="n"/>
    </row>
    <row r="6">
      <c r="A6" s="6" t="inlineStr">
        <is>
          <t>Reach ID</t>
        </is>
      </c>
      <c r="B6" s="7" t="n"/>
      <c r="C6" s="8" t="n"/>
      <c r="D6" s="8" t="n"/>
    </row>
    <row r="7">
      <c r="A7" s="6" t="inlineStr">
        <is>
          <t>Coordinates</t>
        </is>
      </c>
      <c r="B7" s="7" t="n"/>
      <c r="C7" s="8" t="n"/>
      <c r="D7" s="8" t="n"/>
    </row>
    <row r="8">
      <c r="A8" s="6" t="inlineStr">
        <is>
          <t>Date</t>
        </is>
      </c>
      <c r="B8" s="9" t="n"/>
      <c r="C8" s="8" t="n"/>
      <c r="D8" s="8" t="n"/>
    </row>
    <row r="9">
      <c r="A9" s="6" t="inlineStr">
        <is>
          <t>Assessor(s)</t>
        </is>
      </c>
      <c r="B9" s="7" t="n"/>
      <c r="C9" s="8" t="n"/>
      <c r="D9" s="8" t="n"/>
    </row>
    <row r="11">
      <c r="A11" s="10" t="inlineStr">
        <is>
          <t>Category</t>
        </is>
      </c>
      <c r="B11" s="10" t="inlineStr">
        <is>
          <t>Function</t>
        </is>
      </c>
      <c r="C11" s="10" t="inlineStr">
        <is>
          <t>Metric</t>
        </is>
      </c>
      <c r="D11" s="10" t="inlineStr">
        <is>
          <t>Units</t>
        </is>
      </c>
      <c r="E11" s="10" t="inlineStr">
        <is>
          <t>Value</t>
        </is>
      </c>
      <c r="F11" s="10" t="inlineStr">
        <is>
          <t>Curve set</t>
        </is>
      </c>
      <c r="G11" s="10" t="inlineStr">
        <is>
          <t>Index</t>
        </is>
      </c>
      <c r="H11" s="10" t="inlineStr">
        <is>
          <t>Function score (0 to 15)</t>
        </is>
      </c>
      <c r="I11" s="10" t="inlineStr">
        <is>
          <t>Condition</t>
        </is>
      </c>
    </row>
    <row r="12">
      <c r="A12" s="11" t="inlineStr">
        <is>
          <t>Hydrology</t>
        </is>
      </c>
      <c r="B12" s="12" t="inlineStr">
        <is>
          <t>Catchment hydrology</t>
        </is>
      </c>
      <c r="C12" s="13" t="inlineStr">
        <is>
          <t>Land Use Coefficient</t>
        </is>
      </c>
      <c r="D12" s="14" t="inlineStr"/>
      <c r="E12" s="15" t="n"/>
      <c r="F12" s="16" t="inlineStr"/>
      <c r="G12" s="17">
        <f>IF('Metrics'!$V$5="","",'Metrics'!$V$5)</f>
        <v/>
      </c>
      <c r="H12" s="18">
        <f>IF('Results'!$B$4="","",'Results'!$B$4)</f>
        <v/>
      </c>
      <c r="I12" s="19">
        <f>IF('DEEP Score'!$H$12="","",IF('DEEP Score'!$H$12&lt;=5,"Non-Functioning",IF('DEEP Score'!$H$12&lt;=10,"Functioning At-Risk","Functioning")))</f>
        <v/>
      </c>
    </row>
    <row r="13">
      <c r="A13" s="11" t="inlineStr">
        <is>
          <t>Hydrology</t>
        </is>
      </c>
      <c r="B13" s="12" t="inlineStr">
        <is>
          <t>Reach inflow</t>
        </is>
      </c>
      <c r="C13" s="13" t="inlineStr">
        <is>
          <t>Concentrated Flow Points</t>
        </is>
      </c>
      <c r="D13" s="14" t="inlineStr"/>
      <c r="E13" s="15" t="n"/>
      <c r="F13" s="16" t="inlineStr"/>
      <c r="G13" s="17">
        <f>IF('Metrics'!$V$6="","",'Metrics'!$V$6)</f>
        <v/>
      </c>
      <c r="H13" s="18">
        <f>IF('Results'!$B$5="","",'Results'!$B$5)</f>
        <v/>
      </c>
      <c r="I13" s="19">
        <f>IF('DEEP Score'!$H$13="","",IF('DEEP Score'!$H$13&lt;=5,"Non-Functioning",IF('DEEP Score'!$H$13&lt;=10,"Functioning At-Risk","Functioning")))</f>
        <v/>
      </c>
    </row>
    <row r="14">
      <c r="A14" s="11" t="inlineStr">
        <is>
          <t>Hydrology</t>
        </is>
      </c>
      <c r="B14" s="12" t="inlineStr">
        <is>
          <t>Streamflow regime</t>
        </is>
      </c>
      <c r="C14" s="13" t="inlineStr">
        <is>
          <t>Flow Alteration Module</t>
        </is>
      </c>
      <c r="D14" s="14" t="inlineStr"/>
      <c r="E14" s="15" t="n"/>
      <c r="F14" s="16" t="inlineStr"/>
      <c r="G14" s="17">
        <f>IF('Metrics'!$V$7="","",'Metrics'!$V$7)</f>
        <v/>
      </c>
      <c r="H14" s="18">
        <f>IF('Results'!$B$6="","",'Results'!$B$6)</f>
        <v/>
      </c>
      <c r="I14" s="19">
        <f>IF('DEEP Score'!$H$14="","",IF('DEEP Score'!$H$14&lt;=5,"Non-Functioning",IF('DEEP Score'!$H$14&lt;=10,"Functioning At-Risk","Functioning")))</f>
        <v/>
      </c>
    </row>
    <row r="15">
      <c r="A15" s="20" t="inlineStr">
        <is>
          <t>Hydraulics</t>
        </is>
      </c>
      <c r="B15" s="12" t="inlineStr">
        <is>
          <t>Low flow and baseflow dynamics</t>
        </is>
      </c>
      <c r="C15" s="13" t="inlineStr">
        <is>
          <t>Average Depth</t>
        </is>
      </c>
      <c r="D15" s="14" t="inlineStr"/>
      <c r="E15" s="15" t="n"/>
      <c r="F15" s="21" t="inlineStr">
        <is>
          <t>CS-I &amp; CS-I MWF; W &lt; 20ft</t>
        </is>
      </c>
      <c r="G15" s="17">
        <f>IF('Metrics'!$V$8="","",'Metrics'!$V$8)</f>
        <v/>
      </c>
      <c r="H15" s="18">
        <f>IF('Results'!$B$7="","",'Results'!$B$7)</f>
        <v/>
      </c>
      <c r="I15" s="19">
        <f>IF('DEEP Score'!$H$15="","",IF('DEEP Score'!$H$15&lt;=5,"Non-Functioning",IF('DEEP Score'!$H$15&lt;=10,"Functioning At-Risk","Functioning")))</f>
        <v/>
      </c>
    </row>
    <row r="16">
      <c r="A16" s="20" t="inlineStr">
        <is>
          <t>Hydraulics</t>
        </is>
      </c>
      <c r="B16" s="12" t="inlineStr">
        <is>
          <t>Floodplain connectivity</t>
        </is>
      </c>
      <c r="C16" s="13" t="inlineStr">
        <is>
          <t>Entrenchment Ratio (ER)</t>
        </is>
      </c>
      <c r="D16" s="14" t="inlineStr">
        <is>
          <t>ER</t>
        </is>
      </c>
      <c r="E16" s="15" t="n"/>
      <c r="F16" s="21" t="inlineStr">
        <is>
          <t>C Streams</t>
        </is>
      </c>
      <c r="G16" s="17">
        <f>IF('Metrics'!$V$9="","",'Metrics'!$V$9)</f>
        <v/>
      </c>
      <c r="H16" s="18">
        <f>IF('Results'!$B$8="","",'Results'!$B$8)</f>
        <v/>
      </c>
      <c r="I16" s="19">
        <f>IF('DEEP Score'!$H$16="","",IF('DEEP Score'!$H$16&lt;=5,"Non-Functioning",IF('DEEP Score'!$H$16&lt;=10,"Functioning At-Risk","Functioning")))</f>
        <v/>
      </c>
    </row>
    <row r="17">
      <c r="A17" s="22" t="inlineStr">
        <is>
          <t>Geomorphology</t>
        </is>
      </c>
      <c r="B17" s="23" t="inlineStr">
        <is>
          <t>Channel and floodplain dynamics</t>
        </is>
      </c>
      <c r="C17" s="24" t="inlineStr">
        <is>
          <t>Bank Height Ratio (BHR)</t>
        </is>
      </c>
      <c r="D17" s="25" t="inlineStr">
        <is>
          <t>BHR</t>
        </is>
      </c>
      <c r="E17" s="26" t="n"/>
      <c r="F17" s="27" t="inlineStr">
        <is>
          <t>All Regimes</t>
        </is>
      </c>
      <c r="G17" s="28">
        <f>IF('Metrics'!$V$10="","",'Metrics'!$V$10)</f>
        <v/>
      </c>
      <c r="H17" s="29">
        <f>IF('Results'!$B$9="","",'Results'!$B$9)</f>
        <v/>
      </c>
      <c r="I17" s="30">
        <f>IF('DEEP Score'!$H$17="","",IF('DEEP Score'!$H$17&lt;=5,"Non-Functioning",IF('DEEP Score'!$H$17&lt;=10,"Functioning At-Risk","Functioning")))</f>
        <v/>
      </c>
    </row>
    <row r="18">
      <c r="A18" s="31" t="n"/>
      <c r="B18" s="32" t="n"/>
      <c r="C18" s="33" t="inlineStr">
        <is>
          <t>Greenline Stability Rating</t>
        </is>
      </c>
      <c r="D18" s="34" t="inlineStr"/>
      <c r="E18" s="35" t="n"/>
      <c r="F18" s="36" t="inlineStr"/>
      <c r="G18" s="37">
        <f>IF('Metrics'!$V$11="","",'Metrics'!$V$11)</f>
        <v/>
      </c>
      <c r="H18" s="32" t="n"/>
      <c r="I18" s="38" t="n"/>
    </row>
    <row r="19">
      <c r="A19" s="31" t="n"/>
      <c r="B19" s="32" t="n"/>
      <c r="C19" s="33" t="inlineStr">
        <is>
          <t>Percent Armoring</t>
        </is>
      </c>
      <c r="D19" s="34" t="inlineStr"/>
      <c r="E19" s="35" t="n"/>
      <c r="F19" s="36" t="inlineStr"/>
      <c r="G19" s="37">
        <f>IF('Metrics'!$V$12="","",'Metrics'!$V$12)</f>
        <v/>
      </c>
      <c r="H19" s="32" t="n"/>
      <c r="I19" s="38" t="n"/>
    </row>
    <row r="20">
      <c r="A20" s="31" t="n"/>
      <c r="B20" s="32" t="n"/>
      <c r="C20" s="33" t="inlineStr">
        <is>
          <t>Percent Side Channels</t>
        </is>
      </c>
      <c r="D20" s="34" t="inlineStr"/>
      <c r="E20" s="35" t="n"/>
      <c r="F20" s="7" t="inlineStr">
        <is>
          <t>Unconfined Alluvial</t>
        </is>
      </c>
      <c r="G20" s="37">
        <f>IF('Metrics'!$V$13="","",'Metrics'!$V$13)</f>
        <v/>
      </c>
      <c r="H20" s="32" t="n"/>
      <c r="I20" s="38" t="n"/>
    </row>
    <row r="21">
      <c r="A21" s="39" t="n"/>
      <c r="B21" s="40" t="n"/>
      <c r="C21" s="41" t="inlineStr">
        <is>
          <t>Percent Streambank Erosion</t>
        </is>
      </c>
      <c r="D21" s="42" t="inlineStr"/>
      <c r="E21" s="43" t="n"/>
      <c r="F21" s="44" t="inlineStr"/>
      <c r="G21" s="45">
        <f>IF('Metrics'!$V$14="","",'Metrics'!$V$14)</f>
        <v/>
      </c>
      <c r="H21" s="40" t="n"/>
      <c r="I21" s="46" t="n"/>
    </row>
    <row r="22">
      <c r="A22" s="47" t="inlineStr">
        <is>
          <t>Geomorphology</t>
        </is>
      </c>
      <c r="B22" s="12" t="inlineStr">
        <is>
          <t>Sediment continuity</t>
        </is>
      </c>
      <c r="C22" s="13" t="inlineStr">
        <is>
          <t>Aggradation Ratio</t>
        </is>
      </c>
      <c r="D22" s="14" t="inlineStr"/>
      <c r="E22" s="15" t="n"/>
      <c r="F22" s="16" t="inlineStr"/>
      <c r="G22" s="17">
        <f>IF('Metrics'!$V$15="","",'Metrics'!$V$15)</f>
        <v/>
      </c>
      <c r="H22" s="18">
        <f>IF('Results'!$B$10="","",'Results'!$B$10)</f>
        <v/>
      </c>
      <c r="I22" s="19">
        <f>IF('DEEP Score'!$H$22="","",IF('DEEP Score'!$H$22&lt;=5,"Non-Functioning",IF('DEEP Score'!$H$22&lt;=10,"Functioning At-Risk","Functioning")))</f>
        <v/>
      </c>
    </row>
    <row r="23">
      <c r="A23" s="48" t="inlineStr">
        <is>
          <t>Physicochemistry</t>
        </is>
      </c>
      <c r="B23" s="12" t="inlineStr">
        <is>
          <t>Light &amp; thermal regime</t>
        </is>
      </c>
      <c r="C23" s="13" t="inlineStr">
        <is>
          <t>MWAT</t>
        </is>
      </c>
      <c r="D23" s="14" t="inlineStr"/>
      <c r="E23" s="15" t="n"/>
      <c r="F23" s="21" t="inlineStr">
        <is>
          <t>CS-I (MWF)</t>
        </is>
      </c>
      <c r="G23" s="17">
        <f>IF('Metrics'!$V$16="","",'Metrics'!$V$16)</f>
        <v/>
      </c>
      <c r="H23" s="18">
        <f>IF('Results'!$B$11="","",'Results'!$B$11)</f>
        <v/>
      </c>
      <c r="I23" s="19">
        <f>IF('DEEP Score'!$H$23="","",IF('DEEP Score'!$H$23&lt;=5,"Non-Functioning",IF('DEEP Score'!$H$23&lt;=10,"Functioning At-Risk","Functioning")))</f>
        <v/>
      </c>
    </row>
    <row r="24">
      <c r="A24" s="49" t="inlineStr">
        <is>
          <t>Physicochemistry</t>
        </is>
      </c>
      <c r="B24" s="23" t="inlineStr">
        <is>
          <t>Carbon processing</t>
        </is>
      </c>
      <c r="C24" s="24" t="inlineStr">
        <is>
          <t>Chlorophyll ?</t>
        </is>
      </c>
      <c r="D24" s="25" t="inlineStr"/>
      <c r="E24" s="26" t="n"/>
      <c r="F24" s="27" t="inlineStr">
        <is>
          <t>Biotypes 1 and 2</t>
        </is>
      </c>
      <c r="G24" s="28">
        <f>IF('Metrics'!$V$17="","",'Metrics'!$V$17)</f>
        <v/>
      </c>
      <c r="H24" s="29">
        <f>IF('Results'!$B$12="","",'Results'!$B$12)</f>
        <v/>
      </c>
      <c r="I24" s="30">
        <f>IF('DEEP Score'!$H$24="","",IF('DEEP Score'!$H$24&lt;=5,"Non-Functioning",IF('DEEP Score'!$H$24&lt;=10,"Functioning At-Risk","Functioning")))</f>
        <v/>
      </c>
    </row>
    <row r="25">
      <c r="A25" s="31" t="n"/>
      <c r="B25" s="32" t="n"/>
      <c r="C25" s="33" t="inlineStr">
        <is>
          <t>Herbaceous Vegetation Cover</t>
        </is>
      </c>
      <c r="D25" s="34" t="inlineStr"/>
      <c r="E25" s="35" t="n"/>
      <c r="F25" s="36" t="inlineStr"/>
      <c r="G25" s="37">
        <f>IF('Metrics'!$V$18="","",'Metrics'!$V$18)</f>
        <v/>
      </c>
      <c r="H25" s="32" t="n"/>
      <c r="I25" s="38" t="n"/>
    </row>
    <row r="26">
      <c r="A26" s="31" t="n"/>
      <c r="B26" s="32" t="n"/>
      <c r="C26" s="33" t="inlineStr">
        <is>
          <t>Percent Native Cover</t>
        </is>
      </c>
      <c r="D26" s="34" t="inlineStr"/>
      <c r="E26" s="35" t="n"/>
      <c r="F26" s="36" t="inlineStr"/>
      <c r="G26" s="37">
        <f>IF('Metrics'!$V$19="","",'Metrics'!$V$19)</f>
        <v/>
      </c>
      <c r="H26" s="32" t="n"/>
      <c r="I26" s="38" t="n"/>
    </row>
    <row r="27">
      <c r="A27" s="31" t="n"/>
      <c r="B27" s="32" t="n"/>
      <c r="C27" s="33" t="inlineStr">
        <is>
          <t>Riparian Extent</t>
        </is>
      </c>
      <c r="D27" s="34" t="inlineStr"/>
      <c r="E27" s="35" t="n"/>
      <c r="F27" s="7" t="inlineStr">
        <is>
          <t>Unconfined Alluvial Valleys</t>
        </is>
      </c>
      <c r="G27" s="37">
        <f>IF('Metrics'!$V$20="","",'Metrics'!$V$20)</f>
        <v/>
      </c>
      <c r="H27" s="32" t="n"/>
      <c r="I27" s="38" t="n"/>
    </row>
    <row r="28">
      <c r="A28" s="39" t="n"/>
      <c r="B28" s="40" t="n"/>
      <c r="C28" s="41" t="inlineStr">
        <is>
          <t>Woody Vegetation Cover</t>
        </is>
      </c>
      <c r="D28" s="42" t="inlineStr"/>
      <c r="E28" s="43" t="n"/>
      <c r="F28" s="50" t="inlineStr">
        <is>
          <t>Mountains &amp; Basins</t>
        </is>
      </c>
      <c r="G28" s="45">
        <f>IF('Metrics'!$V$21="","",'Metrics'!$V$21)</f>
        <v/>
      </c>
      <c r="H28" s="40" t="n"/>
      <c r="I28" s="46" t="n"/>
    </row>
    <row r="29">
      <c r="A29" s="48" t="inlineStr">
        <is>
          <t>Physicochemistry</t>
        </is>
      </c>
      <c r="B29" s="12" t="inlineStr">
        <is>
          <t>Water &amp; soil quality</t>
        </is>
      </c>
      <c r="C29" s="13" t="inlineStr">
        <is>
          <t>Dissolved Oxygen Concentration</t>
        </is>
      </c>
      <c r="D29" s="14" t="inlineStr"/>
      <c r="E29" s="15" t="n"/>
      <c r="F29" s="16" t="inlineStr"/>
      <c r="G29" s="17">
        <f>IF('Metrics'!$V$22="","",'Metrics'!$V$22)</f>
        <v/>
      </c>
      <c r="H29" s="18">
        <f>IF('Results'!$B$13="","",'Results'!$B$13)</f>
        <v/>
      </c>
      <c r="I29" s="19">
        <f>IF('DEEP Score'!$H$29="","",IF('DEEP Score'!$H$29&lt;=5,"Non-Functioning",IF('DEEP Score'!$H$29&lt;=10,"Functioning At-Risk","Functioning")))</f>
        <v/>
      </c>
    </row>
    <row r="30">
      <c r="A30" s="51" t="inlineStr">
        <is>
          <t>Biology</t>
        </is>
      </c>
      <c r="B30" s="23" t="inlineStr">
        <is>
          <t>Habitat provision</t>
        </is>
      </c>
      <c r="C30" s="24" t="inlineStr">
        <is>
          <t>LWD</t>
        </is>
      </c>
      <c r="D30" s="25" t="inlineStr"/>
      <c r="E30" s="26" t="n"/>
      <c r="F30" s="52" t="inlineStr"/>
      <c r="G30" s="28">
        <f>IF('Metrics'!$V$23="","",'Metrics'!$V$23)</f>
        <v/>
      </c>
      <c r="H30" s="29">
        <f>IF('Results'!$B$14="","",'Results'!$B$14)</f>
        <v/>
      </c>
      <c r="I30" s="30">
        <f>IF('DEEP Score'!$H$30="","",IF('DEEP Score'!$H$30&lt;=5,"Non-Functioning",IF('DEEP Score'!$H$30&lt;=10,"Functioning At-Risk","Functioning")))</f>
        <v/>
      </c>
    </row>
    <row r="31">
      <c r="A31" s="31" t="n"/>
      <c r="B31" s="32" t="n"/>
      <c r="C31" s="33" t="inlineStr">
        <is>
          <t>LWD Index</t>
        </is>
      </c>
      <c r="D31" s="34" t="inlineStr"/>
      <c r="E31" s="35" t="n"/>
      <c r="F31" s="36" t="inlineStr"/>
      <c r="G31" s="37">
        <f>IF('Metrics'!$V$24="","",'Metrics'!$V$24)</f>
        <v/>
      </c>
      <c r="H31" s="32" t="n"/>
      <c r="I31" s="38" t="n"/>
    </row>
    <row r="32">
      <c r="A32" s="31" t="n"/>
      <c r="B32" s="32" t="n"/>
      <c r="C32" s="33" t="inlineStr">
        <is>
          <t>Percent Riffle</t>
        </is>
      </c>
      <c r="D32" s="34" t="inlineStr"/>
      <c r="E32" s="35" t="n"/>
      <c r="F32" s="7" t="inlineStr">
        <is>
          <t>Streams &lt; 3% slope</t>
        </is>
      </c>
      <c r="G32" s="37">
        <f>IF('Metrics'!$V$25="","",'Metrics'!$V$25)</f>
        <v/>
      </c>
      <c r="H32" s="32" t="n"/>
      <c r="I32" s="38" t="n"/>
    </row>
    <row r="33">
      <c r="A33" s="31" t="n"/>
      <c r="B33" s="32" t="n"/>
      <c r="C33" s="33" t="inlineStr">
        <is>
          <t>Pool Depth Ratio</t>
        </is>
      </c>
      <c r="D33" s="34" t="inlineStr"/>
      <c r="E33" s="35" t="n"/>
      <c r="F33" s="36" t="inlineStr"/>
      <c r="G33" s="37">
        <f>IF('Metrics'!$V$26="","",'Metrics'!$V$26)</f>
        <v/>
      </c>
      <c r="H33" s="32" t="n"/>
      <c r="I33" s="38" t="n"/>
    </row>
    <row r="34">
      <c r="A34" s="39" t="n"/>
      <c r="B34" s="40" t="n"/>
      <c r="C34" s="41" t="inlineStr">
        <is>
          <t>Pool Spacing Ratio</t>
        </is>
      </c>
      <c r="D34" s="42" t="inlineStr"/>
      <c r="E34" s="43" t="n"/>
      <c r="F34" s="50" t="inlineStr">
        <is>
          <t>C Stream Types</t>
        </is>
      </c>
      <c r="G34" s="45">
        <f>IF('Metrics'!$V$27="","",'Metrics'!$V$27)</f>
        <v/>
      </c>
      <c r="H34" s="40" t="n"/>
      <c r="I34" s="46" t="n"/>
    </row>
    <row r="35">
      <c r="A35" s="51" t="inlineStr">
        <is>
          <t>Biology</t>
        </is>
      </c>
      <c r="B35" s="23" t="inlineStr">
        <is>
          <t>Population support</t>
        </is>
      </c>
      <c r="C35" s="24" t="inlineStr">
        <is>
          <t>CO MMI</t>
        </is>
      </c>
      <c r="D35" s="25" t="inlineStr"/>
      <c r="E35" s="26" t="n"/>
      <c r="F35" s="27" t="inlineStr">
        <is>
          <t>Biotype 1</t>
        </is>
      </c>
      <c r="G35" s="28">
        <f>IF('Metrics'!$V$28="","",'Metrics'!$V$28)</f>
        <v/>
      </c>
      <c r="H35" s="29">
        <f>IF('Results'!$B$15="","",'Results'!$B$15)</f>
        <v/>
      </c>
      <c r="I35" s="30">
        <f>IF('DEEP Score'!$H$35="","",IF('DEEP Score'!$H$35&lt;=5,"Non-Functioning",IF('DEEP Score'!$H$35&lt;=10,"Functioning At-Risk","Functioning")))</f>
        <v/>
      </c>
    </row>
    <row r="36">
      <c r="A36" s="39" t="n"/>
      <c r="B36" s="40" t="n"/>
      <c r="C36" s="41" t="inlineStr">
        <is>
          <t>Wild Trout Biomass</t>
        </is>
      </c>
      <c r="D36" s="42" t="inlineStr"/>
      <c r="E36" s="43" t="n"/>
      <c r="F36" s="50" t="inlineStr">
        <is>
          <t>High</t>
        </is>
      </c>
      <c r="G36" s="45">
        <f>IF('Metrics'!$V$29="","",'Metrics'!$V$29)</f>
        <v/>
      </c>
      <c r="H36" s="40" t="n"/>
      <c r="I36" s="46" t="n"/>
    </row>
    <row r="37">
      <c r="A37" s="53" t="inlineStr">
        <is>
          <t>Biology</t>
        </is>
      </c>
      <c r="B37" s="12" t="inlineStr">
        <is>
          <t>Community dynamics</t>
        </is>
      </c>
      <c r="C37" s="13" t="inlineStr">
        <is>
          <t>Native Fish Species Richness</t>
        </is>
      </c>
      <c r="D37" s="14" t="inlineStr"/>
      <c r="E37" s="15" t="n"/>
      <c r="F37" s="16" t="inlineStr"/>
      <c r="G37" s="17">
        <f>IF('Metrics'!$V$30="","",'Metrics'!$V$30)</f>
        <v/>
      </c>
      <c r="H37" s="18">
        <f>IF('Results'!$B$16="","",'Results'!$B$16)</f>
        <v/>
      </c>
      <c r="I37" s="19">
        <f>IF('DEEP Score'!$H$37="","",IF('DEEP Score'!$H$37&lt;=5,"Non-Functioning",IF('DEEP Score'!$H$37&lt;=10,"Functioning At-Risk","Functioning")))</f>
        <v/>
      </c>
    </row>
    <row r="39">
      <c r="A39" s="54" t="inlineStr">
        <is>
          <t>Summary</t>
        </is>
      </c>
    </row>
    <row r="40">
      <c r="A40" s="10" t="inlineStr">
        <is>
          <t>Outcome</t>
        </is>
      </c>
      <c r="B40" s="10" t="inlineStr">
        <is>
          <t>Sub-index (0 to 1)</t>
        </is>
      </c>
      <c r="C40" s="10" t="inlineStr">
        <is>
          <t>Condition</t>
        </is>
      </c>
    </row>
    <row r="41">
      <c r="A41" s="55" t="inlineStr">
        <is>
          <t>Physical</t>
        </is>
      </c>
      <c r="B41" s="56">
        <f>'Results'!$B$19</f>
        <v/>
      </c>
      <c r="C41" s="34">
        <f>IF('DEEP Score'!$B$41&lt;=0.39,"Non-Functioning",IF('DEEP Score'!$B$41&lt;=0.69,"Functioning At-Risk","Functioning"))</f>
        <v/>
      </c>
    </row>
    <row r="42">
      <c r="A42" s="55" t="inlineStr">
        <is>
          <t>Chemical</t>
        </is>
      </c>
      <c r="B42" s="56">
        <f>'Results'!$B$20</f>
        <v/>
      </c>
      <c r="C42" s="34">
        <f>IF('DEEP Score'!$B$42&lt;=0.39,"Non-Functioning",IF('DEEP Score'!$B$42&lt;=0.69,"Functioning At-Risk","Functioning"))</f>
        <v/>
      </c>
    </row>
    <row r="43">
      <c r="A43" s="55" t="inlineStr">
        <is>
          <t>Biological</t>
        </is>
      </c>
      <c r="B43" s="56">
        <f>'Results'!$B$21</f>
        <v/>
      </c>
      <c r="C43" s="34">
        <f>IF('DEEP Score'!$B$43&lt;=0.39,"Non-Functioning",IF('DEEP Score'!$B$43&lt;=0.69,"Functioning At-Risk","Functioning"))</f>
        <v/>
      </c>
    </row>
    <row r="44" ht="30" customHeight="1">
      <c r="A44" s="57" t="inlineStr">
        <is>
          <t>Ecosystem Condition Index</t>
        </is>
      </c>
      <c r="B44" s="58">
        <f>'Results'!$B$22</f>
        <v/>
      </c>
      <c r="C44" s="34">
        <f>IF('DEEP Score'!$B$44&lt;=0.39,"Non-Functioning",IF('DEEP Score'!$B$44&lt;=0.69,"Functioning At-Risk","Functioning"))</f>
        <v/>
      </c>
    </row>
    <row r="45">
      <c r="A45" s="5" t="inlineStr">
        <is>
          <t>This index is computed over the 13 functions this assessment scores. 7 of the 20 STAF functions are not assessed, so it is not comparable with a full-framework index and no condition class is claimed for the assessment as a whole.</t>
        </is>
      </c>
    </row>
    <row r="46">
      <c r="A46" s="5" t="inlineStr">
        <is>
          <t xml:space="preserve">Functions with a score: </t>
        </is>
      </c>
      <c r="B46" s="5">
        <f>COUNT('Results'!$B$4:$B$16)&amp;" of 13"</f>
        <v/>
      </c>
    </row>
    <row r="47">
      <c r="A47" s="5" t="inlineStr">
        <is>
          <t>This assessment covers 13 of 20 STAF functions (7 documented exclusions).</t>
        </is>
      </c>
    </row>
    <row r="49">
      <c r="A49" s="6" t="inlineStr">
        <is>
          <t>Notes</t>
        </is>
      </c>
    </row>
    <row r="50">
      <c r="A50" s="59" t="n"/>
      <c r="B50" s="60" t="n"/>
      <c r="C50" s="60" t="n"/>
      <c r="D50" s="60" t="n"/>
      <c r="E50" s="60" t="n"/>
      <c r="F50" s="60" t="n"/>
      <c r="G50" s="60" t="n"/>
      <c r="H50" s="60" t="n"/>
      <c r="I50" s="61" t="n"/>
    </row>
    <row r="51">
      <c r="A51" s="62" t="n"/>
      <c r="B51" s="63" t="n"/>
      <c r="C51" s="63" t="n"/>
      <c r="D51" s="63" t="n"/>
      <c r="E51" s="63" t="n"/>
      <c r="F51" s="63" t="n"/>
      <c r="G51" s="63" t="n"/>
      <c r="H51" s="63" t="n"/>
      <c r="I51" s="64" t="n"/>
    </row>
    <row r="52">
      <c r="A52" s="62" t="n"/>
      <c r="B52" s="63" t="n"/>
      <c r="C52" s="63" t="n"/>
      <c r="D52" s="63" t="n"/>
      <c r="E52" s="63" t="n"/>
      <c r="F52" s="63" t="n"/>
      <c r="G52" s="63" t="n"/>
      <c r="H52" s="63" t="n"/>
      <c r="I52" s="64" t="n"/>
    </row>
    <row r="53">
      <c r="A53" s="62" t="n"/>
      <c r="B53" s="63" t="n"/>
      <c r="C53" s="63" t="n"/>
      <c r="D53" s="63" t="n"/>
      <c r="E53" s="63" t="n"/>
      <c r="F53" s="63" t="n"/>
      <c r="G53" s="63" t="n"/>
      <c r="H53" s="63" t="n"/>
      <c r="I53" s="64" t="n"/>
    </row>
    <row r="54">
      <c r="A54" s="62" t="n"/>
      <c r="B54" s="63" t="n"/>
      <c r="C54" s="63" t="n"/>
      <c r="D54" s="63" t="n"/>
      <c r="E54" s="63" t="n"/>
      <c r="F54" s="63" t="n"/>
      <c r="G54" s="63" t="n"/>
      <c r="H54" s="63" t="n"/>
      <c r="I54" s="64" t="n"/>
    </row>
    <row r="55">
      <c r="A55" s="65" t="n"/>
      <c r="B55" s="66" t="n"/>
      <c r="C55" s="66" t="n"/>
      <c r="D55" s="66" t="n"/>
      <c r="E55" s="66" t="n"/>
      <c r="F55" s="66" t="n"/>
      <c r="G55" s="66" t="n"/>
      <c r="H55" s="66" t="n"/>
      <c r="I55" s="67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mergeCells count="24">
    <mergeCell ref="B8:D8"/>
    <mergeCell ref="I24:I28"/>
    <mergeCell ref="I17:I21"/>
    <mergeCell ref="A17:A21"/>
    <mergeCell ref="B30:B34"/>
    <mergeCell ref="B24:B28"/>
    <mergeCell ref="B9:D9"/>
    <mergeCell ref="H24:H28"/>
    <mergeCell ref="A4:I4"/>
    <mergeCell ref="B6:D6"/>
    <mergeCell ref="H30:H34"/>
    <mergeCell ref="B5:D5"/>
    <mergeCell ref="A30:A34"/>
    <mergeCell ref="I30:I34"/>
    <mergeCell ref="A24:A28"/>
    <mergeCell ref="B7:D7"/>
    <mergeCell ref="I35:I36"/>
    <mergeCell ref="A35:A36"/>
    <mergeCell ref="A50:I55"/>
    <mergeCell ref="A45:C45"/>
    <mergeCell ref="B17:B21"/>
    <mergeCell ref="H17:H21"/>
    <mergeCell ref="B35:B36"/>
    <mergeCell ref="H35:H36"/>
  </mergeCells>
  <conditionalFormatting sqref="G12:G37">
    <cfRule type="expression" priority="1" dxfId="0">
      <formula>AND(ISNUMBER(G12),G12&lt;=0.39)</formula>
    </cfRule>
    <cfRule type="expression" priority="2" dxfId="1">
      <formula>AND(ISNUMBER(G12),G12&gt;0.39,G12&lt;=0.69)</formula>
    </cfRule>
    <cfRule type="expression" priority="3" dxfId="2">
      <formula>AND(ISNUMBER(G12),G12&gt;0.69)</formula>
    </cfRule>
  </conditionalFormatting>
  <conditionalFormatting sqref="H12:H37">
    <cfRule type="expression" priority="4" dxfId="0">
      <formula>AND(ISNUMBER(H12),H12&lt;=5)</formula>
    </cfRule>
    <cfRule type="expression" priority="5" dxfId="1">
      <formula>AND(ISNUMBER(H12),H12&gt;5,H12&lt;=10)</formula>
    </cfRule>
    <cfRule type="expression" priority="6" dxfId="2">
      <formula>AND(ISNUMBER(H12),H12&gt;10)</formula>
    </cfRule>
  </conditionalFormatting>
  <conditionalFormatting sqref="I12:I37">
    <cfRule type="expression" priority="7" dxfId="0">
      <formula>I12="Non-Functioning"</formula>
    </cfRule>
    <cfRule type="expression" priority="8" dxfId="1">
      <formula>I12="Functioning At-Risk"</formula>
    </cfRule>
    <cfRule type="expression" priority="9" dxfId="2">
      <formula>I12="Functioning"</formula>
    </cfRule>
  </conditionalFormatting>
  <dataValidations count="12">
    <dataValidation sqref="F15" showDropDown="0" showInputMessage="0" showErrorMessage="1" allowBlank="1" errorTitle="Curve set" error="Choose a curve set from the list." type="list">
      <formula1>=strata_low_flow_and_baseflow_dynamics_average_depth</formula1>
    </dataValidation>
    <dataValidation sqref="F16" showDropDown="0" showInputMessage="0" showErrorMessage="1" allowBlank="1" errorTitle="Curve set" error="Choose a curve set from the list." type="list">
      <formula1>=strata_floodplain_connectivity_entrenchment_ratio_er</formula1>
    </dataValidation>
    <dataValidation sqref="F17" showDropDown="0" showInputMessage="0" showErrorMessage="1" allowBlank="1" errorTitle="Curve set" error="Choose a curve set from the list." type="list">
      <formula1>=strata_channel_and_floodplain_dynamics_bank_height_ratio_bhr</formula1>
    </dataValidation>
    <dataValidation sqref="F20" showDropDown="0" showInputMessage="0" showErrorMessage="1" allowBlank="1" errorTitle="Curve set" error="Choose a curve set from the list." type="list">
      <formula1>=strata_channel_and_floodplain_dynamics_percent_side_channels</formula1>
    </dataValidation>
    <dataValidation sqref="F23" showDropDown="0" showInputMessage="0" showErrorMessage="1" allowBlank="1" errorTitle="Curve set" error="Choose a curve set from the list." type="list">
      <formula1>=strata_light_and_thermal_regime_mwat</formula1>
    </dataValidation>
    <dataValidation sqref="F24" showDropDown="0" showInputMessage="0" showErrorMessage="1" allowBlank="1" errorTitle="Curve set" error="Choose a curve set from the list." type="list">
      <formula1>=strata_carbon_processing_chlorophyll</formula1>
    </dataValidation>
    <dataValidation sqref="F27" showDropDown="0" showInputMessage="0" showErrorMessage="1" allowBlank="1" errorTitle="Curve set" error="Choose a curve set from the list." type="list">
      <formula1>=strata_carbon_processing_riparian_extent</formula1>
    </dataValidation>
    <dataValidation sqref="F28" showDropDown="0" showInputMessage="0" showErrorMessage="1" allowBlank="1" errorTitle="Curve set" error="Choose a curve set from the list." type="list">
      <formula1>=strata_carbon_processing_woody_vegetation_cover</formula1>
    </dataValidation>
    <dataValidation sqref="F32" showDropDown="0" showInputMessage="0" showErrorMessage="1" allowBlank="1" errorTitle="Curve set" error="Choose a curve set from the list." type="list">
      <formula1>=strata_habitat_provision_percent_riffle</formula1>
    </dataValidation>
    <dataValidation sqref="F34" showDropDown="0" showInputMessage="0" showErrorMessage="1" allowBlank="1" errorTitle="Curve set" error="Choose a curve set from the list." type="list">
      <formula1>=strata_habitat_provision_pool_spacing_ratio</formula1>
    </dataValidation>
    <dataValidation sqref="F35" showDropDown="0" showInputMessage="0" showErrorMessage="1" allowBlank="1" errorTitle="Curve set" error="Choose a curve set from the list." type="list">
      <formula1>=strata_population_support_co_mmi</formula1>
    </dataValidation>
    <dataValidation sqref="F36" showDropDown="0" showInputMessage="0" showErrorMessage="1" allowBlank="1" errorTitle="Curve set" error="Choose a curve set from the list." type="list">
      <formula1>=strata_population_support_wild_trout_biomass</formula1>
    </dataValidation>
  </dataValidations>
  <pageMargins left="0.75" right="0.75" top="1" bottom="1" header="0.5" footer="0.5"/>
  <headerFooter>
    <oddHeader>&amp;C&amp;"Calibri,Bold"&amp;KB45309Assessment status: Preliminary._x000a_Reviewed and approved as Preliminary.</oddHeader>
    <oddFooter/>
    <evenHeader/>
    <evenFooter/>
    <firstHeader/>
    <firstFooter/>
  </headerFooter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00B45309"/>
    <outlinePr summaryBelow="1" summaryRight="1"/>
    <pageSetUpPr/>
  </sheetPr>
  <dimension ref="A1:V30"/>
  <sheetViews>
    <sheetView tabSelected="0" workbookViewId="0">
      <selection activeCell="A1" sqref="A1"/>
    </sheetView>
  </sheetViews>
  <sheetFormatPr baseColWidth="8" defaultRowHeight="15"/>
  <cols>
    <col width="38" customWidth="1" min="1" max="1"/>
    <col width="34" customWidth="1" min="3" max="3"/>
    <col width="50" customWidth="1" min="4" max="4"/>
  </cols>
  <sheetData>
    <row r="1">
      <c r="A1" s="68" t="inlineStr">
        <is>
          <t>Metric indices</t>
        </is>
      </c>
    </row>
    <row r="2">
      <c r="A2" s="5" t="inlineStr">
        <is>
          <t>One row per metric. The value and the curve set come from the DEEP Score sheet, the knots from the Reference sheet, and the index is DEEP's piecewise-linear interpolation.</t>
        </is>
      </c>
    </row>
    <row r="3" ht="21" customHeight="1">
      <c r="A3" s="3" t="inlineStr">
        <is>
          <t>Assessment status: Preliminary. Reviewed and approved as Preliminary.</t>
        </is>
      </c>
    </row>
    <row r="4">
      <c r="A4" s="6" t="inlineStr">
        <is>
          <t>Metric</t>
        </is>
      </c>
      <c r="B4" s="6" t="inlineStr">
        <is>
          <t>Value</t>
        </is>
      </c>
      <c r="C4" s="6" t="inlineStr">
        <is>
          <t>Curve set in use</t>
        </is>
      </c>
      <c r="D4" s="6" t="inlineStr">
        <is>
          <t>Curve key</t>
        </is>
      </c>
      <c r="E4" s="6" t="inlineStr">
        <is>
          <t>Curve row</t>
        </is>
      </c>
      <c r="F4" s="6" t="inlineStr">
        <is>
          <t>x1</t>
        </is>
      </c>
      <c r="G4" s="6" t="inlineStr">
        <is>
          <t>x2</t>
        </is>
      </c>
      <c r="H4" s="6" t="inlineStr">
        <is>
          <t>x3</t>
        </is>
      </c>
      <c r="I4" s="6" t="inlineStr">
        <is>
          <t>x4</t>
        </is>
      </c>
      <c r="J4" s="6" t="inlineStr">
        <is>
          <t>x5</t>
        </is>
      </c>
      <c r="K4" s="6" t="inlineStr">
        <is>
          <t>x6</t>
        </is>
      </c>
      <c r="L4" s="6" t="inlineStr">
        <is>
          <t>x7</t>
        </is>
      </c>
      <c r="M4" s="6" t="inlineStr">
        <is>
          <t>x8</t>
        </is>
      </c>
      <c r="N4" s="6" t="inlineStr">
        <is>
          <t>y1</t>
        </is>
      </c>
      <c r="O4" s="6" t="inlineStr">
        <is>
          <t>y2</t>
        </is>
      </c>
      <c r="P4" s="6" t="inlineStr">
        <is>
          <t>y3</t>
        </is>
      </c>
      <c r="Q4" s="6" t="inlineStr">
        <is>
          <t>y4</t>
        </is>
      </c>
      <c r="R4" s="6" t="inlineStr">
        <is>
          <t>y5</t>
        </is>
      </c>
      <c r="S4" s="6" t="inlineStr">
        <is>
          <t>y6</t>
        </is>
      </c>
      <c r="T4" s="6" t="inlineStr">
        <is>
          <t>y7</t>
        </is>
      </c>
      <c r="U4" s="6" t="inlineStr">
        <is>
          <t>y8</t>
        </is>
      </c>
      <c r="V4" s="6" t="inlineStr">
        <is>
          <t>Index</t>
        </is>
      </c>
    </row>
    <row r="5">
      <c r="A5" s="32" t="inlineStr">
        <is>
          <t>Land Use Coefficient</t>
        </is>
      </c>
      <c r="B5" s="69">
        <f>IF('DEEP Score'!$E$12="","",'DEEP Score'!$E$12)</f>
        <v/>
      </c>
      <c r="C5" s="69">
        <f>""</f>
        <v/>
      </c>
      <c r="D5" s="69">
        <f>"catchment_hydrology_land_use_coefficient|"&amp;'Metrics'!$C$5</f>
        <v/>
      </c>
      <c r="E5" s="69">
        <f>IFERROR(MATCH('Metrics'!$D$5,curve_key,0),MATCH("catchment_hydrology_land_use_coefficient|",curve_key,0))</f>
        <v/>
      </c>
      <c r="F5" s="69">
        <f>INDEX(curve_x1,'Metrics'!$E$5)</f>
        <v/>
      </c>
      <c r="G5" s="69">
        <f>INDEX(curve_x2,'Metrics'!$E$5)</f>
        <v/>
      </c>
      <c r="H5" s="69">
        <f>INDEX(curve_x3,'Metrics'!$E$5)</f>
        <v/>
      </c>
      <c r="I5" s="69">
        <f>INDEX(curve_x4,'Metrics'!$E$5)</f>
        <v/>
      </c>
      <c r="J5" s="69">
        <f>INDEX(curve_x5,'Metrics'!$E$5)</f>
        <v/>
      </c>
      <c r="K5" s="69">
        <f>INDEX(curve_x6,'Metrics'!$E$5)</f>
        <v/>
      </c>
      <c r="L5" s="69">
        <f>INDEX(curve_x7,'Metrics'!$E$5)</f>
        <v/>
      </c>
      <c r="M5" s="69">
        <f>INDEX(curve_x8,'Metrics'!$E$5)</f>
        <v/>
      </c>
      <c r="N5" s="69">
        <f>INDEX(curve_y1,'Metrics'!$E$5)</f>
        <v/>
      </c>
      <c r="O5" s="69">
        <f>INDEX(curve_y2,'Metrics'!$E$5)</f>
        <v/>
      </c>
      <c r="P5" s="69">
        <f>INDEX(curve_y3,'Metrics'!$E$5)</f>
        <v/>
      </c>
      <c r="Q5" s="69">
        <f>INDEX(curve_y4,'Metrics'!$E$5)</f>
        <v/>
      </c>
      <c r="R5" s="69">
        <f>INDEX(curve_y5,'Metrics'!$E$5)</f>
        <v/>
      </c>
      <c r="S5" s="69">
        <f>INDEX(curve_y6,'Metrics'!$E$5)</f>
        <v/>
      </c>
      <c r="T5" s="69">
        <f>INDEX(curve_y7,'Metrics'!$E$5)</f>
        <v/>
      </c>
      <c r="U5" s="69">
        <f>INDEX(curve_y8,'Metrics'!$E$5)</f>
        <v/>
      </c>
      <c r="V5" s="70">
        <f>IF(ISNUMBER('Metrics'!$B$5),MAX(0,MIN(1,IF('Metrics'!$B$5&lt;='Metrics'!$F$5,'Metrics'!$N$5,IF('Metrics'!$B$5&gt;='Metrics'!$M$5,'Metrics'!$U$5,IF('Metrics'!$B$5&lt;='Metrics'!$G$5,IF('Metrics'!$G$5-'Metrics'!$F$5&lt;=0,'Metrics'!$O$5,'Metrics'!$N$5+('Metrics'!$B$5-'Metrics'!$F$5)/('Metrics'!$G$5-'Metrics'!$F$5)*('Metrics'!$O$5-'Metrics'!$N$5)),IF('Metrics'!$B$5&lt;='Metrics'!$H$5,IF('Metrics'!$H$5-'Metrics'!$G$5&lt;=0,'Metrics'!$P$5,'Metrics'!$O$5+('Metrics'!$B$5-'Metrics'!$G$5)/('Metrics'!$H$5-'Metrics'!$G$5)*('Metrics'!$P$5-'Metrics'!$O$5)),IF('Metrics'!$B$5&lt;='Metrics'!$I$5,IF('Metrics'!$I$5-'Metrics'!$H$5&lt;=0,'Metrics'!$Q$5,'Metrics'!$P$5+('Metrics'!$B$5-'Metrics'!$H$5)/('Metrics'!$I$5-'Metrics'!$H$5)*('Metrics'!$Q$5-'Metrics'!$P$5)),IF('Metrics'!$B$5&lt;='Metrics'!$J$5,IF('Metrics'!$J$5-'Metrics'!$I$5&lt;=0,'Metrics'!$R$5,'Metrics'!$Q$5+('Metrics'!$B$5-'Metrics'!$I$5)/('Metrics'!$J$5-'Metrics'!$I$5)*('Metrics'!$R$5-'Metrics'!$Q$5)),IF('Metrics'!$B$5&lt;='Metrics'!$K$5,IF('Metrics'!$K$5-'Metrics'!$J$5&lt;=0,'Metrics'!$S$5,'Metrics'!$R$5+('Metrics'!$B$5-'Metrics'!$J$5)/('Metrics'!$K$5-'Metrics'!$J$5)*('Metrics'!$S$5-'Metrics'!$R$5)),IF('Metrics'!$B$5&lt;='Metrics'!$L$5,IF('Metrics'!$L$5-'Metrics'!$K$5&lt;=0,'Metrics'!$T$5,'Metrics'!$S$5+('Metrics'!$B$5-'Metrics'!$K$5)/('Metrics'!$L$5-'Metrics'!$K$5)*('Metrics'!$T$5-'Metrics'!$S$5)),IF('Metrics'!$M$5-'Metrics'!$L$5&lt;=0,'Metrics'!$U$5,'Metrics'!$T$5+('Metrics'!$B$5-'Metrics'!$L$5)/('Metrics'!$M$5-'Metrics'!$L$5)*('Metrics'!$U$5-'Metrics'!$T$5)))))))))))),"")</f>
        <v/>
      </c>
    </row>
    <row r="6">
      <c r="A6" s="32" t="inlineStr">
        <is>
          <t>Concentrated Flow Points</t>
        </is>
      </c>
      <c r="B6" s="69">
        <f>IF('DEEP Score'!$E$13="","",'DEEP Score'!$E$13)</f>
        <v/>
      </c>
      <c r="C6" s="69">
        <f>""</f>
        <v/>
      </c>
      <c r="D6" s="69">
        <f>"reach_inflow_concentrated_flow_points|"&amp;'Metrics'!$C$6</f>
        <v/>
      </c>
      <c r="E6" s="69">
        <f>IFERROR(MATCH('Metrics'!$D$6,curve_key,0),MATCH("reach_inflow_concentrated_flow_points|",curve_key,0))</f>
        <v/>
      </c>
      <c r="F6" s="69">
        <f>INDEX(curve_x1,'Metrics'!$E$6)</f>
        <v/>
      </c>
      <c r="G6" s="69">
        <f>INDEX(curve_x2,'Metrics'!$E$6)</f>
        <v/>
      </c>
      <c r="H6" s="69">
        <f>INDEX(curve_x3,'Metrics'!$E$6)</f>
        <v/>
      </c>
      <c r="I6" s="69">
        <f>INDEX(curve_x4,'Metrics'!$E$6)</f>
        <v/>
      </c>
      <c r="J6" s="69">
        <f>INDEX(curve_x5,'Metrics'!$E$6)</f>
        <v/>
      </c>
      <c r="K6" s="69">
        <f>INDEX(curve_x6,'Metrics'!$E$6)</f>
        <v/>
      </c>
      <c r="L6" s="69">
        <f>INDEX(curve_x7,'Metrics'!$E$6)</f>
        <v/>
      </c>
      <c r="M6" s="69">
        <f>INDEX(curve_x8,'Metrics'!$E$6)</f>
        <v/>
      </c>
      <c r="N6" s="69">
        <f>INDEX(curve_y1,'Metrics'!$E$6)</f>
        <v/>
      </c>
      <c r="O6" s="69">
        <f>INDEX(curve_y2,'Metrics'!$E$6)</f>
        <v/>
      </c>
      <c r="P6" s="69">
        <f>INDEX(curve_y3,'Metrics'!$E$6)</f>
        <v/>
      </c>
      <c r="Q6" s="69">
        <f>INDEX(curve_y4,'Metrics'!$E$6)</f>
        <v/>
      </c>
      <c r="R6" s="69">
        <f>INDEX(curve_y5,'Metrics'!$E$6)</f>
        <v/>
      </c>
      <c r="S6" s="69">
        <f>INDEX(curve_y6,'Metrics'!$E$6)</f>
        <v/>
      </c>
      <c r="T6" s="69">
        <f>INDEX(curve_y7,'Metrics'!$E$6)</f>
        <v/>
      </c>
      <c r="U6" s="69">
        <f>INDEX(curve_y8,'Metrics'!$E$6)</f>
        <v/>
      </c>
      <c r="V6" s="70">
        <f>IF(ISNUMBER('Metrics'!$B$6),MAX(0,MIN(1,IF('Metrics'!$B$6&lt;='Metrics'!$F$6,'Metrics'!$N$6,IF('Metrics'!$B$6&gt;='Metrics'!$M$6,'Metrics'!$U$6,IF('Metrics'!$B$6&lt;='Metrics'!$G$6,IF('Metrics'!$G$6-'Metrics'!$F$6&lt;=0,'Metrics'!$O$6,'Metrics'!$N$6+('Metrics'!$B$6-'Metrics'!$F$6)/('Metrics'!$G$6-'Metrics'!$F$6)*('Metrics'!$O$6-'Metrics'!$N$6)),IF('Metrics'!$B$6&lt;='Metrics'!$H$6,IF('Metrics'!$H$6-'Metrics'!$G$6&lt;=0,'Metrics'!$P$6,'Metrics'!$O$6+('Metrics'!$B$6-'Metrics'!$G$6)/('Metrics'!$H$6-'Metrics'!$G$6)*('Metrics'!$P$6-'Metrics'!$O$6)),IF('Metrics'!$B$6&lt;='Metrics'!$I$6,IF('Metrics'!$I$6-'Metrics'!$H$6&lt;=0,'Metrics'!$Q$6,'Metrics'!$P$6+('Metrics'!$B$6-'Metrics'!$H$6)/('Metrics'!$I$6-'Metrics'!$H$6)*('Metrics'!$Q$6-'Metrics'!$P$6)),IF('Metrics'!$B$6&lt;='Metrics'!$J$6,IF('Metrics'!$J$6-'Metrics'!$I$6&lt;=0,'Metrics'!$R$6,'Metrics'!$Q$6+('Metrics'!$B$6-'Metrics'!$I$6)/('Metrics'!$J$6-'Metrics'!$I$6)*('Metrics'!$R$6-'Metrics'!$Q$6)),IF('Metrics'!$B$6&lt;='Metrics'!$K$6,IF('Metrics'!$K$6-'Metrics'!$J$6&lt;=0,'Metrics'!$S$6,'Metrics'!$R$6+('Metrics'!$B$6-'Metrics'!$J$6)/('Metrics'!$K$6-'Metrics'!$J$6)*('Metrics'!$S$6-'Metrics'!$R$6)),IF('Metrics'!$B$6&lt;='Metrics'!$L$6,IF('Metrics'!$L$6-'Metrics'!$K$6&lt;=0,'Metrics'!$T$6,'Metrics'!$S$6+('Metrics'!$B$6-'Metrics'!$K$6)/('Metrics'!$L$6-'Metrics'!$K$6)*('Metrics'!$T$6-'Metrics'!$S$6)),IF('Metrics'!$M$6-'Metrics'!$L$6&lt;=0,'Metrics'!$U$6,'Metrics'!$T$6+('Metrics'!$B$6-'Metrics'!$L$6)/('Metrics'!$M$6-'Metrics'!$L$6)*('Metrics'!$U$6-'Metrics'!$T$6)))))))))))),"")</f>
        <v/>
      </c>
    </row>
    <row r="7">
      <c r="A7" s="32" t="inlineStr">
        <is>
          <t>Flow Alteration Module</t>
        </is>
      </c>
      <c r="B7" s="69">
        <f>IF('DEEP Score'!$E$14="","",'DEEP Score'!$E$14)</f>
        <v/>
      </c>
      <c r="C7" s="69">
        <f>""</f>
        <v/>
      </c>
      <c r="D7" s="69">
        <f>"streamflow_regime_flow_alteration_module|"&amp;'Metrics'!$C$7</f>
        <v/>
      </c>
      <c r="E7" s="69">
        <f>IFERROR(MATCH('Metrics'!$D$7,curve_key,0),MATCH("streamflow_regime_flow_alteration_module|",curve_key,0))</f>
        <v/>
      </c>
      <c r="F7" s="69">
        <f>INDEX(curve_x1,'Metrics'!$E$7)</f>
        <v/>
      </c>
      <c r="G7" s="69">
        <f>INDEX(curve_x2,'Metrics'!$E$7)</f>
        <v/>
      </c>
      <c r="H7" s="69">
        <f>INDEX(curve_x3,'Metrics'!$E$7)</f>
        <v/>
      </c>
      <c r="I7" s="69">
        <f>INDEX(curve_x4,'Metrics'!$E$7)</f>
        <v/>
      </c>
      <c r="J7" s="69">
        <f>INDEX(curve_x5,'Metrics'!$E$7)</f>
        <v/>
      </c>
      <c r="K7" s="69">
        <f>INDEX(curve_x6,'Metrics'!$E$7)</f>
        <v/>
      </c>
      <c r="L7" s="69">
        <f>INDEX(curve_x7,'Metrics'!$E$7)</f>
        <v/>
      </c>
      <c r="M7" s="69">
        <f>INDEX(curve_x8,'Metrics'!$E$7)</f>
        <v/>
      </c>
      <c r="N7" s="69">
        <f>INDEX(curve_y1,'Metrics'!$E$7)</f>
        <v/>
      </c>
      <c r="O7" s="69">
        <f>INDEX(curve_y2,'Metrics'!$E$7)</f>
        <v/>
      </c>
      <c r="P7" s="69">
        <f>INDEX(curve_y3,'Metrics'!$E$7)</f>
        <v/>
      </c>
      <c r="Q7" s="69">
        <f>INDEX(curve_y4,'Metrics'!$E$7)</f>
        <v/>
      </c>
      <c r="R7" s="69">
        <f>INDEX(curve_y5,'Metrics'!$E$7)</f>
        <v/>
      </c>
      <c r="S7" s="69">
        <f>INDEX(curve_y6,'Metrics'!$E$7)</f>
        <v/>
      </c>
      <c r="T7" s="69">
        <f>INDEX(curve_y7,'Metrics'!$E$7)</f>
        <v/>
      </c>
      <c r="U7" s="69">
        <f>INDEX(curve_y8,'Metrics'!$E$7)</f>
        <v/>
      </c>
      <c r="V7" s="70">
        <f>IF(ISNUMBER('Metrics'!$B$7),MAX(0,MIN(1,IF('Metrics'!$B$7&lt;='Metrics'!$F$7,'Metrics'!$N$7,IF('Metrics'!$B$7&gt;='Metrics'!$M$7,'Metrics'!$U$7,IF('Metrics'!$B$7&lt;='Metrics'!$G$7,IF('Metrics'!$G$7-'Metrics'!$F$7&lt;=0,'Metrics'!$O$7,'Metrics'!$N$7+('Metrics'!$B$7-'Metrics'!$F$7)/('Metrics'!$G$7-'Metrics'!$F$7)*('Metrics'!$O$7-'Metrics'!$N$7)),IF('Metrics'!$B$7&lt;='Metrics'!$H$7,IF('Metrics'!$H$7-'Metrics'!$G$7&lt;=0,'Metrics'!$P$7,'Metrics'!$O$7+('Metrics'!$B$7-'Metrics'!$G$7)/('Metrics'!$H$7-'Metrics'!$G$7)*('Metrics'!$P$7-'Metrics'!$O$7)),IF('Metrics'!$B$7&lt;='Metrics'!$I$7,IF('Metrics'!$I$7-'Metrics'!$H$7&lt;=0,'Metrics'!$Q$7,'Metrics'!$P$7+('Metrics'!$B$7-'Metrics'!$H$7)/('Metrics'!$I$7-'Metrics'!$H$7)*('Metrics'!$Q$7-'Metrics'!$P$7)),IF('Metrics'!$B$7&lt;='Metrics'!$J$7,IF('Metrics'!$J$7-'Metrics'!$I$7&lt;=0,'Metrics'!$R$7,'Metrics'!$Q$7+('Metrics'!$B$7-'Metrics'!$I$7)/('Metrics'!$J$7-'Metrics'!$I$7)*('Metrics'!$R$7-'Metrics'!$Q$7)),IF('Metrics'!$B$7&lt;='Metrics'!$K$7,IF('Metrics'!$K$7-'Metrics'!$J$7&lt;=0,'Metrics'!$S$7,'Metrics'!$R$7+('Metrics'!$B$7-'Metrics'!$J$7)/('Metrics'!$K$7-'Metrics'!$J$7)*('Metrics'!$S$7-'Metrics'!$R$7)),IF('Metrics'!$B$7&lt;='Metrics'!$L$7,IF('Metrics'!$L$7-'Metrics'!$K$7&lt;=0,'Metrics'!$T$7,'Metrics'!$S$7+('Metrics'!$B$7-'Metrics'!$K$7)/('Metrics'!$L$7-'Metrics'!$K$7)*('Metrics'!$T$7-'Metrics'!$S$7)),IF('Metrics'!$M$7-'Metrics'!$L$7&lt;=0,'Metrics'!$U$7,'Metrics'!$T$7+('Metrics'!$B$7-'Metrics'!$L$7)/('Metrics'!$M$7-'Metrics'!$L$7)*('Metrics'!$U$7-'Metrics'!$T$7)))))))))))),"")</f>
        <v/>
      </c>
    </row>
    <row r="8">
      <c r="A8" s="32" t="inlineStr">
        <is>
          <t>Average Depth</t>
        </is>
      </c>
      <c r="B8" s="69">
        <f>IF('DEEP Score'!$E$15="","",'DEEP Score'!$E$15)</f>
        <v/>
      </c>
      <c r="C8" s="69">
        <f>IF('DEEP Score'!$F$15="","CS-I &amp; CS-I MWF; W &lt; 20ft",'DEEP Score'!$F$15)</f>
        <v/>
      </c>
      <c r="D8" s="69">
        <f>"low_flow_and_baseflow_dynamics_average_depth|"&amp;'Metrics'!$C$8</f>
        <v/>
      </c>
      <c r="E8" s="69">
        <f>IFERROR(MATCH('Metrics'!$D$8,curve_key,0),MATCH("low_flow_and_baseflow_dynamics_average_depth|CS-I &amp; CS-I MWF; W &lt; 20ft",curve_key,0))</f>
        <v/>
      </c>
      <c r="F8" s="69">
        <f>INDEX(curve_x1,'Metrics'!$E$8)</f>
        <v/>
      </c>
      <c r="G8" s="69">
        <f>INDEX(curve_x2,'Metrics'!$E$8)</f>
        <v/>
      </c>
      <c r="H8" s="69">
        <f>INDEX(curve_x3,'Metrics'!$E$8)</f>
        <v/>
      </c>
      <c r="I8" s="69">
        <f>INDEX(curve_x4,'Metrics'!$E$8)</f>
        <v/>
      </c>
      <c r="J8" s="69">
        <f>INDEX(curve_x5,'Metrics'!$E$8)</f>
        <v/>
      </c>
      <c r="K8" s="69">
        <f>INDEX(curve_x6,'Metrics'!$E$8)</f>
        <v/>
      </c>
      <c r="L8" s="69">
        <f>INDEX(curve_x7,'Metrics'!$E$8)</f>
        <v/>
      </c>
      <c r="M8" s="69">
        <f>INDEX(curve_x8,'Metrics'!$E$8)</f>
        <v/>
      </c>
      <c r="N8" s="69">
        <f>INDEX(curve_y1,'Metrics'!$E$8)</f>
        <v/>
      </c>
      <c r="O8" s="69">
        <f>INDEX(curve_y2,'Metrics'!$E$8)</f>
        <v/>
      </c>
      <c r="P8" s="69">
        <f>INDEX(curve_y3,'Metrics'!$E$8)</f>
        <v/>
      </c>
      <c r="Q8" s="69">
        <f>INDEX(curve_y4,'Metrics'!$E$8)</f>
        <v/>
      </c>
      <c r="R8" s="69">
        <f>INDEX(curve_y5,'Metrics'!$E$8)</f>
        <v/>
      </c>
      <c r="S8" s="69">
        <f>INDEX(curve_y6,'Metrics'!$E$8)</f>
        <v/>
      </c>
      <c r="T8" s="69">
        <f>INDEX(curve_y7,'Metrics'!$E$8)</f>
        <v/>
      </c>
      <c r="U8" s="69">
        <f>INDEX(curve_y8,'Metrics'!$E$8)</f>
        <v/>
      </c>
      <c r="V8" s="70">
        <f>IF(ISNUMBER('Metrics'!$B$8),MAX(0,MIN(1,IF('Metrics'!$B$8&lt;='Metrics'!$F$8,'Metrics'!$N$8,IF('Metrics'!$B$8&gt;='Metrics'!$M$8,'Metrics'!$U$8,IF('Metrics'!$B$8&lt;='Metrics'!$G$8,IF('Metrics'!$G$8-'Metrics'!$F$8&lt;=0,'Metrics'!$O$8,'Metrics'!$N$8+('Metrics'!$B$8-'Metrics'!$F$8)/('Metrics'!$G$8-'Metrics'!$F$8)*('Metrics'!$O$8-'Metrics'!$N$8)),IF('Metrics'!$B$8&lt;='Metrics'!$H$8,IF('Metrics'!$H$8-'Metrics'!$G$8&lt;=0,'Metrics'!$P$8,'Metrics'!$O$8+('Metrics'!$B$8-'Metrics'!$G$8)/('Metrics'!$H$8-'Metrics'!$G$8)*('Metrics'!$P$8-'Metrics'!$O$8)),IF('Metrics'!$B$8&lt;='Metrics'!$I$8,IF('Metrics'!$I$8-'Metrics'!$H$8&lt;=0,'Metrics'!$Q$8,'Metrics'!$P$8+('Metrics'!$B$8-'Metrics'!$H$8)/('Metrics'!$I$8-'Metrics'!$H$8)*('Metrics'!$Q$8-'Metrics'!$P$8)),IF('Metrics'!$B$8&lt;='Metrics'!$J$8,IF('Metrics'!$J$8-'Metrics'!$I$8&lt;=0,'Metrics'!$R$8,'Metrics'!$Q$8+('Metrics'!$B$8-'Metrics'!$I$8)/('Metrics'!$J$8-'Metrics'!$I$8)*('Metrics'!$R$8-'Metrics'!$Q$8)),IF('Metrics'!$B$8&lt;='Metrics'!$K$8,IF('Metrics'!$K$8-'Metrics'!$J$8&lt;=0,'Metrics'!$S$8,'Metrics'!$R$8+('Metrics'!$B$8-'Metrics'!$J$8)/('Metrics'!$K$8-'Metrics'!$J$8)*('Metrics'!$S$8-'Metrics'!$R$8)),IF('Metrics'!$B$8&lt;='Metrics'!$L$8,IF('Metrics'!$L$8-'Metrics'!$K$8&lt;=0,'Metrics'!$T$8,'Metrics'!$S$8+('Metrics'!$B$8-'Metrics'!$K$8)/('Metrics'!$L$8-'Metrics'!$K$8)*('Metrics'!$T$8-'Metrics'!$S$8)),IF('Metrics'!$M$8-'Metrics'!$L$8&lt;=0,'Metrics'!$U$8,'Metrics'!$T$8+('Metrics'!$B$8-'Metrics'!$L$8)/('Metrics'!$M$8-'Metrics'!$L$8)*('Metrics'!$U$8-'Metrics'!$T$8)))))))))))),"")</f>
        <v/>
      </c>
    </row>
    <row r="9">
      <c r="A9" s="32" t="inlineStr">
        <is>
          <t>Entrenchment Ratio (ER)</t>
        </is>
      </c>
      <c r="B9" s="69">
        <f>IF('DEEP Score'!$E$16="","",'DEEP Score'!$E$16)</f>
        <v/>
      </c>
      <c r="C9" s="69">
        <f>IF('DEEP Score'!$F$16="","C Streams",'DEEP Score'!$F$16)</f>
        <v/>
      </c>
      <c r="D9" s="69">
        <f>"floodplain_connectivity_entrenchment_ratio_er|"&amp;'Metrics'!$C$9</f>
        <v/>
      </c>
      <c r="E9" s="69">
        <f>IFERROR(MATCH('Metrics'!$D$9,curve_key,0),MATCH("floodplain_connectivity_entrenchment_ratio_er|C Streams",curve_key,0))</f>
        <v/>
      </c>
      <c r="F9" s="69">
        <f>INDEX(curve_x1,'Metrics'!$E$9)</f>
        <v/>
      </c>
      <c r="G9" s="69">
        <f>INDEX(curve_x2,'Metrics'!$E$9)</f>
        <v/>
      </c>
      <c r="H9" s="69">
        <f>INDEX(curve_x3,'Metrics'!$E$9)</f>
        <v/>
      </c>
      <c r="I9" s="69">
        <f>INDEX(curve_x4,'Metrics'!$E$9)</f>
        <v/>
      </c>
      <c r="J9" s="69">
        <f>INDEX(curve_x5,'Metrics'!$E$9)</f>
        <v/>
      </c>
      <c r="K9" s="69">
        <f>INDEX(curve_x6,'Metrics'!$E$9)</f>
        <v/>
      </c>
      <c r="L9" s="69">
        <f>INDEX(curve_x7,'Metrics'!$E$9)</f>
        <v/>
      </c>
      <c r="M9" s="69">
        <f>INDEX(curve_x8,'Metrics'!$E$9)</f>
        <v/>
      </c>
      <c r="N9" s="69">
        <f>INDEX(curve_y1,'Metrics'!$E$9)</f>
        <v/>
      </c>
      <c r="O9" s="69">
        <f>INDEX(curve_y2,'Metrics'!$E$9)</f>
        <v/>
      </c>
      <c r="P9" s="69">
        <f>INDEX(curve_y3,'Metrics'!$E$9)</f>
        <v/>
      </c>
      <c r="Q9" s="69">
        <f>INDEX(curve_y4,'Metrics'!$E$9)</f>
        <v/>
      </c>
      <c r="R9" s="69">
        <f>INDEX(curve_y5,'Metrics'!$E$9)</f>
        <v/>
      </c>
      <c r="S9" s="69">
        <f>INDEX(curve_y6,'Metrics'!$E$9)</f>
        <v/>
      </c>
      <c r="T9" s="69">
        <f>INDEX(curve_y7,'Metrics'!$E$9)</f>
        <v/>
      </c>
      <c r="U9" s="69">
        <f>INDEX(curve_y8,'Metrics'!$E$9)</f>
        <v/>
      </c>
      <c r="V9" s="70">
        <f>IF(ISNUMBER('Metrics'!$B$9),MAX(0,MIN(1,IF('Metrics'!$B$9&lt;='Metrics'!$F$9,'Metrics'!$N$9,IF('Metrics'!$B$9&gt;='Metrics'!$M$9,'Metrics'!$U$9,IF('Metrics'!$B$9&lt;='Metrics'!$G$9,IF('Metrics'!$G$9-'Metrics'!$F$9&lt;=0,'Metrics'!$O$9,'Metrics'!$N$9+('Metrics'!$B$9-'Metrics'!$F$9)/('Metrics'!$G$9-'Metrics'!$F$9)*('Metrics'!$O$9-'Metrics'!$N$9)),IF('Metrics'!$B$9&lt;='Metrics'!$H$9,IF('Metrics'!$H$9-'Metrics'!$G$9&lt;=0,'Metrics'!$P$9,'Metrics'!$O$9+('Metrics'!$B$9-'Metrics'!$G$9)/('Metrics'!$H$9-'Metrics'!$G$9)*('Metrics'!$P$9-'Metrics'!$O$9)),IF('Metrics'!$B$9&lt;='Metrics'!$I$9,IF('Metrics'!$I$9-'Metrics'!$H$9&lt;=0,'Metrics'!$Q$9,'Metrics'!$P$9+('Metrics'!$B$9-'Metrics'!$H$9)/('Metrics'!$I$9-'Metrics'!$H$9)*('Metrics'!$Q$9-'Metrics'!$P$9)),IF('Metrics'!$B$9&lt;='Metrics'!$J$9,IF('Metrics'!$J$9-'Metrics'!$I$9&lt;=0,'Metrics'!$R$9,'Metrics'!$Q$9+('Metrics'!$B$9-'Metrics'!$I$9)/('Metrics'!$J$9-'Metrics'!$I$9)*('Metrics'!$R$9-'Metrics'!$Q$9)),IF('Metrics'!$B$9&lt;='Metrics'!$K$9,IF('Metrics'!$K$9-'Metrics'!$J$9&lt;=0,'Metrics'!$S$9,'Metrics'!$R$9+('Metrics'!$B$9-'Metrics'!$J$9)/('Metrics'!$K$9-'Metrics'!$J$9)*('Metrics'!$S$9-'Metrics'!$R$9)),IF('Metrics'!$B$9&lt;='Metrics'!$L$9,IF('Metrics'!$L$9-'Metrics'!$K$9&lt;=0,'Metrics'!$T$9,'Metrics'!$S$9+('Metrics'!$B$9-'Metrics'!$K$9)/('Metrics'!$L$9-'Metrics'!$K$9)*('Metrics'!$T$9-'Metrics'!$S$9)),IF('Metrics'!$M$9-'Metrics'!$L$9&lt;=0,'Metrics'!$U$9,'Metrics'!$T$9+('Metrics'!$B$9-'Metrics'!$L$9)/('Metrics'!$M$9-'Metrics'!$L$9)*('Metrics'!$U$9-'Metrics'!$T$9)))))))))))),"")</f>
        <v/>
      </c>
    </row>
    <row r="10">
      <c r="A10" s="32" t="inlineStr">
        <is>
          <t>Bank Height Ratio (BHR)</t>
        </is>
      </c>
      <c r="B10" s="69">
        <f>IF('DEEP Score'!$E$17="","",'DEEP Score'!$E$17)</f>
        <v/>
      </c>
      <c r="C10" s="69">
        <f>IF('DEEP Score'!$F$17="","All Regimes",'DEEP Score'!$F$17)</f>
        <v/>
      </c>
      <c r="D10" s="69">
        <f>"channel_and_floodplain_dynamics_bank_height_ratio_bhr|"&amp;'Metrics'!$C$10</f>
        <v/>
      </c>
      <c r="E10" s="69">
        <f>IFERROR(MATCH('Metrics'!$D$10,curve_key,0),MATCH("channel_and_floodplain_dynamics_bank_height_ratio_bhr|All Regimes",curve_key,0))</f>
        <v/>
      </c>
      <c r="F10" s="69">
        <f>INDEX(curve_x1,'Metrics'!$E$10)</f>
        <v/>
      </c>
      <c r="G10" s="69">
        <f>INDEX(curve_x2,'Metrics'!$E$10)</f>
        <v/>
      </c>
      <c r="H10" s="69">
        <f>INDEX(curve_x3,'Metrics'!$E$10)</f>
        <v/>
      </c>
      <c r="I10" s="69">
        <f>INDEX(curve_x4,'Metrics'!$E$10)</f>
        <v/>
      </c>
      <c r="J10" s="69">
        <f>INDEX(curve_x5,'Metrics'!$E$10)</f>
        <v/>
      </c>
      <c r="K10" s="69">
        <f>INDEX(curve_x6,'Metrics'!$E$10)</f>
        <v/>
      </c>
      <c r="L10" s="69">
        <f>INDEX(curve_x7,'Metrics'!$E$10)</f>
        <v/>
      </c>
      <c r="M10" s="69">
        <f>INDEX(curve_x8,'Metrics'!$E$10)</f>
        <v/>
      </c>
      <c r="N10" s="69">
        <f>INDEX(curve_y1,'Metrics'!$E$10)</f>
        <v/>
      </c>
      <c r="O10" s="69">
        <f>INDEX(curve_y2,'Metrics'!$E$10)</f>
        <v/>
      </c>
      <c r="P10" s="69">
        <f>INDEX(curve_y3,'Metrics'!$E$10)</f>
        <v/>
      </c>
      <c r="Q10" s="69">
        <f>INDEX(curve_y4,'Metrics'!$E$10)</f>
        <v/>
      </c>
      <c r="R10" s="69">
        <f>INDEX(curve_y5,'Metrics'!$E$10)</f>
        <v/>
      </c>
      <c r="S10" s="69">
        <f>INDEX(curve_y6,'Metrics'!$E$10)</f>
        <v/>
      </c>
      <c r="T10" s="69">
        <f>INDEX(curve_y7,'Metrics'!$E$10)</f>
        <v/>
      </c>
      <c r="U10" s="69">
        <f>INDEX(curve_y8,'Metrics'!$E$10)</f>
        <v/>
      </c>
      <c r="V10" s="70">
        <f>IF(ISNUMBER('Metrics'!$B$10),MAX(0,MIN(1,IF('Metrics'!$B$10&lt;='Metrics'!$F$10,'Metrics'!$N$10,IF('Metrics'!$B$10&gt;='Metrics'!$M$10,'Metrics'!$U$10,IF('Metrics'!$B$10&lt;='Metrics'!$G$10,IF('Metrics'!$G$10-'Metrics'!$F$10&lt;=0,'Metrics'!$O$10,'Metrics'!$N$10+('Metrics'!$B$10-'Metrics'!$F$10)/('Metrics'!$G$10-'Metrics'!$F$10)*('Metrics'!$O$10-'Metrics'!$N$10)),IF('Metrics'!$B$10&lt;='Metrics'!$H$10,IF('Metrics'!$H$10-'Metrics'!$G$10&lt;=0,'Metrics'!$P$10,'Metrics'!$O$10+('Metrics'!$B$10-'Metrics'!$G$10)/('Metrics'!$H$10-'Metrics'!$G$10)*('Metrics'!$P$10-'Metrics'!$O$10)),IF('Metrics'!$B$10&lt;='Metrics'!$I$10,IF('Metrics'!$I$10-'Metrics'!$H$10&lt;=0,'Metrics'!$Q$10,'Metrics'!$P$10+('Metrics'!$B$10-'Metrics'!$H$10)/('Metrics'!$I$10-'Metrics'!$H$10)*('Metrics'!$Q$10-'Metrics'!$P$10)),IF('Metrics'!$B$10&lt;='Metrics'!$J$10,IF('Metrics'!$J$10-'Metrics'!$I$10&lt;=0,'Metrics'!$R$10,'Metrics'!$Q$10+('Metrics'!$B$10-'Metrics'!$I$10)/('Metrics'!$J$10-'Metrics'!$I$10)*('Metrics'!$R$10-'Metrics'!$Q$10)),IF('Metrics'!$B$10&lt;='Metrics'!$K$10,IF('Metrics'!$K$10-'Metrics'!$J$10&lt;=0,'Metrics'!$S$10,'Metrics'!$R$10+('Metrics'!$B$10-'Metrics'!$J$10)/('Metrics'!$K$10-'Metrics'!$J$10)*('Metrics'!$S$10-'Metrics'!$R$10)),IF('Metrics'!$B$10&lt;='Metrics'!$L$10,IF('Metrics'!$L$10-'Metrics'!$K$10&lt;=0,'Metrics'!$T$10,'Metrics'!$S$10+('Metrics'!$B$10-'Metrics'!$K$10)/('Metrics'!$L$10-'Metrics'!$K$10)*('Metrics'!$T$10-'Metrics'!$S$10)),IF('Metrics'!$M$10-'Metrics'!$L$10&lt;=0,'Metrics'!$U$10,'Metrics'!$T$10+('Metrics'!$B$10-'Metrics'!$L$10)/('Metrics'!$M$10-'Metrics'!$L$10)*('Metrics'!$U$10-'Metrics'!$T$10)))))))))))),"")</f>
        <v/>
      </c>
    </row>
    <row r="11">
      <c r="A11" s="32" t="inlineStr">
        <is>
          <t>Greenline Stability Rating</t>
        </is>
      </c>
      <c r="B11" s="69">
        <f>IF('DEEP Score'!$E$18="","",'DEEP Score'!$E$18)</f>
        <v/>
      </c>
      <c r="C11" s="69">
        <f>""</f>
        <v/>
      </c>
      <c r="D11" s="69">
        <f>"channel_and_floodplain_dynamics_greenline_stability_rating|"&amp;'Metrics'!$C$11</f>
        <v/>
      </c>
      <c r="E11" s="69">
        <f>IFERROR(MATCH('Metrics'!$D$11,curve_key,0),MATCH("channel_and_floodplain_dynamics_greenline_stability_rating|",curve_key,0))</f>
        <v/>
      </c>
      <c r="F11" s="69">
        <f>INDEX(curve_x1,'Metrics'!$E$11)</f>
        <v/>
      </c>
      <c r="G11" s="69">
        <f>INDEX(curve_x2,'Metrics'!$E$11)</f>
        <v/>
      </c>
      <c r="H11" s="69">
        <f>INDEX(curve_x3,'Metrics'!$E$11)</f>
        <v/>
      </c>
      <c r="I11" s="69">
        <f>INDEX(curve_x4,'Metrics'!$E$11)</f>
        <v/>
      </c>
      <c r="J11" s="69">
        <f>INDEX(curve_x5,'Metrics'!$E$11)</f>
        <v/>
      </c>
      <c r="K11" s="69">
        <f>INDEX(curve_x6,'Metrics'!$E$11)</f>
        <v/>
      </c>
      <c r="L11" s="69">
        <f>INDEX(curve_x7,'Metrics'!$E$11)</f>
        <v/>
      </c>
      <c r="M11" s="69">
        <f>INDEX(curve_x8,'Metrics'!$E$11)</f>
        <v/>
      </c>
      <c r="N11" s="69">
        <f>INDEX(curve_y1,'Metrics'!$E$11)</f>
        <v/>
      </c>
      <c r="O11" s="69">
        <f>INDEX(curve_y2,'Metrics'!$E$11)</f>
        <v/>
      </c>
      <c r="P11" s="69">
        <f>INDEX(curve_y3,'Metrics'!$E$11)</f>
        <v/>
      </c>
      <c r="Q11" s="69">
        <f>INDEX(curve_y4,'Metrics'!$E$11)</f>
        <v/>
      </c>
      <c r="R11" s="69">
        <f>INDEX(curve_y5,'Metrics'!$E$11)</f>
        <v/>
      </c>
      <c r="S11" s="69">
        <f>INDEX(curve_y6,'Metrics'!$E$11)</f>
        <v/>
      </c>
      <c r="T11" s="69">
        <f>INDEX(curve_y7,'Metrics'!$E$11)</f>
        <v/>
      </c>
      <c r="U11" s="69">
        <f>INDEX(curve_y8,'Metrics'!$E$11)</f>
        <v/>
      </c>
      <c r="V11" s="70">
        <f>IF(ISNUMBER('Metrics'!$B$11),MAX(0,MIN(1,IF('Metrics'!$B$11&lt;='Metrics'!$F$11,'Metrics'!$N$11,IF('Metrics'!$B$11&gt;='Metrics'!$M$11,'Metrics'!$U$11,IF('Metrics'!$B$11&lt;='Metrics'!$G$11,IF('Metrics'!$G$11-'Metrics'!$F$11&lt;=0,'Metrics'!$O$11,'Metrics'!$N$11+('Metrics'!$B$11-'Metrics'!$F$11)/('Metrics'!$G$11-'Metrics'!$F$11)*('Metrics'!$O$11-'Metrics'!$N$11)),IF('Metrics'!$B$11&lt;='Metrics'!$H$11,IF('Metrics'!$H$11-'Metrics'!$G$11&lt;=0,'Metrics'!$P$11,'Metrics'!$O$11+('Metrics'!$B$11-'Metrics'!$G$11)/('Metrics'!$H$11-'Metrics'!$G$11)*('Metrics'!$P$11-'Metrics'!$O$11)),IF('Metrics'!$B$11&lt;='Metrics'!$I$11,IF('Metrics'!$I$11-'Metrics'!$H$11&lt;=0,'Metrics'!$Q$11,'Metrics'!$P$11+('Metrics'!$B$11-'Metrics'!$H$11)/('Metrics'!$I$11-'Metrics'!$H$11)*('Metrics'!$Q$11-'Metrics'!$P$11)),IF('Metrics'!$B$11&lt;='Metrics'!$J$11,IF('Metrics'!$J$11-'Metrics'!$I$11&lt;=0,'Metrics'!$R$11,'Metrics'!$Q$11+('Metrics'!$B$11-'Metrics'!$I$11)/('Metrics'!$J$11-'Metrics'!$I$11)*('Metrics'!$R$11-'Metrics'!$Q$11)),IF('Metrics'!$B$11&lt;='Metrics'!$K$11,IF('Metrics'!$K$11-'Metrics'!$J$11&lt;=0,'Metrics'!$S$11,'Metrics'!$R$11+('Metrics'!$B$11-'Metrics'!$J$11)/('Metrics'!$K$11-'Metrics'!$J$11)*('Metrics'!$S$11-'Metrics'!$R$11)),IF('Metrics'!$B$11&lt;='Metrics'!$L$11,IF('Metrics'!$L$11-'Metrics'!$K$11&lt;=0,'Metrics'!$T$11,'Metrics'!$S$11+('Metrics'!$B$11-'Metrics'!$K$11)/('Metrics'!$L$11-'Metrics'!$K$11)*('Metrics'!$T$11-'Metrics'!$S$11)),IF('Metrics'!$M$11-'Metrics'!$L$11&lt;=0,'Metrics'!$U$11,'Metrics'!$T$11+('Metrics'!$B$11-'Metrics'!$L$11)/('Metrics'!$M$11-'Metrics'!$L$11)*('Metrics'!$U$11-'Metrics'!$T$11)))))))))))),"")</f>
        <v/>
      </c>
    </row>
    <row r="12">
      <c r="A12" s="32" t="inlineStr">
        <is>
          <t>Percent Armoring</t>
        </is>
      </c>
      <c r="B12" s="69">
        <f>IF('DEEP Score'!$E$19="","",'DEEP Score'!$E$19)</f>
        <v/>
      </c>
      <c r="C12" s="69">
        <f>""</f>
        <v/>
      </c>
      <c r="D12" s="69">
        <f>"channel_and_floodplain_dynamics_percent_armoring|"&amp;'Metrics'!$C$12</f>
        <v/>
      </c>
      <c r="E12" s="69">
        <f>IFERROR(MATCH('Metrics'!$D$12,curve_key,0),MATCH("channel_and_floodplain_dynamics_percent_armoring|",curve_key,0))</f>
        <v/>
      </c>
      <c r="F12" s="69">
        <f>INDEX(curve_x1,'Metrics'!$E$12)</f>
        <v/>
      </c>
      <c r="G12" s="69">
        <f>INDEX(curve_x2,'Metrics'!$E$12)</f>
        <v/>
      </c>
      <c r="H12" s="69">
        <f>INDEX(curve_x3,'Metrics'!$E$12)</f>
        <v/>
      </c>
      <c r="I12" s="69">
        <f>INDEX(curve_x4,'Metrics'!$E$12)</f>
        <v/>
      </c>
      <c r="J12" s="69">
        <f>INDEX(curve_x5,'Metrics'!$E$12)</f>
        <v/>
      </c>
      <c r="K12" s="69">
        <f>INDEX(curve_x6,'Metrics'!$E$12)</f>
        <v/>
      </c>
      <c r="L12" s="69">
        <f>INDEX(curve_x7,'Metrics'!$E$12)</f>
        <v/>
      </c>
      <c r="M12" s="69">
        <f>INDEX(curve_x8,'Metrics'!$E$12)</f>
        <v/>
      </c>
      <c r="N12" s="69">
        <f>INDEX(curve_y1,'Metrics'!$E$12)</f>
        <v/>
      </c>
      <c r="O12" s="69">
        <f>INDEX(curve_y2,'Metrics'!$E$12)</f>
        <v/>
      </c>
      <c r="P12" s="69">
        <f>INDEX(curve_y3,'Metrics'!$E$12)</f>
        <v/>
      </c>
      <c r="Q12" s="69">
        <f>INDEX(curve_y4,'Metrics'!$E$12)</f>
        <v/>
      </c>
      <c r="R12" s="69">
        <f>INDEX(curve_y5,'Metrics'!$E$12)</f>
        <v/>
      </c>
      <c r="S12" s="69">
        <f>INDEX(curve_y6,'Metrics'!$E$12)</f>
        <v/>
      </c>
      <c r="T12" s="69">
        <f>INDEX(curve_y7,'Metrics'!$E$12)</f>
        <v/>
      </c>
      <c r="U12" s="69">
        <f>INDEX(curve_y8,'Metrics'!$E$12)</f>
        <v/>
      </c>
      <c r="V12" s="70">
        <f>IF(ISNUMBER('Metrics'!$B$12),MAX(0,MIN(1,IF('Metrics'!$B$12&lt;='Metrics'!$F$12,'Metrics'!$N$12,IF('Metrics'!$B$12&gt;='Metrics'!$M$12,'Metrics'!$U$12,IF('Metrics'!$B$12&lt;='Metrics'!$G$12,IF('Metrics'!$G$12-'Metrics'!$F$12&lt;=0,'Metrics'!$O$12,'Metrics'!$N$12+('Metrics'!$B$12-'Metrics'!$F$12)/('Metrics'!$G$12-'Metrics'!$F$12)*('Metrics'!$O$12-'Metrics'!$N$12)),IF('Metrics'!$B$12&lt;='Metrics'!$H$12,IF('Metrics'!$H$12-'Metrics'!$G$12&lt;=0,'Metrics'!$P$12,'Metrics'!$O$12+('Metrics'!$B$12-'Metrics'!$G$12)/('Metrics'!$H$12-'Metrics'!$G$12)*('Metrics'!$P$12-'Metrics'!$O$12)),IF('Metrics'!$B$12&lt;='Metrics'!$I$12,IF('Metrics'!$I$12-'Metrics'!$H$12&lt;=0,'Metrics'!$Q$12,'Metrics'!$P$12+('Metrics'!$B$12-'Metrics'!$H$12)/('Metrics'!$I$12-'Metrics'!$H$12)*('Metrics'!$Q$12-'Metrics'!$P$12)),IF('Metrics'!$B$12&lt;='Metrics'!$J$12,IF('Metrics'!$J$12-'Metrics'!$I$12&lt;=0,'Metrics'!$R$12,'Metrics'!$Q$12+('Metrics'!$B$12-'Metrics'!$I$12)/('Metrics'!$J$12-'Metrics'!$I$12)*('Metrics'!$R$12-'Metrics'!$Q$12)),IF('Metrics'!$B$12&lt;='Metrics'!$K$12,IF('Metrics'!$K$12-'Metrics'!$J$12&lt;=0,'Metrics'!$S$12,'Metrics'!$R$12+('Metrics'!$B$12-'Metrics'!$J$12)/('Metrics'!$K$12-'Metrics'!$J$12)*('Metrics'!$S$12-'Metrics'!$R$12)),IF('Metrics'!$B$12&lt;='Metrics'!$L$12,IF('Metrics'!$L$12-'Metrics'!$K$12&lt;=0,'Metrics'!$T$12,'Metrics'!$S$12+('Metrics'!$B$12-'Metrics'!$K$12)/('Metrics'!$L$12-'Metrics'!$K$12)*('Metrics'!$T$12-'Metrics'!$S$12)),IF('Metrics'!$M$12-'Metrics'!$L$12&lt;=0,'Metrics'!$U$12,'Metrics'!$T$12+('Metrics'!$B$12-'Metrics'!$L$12)/('Metrics'!$M$12-'Metrics'!$L$12)*('Metrics'!$U$12-'Metrics'!$T$12)))))))))))),"")</f>
        <v/>
      </c>
    </row>
    <row r="13">
      <c r="A13" s="32" t="inlineStr">
        <is>
          <t>Percent Side Channels</t>
        </is>
      </c>
      <c r="B13" s="69">
        <f>IF('DEEP Score'!$E$20="","",'DEEP Score'!$E$20)</f>
        <v/>
      </c>
      <c r="C13" s="69">
        <f>IF('DEEP Score'!$F$20="","Unconfined Alluvial",'DEEP Score'!$F$20)</f>
        <v/>
      </c>
      <c r="D13" s="69">
        <f>"channel_and_floodplain_dynamics_percent_side_channels|"&amp;'Metrics'!$C$13</f>
        <v/>
      </c>
      <c r="E13" s="69">
        <f>IFERROR(MATCH('Metrics'!$D$13,curve_key,0),MATCH("channel_and_floodplain_dynamics_percent_side_channels|Unconfined Alluvial",curve_key,0))</f>
        <v/>
      </c>
      <c r="F13" s="69">
        <f>INDEX(curve_x1,'Metrics'!$E$13)</f>
        <v/>
      </c>
      <c r="G13" s="69">
        <f>INDEX(curve_x2,'Metrics'!$E$13)</f>
        <v/>
      </c>
      <c r="H13" s="69">
        <f>INDEX(curve_x3,'Metrics'!$E$13)</f>
        <v/>
      </c>
      <c r="I13" s="69">
        <f>INDEX(curve_x4,'Metrics'!$E$13)</f>
        <v/>
      </c>
      <c r="J13" s="69">
        <f>INDEX(curve_x5,'Metrics'!$E$13)</f>
        <v/>
      </c>
      <c r="K13" s="69">
        <f>INDEX(curve_x6,'Metrics'!$E$13)</f>
        <v/>
      </c>
      <c r="L13" s="69">
        <f>INDEX(curve_x7,'Metrics'!$E$13)</f>
        <v/>
      </c>
      <c r="M13" s="69">
        <f>INDEX(curve_x8,'Metrics'!$E$13)</f>
        <v/>
      </c>
      <c r="N13" s="69">
        <f>INDEX(curve_y1,'Metrics'!$E$13)</f>
        <v/>
      </c>
      <c r="O13" s="69">
        <f>INDEX(curve_y2,'Metrics'!$E$13)</f>
        <v/>
      </c>
      <c r="P13" s="69">
        <f>INDEX(curve_y3,'Metrics'!$E$13)</f>
        <v/>
      </c>
      <c r="Q13" s="69">
        <f>INDEX(curve_y4,'Metrics'!$E$13)</f>
        <v/>
      </c>
      <c r="R13" s="69">
        <f>INDEX(curve_y5,'Metrics'!$E$13)</f>
        <v/>
      </c>
      <c r="S13" s="69">
        <f>INDEX(curve_y6,'Metrics'!$E$13)</f>
        <v/>
      </c>
      <c r="T13" s="69">
        <f>INDEX(curve_y7,'Metrics'!$E$13)</f>
        <v/>
      </c>
      <c r="U13" s="69">
        <f>INDEX(curve_y8,'Metrics'!$E$13)</f>
        <v/>
      </c>
      <c r="V13" s="70">
        <f>IF(ISNUMBER('Metrics'!$B$13),MAX(0,MIN(1,IF('Metrics'!$B$13&lt;='Metrics'!$F$13,'Metrics'!$N$13,IF('Metrics'!$B$13&gt;='Metrics'!$M$13,'Metrics'!$U$13,IF('Metrics'!$B$13&lt;='Metrics'!$G$13,IF('Metrics'!$G$13-'Metrics'!$F$13&lt;=0,'Metrics'!$O$13,'Metrics'!$N$13+('Metrics'!$B$13-'Metrics'!$F$13)/('Metrics'!$G$13-'Metrics'!$F$13)*('Metrics'!$O$13-'Metrics'!$N$13)),IF('Metrics'!$B$13&lt;='Metrics'!$H$13,IF('Metrics'!$H$13-'Metrics'!$G$13&lt;=0,'Metrics'!$P$13,'Metrics'!$O$13+('Metrics'!$B$13-'Metrics'!$G$13)/('Metrics'!$H$13-'Metrics'!$G$13)*('Metrics'!$P$13-'Metrics'!$O$13)),IF('Metrics'!$B$13&lt;='Metrics'!$I$13,IF('Metrics'!$I$13-'Metrics'!$H$13&lt;=0,'Metrics'!$Q$13,'Metrics'!$P$13+('Metrics'!$B$13-'Metrics'!$H$13)/('Metrics'!$I$13-'Metrics'!$H$13)*('Metrics'!$Q$13-'Metrics'!$P$13)),IF('Metrics'!$B$13&lt;='Metrics'!$J$13,IF('Metrics'!$J$13-'Metrics'!$I$13&lt;=0,'Metrics'!$R$13,'Metrics'!$Q$13+('Metrics'!$B$13-'Metrics'!$I$13)/('Metrics'!$J$13-'Metrics'!$I$13)*('Metrics'!$R$13-'Metrics'!$Q$13)),IF('Metrics'!$B$13&lt;='Metrics'!$K$13,IF('Metrics'!$K$13-'Metrics'!$J$13&lt;=0,'Metrics'!$S$13,'Metrics'!$R$13+('Metrics'!$B$13-'Metrics'!$J$13)/('Metrics'!$K$13-'Metrics'!$J$13)*('Metrics'!$S$13-'Metrics'!$R$13)),IF('Metrics'!$B$13&lt;='Metrics'!$L$13,IF('Metrics'!$L$13-'Metrics'!$K$13&lt;=0,'Metrics'!$T$13,'Metrics'!$S$13+('Metrics'!$B$13-'Metrics'!$K$13)/('Metrics'!$L$13-'Metrics'!$K$13)*('Metrics'!$T$13-'Metrics'!$S$13)),IF('Metrics'!$M$13-'Metrics'!$L$13&lt;=0,'Metrics'!$U$13,'Metrics'!$T$13+('Metrics'!$B$13-'Metrics'!$L$13)/('Metrics'!$M$13-'Metrics'!$L$13)*('Metrics'!$U$13-'Metrics'!$T$13)))))))))))),"")</f>
        <v/>
      </c>
    </row>
    <row r="14">
      <c r="A14" s="32" t="inlineStr">
        <is>
          <t>Percent Streambank Erosion</t>
        </is>
      </c>
      <c r="B14" s="69">
        <f>IF('DEEP Score'!$E$21="","",'DEEP Score'!$E$21)</f>
        <v/>
      </c>
      <c r="C14" s="69">
        <f>""</f>
        <v/>
      </c>
      <c r="D14" s="69">
        <f>"channel_and_floodplain_dynamics_percent_streambank_erosion|"&amp;'Metrics'!$C$14</f>
        <v/>
      </c>
      <c r="E14" s="69">
        <f>IFERROR(MATCH('Metrics'!$D$14,curve_key,0),MATCH("channel_and_floodplain_dynamics_percent_streambank_erosion|",curve_key,0))</f>
        <v/>
      </c>
      <c r="F14" s="69">
        <f>INDEX(curve_x1,'Metrics'!$E$14)</f>
        <v/>
      </c>
      <c r="G14" s="69">
        <f>INDEX(curve_x2,'Metrics'!$E$14)</f>
        <v/>
      </c>
      <c r="H14" s="69">
        <f>INDEX(curve_x3,'Metrics'!$E$14)</f>
        <v/>
      </c>
      <c r="I14" s="69">
        <f>INDEX(curve_x4,'Metrics'!$E$14)</f>
        <v/>
      </c>
      <c r="J14" s="69">
        <f>INDEX(curve_x5,'Metrics'!$E$14)</f>
        <v/>
      </c>
      <c r="K14" s="69">
        <f>INDEX(curve_x6,'Metrics'!$E$14)</f>
        <v/>
      </c>
      <c r="L14" s="69">
        <f>INDEX(curve_x7,'Metrics'!$E$14)</f>
        <v/>
      </c>
      <c r="M14" s="69">
        <f>INDEX(curve_x8,'Metrics'!$E$14)</f>
        <v/>
      </c>
      <c r="N14" s="69">
        <f>INDEX(curve_y1,'Metrics'!$E$14)</f>
        <v/>
      </c>
      <c r="O14" s="69">
        <f>INDEX(curve_y2,'Metrics'!$E$14)</f>
        <v/>
      </c>
      <c r="P14" s="69">
        <f>INDEX(curve_y3,'Metrics'!$E$14)</f>
        <v/>
      </c>
      <c r="Q14" s="69">
        <f>INDEX(curve_y4,'Metrics'!$E$14)</f>
        <v/>
      </c>
      <c r="R14" s="69">
        <f>INDEX(curve_y5,'Metrics'!$E$14)</f>
        <v/>
      </c>
      <c r="S14" s="69">
        <f>INDEX(curve_y6,'Metrics'!$E$14)</f>
        <v/>
      </c>
      <c r="T14" s="69">
        <f>INDEX(curve_y7,'Metrics'!$E$14)</f>
        <v/>
      </c>
      <c r="U14" s="69">
        <f>INDEX(curve_y8,'Metrics'!$E$14)</f>
        <v/>
      </c>
      <c r="V14" s="70">
        <f>IF(ISNUMBER('Metrics'!$B$14),MAX(0,MIN(1,IF('Metrics'!$B$14&lt;='Metrics'!$F$14,'Metrics'!$N$14,IF('Metrics'!$B$14&gt;='Metrics'!$M$14,'Metrics'!$U$14,IF('Metrics'!$B$14&lt;='Metrics'!$G$14,IF('Metrics'!$G$14-'Metrics'!$F$14&lt;=0,'Metrics'!$O$14,'Metrics'!$N$14+('Metrics'!$B$14-'Metrics'!$F$14)/('Metrics'!$G$14-'Metrics'!$F$14)*('Metrics'!$O$14-'Metrics'!$N$14)),IF('Metrics'!$B$14&lt;='Metrics'!$H$14,IF('Metrics'!$H$14-'Metrics'!$G$14&lt;=0,'Metrics'!$P$14,'Metrics'!$O$14+('Metrics'!$B$14-'Metrics'!$G$14)/('Metrics'!$H$14-'Metrics'!$G$14)*('Metrics'!$P$14-'Metrics'!$O$14)),IF('Metrics'!$B$14&lt;='Metrics'!$I$14,IF('Metrics'!$I$14-'Metrics'!$H$14&lt;=0,'Metrics'!$Q$14,'Metrics'!$P$14+('Metrics'!$B$14-'Metrics'!$H$14)/('Metrics'!$I$14-'Metrics'!$H$14)*('Metrics'!$Q$14-'Metrics'!$P$14)),IF('Metrics'!$B$14&lt;='Metrics'!$J$14,IF('Metrics'!$J$14-'Metrics'!$I$14&lt;=0,'Metrics'!$R$14,'Metrics'!$Q$14+('Metrics'!$B$14-'Metrics'!$I$14)/('Metrics'!$J$14-'Metrics'!$I$14)*('Metrics'!$R$14-'Metrics'!$Q$14)),IF('Metrics'!$B$14&lt;='Metrics'!$K$14,IF('Metrics'!$K$14-'Metrics'!$J$14&lt;=0,'Metrics'!$S$14,'Metrics'!$R$14+('Metrics'!$B$14-'Metrics'!$J$14)/('Metrics'!$K$14-'Metrics'!$J$14)*('Metrics'!$S$14-'Metrics'!$R$14)),IF('Metrics'!$B$14&lt;='Metrics'!$L$14,IF('Metrics'!$L$14-'Metrics'!$K$14&lt;=0,'Metrics'!$T$14,'Metrics'!$S$14+('Metrics'!$B$14-'Metrics'!$K$14)/('Metrics'!$L$14-'Metrics'!$K$14)*('Metrics'!$T$14-'Metrics'!$S$14)),IF('Metrics'!$M$14-'Metrics'!$L$14&lt;=0,'Metrics'!$U$14,'Metrics'!$T$14+('Metrics'!$B$14-'Metrics'!$L$14)/('Metrics'!$M$14-'Metrics'!$L$14)*('Metrics'!$U$14-'Metrics'!$T$14)))))))))))),"")</f>
        <v/>
      </c>
    </row>
    <row r="15">
      <c r="A15" s="32" t="inlineStr">
        <is>
          <t>Aggradation Ratio</t>
        </is>
      </c>
      <c r="B15" s="69">
        <f>IF('DEEP Score'!$E$22="","",'DEEP Score'!$E$22)</f>
        <v/>
      </c>
      <c r="C15" s="69">
        <f>""</f>
        <v/>
      </c>
      <c r="D15" s="69">
        <f>"sediment_continuity_aggradation_ratio|"&amp;'Metrics'!$C$15</f>
        <v/>
      </c>
      <c r="E15" s="69">
        <f>IFERROR(MATCH('Metrics'!$D$15,curve_key,0),MATCH("sediment_continuity_aggradation_ratio|",curve_key,0))</f>
        <v/>
      </c>
      <c r="F15" s="69">
        <f>INDEX(curve_x1,'Metrics'!$E$15)</f>
        <v/>
      </c>
      <c r="G15" s="69">
        <f>INDEX(curve_x2,'Metrics'!$E$15)</f>
        <v/>
      </c>
      <c r="H15" s="69">
        <f>INDEX(curve_x3,'Metrics'!$E$15)</f>
        <v/>
      </c>
      <c r="I15" s="69">
        <f>INDEX(curve_x4,'Metrics'!$E$15)</f>
        <v/>
      </c>
      <c r="J15" s="69">
        <f>INDEX(curve_x5,'Metrics'!$E$15)</f>
        <v/>
      </c>
      <c r="K15" s="69">
        <f>INDEX(curve_x6,'Metrics'!$E$15)</f>
        <v/>
      </c>
      <c r="L15" s="69">
        <f>INDEX(curve_x7,'Metrics'!$E$15)</f>
        <v/>
      </c>
      <c r="M15" s="69">
        <f>INDEX(curve_x8,'Metrics'!$E$15)</f>
        <v/>
      </c>
      <c r="N15" s="69">
        <f>INDEX(curve_y1,'Metrics'!$E$15)</f>
        <v/>
      </c>
      <c r="O15" s="69">
        <f>INDEX(curve_y2,'Metrics'!$E$15)</f>
        <v/>
      </c>
      <c r="P15" s="69">
        <f>INDEX(curve_y3,'Metrics'!$E$15)</f>
        <v/>
      </c>
      <c r="Q15" s="69">
        <f>INDEX(curve_y4,'Metrics'!$E$15)</f>
        <v/>
      </c>
      <c r="R15" s="69">
        <f>INDEX(curve_y5,'Metrics'!$E$15)</f>
        <v/>
      </c>
      <c r="S15" s="69">
        <f>INDEX(curve_y6,'Metrics'!$E$15)</f>
        <v/>
      </c>
      <c r="T15" s="69">
        <f>INDEX(curve_y7,'Metrics'!$E$15)</f>
        <v/>
      </c>
      <c r="U15" s="69">
        <f>INDEX(curve_y8,'Metrics'!$E$15)</f>
        <v/>
      </c>
      <c r="V15" s="70">
        <f>IF(ISNUMBER('Metrics'!$B$15),MAX(0,MIN(1,IF('Metrics'!$B$15&lt;='Metrics'!$F$15,'Metrics'!$N$15,IF('Metrics'!$B$15&gt;='Metrics'!$M$15,'Metrics'!$U$15,IF('Metrics'!$B$15&lt;='Metrics'!$G$15,IF('Metrics'!$G$15-'Metrics'!$F$15&lt;=0,'Metrics'!$O$15,'Metrics'!$N$15+('Metrics'!$B$15-'Metrics'!$F$15)/('Metrics'!$G$15-'Metrics'!$F$15)*('Metrics'!$O$15-'Metrics'!$N$15)),IF('Metrics'!$B$15&lt;='Metrics'!$H$15,IF('Metrics'!$H$15-'Metrics'!$G$15&lt;=0,'Metrics'!$P$15,'Metrics'!$O$15+('Metrics'!$B$15-'Metrics'!$G$15)/('Metrics'!$H$15-'Metrics'!$G$15)*('Metrics'!$P$15-'Metrics'!$O$15)),IF('Metrics'!$B$15&lt;='Metrics'!$I$15,IF('Metrics'!$I$15-'Metrics'!$H$15&lt;=0,'Metrics'!$Q$15,'Metrics'!$P$15+('Metrics'!$B$15-'Metrics'!$H$15)/('Metrics'!$I$15-'Metrics'!$H$15)*('Metrics'!$Q$15-'Metrics'!$P$15)),IF('Metrics'!$B$15&lt;='Metrics'!$J$15,IF('Metrics'!$J$15-'Metrics'!$I$15&lt;=0,'Metrics'!$R$15,'Metrics'!$Q$15+('Metrics'!$B$15-'Metrics'!$I$15)/('Metrics'!$J$15-'Metrics'!$I$15)*('Metrics'!$R$15-'Metrics'!$Q$15)),IF('Metrics'!$B$15&lt;='Metrics'!$K$15,IF('Metrics'!$K$15-'Metrics'!$J$15&lt;=0,'Metrics'!$S$15,'Metrics'!$R$15+('Metrics'!$B$15-'Metrics'!$J$15)/('Metrics'!$K$15-'Metrics'!$J$15)*('Metrics'!$S$15-'Metrics'!$R$15)),IF('Metrics'!$B$15&lt;='Metrics'!$L$15,IF('Metrics'!$L$15-'Metrics'!$K$15&lt;=0,'Metrics'!$T$15,'Metrics'!$S$15+('Metrics'!$B$15-'Metrics'!$K$15)/('Metrics'!$L$15-'Metrics'!$K$15)*('Metrics'!$T$15-'Metrics'!$S$15)),IF('Metrics'!$M$15-'Metrics'!$L$15&lt;=0,'Metrics'!$U$15,'Metrics'!$T$15+('Metrics'!$B$15-'Metrics'!$L$15)/('Metrics'!$M$15-'Metrics'!$L$15)*('Metrics'!$U$15-'Metrics'!$T$15)))))))))))),"")</f>
        <v/>
      </c>
    </row>
    <row r="16">
      <c r="A16" s="32" t="inlineStr">
        <is>
          <t>MWAT</t>
        </is>
      </c>
      <c r="B16" s="69">
        <f>IF('DEEP Score'!$E$23="","",'DEEP Score'!$E$23)</f>
        <v/>
      </c>
      <c r="C16" s="69">
        <f>IF('DEEP Score'!$F$23="","CS-I (MWF)",'DEEP Score'!$F$23)</f>
        <v/>
      </c>
      <c r="D16" s="69">
        <f>"light_and_thermal_regime_mwat|"&amp;'Metrics'!$C$16</f>
        <v/>
      </c>
      <c r="E16" s="69">
        <f>IFERROR(MATCH('Metrics'!$D$16,curve_key,0),MATCH("light_and_thermal_regime_mwat|CS-I (MWF)",curve_key,0))</f>
        <v/>
      </c>
      <c r="F16" s="69">
        <f>INDEX(curve_x1,'Metrics'!$E$16)</f>
        <v/>
      </c>
      <c r="G16" s="69">
        <f>INDEX(curve_x2,'Metrics'!$E$16)</f>
        <v/>
      </c>
      <c r="H16" s="69">
        <f>INDEX(curve_x3,'Metrics'!$E$16)</f>
        <v/>
      </c>
      <c r="I16" s="69">
        <f>INDEX(curve_x4,'Metrics'!$E$16)</f>
        <v/>
      </c>
      <c r="J16" s="69">
        <f>INDEX(curve_x5,'Metrics'!$E$16)</f>
        <v/>
      </c>
      <c r="K16" s="69">
        <f>INDEX(curve_x6,'Metrics'!$E$16)</f>
        <v/>
      </c>
      <c r="L16" s="69">
        <f>INDEX(curve_x7,'Metrics'!$E$16)</f>
        <v/>
      </c>
      <c r="M16" s="69">
        <f>INDEX(curve_x8,'Metrics'!$E$16)</f>
        <v/>
      </c>
      <c r="N16" s="69">
        <f>INDEX(curve_y1,'Metrics'!$E$16)</f>
        <v/>
      </c>
      <c r="O16" s="69">
        <f>INDEX(curve_y2,'Metrics'!$E$16)</f>
        <v/>
      </c>
      <c r="P16" s="69">
        <f>INDEX(curve_y3,'Metrics'!$E$16)</f>
        <v/>
      </c>
      <c r="Q16" s="69">
        <f>INDEX(curve_y4,'Metrics'!$E$16)</f>
        <v/>
      </c>
      <c r="R16" s="69">
        <f>INDEX(curve_y5,'Metrics'!$E$16)</f>
        <v/>
      </c>
      <c r="S16" s="69">
        <f>INDEX(curve_y6,'Metrics'!$E$16)</f>
        <v/>
      </c>
      <c r="T16" s="69">
        <f>INDEX(curve_y7,'Metrics'!$E$16)</f>
        <v/>
      </c>
      <c r="U16" s="69">
        <f>INDEX(curve_y8,'Metrics'!$E$16)</f>
        <v/>
      </c>
      <c r="V16" s="70">
        <f>IF(ISNUMBER('Metrics'!$B$16),MAX(0,MIN(1,IF('Metrics'!$B$16&lt;='Metrics'!$F$16,'Metrics'!$N$16,IF('Metrics'!$B$16&gt;='Metrics'!$M$16,'Metrics'!$U$16,IF('Metrics'!$B$16&lt;='Metrics'!$G$16,IF('Metrics'!$G$16-'Metrics'!$F$16&lt;=0,'Metrics'!$O$16,'Metrics'!$N$16+('Metrics'!$B$16-'Metrics'!$F$16)/('Metrics'!$G$16-'Metrics'!$F$16)*('Metrics'!$O$16-'Metrics'!$N$16)),IF('Metrics'!$B$16&lt;='Metrics'!$H$16,IF('Metrics'!$H$16-'Metrics'!$G$16&lt;=0,'Metrics'!$P$16,'Metrics'!$O$16+('Metrics'!$B$16-'Metrics'!$G$16)/('Metrics'!$H$16-'Metrics'!$G$16)*('Metrics'!$P$16-'Metrics'!$O$16)),IF('Metrics'!$B$16&lt;='Metrics'!$I$16,IF('Metrics'!$I$16-'Metrics'!$H$16&lt;=0,'Metrics'!$Q$16,'Metrics'!$P$16+('Metrics'!$B$16-'Metrics'!$H$16)/('Metrics'!$I$16-'Metrics'!$H$16)*('Metrics'!$Q$16-'Metrics'!$P$16)),IF('Metrics'!$B$16&lt;='Metrics'!$J$16,IF('Metrics'!$J$16-'Metrics'!$I$16&lt;=0,'Metrics'!$R$16,'Metrics'!$Q$16+('Metrics'!$B$16-'Metrics'!$I$16)/('Metrics'!$J$16-'Metrics'!$I$16)*('Metrics'!$R$16-'Metrics'!$Q$16)),IF('Metrics'!$B$16&lt;='Metrics'!$K$16,IF('Metrics'!$K$16-'Metrics'!$J$16&lt;=0,'Metrics'!$S$16,'Metrics'!$R$16+('Metrics'!$B$16-'Metrics'!$J$16)/('Metrics'!$K$16-'Metrics'!$J$16)*('Metrics'!$S$16-'Metrics'!$R$16)),IF('Metrics'!$B$16&lt;='Metrics'!$L$16,IF('Metrics'!$L$16-'Metrics'!$K$16&lt;=0,'Metrics'!$T$16,'Metrics'!$S$16+('Metrics'!$B$16-'Metrics'!$K$16)/('Metrics'!$L$16-'Metrics'!$K$16)*('Metrics'!$T$16-'Metrics'!$S$16)),IF('Metrics'!$M$16-'Metrics'!$L$16&lt;=0,'Metrics'!$U$16,'Metrics'!$T$16+('Metrics'!$B$16-'Metrics'!$L$16)/('Metrics'!$M$16-'Metrics'!$L$16)*('Metrics'!$U$16-'Metrics'!$T$16)))))))))))),"")</f>
        <v/>
      </c>
    </row>
    <row r="17">
      <c r="A17" s="32" t="inlineStr">
        <is>
          <t>Chlorophyll ?</t>
        </is>
      </c>
      <c r="B17" s="69">
        <f>IF('DEEP Score'!$E$24="","",'DEEP Score'!$E$24)</f>
        <v/>
      </c>
      <c r="C17" s="69">
        <f>IF('DEEP Score'!$F$24="","Biotypes 1 and 2",'DEEP Score'!$F$24)</f>
        <v/>
      </c>
      <c r="D17" s="69">
        <f>"carbon_processing_chlorophyll|"&amp;'Metrics'!$C$17</f>
        <v/>
      </c>
      <c r="E17" s="69">
        <f>IFERROR(MATCH('Metrics'!$D$17,curve_key,0),MATCH("carbon_processing_chlorophyll|Biotypes 1 and 2",curve_key,0))</f>
        <v/>
      </c>
      <c r="F17" s="69">
        <f>INDEX(curve_x1,'Metrics'!$E$17)</f>
        <v/>
      </c>
      <c r="G17" s="69">
        <f>INDEX(curve_x2,'Metrics'!$E$17)</f>
        <v/>
      </c>
      <c r="H17" s="69">
        <f>INDEX(curve_x3,'Metrics'!$E$17)</f>
        <v/>
      </c>
      <c r="I17" s="69">
        <f>INDEX(curve_x4,'Metrics'!$E$17)</f>
        <v/>
      </c>
      <c r="J17" s="69">
        <f>INDEX(curve_x5,'Metrics'!$E$17)</f>
        <v/>
      </c>
      <c r="K17" s="69">
        <f>INDEX(curve_x6,'Metrics'!$E$17)</f>
        <v/>
      </c>
      <c r="L17" s="69">
        <f>INDEX(curve_x7,'Metrics'!$E$17)</f>
        <v/>
      </c>
      <c r="M17" s="69">
        <f>INDEX(curve_x8,'Metrics'!$E$17)</f>
        <v/>
      </c>
      <c r="N17" s="69">
        <f>INDEX(curve_y1,'Metrics'!$E$17)</f>
        <v/>
      </c>
      <c r="O17" s="69">
        <f>INDEX(curve_y2,'Metrics'!$E$17)</f>
        <v/>
      </c>
      <c r="P17" s="69">
        <f>INDEX(curve_y3,'Metrics'!$E$17)</f>
        <v/>
      </c>
      <c r="Q17" s="69">
        <f>INDEX(curve_y4,'Metrics'!$E$17)</f>
        <v/>
      </c>
      <c r="R17" s="69">
        <f>INDEX(curve_y5,'Metrics'!$E$17)</f>
        <v/>
      </c>
      <c r="S17" s="69">
        <f>INDEX(curve_y6,'Metrics'!$E$17)</f>
        <v/>
      </c>
      <c r="T17" s="69">
        <f>INDEX(curve_y7,'Metrics'!$E$17)</f>
        <v/>
      </c>
      <c r="U17" s="69">
        <f>INDEX(curve_y8,'Metrics'!$E$17)</f>
        <v/>
      </c>
      <c r="V17" s="70">
        <f>IF(ISNUMBER('Metrics'!$B$17),MAX(0,MIN(1,IF('Metrics'!$B$17&lt;='Metrics'!$F$17,'Metrics'!$N$17,IF('Metrics'!$B$17&gt;='Metrics'!$M$17,'Metrics'!$U$17,IF('Metrics'!$B$17&lt;='Metrics'!$G$17,IF('Metrics'!$G$17-'Metrics'!$F$17&lt;=0,'Metrics'!$O$17,'Metrics'!$N$17+('Metrics'!$B$17-'Metrics'!$F$17)/('Metrics'!$G$17-'Metrics'!$F$17)*('Metrics'!$O$17-'Metrics'!$N$17)),IF('Metrics'!$B$17&lt;='Metrics'!$H$17,IF('Metrics'!$H$17-'Metrics'!$G$17&lt;=0,'Metrics'!$P$17,'Metrics'!$O$17+('Metrics'!$B$17-'Metrics'!$G$17)/('Metrics'!$H$17-'Metrics'!$G$17)*('Metrics'!$P$17-'Metrics'!$O$17)),IF('Metrics'!$B$17&lt;='Metrics'!$I$17,IF('Metrics'!$I$17-'Metrics'!$H$17&lt;=0,'Metrics'!$Q$17,'Metrics'!$P$17+('Metrics'!$B$17-'Metrics'!$H$17)/('Metrics'!$I$17-'Metrics'!$H$17)*('Metrics'!$Q$17-'Metrics'!$P$17)),IF('Metrics'!$B$17&lt;='Metrics'!$J$17,IF('Metrics'!$J$17-'Metrics'!$I$17&lt;=0,'Metrics'!$R$17,'Metrics'!$Q$17+('Metrics'!$B$17-'Metrics'!$I$17)/('Metrics'!$J$17-'Metrics'!$I$17)*('Metrics'!$R$17-'Metrics'!$Q$17)),IF('Metrics'!$B$17&lt;='Metrics'!$K$17,IF('Metrics'!$K$17-'Metrics'!$J$17&lt;=0,'Metrics'!$S$17,'Metrics'!$R$17+('Metrics'!$B$17-'Metrics'!$J$17)/('Metrics'!$K$17-'Metrics'!$J$17)*('Metrics'!$S$17-'Metrics'!$R$17)),IF('Metrics'!$B$17&lt;='Metrics'!$L$17,IF('Metrics'!$L$17-'Metrics'!$K$17&lt;=0,'Metrics'!$T$17,'Metrics'!$S$17+('Metrics'!$B$17-'Metrics'!$K$17)/('Metrics'!$L$17-'Metrics'!$K$17)*('Metrics'!$T$17-'Metrics'!$S$17)),IF('Metrics'!$M$17-'Metrics'!$L$17&lt;=0,'Metrics'!$U$17,'Metrics'!$T$17+('Metrics'!$B$17-'Metrics'!$L$17)/('Metrics'!$M$17-'Metrics'!$L$17)*('Metrics'!$U$17-'Metrics'!$T$17)))))))))))),"")</f>
        <v/>
      </c>
    </row>
    <row r="18">
      <c r="A18" s="32" t="inlineStr">
        <is>
          <t>Herbaceous Vegetation Cover</t>
        </is>
      </c>
      <c r="B18" s="69">
        <f>IF('DEEP Score'!$E$25="","",'DEEP Score'!$E$25)</f>
        <v/>
      </c>
      <c r="C18" s="69">
        <f>""</f>
        <v/>
      </c>
      <c r="D18" s="69">
        <f>"carbon_processing_herbaceous_vegetation_cover|"&amp;'Metrics'!$C$18</f>
        <v/>
      </c>
      <c r="E18" s="69">
        <f>IFERROR(MATCH('Metrics'!$D$18,curve_key,0),MATCH("carbon_processing_herbaceous_vegetation_cover|",curve_key,0))</f>
        <v/>
      </c>
      <c r="F18" s="69">
        <f>INDEX(curve_x1,'Metrics'!$E$18)</f>
        <v/>
      </c>
      <c r="G18" s="69">
        <f>INDEX(curve_x2,'Metrics'!$E$18)</f>
        <v/>
      </c>
      <c r="H18" s="69">
        <f>INDEX(curve_x3,'Metrics'!$E$18)</f>
        <v/>
      </c>
      <c r="I18" s="69">
        <f>INDEX(curve_x4,'Metrics'!$E$18)</f>
        <v/>
      </c>
      <c r="J18" s="69">
        <f>INDEX(curve_x5,'Metrics'!$E$18)</f>
        <v/>
      </c>
      <c r="K18" s="69">
        <f>INDEX(curve_x6,'Metrics'!$E$18)</f>
        <v/>
      </c>
      <c r="L18" s="69">
        <f>INDEX(curve_x7,'Metrics'!$E$18)</f>
        <v/>
      </c>
      <c r="M18" s="69">
        <f>INDEX(curve_x8,'Metrics'!$E$18)</f>
        <v/>
      </c>
      <c r="N18" s="69">
        <f>INDEX(curve_y1,'Metrics'!$E$18)</f>
        <v/>
      </c>
      <c r="O18" s="69">
        <f>INDEX(curve_y2,'Metrics'!$E$18)</f>
        <v/>
      </c>
      <c r="P18" s="69">
        <f>INDEX(curve_y3,'Metrics'!$E$18)</f>
        <v/>
      </c>
      <c r="Q18" s="69">
        <f>INDEX(curve_y4,'Metrics'!$E$18)</f>
        <v/>
      </c>
      <c r="R18" s="69">
        <f>INDEX(curve_y5,'Metrics'!$E$18)</f>
        <v/>
      </c>
      <c r="S18" s="69">
        <f>INDEX(curve_y6,'Metrics'!$E$18)</f>
        <v/>
      </c>
      <c r="T18" s="69">
        <f>INDEX(curve_y7,'Metrics'!$E$18)</f>
        <v/>
      </c>
      <c r="U18" s="69">
        <f>INDEX(curve_y8,'Metrics'!$E$18)</f>
        <v/>
      </c>
      <c r="V18" s="70">
        <f>IF(ISNUMBER('Metrics'!$B$18),MAX(0,MIN(1,IF('Metrics'!$B$18&lt;='Metrics'!$F$18,'Metrics'!$N$18,IF('Metrics'!$B$18&gt;='Metrics'!$M$18,'Metrics'!$U$18,IF('Metrics'!$B$18&lt;='Metrics'!$G$18,IF('Metrics'!$G$18-'Metrics'!$F$18&lt;=0,'Metrics'!$O$18,'Metrics'!$N$18+('Metrics'!$B$18-'Metrics'!$F$18)/('Metrics'!$G$18-'Metrics'!$F$18)*('Metrics'!$O$18-'Metrics'!$N$18)),IF('Metrics'!$B$18&lt;='Metrics'!$H$18,IF('Metrics'!$H$18-'Metrics'!$G$18&lt;=0,'Metrics'!$P$18,'Metrics'!$O$18+('Metrics'!$B$18-'Metrics'!$G$18)/('Metrics'!$H$18-'Metrics'!$G$18)*('Metrics'!$P$18-'Metrics'!$O$18)),IF('Metrics'!$B$18&lt;='Metrics'!$I$18,IF('Metrics'!$I$18-'Metrics'!$H$18&lt;=0,'Metrics'!$Q$18,'Metrics'!$P$18+('Metrics'!$B$18-'Metrics'!$H$18)/('Metrics'!$I$18-'Metrics'!$H$18)*('Metrics'!$Q$18-'Metrics'!$P$18)),IF('Metrics'!$B$18&lt;='Metrics'!$J$18,IF('Metrics'!$J$18-'Metrics'!$I$18&lt;=0,'Metrics'!$R$18,'Metrics'!$Q$18+('Metrics'!$B$18-'Metrics'!$I$18)/('Metrics'!$J$18-'Metrics'!$I$18)*('Metrics'!$R$18-'Metrics'!$Q$18)),IF('Metrics'!$B$18&lt;='Metrics'!$K$18,IF('Metrics'!$K$18-'Metrics'!$J$18&lt;=0,'Metrics'!$S$18,'Metrics'!$R$18+('Metrics'!$B$18-'Metrics'!$J$18)/('Metrics'!$K$18-'Metrics'!$J$18)*('Metrics'!$S$18-'Metrics'!$R$18)),IF('Metrics'!$B$18&lt;='Metrics'!$L$18,IF('Metrics'!$L$18-'Metrics'!$K$18&lt;=0,'Metrics'!$T$18,'Metrics'!$S$18+('Metrics'!$B$18-'Metrics'!$K$18)/('Metrics'!$L$18-'Metrics'!$K$18)*('Metrics'!$T$18-'Metrics'!$S$18)),IF('Metrics'!$M$18-'Metrics'!$L$18&lt;=0,'Metrics'!$U$18,'Metrics'!$T$18+('Metrics'!$B$18-'Metrics'!$L$18)/('Metrics'!$M$18-'Metrics'!$L$18)*('Metrics'!$U$18-'Metrics'!$T$18)))))))))))),"")</f>
        <v/>
      </c>
    </row>
    <row r="19">
      <c r="A19" s="32" t="inlineStr">
        <is>
          <t>Percent Native Cover</t>
        </is>
      </c>
      <c r="B19" s="69">
        <f>IF('DEEP Score'!$E$26="","",'DEEP Score'!$E$26)</f>
        <v/>
      </c>
      <c r="C19" s="69">
        <f>""</f>
        <v/>
      </c>
      <c r="D19" s="69">
        <f>"carbon_processing_percent_native_cover|"&amp;'Metrics'!$C$19</f>
        <v/>
      </c>
      <c r="E19" s="69">
        <f>IFERROR(MATCH('Metrics'!$D$19,curve_key,0),MATCH("carbon_processing_percent_native_cover|",curve_key,0))</f>
        <v/>
      </c>
      <c r="F19" s="69">
        <f>INDEX(curve_x1,'Metrics'!$E$19)</f>
        <v/>
      </c>
      <c r="G19" s="69">
        <f>INDEX(curve_x2,'Metrics'!$E$19)</f>
        <v/>
      </c>
      <c r="H19" s="69">
        <f>INDEX(curve_x3,'Metrics'!$E$19)</f>
        <v/>
      </c>
      <c r="I19" s="69">
        <f>INDEX(curve_x4,'Metrics'!$E$19)</f>
        <v/>
      </c>
      <c r="J19" s="69">
        <f>INDEX(curve_x5,'Metrics'!$E$19)</f>
        <v/>
      </c>
      <c r="K19" s="69">
        <f>INDEX(curve_x6,'Metrics'!$E$19)</f>
        <v/>
      </c>
      <c r="L19" s="69">
        <f>INDEX(curve_x7,'Metrics'!$E$19)</f>
        <v/>
      </c>
      <c r="M19" s="69">
        <f>INDEX(curve_x8,'Metrics'!$E$19)</f>
        <v/>
      </c>
      <c r="N19" s="69">
        <f>INDEX(curve_y1,'Metrics'!$E$19)</f>
        <v/>
      </c>
      <c r="O19" s="69">
        <f>INDEX(curve_y2,'Metrics'!$E$19)</f>
        <v/>
      </c>
      <c r="P19" s="69">
        <f>INDEX(curve_y3,'Metrics'!$E$19)</f>
        <v/>
      </c>
      <c r="Q19" s="69">
        <f>INDEX(curve_y4,'Metrics'!$E$19)</f>
        <v/>
      </c>
      <c r="R19" s="69">
        <f>INDEX(curve_y5,'Metrics'!$E$19)</f>
        <v/>
      </c>
      <c r="S19" s="69">
        <f>INDEX(curve_y6,'Metrics'!$E$19)</f>
        <v/>
      </c>
      <c r="T19" s="69">
        <f>INDEX(curve_y7,'Metrics'!$E$19)</f>
        <v/>
      </c>
      <c r="U19" s="69">
        <f>INDEX(curve_y8,'Metrics'!$E$19)</f>
        <v/>
      </c>
      <c r="V19" s="70">
        <f>IF(ISNUMBER('Metrics'!$B$19),MAX(0,MIN(1,IF('Metrics'!$B$19&lt;='Metrics'!$F$19,'Metrics'!$N$19,IF('Metrics'!$B$19&gt;='Metrics'!$M$19,'Metrics'!$U$19,IF('Metrics'!$B$19&lt;='Metrics'!$G$19,IF('Metrics'!$G$19-'Metrics'!$F$19&lt;=0,'Metrics'!$O$19,'Metrics'!$N$19+('Metrics'!$B$19-'Metrics'!$F$19)/('Metrics'!$G$19-'Metrics'!$F$19)*('Metrics'!$O$19-'Metrics'!$N$19)),IF('Metrics'!$B$19&lt;='Metrics'!$H$19,IF('Metrics'!$H$19-'Metrics'!$G$19&lt;=0,'Metrics'!$P$19,'Metrics'!$O$19+('Metrics'!$B$19-'Metrics'!$G$19)/('Metrics'!$H$19-'Metrics'!$G$19)*('Metrics'!$P$19-'Metrics'!$O$19)),IF('Metrics'!$B$19&lt;='Metrics'!$I$19,IF('Metrics'!$I$19-'Metrics'!$H$19&lt;=0,'Metrics'!$Q$19,'Metrics'!$P$19+('Metrics'!$B$19-'Metrics'!$H$19)/('Metrics'!$I$19-'Metrics'!$H$19)*('Metrics'!$Q$19-'Metrics'!$P$19)),IF('Metrics'!$B$19&lt;='Metrics'!$J$19,IF('Metrics'!$J$19-'Metrics'!$I$19&lt;=0,'Metrics'!$R$19,'Metrics'!$Q$19+('Metrics'!$B$19-'Metrics'!$I$19)/('Metrics'!$J$19-'Metrics'!$I$19)*('Metrics'!$R$19-'Metrics'!$Q$19)),IF('Metrics'!$B$19&lt;='Metrics'!$K$19,IF('Metrics'!$K$19-'Metrics'!$J$19&lt;=0,'Metrics'!$S$19,'Metrics'!$R$19+('Metrics'!$B$19-'Metrics'!$J$19)/('Metrics'!$K$19-'Metrics'!$J$19)*('Metrics'!$S$19-'Metrics'!$R$19)),IF('Metrics'!$B$19&lt;='Metrics'!$L$19,IF('Metrics'!$L$19-'Metrics'!$K$19&lt;=0,'Metrics'!$T$19,'Metrics'!$S$19+('Metrics'!$B$19-'Metrics'!$K$19)/('Metrics'!$L$19-'Metrics'!$K$19)*('Metrics'!$T$19-'Metrics'!$S$19)),IF('Metrics'!$M$19-'Metrics'!$L$19&lt;=0,'Metrics'!$U$19,'Metrics'!$T$19+('Metrics'!$B$19-'Metrics'!$L$19)/('Metrics'!$M$19-'Metrics'!$L$19)*('Metrics'!$U$19-'Metrics'!$T$19)))))))))))),"")</f>
        <v/>
      </c>
    </row>
    <row r="20">
      <c r="A20" s="32" t="inlineStr">
        <is>
          <t>Riparian Extent</t>
        </is>
      </c>
      <c r="B20" s="69">
        <f>IF('DEEP Score'!$E$27="","",'DEEP Score'!$E$27)</f>
        <v/>
      </c>
      <c r="C20" s="69">
        <f>IF('DEEP Score'!$F$27="","Unconfined Alluvial Valleys",'DEEP Score'!$F$27)</f>
        <v/>
      </c>
      <c r="D20" s="69">
        <f>"carbon_processing_riparian_extent|"&amp;'Metrics'!$C$20</f>
        <v/>
      </c>
      <c r="E20" s="69">
        <f>IFERROR(MATCH('Metrics'!$D$20,curve_key,0),MATCH("carbon_processing_riparian_extent|Unconfined Alluvial Valleys",curve_key,0))</f>
        <v/>
      </c>
      <c r="F20" s="69">
        <f>INDEX(curve_x1,'Metrics'!$E$20)</f>
        <v/>
      </c>
      <c r="G20" s="69">
        <f>INDEX(curve_x2,'Metrics'!$E$20)</f>
        <v/>
      </c>
      <c r="H20" s="69">
        <f>INDEX(curve_x3,'Metrics'!$E$20)</f>
        <v/>
      </c>
      <c r="I20" s="69">
        <f>INDEX(curve_x4,'Metrics'!$E$20)</f>
        <v/>
      </c>
      <c r="J20" s="69">
        <f>INDEX(curve_x5,'Metrics'!$E$20)</f>
        <v/>
      </c>
      <c r="K20" s="69">
        <f>INDEX(curve_x6,'Metrics'!$E$20)</f>
        <v/>
      </c>
      <c r="L20" s="69">
        <f>INDEX(curve_x7,'Metrics'!$E$20)</f>
        <v/>
      </c>
      <c r="M20" s="69">
        <f>INDEX(curve_x8,'Metrics'!$E$20)</f>
        <v/>
      </c>
      <c r="N20" s="69">
        <f>INDEX(curve_y1,'Metrics'!$E$20)</f>
        <v/>
      </c>
      <c r="O20" s="69">
        <f>INDEX(curve_y2,'Metrics'!$E$20)</f>
        <v/>
      </c>
      <c r="P20" s="69">
        <f>INDEX(curve_y3,'Metrics'!$E$20)</f>
        <v/>
      </c>
      <c r="Q20" s="69">
        <f>INDEX(curve_y4,'Metrics'!$E$20)</f>
        <v/>
      </c>
      <c r="R20" s="69">
        <f>INDEX(curve_y5,'Metrics'!$E$20)</f>
        <v/>
      </c>
      <c r="S20" s="69">
        <f>INDEX(curve_y6,'Metrics'!$E$20)</f>
        <v/>
      </c>
      <c r="T20" s="69">
        <f>INDEX(curve_y7,'Metrics'!$E$20)</f>
        <v/>
      </c>
      <c r="U20" s="69">
        <f>INDEX(curve_y8,'Metrics'!$E$20)</f>
        <v/>
      </c>
      <c r="V20" s="70">
        <f>IF(ISNUMBER('Metrics'!$B$20),MAX(0,MIN(1,IF('Metrics'!$B$20&lt;='Metrics'!$F$20,'Metrics'!$N$20,IF('Metrics'!$B$20&gt;='Metrics'!$M$20,'Metrics'!$U$20,IF('Metrics'!$B$20&lt;='Metrics'!$G$20,IF('Metrics'!$G$20-'Metrics'!$F$20&lt;=0,'Metrics'!$O$20,'Metrics'!$N$20+('Metrics'!$B$20-'Metrics'!$F$20)/('Metrics'!$G$20-'Metrics'!$F$20)*('Metrics'!$O$20-'Metrics'!$N$20)),IF('Metrics'!$B$20&lt;='Metrics'!$H$20,IF('Metrics'!$H$20-'Metrics'!$G$20&lt;=0,'Metrics'!$P$20,'Metrics'!$O$20+('Metrics'!$B$20-'Metrics'!$G$20)/('Metrics'!$H$20-'Metrics'!$G$20)*('Metrics'!$P$20-'Metrics'!$O$20)),IF('Metrics'!$B$20&lt;='Metrics'!$I$20,IF('Metrics'!$I$20-'Metrics'!$H$20&lt;=0,'Metrics'!$Q$20,'Metrics'!$P$20+('Metrics'!$B$20-'Metrics'!$H$20)/('Metrics'!$I$20-'Metrics'!$H$20)*('Metrics'!$Q$20-'Metrics'!$P$20)),IF('Metrics'!$B$20&lt;='Metrics'!$J$20,IF('Metrics'!$J$20-'Metrics'!$I$20&lt;=0,'Metrics'!$R$20,'Metrics'!$Q$20+('Metrics'!$B$20-'Metrics'!$I$20)/('Metrics'!$J$20-'Metrics'!$I$20)*('Metrics'!$R$20-'Metrics'!$Q$20)),IF('Metrics'!$B$20&lt;='Metrics'!$K$20,IF('Metrics'!$K$20-'Metrics'!$J$20&lt;=0,'Metrics'!$S$20,'Metrics'!$R$20+('Metrics'!$B$20-'Metrics'!$J$20)/('Metrics'!$K$20-'Metrics'!$J$20)*('Metrics'!$S$20-'Metrics'!$R$20)),IF('Metrics'!$B$20&lt;='Metrics'!$L$20,IF('Metrics'!$L$20-'Metrics'!$K$20&lt;=0,'Metrics'!$T$20,'Metrics'!$S$20+('Metrics'!$B$20-'Metrics'!$K$20)/('Metrics'!$L$20-'Metrics'!$K$20)*('Metrics'!$T$20-'Metrics'!$S$20)),IF('Metrics'!$M$20-'Metrics'!$L$20&lt;=0,'Metrics'!$U$20,'Metrics'!$T$20+('Metrics'!$B$20-'Metrics'!$L$20)/('Metrics'!$M$20-'Metrics'!$L$20)*('Metrics'!$U$20-'Metrics'!$T$20)))))))))))),"")</f>
        <v/>
      </c>
    </row>
    <row r="21">
      <c r="A21" s="32" t="inlineStr">
        <is>
          <t>Woody Vegetation Cover</t>
        </is>
      </c>
      <c r="B21" s="69">
        <f>IF('DEEP Score'!$E$28="","",'DEEP Score'!$E$28)</f>
        <v/>
      </c>
      <c r="C21" s="69">
        <f>IF('DEEP Score'!$F$28="","Mountains &amp; Basins",'DEEP Score'!$F$28)</f>
        <v/>
      </c>
      <c r="D21" s="69">
        <f>"carbon_processing_woody_vegetation_cover|"&amp;'Metrics'!$C$21</f>
        <v/>
      </c>
      <c r="E21" s="69">
        <f>IFERROR(MATCH('Metrics'!$D$21,curve_key,0),MATCH("carbon_processing_woody_vegetation_cover|Mountains &amp; Basins",curve_key,0))</f>
        <v/>
      </c>
      <c r="F21" s="69">
        <f>INDEX(curve_x1,'Metrics'!$E$21)</f>
        <v/>
      </c>
      <c r="G21" s="69">
        <f>INDEX(curve_x2,'Metrics'!$E$21)</f>
        <v/>
      </c>
      <c r="H21" s="69">
        <f>INDEX(curve_x3,'Metrics'!$E$21)</f>
        <v/>
      </c>
      <c r="I21" s="69">
        <f>INDEX(curve_x4,'Metrics'!$E$21)</f>
        <v/>
      </c>
      <c r="J21" s="69">
        <f>INDEX(curve_x5,'Metrics'!$E$21)</f>
        <v/>
      </c>
      <c r="K21" s="69">
        <f>INDEX(curve_x6,'Metrics'!$E$21)</f>
        <v/>
      </c>
      <c r="L21" s="69">
        <f>INDEX(curve_x7,'Metrics'!$E$21)</f>
        <v/>
      </c>
      <c r="M21" s="69">
        <f>INDEX(curve_x8,'Metrics'!$E$21)</f>
        <v/>
      </c>
      <c r="N21" s="69">
        <f>INDEX(curve_y1,'Metrics'!$E$21)</f>
        <v/>
      </c>
      <c r="O21" s="69">
        <f>INDEX(curve_y2,'Metrics'!$E$21)</f>
        <v/>
      </c>
      <c r="P21" s="69">
        <f>INDEX(curve_y3,'Metrics'!$E$21)</f>
        <v/>
      </c>
      <c r="Q21" s="69">
        <f>INDEX(curve_y4,'Metrics'!$E$21)</f>
        <v/>
      </c>
      <c r="R21" s="69">
        <f>INDEX(curve_y5,'Metrics'!$E$21)</f>
        <v/>
      </c>
      <c r="S21" s="69">
        <f>INDEX(curve_y6,'Metrics'!$E$21)</f>
        <v/>
      </c>
      <c r="T21" s="69">
        <f>INDEX(curve_y7,'Metrics'!$E$21)</f>
        <v/>
      </c>
      <c r="U21" s="69">
        <f>INDEX(curve_y8,'Metrics'!$E$21)</f>
        <v/>
      </c>
      <c r="V21" s="70">
        <f>IF(ISNUMBER('Metrics'!$B$21),MAX(0,MIN(1,IF('Metrics'!$B$21&lt;='Metrics'!$F$21,'Metrics'!$N$21,IF('Metrics'!$B$21&gt;='Metrics'!$M$21,'Metrics'!$U$21,IF('Metrics'!$B$21&lt;='Metrics'!$G$21,IF('Metrics'!$G$21-'Metrics'!$F$21&lt;=0,'Metrics'!$O$21,'Metrics'!$N$21+('Metrics'!$B$21-'Metrics'!$F$21)/('Metrics'!$G$21-'Metrics'!$F$21)*('Metrics'!$O$21-'Metrics'!$N$21)),IF('Metrics'!$B$21&lt;='Metrics'!$H$21,IF('Metrics'!$H$21-'Metrics'!$G$21&lt;=0,'Metrics'!$P$21,'Metrics'!$O$21+('Metrics'!$B$21-'Metrics'!$G$21)/('Metrics'!$H$21-'Metrics'!$G$21)*('Metrics'!$P$21-'Metrics'!$O$21)),IF('Metrics'!$B$21&lt;='Metrics'!$I$21,IF('Metrics'!$I$21-'Metrics'!$H$21&lt;=0,'Metrics'!$Q$21,'Metrics'!$P$21+('Metrics'!$B$21-'Metrics'!$H$21)/('Metrics'!$I$21-'Metrics'!$H$21)*('Metrics'!$Q$21-'Metrics'!$P$21)),IF('Metrics'!$B$21&lt;='Metrics'!$J$21,IF('Metrics'!$J$21-'Metrics'!$I$21&lt;=0,'Metrics'!$R$21,'Metrics'!$Q$21+('Metrics'!$B$21-'Metrics'!$I$21)/('Metrics'!$J$21-'Metrics'!$I$21)*('Metrics'!$R$21-'Metrics'!$Q$21)),IF('Metrics'!$B$21&lt;='Metrics'!$K$21,IF('Metrics'!$K$21-'Metrics'!$J$21&lt;=0,'Metrics'!$S$21,'Metrics'!$R$21+('Metrics'!$B$21-'Metrics'!$J$21)/('Metrics'!$K$21-'Metrics'!$J$21)*('Metrics'!$S$21-'Metrics'!$R$21)),IF('Metrics'!$B$21&lt;='Metrics'!$L$21,IF('Metrics'!$L$21-'Metrics'!$K$21&lt;=0,'Metrics'!$T$21,'Metrics'!$S$21+('Metrics'!$B$21-'Metrics'!$K$21)/('Metrics'!$L$21-'Metrics'!$K$21)*('Metrics'!$T$21-'Metrics'!$S$21)),IF('Metrics'!$M$21-'Metrics'!$L$21&lt;=0,'Metrics'!$U$21,'Metrics'!$T$21+('Metrics'!$B$21-'Metrics'!$L$21)/('Metrics'!$M$21-'Metrics'!$L$21)*('Metrics'!$U$21-'Metrics'!$T$21)))))))))))),"")</f>
        <v/>
      </c>
    </row>
    <row r="22">
      <c r="A22" s="32" t="inlineStr">
        <is>
          <t>Dissolved Oxygen Concentration</t>
        </is>
      </c>
      <c r="B22" s="69">
        <f>IF('DEEP Score'!$E$29="","",'DEEP Score'!$E$29)</f>
        <v/>
      </c>
      <c r="C22" s="69">
        <f>""</f>
        <v/>
      </c>
      <c r="D22" s="69">
        <f>"water_and_soil_quality_dissolved_oxygen_concentration|"&amp;'Metrics'!$C$22</f>
        <v/>
      </c>
      <c r="E22" s="69">
        <f>IFERROR(MATCH('Metrics'!$D$22,curve_key,0),MATCH("water_and_soil_quality_dissolved_oxygen_concentration|",curve_key,0))</f>
        <v/>
      </c>
      <c r="F22" s="69">
        <f>INDEX(curve_x1,'Metrics'!$E$22)</f>
        <v/>
      </c>
      <c r="G22" s="69">
        <f>INDEX(curve_x2,'Metrics'!$E$22)</f>
        <v/>
      </c>
      <c r="H22" s="69">
        <f>INDEX(curve_x3,'Metrics'!$E$22)</f>
        <v/>
      </c>
      <c r="I22" s="69">
        <f>INDEX(curve_x4,'Metrics'!$E$22)</f>
        <v/>
      </c>
      <c r="J22" s="69">
        <f>INDEX(curve_x5,'Metrics'!$E$22)</f>
        <v/>
      </c>
      <c r="K22" s="69">
        <f>INDEX(curve_x6,'Metrics'!$E$22)</f>
        <v/>
      </c>
      <c r="L22" s="69">
        <f>INDEX(curve_x7,'Metrics'!$E$22)</f>
        <v/>
      </c>
      <c r="M22" s="69">
        <f>INDEX(curve_x8,'Metrics'!$E$22)</f>
        <v/>
      </c>
      <c r="N22" s="69">
        <f>INDEX(curve_y1,'Metrics'!$E$22)</f>
        <v/>
      </c>
      <c r="O22" s="69">
        <f>INDEX(curve_y2,'Metrics'!$E$22)</f>
        <v/>
      </c>
      <c r="P22" s="69">
        <f>INDEX(curve_y3,'Metrics'!$E$22)</f>
        <v/>
      </c>
      <c r="Q22" s="69">
        <f>INDEX(curve_y4,'Metrics'!$E$22)</f>
        <v/>
      </c>
      <c r="R22" s="69">
        <f>INDEX(curve_y5,'Metrics'!$E$22)</f>
        <v/>
      </c>
      <c r="S22" s="69">
        <f>INDEX(curve_y6,'Metrics'!$E$22)</f>
        <v/>
      </c>
      <c r="T22" s="69">
        <f>INDEX(curve_y7,'Metrics'!$E$22)</f>
        <v/>
      </c>
      <c r="U22" s="69">
        <f>INDEX(curve_y8,'Metrics'!$E$22)</f>
        <v/>
      </c>
      <c r="V22" s="70">
        <f>IF(ISNUMBER('Metrics'!$B$22),MAX(0,MIN(1,IF('Metrics'!$B$22&lt;='Metrics'!$F$22,'Metrics'!$N$22,IF('Metrics'!$B$22&gt;='Metrics'!$M$22,'Metrics'!$U$22,IF('Metrics'!$B$22&lt;='Metrics'!$G$22,IF('Metrics'!$G$22-'Metrics'!$F$22&lt;=0,'Metrics'!$O$22,'Metrics'!$N$22+('Metrics'!$B$22-'Metrics'!$F$22)/('Metrics'!$G$22-'Metrics'!$F$22)*('Metrics'!$O$22-'Metrics'!$N$22)),IF('Metrics'!$B$22&lt;='Metrics'!$H$22,IF('Metrics'!$H$22-'Metrics'!$G$22&lt;=0,'Metrics'!$P$22,'Metrics'!$O$22+('Metrics'!$B$22-'Metrics'!$G$22)/('Metrics'!$H$22-'Metrics'!$G$22)*('Metrics'!$P$22-'Metrics'!$O$22)),IF('Metrics'!$B$22&lt;='Metrics'!$I$22,IF('Metrics'!$I$22-'Metrics'!$H$22&lt;=0,'Metrics'!$Q$22,'Metrics'!$P$22+('Metrics'!$B$22-'Metrics'!$H$22)/('Metrics'!$I$22-'Metrics'!$H$22)*('Metrics'!$Q$22-'Metrics'!$P$22)),IF('Metrics'!$B$22&lt;='Metrics'!$J$22,IF('Metrics'!$J$22-'Metrics'!$I$22&lt;=0,'Metrics'!$R$22,'Metrics'!$Q$22+('Metrics'!$B$22-'Metrics'!$I$22)/('Metrics'!$J$22-'Metrics'!$I$22)*('Metrics'!$R$22-'Metrics'!$Q$22)),IF('Metrics'!$B$22&lt;='Metrics'!$K$22,IF('Metrics'!$K$22-'Metrics'!$J$22&lt;=0,'Metrics'!$S$22,'Metrics'!$R$22+('Metrics'!$B$22-'Metrics'!$J$22)/('Metrics'!$K$22-'Metrics'!$J$22)*('Metrics'!$S$22-'Metrics'!$R$22)),IF('Metrics'!$B$22&lt;='Metrics'!$L$22,IF('Metrics'!$L$22-'Metrics'!$K$22&lt;=0,'Metrics'!$T$22,'Metrics'!$S$22+('Metrics'!$B$22-'Metrics'!$K$22)/('Metrics'!$L$22-'Metrics'!$K$22)*('Metrics'!$T$22-'Metrics'!$S$22)),IF('Metrics'!$M$22-'Metrics'!$L$22&lt;=0,'Metrics'!$U$22,'Metrics'!$T$22+('Metrics'!$B$22-'Metrics'!$L$22)/('Metrics'!$M$22-'Metrics'!$L$22)*('Metrics'!$U$22-'Metrics'!$T$22)))))))))))),"")</f>
        <v/>
      </c>
    </row>
    <row r="23">
      <c r="A23" s="32" t="inlineStr">
        <is>
          <t>LWD</t>
        </is>
      </c>
      <c r="B23" s="69">
        <f>IF('DEEP Score'!$E$30="","",'DEEP Score'!$E$30)</f>
        <v/>
      </c>
      <c r="C23" s="69">
        <f>""</f>
        <v/>
      </c>
      <c r="D23" s="69">
        <f>"habitat_provision_lwd|"&amp;'Metrics'!$C$23</f>
        <v/>
      </c>
      <c r="E23" s="69">
        <f>IFERROR(MATCH('Metrics'!$D$23,curve_key,0),MATCH("habitat_provision_lwd|",curve_key,0))</f>
        <v/>
      </c>
      <c r="F23" s="69">
        <f>INDEX(curve_x1,'Metrics'!$E$23)</f>
        <v/>
      </c>
      <c r="G23" s="69">
        <f>INDEX(curve_x2,'Metrics'!$E$23)</f>
        <v/>
      </c>
      <c r="H23" s="69">
        <f>INDEX(curve_x3,'Metrics'!$E$23)</f>
        <v/>
      </c>
      <c r="I23" s="69">
        <f>INDEX(curve_x4,'Metrics'!$E$23)</f>
        <v/>
      </c>
      <c r="J23" s="69">
        <f>INDEX(curve_x5,'Metrics'!$E$23)</f>
        <v/>
      </c>
      <c r="K23" s="69">
        <f>INDEX(curve_x6,'Metrics'!$E$23)</f>
        <v/>
      </c>
      <c r="L23" s="69">
        <f>INDEX(curve_x7,'Metrics'!$E$23)</f>
        <v/>
      </c>
      <c r="M23" s="69">
        <f>INDEX(curve_x8,'Metrics'!$E$23)</f>
        <v/>
      </c>
      <c r="N23" s="69">
        <f>INDEX(curve_y1,'Metrics'!$E$23)</f>
        <v/>
      </c>
      <c r="O23" s="69">
        <f>INDEX(curve_y2,'Metrics'!$E$23)</f>
        <v/>
      </c>
      <c r="P23" s="69">
        <f>INDEX(curve_y3,'Metrics'!$E$23)</f>
        <v/>
      </c>
      <c r="Q23" s="69">
        <f>INDEX(curve_y4,'Metrics'!$E$23)</f>
        <v/>
      </c>
      <c r="R23" s="69">
        <f>INDEX(curve_y5,'Metrics'!$E$23)</f>
        <v/>
      </c>
      <c r="S23" s="69">
        <f>INDEX(curve_y6,'Metrics'!$E$23)</f>
        <v/>
      </c>
      <c r="T23" s="69">
        <f>INDEX(curve_y7,'Metrics'!$E$23)</f>
        <v/>
      </c>
      <c r="U23" s="69">
        <f>INDEX(curve_y8,'Metrics'!$E$23)</f>
        <v/>
      </c>
      <c r="V23" s="70">
        <f>IF(ISNUMBER('Metrics'!$B$23),MAX(0,MIN(1,IF('Metrics'!$B$23&lt;='Metrics'!$F$23,'Metrics'!$N$23,IF('Metrics'!$B$23&gt;='Metrics'!$M$23,'Metrics'!$U$23,IF('Metrics'!$B$23&lt;='Metrics'!$G$23,IF('Metrics'!$G$23-'Metrics'!$F$23&lt;=0,'Metrics'!$O$23,'Metrics'!$N$23+('Metrics'!$B$23-'Metrics'!$F$23)/('Metrics'!$G$23-'Metrics'!$F$23)*('Metrics'!$O$23-'Metrics'!$N$23)),IF('Metrics'!$B$23&lt;='Metrics'!$H$23,IF('Metrics'!$H$23-'Metrics'!$G$23&lt;=0,'Metrics'!$P$23,'Metrics'!$O$23+('Metrics'!$B$23-'Metrics'!$G$23)/('Metrics'!$H$23-'Metrics'!$G$23)*('Metrics'!$P$23-'Metrics'!$O$23)),IF('Metrics'!$B$23&lt;='Metrics'!$I$23,IF('Metrics'!$I$23-'Metrics'!$H$23&lt;=0,'Metrics'!$Q$23,'Metrics'!$P$23+('Metrics'!$B$23-'Metrics'!$H$23)/('Metrics'!$I$23-'Metrics'!$H$23)*('Metrics'!$Q$23-'Metrics'!$P$23)),IF('Metrics'!$B$23&lt;='Metrics'!$J$23,IF('Metrics'!$J$23-'Metrics'!$I$23&lt;=0,'Metrics'!$R$23,'Metrics'!$Q$23+('Metrics'!$B$23-'Metrics'!$I$23)/('Metrics'!$J$23-'Metrics'!$I$23)*('Metrics'!$R$23-'Metrics'!$Q$23)),IF('Metrics'!$B$23&lt;='Metrics'!$K$23,IF('Metrics'!$K$23-'Metrics'!$J$23&lt;=0,'Metrics'!$S$23,'Metrics'!$R$23+('Metrics'!$B$23-'Metrics'!$J$23)/('Metrics'!$K$23-'Metrics'!$J$23)*('Metrics'!$S$23-'Metrics'!$R$23)),IF('Metrics'!$B$23&lt;='Metrics'!$L$23,IF('Metrics'!$L$23-'Metrics'!$K$23&lt;=0,'Metrics'!$T$23,'Metrics'!$S$23+('Metrics'!$B$23-'Metrics'!$K$23)/('Metrics'!$L$23-'Metrics'!$K$23)*('Metrics'!$T$23-'Metrics'!$S$23)),IF('Metrics'!$M$23-'Metrics'!$L$23&lt;=0,'Metrics'!$U$23,'Metrics'!$T$23+('Metrics'!$B$23-'Metrics'!$L$23)/('Metrics'!$M$23-'Metrics'!$L$23)*('Metrics'!$U$23-'Metrics'!$T$23)))))))))))),"")</f>
        <v/>
      </c>
    </row>
    <row r="24">
      <c r="A24" s="32" t="inlineStr">
        <is>
          <t>LWD Index</t>
        </is>
      </c>
      <c r="B24" s="69">
        <f>IF('DEEP Score'!$E$31="","",'DEEP Score'!$E$31)</f>
        <v/>
      </c>
      <c r="C24" s="69">
        <f>""</f>
        <v/>
      </c>
      <c r="D24" s="69">
        <f>"habitat_provision_lwd_index|"&amp;'Metrics'!$C$24</f>
        <v/>
      </c>
      <c r="E24" s="69">
        <f>IFERROR(MATCH('Metrics'!$D$24,curve_key,0),MATCH("habitat_provision_lwd_index|",curve_key,0))</f>
        <v/>
      </c>
      <c r="F24" s="69">
        <f>INDEX(curve_x1,'Metrics'!$E$24)</f>
        <v/>
      </c>
      <c r="G24" s="69">
        <f>INDEX(curve_x2,'Metrics'!$E$24)</f>
        <v/>
      </c>
      <c r="H24" s="69">
        <f>INDEX(curve_x3,'Metrics'!$E$24)</f>
        <v/>
      </c>
      <c r="I24" s="69">
        <f>INDEX(curve_x4,'Metrics'!$E$24)</f>
        <v/>
      </c>
      <c r="J24" s="69">
        <f>INDEX(curve_x5,'Metrics'!$E$24)</f>
        <v/>
      </c>
      <c r="K24" s="69">
        <f>INDEX(curve_x6,'Metrics'!$E$24)</f>
        <v/>
      </c>
      <c r="L24" s="69">
        <f>INDEX(curve_x7,'Metrics'!$E$24)</f>
        <v/>
      </c>
      <c r="M24" s="69">
        <f>INDEX(curve_x8,'Metrics'!$E$24)</f>
        <v/>
      </c>
      <c r="N24" s="69">
        <f>INDEX(curve_y1,'Metrics'!$E$24)</f>
        <v/>
      </c>
      <c r="O24" s="69">
        <f>INDEX(curve_y2,'Metrics'!$E$24)</f>
        <v/>
      </c>
      <c r="P24" s="69">
        <f>INDEX(curve_y3,'Metrics'!$E$24)</f>
        <v/>
      </c>
      <c r="Q24" s="69">
        <f>INDEX(curve_y4,'Metrics'!$E$24)</f>
        <v/>
      </c>
      <c r="R24" s="69">
        <f>INDEX(curve_y5,'Metrics'!$E$24)</f>
        <v/>
      </c>
      <c r="S24" s="69">
        <f>INDEX(curve_y6,'Metrics'!$E$24)</f>
        <v/>
      </c>
      <c r="T24" s="69">
        <f>INDEX(curve_y7,'Metrics'!$E$24)</f>
        <v/>
      </c>
      <c r="U24" s="69">
        <f>INDEX(curve_y8,'Metrics'!$E$24)</f>
        <v/>
      </c>
      <c r="V24" s="70">
        <f>IF(ISNUMBER('Metrics'!$B$24),MAX(0,MIN(1,IF('Metrics'!$B$24&lt;='Metrics'!$F$24,'Metrics'!$N$24,IF('Metrics'!$B$24&gt;='Metrics'!$M$24,'Metrics'!$U$24,IF('Metrics'!$B$24&lt;='Metrics'!$G$24,IF('Metrics'!$G$24-'Metrics'!$F$24&lt;=0,'Metrics'!$O$24,'Metrics'!$N$24+('Metrics'!$B$24-'Metrics'!$F$24)/('Metrics'!$G$24-'Metrics'!$F$24)*('Metrics'!$O$24-'Metrics'!$N$24)),IF('Metrics'!$B$24&lt;='Metrics'!$H$24,IF('Metrics'!$H$24-'Metrics'!$G$24&lt;=0,'Metrics'!$P$24,'Metrics'!$O$24+('Metrics'!$B$24-'Metrics'!$G$24)/('Metrics'!$H$24-'Metrics'!$G$24)*('Metrics'!$P$24-'Metrics'!$O$24)),IF('Metrics'!$B$24&lt;='Metrics'!$I$24,IF('Metrics'!$I$24-'Metrics'!$H$24&lt;=0,'Metrics'!$Q$24,'Metrics'!$P$24+('Metrics'!$B$24-'Metrics'!$H$24)/('Metrics'!$I$24-'Metrics'!$H$24)*('Metrics'!$Q$24-'Metrics'!$P$24)),IF('Metrics'!$B$24&lt;='Metrics'!$J$24,IF('Metrics'!$J$24-'Metrics'!$I$24&lt;=0,'Metrics'!$R$24,'Metrics'!$Q$24+('Metrics'!$B$24-'Metrics'!$I$24)/('Metrics'!$J$24-'Metrics'!$I$24)*('Metrics'!$R$24-'Metrics'!$Q$24)),IF('Metrics'!$B$24&lt;='Metrics'!$K$24,IF('Metrics'!$K$24-'Metrics'!$J$24&lt;=0,'Metrics'!$S$24,'Metrics'!$R$24+('Metrics'!$B$24-'Metrics'!$J$24)/('Metrics'!$K$24-'Metrics'!$J$24)*('Metrics'!$S$24-'Metrics'!$R$24)),IF('Metrics'!$B$24&lt;='Metrics'!$L$24,IF('Metrics'!$L$24-'Metrics'!$K$24&lt;=0,'Metrics'!$T$24,'Metrics'!$S$24+('Metrics'!$B$24-'Metrics'!$K$24)/('Metrics'!$L$24-'Metrics'!$K$24)*('Metrics'!$T$24-'Metrics'!$S$24)),IF('Metrics'!$M$24-'Metrics'!$L$24&lt;=0,'Metrics'!$U$24,'Metrics'!$T$24+('Metrics'!$B$24-'Metrics'!$L$24)/('Metrics'!$M$24-'Metrics'!$L$24)*('Metrics'!$U$24-'Metrics'!$T$24)))))))))))),"")</f>
        <v/>
      </c>
    </row>
    <row r="25">
      <c r="A25" s="32" t="inlineStr">
        <is>
          <t>Percent Riffle</t>
        </is>
      </c>
      <c r="B25" s="69">
        <f>IF('DEEP Score'!$E$32="","",'DEEP Score'!$E$32)</f>
        <v/>
      </c>
      <c r="C25" s="69">
        <f>IF('DEEP Score'!$F$32="","Streams &lt; 3% slope",'DEEP Score'!$F$32)</f>
        <v/>
      </c>
      <c r="D25" s="69">
        <f>"habitat_provision_percent_riffle|"&amp;'Metrics'!$C$25</f>
        <v/>
      </c>
      <c r="E25" s="69">
        <f>IFERROR(MATCH('Metrics'!$D$25,curve_key,0),MATCH("habitat_provision_percent_riffle|Streams &lt; 3% slope",curve_key,0))</f>
        <v/>
      </c>
      <c r="F25" s="69">
        <f>INDEX(curve_x1,'Metrics'!$E$25)</f>
        <v/>
      </c>
      <c r="G25" s="69">
        <f>INDEX(curve_x2,'Metrics'!$E$25)</f>
        <v/>
      </c>
      <c r="H25" s="69">
        <f>INDEX(curve_x3,'Metrics'!$E$25)</f>
        <v/>
      </c>
      <c r="I25" s="69">
        <f>INDEX(curve_x4,'Metrics'!$E$25)</f>
        <v/>
      </c>
      <c r="J25" s="69">
        <f>INDEX(curve_x5,'Metrics'!$E$25)</f>
        <v/>
      </c>
      <c r="K25" s="69">
        <f>INDEX(curve_x6,'Metrics'!$E$25)</f>
        <v/>
      </c>
      <c r="L25" s="69">
        <f>INDEX(curve_x7,'Metrics'!$E$25)</f>
        <v/>
      </c>
      <c r="M25" s="69">
        <f>INDEX(curve_x8,'Metrics'!$E$25)</f>
        <v/>
      </c>
      <c r="N25" s="69">
        <f>INDEX(curve_y1,'Metrics'!$E$25)</f>
        <v/>
      </c>
      <c r="O25" s="69">
        <f>INDEX(curve_y2,'Metrics'!$E$25)</f>
        <v/>
      </c>
      <c r="P25" s="69">
        <f>INDEX(curve_y3,'Metrics'!$E$25)</f>
        <v/>
      </c>
      <c r="Q25" s="69">
        <f>INDEX(curve_y4,'Metrics'!$E$25)</f>
        <v/>
      </c>
      <c r="R25" s="69">
        <f>INDEX(curve_y5,'Metrics'!$E$25)</f>
        <v/>
      </c>
      <c r="S25" s="69">
        <f>INDEX(curve_y6,'Metrics'!$E$25)</f>
        <v/>
      </c>
      <c r="T25" s="69">
        <f>INDEX(curve_y7,'Metrics'!$E$25)</f>
        <v/>
      </c>
      <c r="U25" s="69">
        <f>INDEX(curve_y8,'Metrics'!$E$25)</f>
        <v/>
      </c>
      <c r="V25" s="70">
        <f>IF(ISNUMBER('Metrics'!$B$25),MAX(0,MIN(1,IF('Metrics'!$B$25&lt;='Metrics'!$F$25,'Metrics'!$N$25,IF('Metrics'!$B$25&gt;='Metrics'!$M$25,'Metrics'!$U$25,IF('Metrics'!$B$25&lt;='Metrics'!$G$25,IF('Metrics'!$G$25-'Metrics'!$F$25&lt;=0,'Metrics'!$O$25,'Metrics'!$N$25+('Metrics'!$B$25-'Metrics'!$F$25)/('Metrics'!$G$25-'Metrics'!$F$25)*('Metrics'!$O$25-'Metrics'!$N$25)),IF('Metrics'!$B$25&lt;='Metrics'!$H$25,IF('Metrics'!$H$25-'Metrics'!$G$25&lt;=0,'Metrics'!$P$25,'Metrics'!$O$25+('Metrics'!$B$25-'Metrics'!$G$25)/('Metrics'!$H$25-'Metrics'!$G$25)*('Metrics'!$P$25-'Metrics'!$O$25)),IF('Metrics'!$B$25&lt;='Metrics'!$I$25,IF('Metrics'!$I$25-'Metrics'!$H$25&lt;=0,'Metrics'!$Q$25,'Metrics'!$P$25+('Metrics'!$B$25-'Metrics'!$H$25)/('Metrics'!$I$25-'Metrics'!$H$25)*('Metrics'!$Q$25-'Metrics'!$P$25)),IF('Metrics'!$B$25&lt;='Metrics'!$J$25,IF('Metrics'!$J$25-'Metrics'!$I$25&lt;=0,'Metrics'!$R$25,'Metrics'!$Q$25+('Metrics'!$B$25-'Metrics'!$I$25)/('Metrics'!$J$25-'Metrics'!$I$25)*('Metrics'!$R$25-'Metrics'!$Q$25)),IF('Metrics'!$B$25&lt;='Metrics'!$K$25,IF('Metrics'!$K$25-'Metrics'!$J$25&lt;=0,'Metrics'!$S$25,'Metrics'!$R$25+('Metrics'!$B$25-'Metrics'!$J$25)/('Metrics'!$K$25-'Metrics'!$J$25)*('Metrics'!$S$25-'Metrics'!$R$25)),IF('Metrics'!$B$25&lt;='Metrics'!$L$25,IF('Metrics'!$L$25-'Metrics'!$K$25&lt;=0,'Metrics'!$T$25,'Metrics'!$S$25+('Metrics'!$B$25-'Metrics'!$K$25)/('Metrics'!$L$25-'Metrics'!$K$25)*('Metrics'!$T$25-'Metrics'!$S$25)),IF('Metrics'!$M$25-'Metrics'!$L$25&lt;=0,'Metrics'!$U$25,'Metrics'!$T$25+('Metrics'!$B$25-'Metrics'!$L$25)/('Metrics'!$M$25-'Metrics'!$L$25)*('Metrics'!$U$25-'Metrics'!$T$25)))))))))))),"")</f>
        <v/>
      </c>
    </row>
    <row r="26">
      <c r="A26" s="32" t="inlineStr">
        <is>
          <t>Pool Depth Ratio</t>
        </is>
      </c>
      <c r="B26" s="69">
        <f>IF('DEEP Score'!$E$33="","",'DEEP Score'!$E$33)</f>
        <v/>
      </c>
      <c r="C26" s="69">
        <f>""</f>
        <v/>
      </c>
      <c r="D26" s="69">
        <f>"habitat_provision_pool_depth_ratio|"&amp;'Metrics'!$C$26</f>
        <v/>
      </c>
      <c r="E26" s="69">
        <f>IFERROR(MATCH('Metrics'!$D$26,curve_key,0),MATCH("habitat_provision_pool_depth_ratio|",curve_key,0))</f>
        <v/>
      </c>
      <c r="F26" s="69">
        <f>INDEX(curve_x1,'Metrics'!$E$26)</f>
        <v/>
      </c>
      <c r="G26" s="69">
        <f>INDEX(curve_x2,'Metrics'!$E$26)</f>
        <v/>
      </c>
      <c r="H26" s="69">
        <f>INDEX(curve_x3,'Metrics'!$E$26)</f>
        <v/>
      </c>
      <c r="I26" s="69">
        <f>INDEX(curve_x4,'Metrics'!$E$26)</f>
        <v/>
      </c>
      <c r="J26" s="69">
        <f>INDEX(curve_x5,'Metrics'!$E$26)</f>
        <v/>
      </c>
      <c r="K26" s="69">
        <f>INDEX(curve_x6,'Metrics'!$E$26)</f>
        <v/>
      </c>
      <c r="L26" s="69">
        <f>INDEX(curve_x7,'Metrics'!$E$26)</f>
        <v/>
      </c>
      <c r="M26" s="69">
        <f>INDEX(curve_x8,'Metrics'!$E$26)</f>
        <v/>
      </c>
      <c r="N26" s="69">
        <f>INDEX(curve_y1,'Metrics'!$E$26)</f>
        <v/>
      </c>
      <c r="O26" s="69">
        <f>INDEX(curve_y2,'Metrics'!$E$26)</f>
        <v/>
      </c>
      <c r="P26" s="69">
        <f>INDEX(curve_y3,'Metrics'!$E$26)</f>
        <v/>
      </c>
      <c r="Q26" s="69">
        <f>INDEX(curve_y4,'Metrics'!$E$26)</f>
        <v/>
      </c>
      <c r="R26" s="69">
        <f>INDEX(curve_y5,'Metrics'!$E$26)</f>
        <v/>
      </c>
      <c r="S26" s="69">
        <f>INDEX(curve_y6,'Metrics'!$E$26)</f>
        <v/>
      </c>
      <c r="T26" s="69">
        <f>INDEX(curve_y7,'Metrics'!$E$26)</f>
        <v/>
      </c>
      <c r="U26" s="69">
        <f>INDEX(curve_y8,'Metrics'!$E$26)</f>
        <v/>
      </c>
      <c r="V26" s="70">
        <f>IF(ISNUMBER('Metrics'!$B$26),MAX(0,MIN(1,IF('Metrics'!$B$26&lt;='Metrics'!$F$26,'Metrics'!$N$26,IF('Metrics'!$B$26&gt;='Metrics'!$M$26,'Metrics'!$U$26,IF('Metrics'!$B$26&lt;='Metrics'!$G$26,IF('Metrics'!$G$26-'Metrics'!$F$26&lt;=0,'Metrics'!$O$26,'Metrics'!$N$26+('Metrics'!$B$26-'Metrics'!$F$26)/('Metrics'!$G$26-'Metrics'!$F$26)*('Metrics'!$O$26-'Metrics'!$N$26)),IF('Metrics'!$B$26&lt;='Metrics'!$H$26,IF('Metrics'!$H$26-'Metrics'!$G$26&lt;=0,'Metrics'!$P$26,'Metrics'!$O$26+('Metrics'!$B$26-'Metrics'!$G$26)/('Metrics'!$H$26-'Metrics'!$G$26)*('Metrics'!$P$26-'Metrics'!$O$26)),IF('Metrics'!$B$26&lt;='Metrics'!$I$26,IF('Metrics'!$I$26-'Metrics'!$H$26&lt;=0,'Metrics'!$Q$26,'Metrics'!$P$26+('Metrics'!$B$26-'Metrics'!$H$26)/('Metrics'!$I$26-'Metrics'!$H$26)*('Metrics'!$Q$26-'Metrics'!$P$26)),IF('Metrics'!$B$26&lt;='Metrics'!$J$26,IF('Metrics'!$J$26-'Metrics'!$I$26&lt;=0,'Metrics'!$R$26,'Metrics'!$Q$26+('Metrics'!$B$26-'Metrics'!$I$26)/('Metrics'!$J$26-'Metrics'!$I$26)*('Metrics'!$R$26-'Metrics'!$Q$26)),IF('Metrics'!$B$26&lt;='Metrics'!$K$26,IF('Metrics'!$K$26-'Metrics'!$J$26&lt;=0,'Metrics'!$S$26,'Metrics'!$R$26+('Metrics'!$B$26-'Metrics'!$J$26)/('Metrics'!$K$26-'Metrics'!$J$26)*('Metrics'!$S$26-'Metrics'!$R$26)),IF('Metrics'!$B$26&lt;='Metrics'!$L$26,IF('Metrics'!$L$26-'Metrics'!$K$26&lt;=0,'Metrics'!$T$26,'Metrics'!$S$26+('Metrics'!$B$26-'Metrics'!$K$26)/('Metrics'!$L$26-'Metrics'!$K$26)*('Metrics'!$T$26-'Metrics'!$S$26)),IF('Metrics'!$M$26-'Metrics'!$L$26&lt;=0,'Metrics'!$U$26,'Metrics'!$T$26+('Metrics'!$B$26-'Metrics'!$L$26)/('Metrics'!$M$26-'Metrics'!$L$26)*('Metrics'!$U$26-'Metrics'!$T$26)))))))))))),"")</f>
        <v/>
      </c>
    </row>
    <row r="27">
      <c r="A27" s="32" t="inlineStr">
        <is>
          <t>Pool Spacing Ratio</t>
        </is>
      </c>
      <c r="B27" s="69">
        <f>IF('DEEP Score'!$E$34="","",'DEEP Score'!$E$34)</f>
        <v/>
      </c>
      <c r="C27" s="69">
        <f>IF('DEEP Score'!$F$34="","C Stream Types",'DEEP Score'!$F$34)</f>
        <v/>
      </c>
      <c r="D27" s="69">
        <f>"habitat_provision_pool_spacing_ratio|"&amp;'Metrics'!$C$27</f>
        <v/>
      </c>
      <c r="E27" s="69">
        <f>IFERROR(MATCH('Metrics'!$D$27,curve_key,0),MATCH("habitat_provision_pool_spacing_ratio|C Stream Types",curve_key,0))</f>
        <v/>
      </c>
      <c r="F27" s="69">
        <f>INDEX(curve_x1,'Metrics'!$E$27)</f>
        <v/>
      </c>
      <c r="G27" s="69">
        <f>INDEX(curve_x2,'Metrics'!$E$27)</f>
        <v/>
      </c>
      <c r="H27" s="69">
        <f>INDEX(curve_x3,'Metrics'!$E$27)</f>
        <v/>
      </c>
      <c r="I27" s="69">
        <f>INDEX(curve_x4,'Metrics'!$E$27)</f>
        <v/>
      </c>
      <c r="J27" s="69">
        <f>INDEX(curve_x5,'Metrics'!$E$27)</f>
        <v/>
      </c>
      <c r="K27" s="69">
        <f>INDEX(curve_x6,'Metrics'!$E$27)</f>
        <v/>
      </c>
      <c r="L27" s="69">
        <f>INDEX(curve_x7,'Metrics'!$E$27)</f>
        <v/>
      </c>
      <c r="M27" s="69">
        <f>INDEX(curve_x8,'Metrics'!$E$27)</f>
        <v/>
      </c>
      <c r="N27" s="69">
        <f>INDEX(curve_y1,'Metrics'!$E$27)</f>
        <v/>
      </c>
      <c r="O27" s="69">
        <f>INDEX(curve_y2,'Metrics'!$E$27)</f>
        <v/>
      </c>
      <c r="P27" s="69">
        <f>INDEX(curve_y3,'Metrics'!$E$27)</f>
        <v/>
      </c>
      <c r="Q27" s="69">
        <f>INDEX(curve_y4,'Metrics'!$E$27)</f>
        <v/>
      </c>
      <c r="R27" s="69">
        <f>INDEX(curve_y5,'Metrics'!$E$27)</f>
        <v/>
      </c>
      <c r="S27" s="69">
        <f>INDEX(curve_y6,'Metrics'!$E$27)</f>
        <v/>
      </c>
      <c r="T27" s="69">
        <f>INDEX(curve_y7,'Metrics'!$E$27)</f>
        <v/>
      </c>
      <c r="U27" s="69">
        <f>INDEX(curve_y8,'Metrics'!$E$27)</f>
        <v/>
      </c>
      <c r="V27" s="70">
        <f>IF(ISNUMBER('Metrics'!$B$27),MAX(0,MIN(1,IF('Metrics'!$B$27&lt;='Metrics'!$F$27,'Metrics'!$N$27,IF('Metrics'!$B$27&gt;='Metrics'!$M$27,'Metrics'!$U$27,IF('Metrics'!$B$27&lt;='Metrics'!$G$27,IF('Metrics'!$G$27-'Metrics'!$F$27&lt;=0,'Metrics'!$O$27,'Metrics'!$N$27+('Metrics'!$B$27-'Metrics'!$F$27)/('Metrics'!$G$27-'Metrics'!$F$27)*('Metrics'!$O$27-'Metrics'!$N$27)),IF('Metrics'!$B$27&lt;='Metrics'!$H$27,IF('Metrics'!$H$27-'Metrics'!$G$27&lt;=0,'Metrics'!$P$27,'Metrics'!$O$27+('Metrics'!$B$27-'Metrics'!$G$27)/('Metrics'!$H$27-'Metrics'!$G$27)*('Metrics'!$P$27-'Metrics'!$O$27)),IF('Metrics'!$B$27&lt;='Metrics'!$I$27,IF('Metrics'!$I$27-'Metrics'!$H$27&lt;=0,'Metrics'!$Q$27,'Metrics'!$P$27+('Metrics'!$B$27-'Metrics'!$H$27)/('Metrics'!$I$27-'Metrics'!$H$27)*('Metrics'!$Q$27-'Metrics'!$P$27)),IF('Metrics'!$B$27&lt;='Metrics'!$J$27,IF('Metrics'!$J$27-'Metrics'!$I$27&lt;=0,'Metrics'!$R$27,'Metrics'!$Q$27+('Metrics'!$B$27-'Metrics'!$I$27)/('Metrics'!$J$27-'Metrics'!$I$27)*('Metrics'!$R$27-'Metrics'!$Q$27)),IF('Metrics'!$B$27&lt;='Metrics'!$K$27,IF('Metrics'!$K$27-'Metrics'!$J$27&lt;=0,'Metrics'!$S$27,'Metrics'!$R$27+('Metrics'!$B$27-'Metrics'!$J$27)/('Metrics'!$K$27-'Metrics'!$J$27)*('Metrics'!$S$27-'Metrics'!$R$27)),IF('Metrics'!$B$27&lt;='Metrics'!$L$27,IF('Metrics'!$L$27-'Metrics'!$K$27&lt;=0,'Metrics'!$T$27,'Metrics'!$S$27+('Metrics'!$B$27-'Metrics'!$K$27)/('Metrics'!$L$27-'Metrics'!$K$27)*('Metrics'!$T$27-'Metrics'!$S$27)),IF('Metrics'!$M$27-'Metrics'!$L$27&lt;=0,'Metrics'!$U$27,'Metrics'!$T$27+('Metrics'!$B$27-'Metrics'!$L$27)/('Metrics'!$M$27-'Metrics'!$L$27)*('Metrics'!$U$27-'Metrics'!$T$27)))))))))))),"")</f>
        <v/>
      </c>
    </row>
    <row r="28">
      <c r="A28" s="32" t="inlineStr">
        <is>
          <t>CO MMI</t>
        </is>
      </c>
      <c r="B28" s="69">
        <f>IF('DEEP Score'!$E$35="","",'DEEP Score'!$E$35)</f>
        <v/>
      </c>
      <c r="C28" s="69">
        <f>IF('DEEP Score'!$F$35="","Biotype 1",'DEEP Score'!$F$35)</f>
        <v/>
      </c>
      <c r="D28" s="69">
        <f>"population_support_co_mmi|"&amp;'Metrics'!$C$28</f>
        <v/>
      </c>
      <c r="E28" s="69">
        <f>IFERROR(MATCH('Metrics'!$D$28,curve_key,0),MATCH("population_support_co_mmi|Biotype 1",curve_key,0))</f>
        <v/>
      </c>
      <c r="F28" s="69">
        <f>INDEX(curve_x1,'Metrics'!$E$28)</f>
        <v/>
      </c>
      <c r="G28" s="69">
        <f>INDEX(curve_x2,'Metrics'!$E$28)</f>
        <v/>
      </c>
      <c r="H28" s="69">
        <f>INDEX(curve_x3,'Metrics'!$E$28)</f>
        <v/>
      </c>
      <c r="I28" s="69">
        <f>INDEX(curve_x4,'Metrics'!$E$28)</f>
        <v/>
      </c>
      <c r="J28" s="69">
        <f>INDEX(curve_x5,'Metrics'!$E$28)</f>
        <v/>
      </c>
      <c r="K28" s="69">
        <f>INDEX(curve_x6,'Metrics'!$E$28)</f>
        <v/>
      </c>
      <c r="L28" s="69">
        <f>INDEX(curve_x7,'Metrics'!$E$28)</f>
        <v/>
      </c>
      <c r="M28" s="69">
        <f>INDEX(curve_x8,'Metrics'!$E$28)</f>
        <v/>
      </c>
      <c r="N28" s="69">
        <f>INDEX(curve_y1,'Metrics'!$E$28)</f>
        <v/>
      </c>
      <c r="O28" s="69">
        <f>INDEX(curve_y2,'Metrics'!$E$28)</f>
        <v/>
      </c>
      <c r="P28" s="69">
        <f>INDEX(curve_y3,'Metrics'!$E$28)</f>
        <v/>
      </c>
      <c r="Q28" s="69">
        <f>INDEX(curve_y4,'Metrics'!$E$28)</f>
        <v/>
      </c>
      <c r="R28" s="69">
        <f>INDEX(curve_y5,'Metrics'!$E$28)</f>
        <v/>
      </c>
      <c r="S28" s="69">
        <f>INDEX(curve_y6,'Metrics'!$E$28)</f>
        <v/>
      </c>
      <c r="T28" s="69">
        <f>INDEX(curve_y7,'Metrics'!$E$28)</f>
        <v/>
      </c>
      <c r="U28" s="69">
        <f>INDEX(curve_y8,'Metrics'!$E$28)</f>
        <v/>
      </c>
      <c r="V28" s="70">
        <f>IF(ISNUMBER('Metrics'!$B$28),MAX(0,MIN(1,IF('Metrics'!$B$28&lt;='Metrics'!$F$28,'Metrics'!$N$28,IF('Metrics'!$B$28&gt;='Metrics'!$M$28,'Metrics'!$U$28,IF('Metrics'!$B$28&lt;='Metrics'!$G$28,IF('Metrics'!$G$28-'Metrics'!$F$28&lt;=0,'Metrics'!$O$28,'Metrics'!$N$28+('Metrics'!$B$28-'Metrics'!$F$28)/('Metrics'!$G$28-'Metrics'!$F$28)*('Metrics'!$O$28-'Metrics'!$N$28)),IF('Metrics'!$B$28&lt;='Metrics'!$H$28,IF('Metrics'!$H$28-'Metrics'!$G$28&lt;=0,'Metrics'!$P$28,'Metrics'!$O$28+('Metrics'!$B$28-'Metrics'!$G$28)/('Metrics'!$H$28-'Metrics'!$G$28)*('Metrics'!$P$28-'Metrics'!$O$28)),IF('Metrics'!$B$28&lt;='Metrics'!$I$28,IF('Metrics'!$I$28-'Metrics'!$H$28&lt;=0,'Metrics'!$Q$28,'Metrics'!$P$28+('Metrics'!$B$28-'Metrics'!$H$28)/('Metrics'!$I$28-'Metrics'!$H$28)*('Metrics'!$Q$28-'Metrics'!$P$28)),IF('Metrics'!$B$28&lt;='Metrics'!$J$28,IF('Metrics'!$J$28-'Metrics'!$I$28&lt;=0,'Metrics'!$R$28,'Metrics'!$Q$28+('Metrics'!$B$28-'Metrics'!$I$28)/('Metrics'!$J$28-'Metrics'!$I$28)*('Metrics'!$R$28-'Metrics'!$Q$28)),IF('Metrics'!$B$28&lt;='Metrics'!$K$28,IF('Metrics'!$K$28-'Metrics'!$J$28&lt;=0,'Metrics'!$S$28,'Metrics'!$R$28+('Metrics'!$B$28-'Metrics'!$J$28)/('Metrics'!$K$28-'Metrics'!$J$28)*('Metrics'!$S$28-'Metrics'!$R$28)),IF('Metrics'!$B$28&lt;='Metrics'!$L$28,IF('Metrics'!$L$28-'Metrics'!$K$28&lt;=0,'Metrics'!$T$28,'Metrics'!$S$28+('Metrics'!$B$28-'Metrics'!$K$28)/('Metrics'!$L$28-'Metrics'!$K$28)*('Metrics'!$T$28-'Metrics'!$S$28)),IF('Metrics'!$M$28-'Metrics'!$L$28&lt;=0,'Metrics'!$U$28,'Metrics'!$T$28+('Metrics'!$B$28-'Metrics'!$L$28)/('Metrics'!$M$28-'Metrics'!$L$28)*('Metrics'!$U$28-'Metrics'!$T$28)))))))))))),"")</f>
        <v/>
      </c>
    </row>
    <row r="29">
      <c r="A29" s="32" t="inlineStr">
        <is>
          <t>Wild Trout Biomass</t>
        </is>
      </c>
      <c r="B29" s="69">
        <f>IF('DEEP Score'!$E$36="","",'DEEP Score'!$E$36)</f>
        <v/>
      </c>
      <c r="C29" s="69">
        <f>IF('DEEP Score'!$F$36="","High",'DEEP Score'!$F$36)</f>
        <v/>
      </c>
      <c r="D29" s="69">
        <f>"population_support_wild_trout_biomass|"&amp;'Metrics'!$C$29</f>
        <v/>
      </c>
      <c r="E29" s="69">
        <f>IFERROR(MATCH('Metrics'!$D$29,curve_key,0),MATCH("population_support_wild_trout_biomass|High",curve_key,0))</f>
        <v/>
      </c>
      <c r="F29" s="69">
        <f>INDEX(curve_x1,'Metrics'!$E$29)</f>
        <v/>
      </c>
      <c r="G29" s="69">
        <f>INDEX(curve_x2,'Metrics'!$E$29)</f>
        <v/>
      </c>
      <c r="H29" s="69">
        <f>INDEX(curve_x3,'Metrics'!$E$29)</f>
        <v/>
      </c>
      <c r="I29" s="69">
        <f>INDEX(curve_x4,'Metrics'!$E$29)</f>
        <v/>
      </c>
      <c r="J29" s="69">
        <f>INDEX(curve_x5,'Metrics'!$E$29)</f>
        <v/>
      </c>
      <c r="K29" s="69">
        <f>INDEX(curve_x6,'Metrics'!$E$29)</f>
        <v/>
      </c>
      <c r="L29" s="69">
        <f>INDEX(curve_x7,'Metrics'!$E$29)</f>
        <v/>
      </c>
      <c r="M29" s="69">
        <f>INDEX(curve_x8,'Metrics'!$E$29)</f>
        <v/>
      </c>
      <c r="N29" s="69">
        <f>INDEX(curve_y1,'Metrics'!$E$29)</f>
        <v/>
      </c>
      <c r="O29" s="69">
        <f>INDEX(curve_y2,'Metrics'!$E$29)</f>
        <v/>
      </c>
      <c r="P29" s="69">
        <f>INDEX(curve_y3,'Metrics'!$E$29)</f>
        <v/>
      </c>
      <c r="Q29" s="69">
        <f>INDEX(curve_y4,'Metrics'!$E$29)</f>
        <v/>
      </c>
      <c r="R29" s="69">
        <f>INDEX(curve_y5,'Metrics'!$E$29)</f>
        <v/>
      </c>
      <c r="S29" s="69">
        <f>INDEX(curve_y6,'Metrics'!$E$29)</f>
        <v/>
      </c>
      <c r="T29" s="69">
        <f>INDEX(curve_y7,'Metrics'!$E$29)</f>
        <v/>
      </c>
      <c r="U29" s="69">
        <f>INDEX(curve_y8,'Metrics'!$E$29)</f>
        <v/>
      </c>
      <c r="V29" s="70">
        <f>IF(ISNUMBER('Metrics'!$B$29),MAX(0,MIN(1,IF('Metrics'!$B$29&lt;='Metrics'!$F$29,'Metrics'!$N$29,IF('Metrics'!$B$29&gt;='Metrics'!$M$29,'Metrics'!$U$29,IF('Metrics'!$B$29&lt;='Metrics'!$G$29,IF('Metrics'!$G$29-'Metrics'!$F$29&lt;=0,'Metrics'!$O$29,'Metrics'!$N$29+('Metrics'!$B$29-'Metrics'!$F$29)/('Metrics'!$G$29-'Metrics'!$F$29)*('Metrics'!$O$29-'Metrics'!$N$29)),IF('Metrics'!$B$29&lt;='Metrics'!$H$29,IF('Metrics'!$H$29-'Metrics'!$G$29&lt;=0,'Metrics'!$P$29,'Metrics'!$O$29+('Metrics'!$B$29-'Metrics'!$G$29)/('Metrics'!$H$29-'Metrics'!$G$29)*('Metrics'!$P$29-'Metrics'!$O$29)),IF('Metrics'!$B$29&lt;='Metrics'!$I$29,IF('Metrics'!$I$29-'Metrics'!$H$29&lt;=0,'Metrics'!$Q$29,'Metrics'!$P$29+('Metrics'!$B$29-'Metrics'!$H$29)/('Metrics'!$I$29-'Metrics'!$H$29)*('Metrics'!$Q$29-'Metrics'!$P$29)),IF('Metrics'!$B$29&lt;='Metrics'!$J$29,IF('Metrics'!$J$29-'Metrics'!$I$29&lt;=0,'Metrics'!$R$29,'Metrics'!$Q$29+('Metrics'!$B$29-'Metrics'!$I$29)/('Metrics'!$J$29-'Metrics'!$I$29)*('Metrics'!$R$29-'Metrics'!$Q$29)),IF('Metrics'!$B$29&lt;='Metrics'!$K$29,IF('Metrics'!$K$29-'Metrics'!$J$29&lt;=0,'Metrics'!$S$29,'Metrics'!$R$29+('Metrics'!$B$29-'Metrics'!$J$29)/('Metrics'!$K$29-'Metrics'!$J$29)*('Metrics'!$S$29-'Metrics'!$R$29)),IF('Metrics'!$B$29&lt;='Metrics'!$L$29,IF('Metrics'!$L$29-'Metrics'!$K$29&lt;=0,'Metrics'!$T$29,'Metrics'!$S$29+('Metrics'!$B$29-'Metrics'!$K$29)/('Metrics'!$L$29-'Metrics'!$K$29)*('Metrics'!$T$29-'Metrics'!$S$29)),IF('Metrics'!$M$29-'Metrics'!$L$29&lt;=0,'Metrics'!$U$29,'Metrics'!$T$29+('Metrics'!$B$29-'Metrics'!$L$29)/('Metrics'!$M$29-'Metrics'!$L$29)*('Metrics'!$U$29-'Metrics'!$T$29)))))))))))),"")</f>
        <v/>
      </c>
    </row>
    <row r="30">
      <c r="A30" s="32" t="inlineStr">
        <is>
          <t>Native Fish Species Richness</t>
        </is>
      </c>
      <c r="B30" s="69">
        <f>IF('DEEP Score'!$E$37="","",'DEEP Score'!$E$37)</f>
        <v/>
      </c>
      <c r="C30" s="69">
        <f>""</f>
        <v/>
      </c>
      <c r="D30" s="69">
        <f>"community_dynamics_native_fish_species_richness|"&amp;'Metrics'!$C$30</f>
        <v/>
      </c>
      <c r="E30" s="69">
        <f>IFERROR(MATCH('Metrics'!$D$30,curve_key,0),MATCH("community_dynamics_native_fish_species_richness|",curve_key,0))</f>
        <v/>
      </c>
      <c r="F30" s="69">
        <f>INDEX(curve_x1,'Metrics'!$E$30)</f>
        <v/>
      </c>
      <c r="G30" s="69">
        <f>INDEX(curve_x2,'Metrics'!$E$30)</f>
        <v/>
      </c>
      <c r="H30" s="69">
        <f>INDEX(curve_x3,'Metrics'!$E$30)</f>
        <v/>
      </c>
      <c r="I30" s="69">
        <f>INDEX(curve_x4,'Metrics'!$E$30)</f>
        <v/>
      </c>
      <c r="J30" s="69">
        <f>INDEX(curve_x5,'Metrics'!$E$30)</f>
        <v/>
      </c>
      <c r="K30" s="69">
        <f>INDEX(curve_x6,'Metrics'!$E$30)</f>
        <v/>
      </c>
      <c r="L30" s="69">
        <f>INDEX(curve_x7,'Metrics'!$E$30)</f>
        <v/>
      </c>
      <c r="M30" s="69">
        <f>INDEX(curve_x8,'Metrics'!$E$30)</f>
        <v/>
      </c>
      <c r="N30" s="69">
        <f>INDEX(curve_y1,'Metrics'!$E$30)</f>
        <v/>
      </c>
      <c r="O30" s="69">
        <f>INDEX(curve_y2,'Metrics'!$E$30)</f>
        <v/>
      </c>
      <c r="P30" s="69">
        <f>INDEX(curve_y3,'Metrics'!$E$30)</f>
        <v/>
      </c>
      <c r="Q30" s="69">
        <f>INDEX(curve_y4,'Metrics'!$E$30)</f>
        <v/>
      </c>
      <c r="R30" s="69">
        <f>INDEX(curve_y5,'Metrics'!$E$30)</f>
        <v/>
      </c>
      <c r="S30" s="69">
        <f>INDEX(curve_y6,'Metrics'!$E$30)</f>
        <v/>
      </c>
      <c r="T30" s="69">
        <f>INDEX(curve_y7,'Metrics'!$E$30)</f>
        <v/>
      </c>
      <c r="U30" s="69">
        <f>INDEX(curve_y8,'Metrics'!$E$30)</f>
        <v/>
      </c>
      <c r="V30" s="70">
        <f>IF(ISNUMBER('Metrics'!$B$30),MAX(0,MIN(1,IF('Metrics'!$B$30&lt;='Metrics'!$F$30,'Metrics'!$N$30,IF('Metrics'!$B$30&gt;='Metrics'!$M$30,'Metrics'!$U$30,IF('Metrics'!$B$30&lt;='Metrics'!$G$30,IF('Metrics'!$G$30-'Metrics'!$F$30&lt;=0,'Metrics'!$O$30,'Metrics'!$N$30+('Metrics'!$B$30-'Metrics'!$F$30)/('Metrics'!$G$30-'Metrics'!$F$30)*('Metrics'!$O$30-'Metrics'!$N$30)),IF('Metrics'!$B$30&lt;='Metrics'!$H$30,IF('Metrics'!$H$30-'Metrics'!$G$30&lt;=0,'Metrics'!$P$30,'Metrics'!$O$30+('Metrics'!$B$30-'Metrics'!$G$30)/('Metrics'!$H$30-'Metrics'!$G$30)*('Metrics'!$P$30-'Metrics'!$O$30)),IF('Metrics'!$B$30&lt;='Metrics'!$I$30,IF('Metrics'!$I$30-'Metrics'!$H$30&lt;=0,'Metrics'!$Q$30,'Metrics'!$P$30+('Metrics'!$B$30-'Metrics'!$H$30)/('Metrics'!$I$30-'Metrics'!$H$30)*('Metrics'!$Q$30-'Metrics'!$P$30)),IF('Metrics'!$B$30&lt;='Metrics'!$J$30,IF('Metrics'!$J$30-'Metrics'!$I$30&lt;=0,'Metrics'!$R$30,'Metrics'!$Q$30+('Metrics'!$B$30-'Metrics'!$I$30)/('Metrics'!$J$30-'Metrics'!$I$30)*('Metrics'!$R$30-'Metrics'!$Q$30)),IF('Metrics'!$B$30&lt;='Metrics'!$K$30,IF('Metrics'!$K$30-'Metrics'!$J$30&lt;=0,'Metrics'!$S$30,'Metrics'!$R$30+('Metrics'!$B$30-'Metrics'!$J$30)/('Metrics'!$K$30-'Metrics'!$J$30)*('Metrics'!$S$30-'Metrics'!$R$30)),IF('Metrics'!$B$30&lt;='Metrics'!$L$30,IF('Metrics'!$L$30-'Metrics'!$K$30&lt;=0,'Metrics'!$T$30,'Metrics'!$S$30+('Metrics'!$B$30-'Metrics'!$K$30)/('Metrics'!$L$30-'Metrics'!$K$30)*('Metrics'!$T$30-'Metrics'!$S$30)),IF('Metrics'!$M$30-'Metrics'!$L$30&lt;=0,'Metrics'!$U$30,'Metrics'!$T$30+('Metrics'!$B$30-'Metrics'!$L$30)/('Metrics'!$M$30-'Metrics'!$L$30)*('Metrics'!$U$30-'Metrics'!$T$30)))))))))))),""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mergeCells count="1">
    <mergeCell ref="A3:D3"/>
  </mergeCells>
  <pageMargins left="0.75" right="0.75" top="1" bottom="1" header="0.5" footer="0.5"/>
  <headerFooter>
    <oddHeader>&amp;C&amp;"Calibri,Bold"&amp;KB45309Assessment status: Preliminary._x000a_Reviewed and approved as Preliminary.</oddHeader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00B45309"/>
    <outlinePr summaryBelow="1" summaryRight="1"/>
    <pageSetUpPr/>
  </sheetPr>
  <dimension ref="A1:K22"/>
  <sheetViews>
    <sheetView tabSelected="0"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68" t="inlineStr">
        <is>
          <t>Function scores and the outcome rollup</t>
        </is>
      </c>
    </row>
    <row r="3">
      <c r="A3" s="6" t="inlineStr">
        <is>
          <t>Function</t>
        </is>
      </c>
      <c r="B3" s="6" t="inlineStr">
        <is>
          <t>Score</t>
        </is>
      </c>
      <c r="C3" s="6" t="inlineStr">
        <is>
          <t>Physical weight</t>
        </is>
      </c>
      <c r="D3" s="6" t="inlineStr">
        <is>
          <t>Chemical weight</t>
        </is>
      </c>
      <c r="E3" s="6" t="inlineStr">
        <is>
          <t>Biological weight</t>
        </is>
      </c>
      <c r="F3" s="6" t="inlineStr">
        <is>
          <t>Physical weighted</t>
        </is>
      </c>
      <c r="G3" s="6" t="inlineStr">
        <is>
          <t>Chemical weighted</t>
        </is>
      </c>
      <c r="H3" s="6" t="inlineStr">
        <is>
          <t>Biological weighted</t>
        </is>
      </c>
      <c r="I3" s="6" t="inlineStr">
        <is>
          <t>Physical maximum</t>
        </is>
      </c>
      <c r="J3" s="6" t="inlineStr">
        <is>
          <t>Chemical maximum</t>
        </is>
      </c>
      <c r="K3" s="6" t="inlineStr">
        <is>
          <t>Biological maximum</t>
        </is>
      </c>
    </row>
    <row r="4">
      <c r="A4" s="32" t="inlineStr">
        <is>
          <t>Catchment hydrology</t>
        </is>
      </c>
      <c r="B4" s="69">
        <f>IF(COUNT('DEEP Score'!G12:G12)=0,"",SUM('DEEP Score'!G12:G12)/COUNT('DEEP Score'!G12:G12)*15)</f>
        <v/>
      </c>
      <c r="C4" s="32" t="n">
        <v>1</v>
      </c>
      <c r="D4" s="32" t="n">
        <v>0.1</v>
      </c>
      <c r="E4" s="32" t="n">
        <v>0.1</v>
      </c>
      <c r="F4" s="69">
        <f>IF(ISNUMBER('Results'!$B$4),'Results'!$B$4*'Results'!$C$4,0)</f>
        <v/>
      </c>
      <c r="G4" s="69">
        <f>IF(ISNUMBER('Results'!$B$4),'Results'!$B$4*'Results'!$D$4,0)</f>
        <v/>
      </c>
      <c r="H4" s="69">
        <f>IF(ISNUMBER('Results'!$B$4),'Results'!$B$4*'Results'!$E$4,0)</f>
        <v/>
      </c>
      <c r="I4" s="69">
        <f>IF(ISNUMBER('Results'!$B$4),15*'Results'!$C$4,0)</f>
        <v/>
      </c>
      <c r="J4" s="69">
        <f>IF(ISNUMBER('Results'!$B$4),15*'Results'!$D$4,0)</f>
        <v/>
      </c>
      <c r="K4" s="69">
        <f>IF(ISNUMBER('Results'!$B$4),15*'Results'!$E$4,0)</f>
        <v/>
      </c>
    </row>
    <row r="5">
      <c r="A5" s="32" t="inlineStr">
        <is>
          <t>Reach inflow</t>
        </is>
      </c>
      <c r="B5" s="69">
        <f>IF(COUNT('DEEP Score'!G13:G13)=0,"",SUM('DEEP Score'!G13:G13)/COUNT('DEEP Score'!G13:G13)*15)</f>
        <v/>
      </c>
      <c r="C5" s="32" t="n">
        <v>1</v>
      </c>
      <c r="D5" s="32" t="n">
        <v>0.1</v>
      </c>
      <c r="E5" s="32" t="n">
        <v>0.1</v>
      </c>
      <c r="F5" s="69">
        <f>IF(ISNUMBER('Results'!$B$5),'Results'!$B$5*'Results'!$C$5,0)</f>
        <v/>
      </c>
      <c r="G5" s="69">
        <f>IF(ISNUMBER('Results'!$B$5),'Results'!$B$5*'Results'!$D$5,0)</f>
        <v/>
      </c>
      <c r="H5" s="69">
        <f>IF(ISNUMBER('Results'!$B$5),'Results'!$B$5*'Results'!$E$5,0)</f>
        <v/>
      </c>
      <c r="I5" s="69">
        <f>IF(ISNUMBER('Results'!$B$5),15*'Results'!$C$5,0)</f>
        <v/>
      </c>
      <c r="J5" s="69">
        <f>IF(ISNUMBER('Results'!$B$5),15*'Results'!$D$5,0)</f>
        <v/>
      </c>
      <c r="K5" s="69">
        <f>IF(ISNUMBER('Results'!$B$5),15*'Results'!$E$5,0)</f>
        <v/>
      </c>
    </row>
    <row r="6">
      <c r="A6" s="32" t="inlineStr">
        <is>
          <t>Streamflow regime</t>
        </is>
      </c>
      <c r="B6" s="69">
        <f>IF(COUNT('DEEP Score'!G14:G14)=0,"",SUM('DEEP Score'!G14:G14)/COUNT('DEEP Score'!G14:G14)*15)</f>
        <v/>
      </c>
      <c r="C6" s="32" t="n">
        <v>1</v>
      </c>
      <c r="D6" s="32" t="n">
        <v>0.1</v>
      </c>
      <c r="E6" s="32" t="n">
        <v>0.1</v>
      </c>
      <c r="F6" s="69">
        <f>IF(ISNUMBER('Results'!$B$6),'Results'!$B$6*'Results'!$C$6,0)</f>
        <v/>
      </c>
      <c r="G6" s="69">
        <f>IF(ISNUMBER('Results'!$B$6),'Results'!$B$6*'Results'!$D$6,0)</f>
        <v/>
      </c>
      <c r="H6" s="69">
        <f>IF(ISNUMBER('Results'!$B$6),'Results'!$B$6*'Results'!$E$6,0)</f>
        <v/>
      </c>
      <c r="I6" s="69">
        <f>IF(ISNUMBER('Results'!$B$6),15*'Results'!$C$6,0)</f>
        <v/>
      </c>
      <c r="J6" s="69">
        <f>IF(ISNUMBER('Results'!$B$6),15*'Results'!$D$6,0)</f>
        <v/>
      </c>
      <c r="K6" s="69">
        <f>IF(ISNUMBER('Results'!$B$6),15*'Results'!$E$6,0)</f>
        <v/>
      </c>
    </row>
    <row r="7">
      <c r="A7" s="32" t="inlineStr">
        <is>
          <t>Low flow and baseflow dynamics</t>
        </is>
      </c>
      <c r="B7" s="69">
        <f>IF(COUNT('DEEP Score'!G15:G15)=0,"",SUM('DEEP Score'!G15:G15)/COUNT('DEEP Score'!G15:G15)*15)</f>
        <v/>
      </c>
      <c r="C7" s="32" t="n">
        <v>1</v>
      </c>
      <c r="D7" s="32" t="n">
        <v>0.1</v>
      </c>
      <c r="E7" s="32" t="n">
        <v>0.1</v>
      </c>
      <c r="F7" s="69">
        <f>IF(ISNUMBER('Results'!$B$7),'Results'!$B$7*'Results'!$C$7,0)</f>
        <v/>
      </c>
      <c r="G7" s="69">
        <f>IF(ISNUMBER('Results'!$B$7),'Results'!$B$7*'Results'!$D$7,0)</f>
        <v/>
      </c>
      <c r="H7" s="69">
        <f>IF(ISNUMBER('Results'!$B$7),'Results'!$B$7*'Results'!$E$7,0)</f>
        <v/>
      </c>
      <c r="I7" s="69">
        <f>IF(ISNUMBER('Results'!$B$7),15*'Results'!$C$7,0)</f>
        <v/>
      </c>
      <c r="J7" s="69">
        <f>IF(ISNUMBER('Results'!$B$7),15*'Results'!$D$7,0)</f>
        <v/>
      </c>
      <c r="K7" s="69">
        <f>IF(ISNUMBER('Results'!$B$7),15*'Results'!$E$7,0)</f>
        <v/>
      </c>
    </row>
    <row r="8">
      <c r="A8" s="32" t="inlineStr">
        <is>
          <t>Floodplain connectivity</t>
        </is>
      </c>
      <c r="B8" s="69">
        <f>IF(COUNT('DEEP Score'!G16:G16)=0,"",SUM('DEEP Score'!G16:G16)/COUNT('DEEP Score'!G16:G16)*15)</f>
        <v/>
      </c>
      <c r="C8" s="32" t="n">
        <v>1</v>
      </c>
      <c r="D8" s="32" t="n">
        <v>0.1</v>
      </c>
      <c r="E8" s="32" t="n">
        <v>0.1</v>
      </c>
      <c r="F8" s="69">
        <f>IF(ISNUMBER('Results'!$B$8),'Results'!$B$8*'Results'!$C$8,0)</f>
        <v/>
      </c>
      <c r="G8" s="69">
        <f>IF(ISNUMBER('Results'!$B$8),'Results'!$B$8*'Results'!$D$8,0)</f>
        <v/>
      </c>
      <c r="H8" s="69">
        <f>IF(ISNUMBER('Results'!$B$8),'Results'!$B$8*'Results'!$E$8,0)</f>
        <v/>
      </c>
      <c r="I8" s="69">
        <f>IF(ISNUMBER('Results'!$B$8),15*'Results'!$C$8,0)</f>
        <v/>
      </c>
      <c r="J8" s="69">
        <f>IF(ISNUMBER('Results'!$B$8),15*'Results'!$D$8,0)</f>
        <v/>
      </c>
      <c r="K8" s="69">
        <f>IF(ISNUMBER('Results'!$B$8),15*'Results'!$E$8,0)</f>
        <v/>
      </c>
    </row>
    <row r="9">
      <c r="A9" s="32" t="inlineStr">
        <is>
          <t>Channel and floodplain dynamics</t>
        </is>
      </c>
      <c r="B9" s="69">
        <f>IF(COUNT('DEEP Score'!G17:G21)=0,"",SUM('DEEP Score'!G17:G21)/COUNT('DEEP Score'!G17:G21)*15)</f>
        <v/>
      </c>
      <c r="C9" s="32" t="n">
        <v>1</v>
      </c>
      <c r="D9" s="32" t="n">
        <v>0.1</v>
      </c>
      <c r="E9" s="32" t="n">
        <v>0.1</v>
      </c>
      <c r="F9" s="69">
        <f>IF(ISNUMBER('Results'!$B$9),'Results'!$B$9*'Results'!$C$9,0)</f>
        <v/>
      </c>
      <c r="G9" s="69">
        <f>IF(ISNUMBER('Results'!$B$9),'Results'!$B$9*'Results'!$D$9,0)</f>
        <v/>
      </c>
      <c r="H9" s="69">
        <f>IF(ISNUMBER('Results'!$B$9),'Results'!$B$9*'Results'!$E$9,0)</f>
        <v/>
      </c>
      <c r="I9" s="69">
        <f>IF(ISNUMBER('Results'!$B$9),15*'Results'!$C$9,0)</f>
        <v/>
      </c>
      <c r="J9" s="69">
        <f>IF(ISNUMBER('Results'!$B$9),15*'Results'!$D$9,0)</f>
        <v/>
      </c>
      <c r="K9" s="69">
        <f>IF(ISNUMBER('Results'!$B$9),15*'Results'!$E$9,0)</f>
        <v/>
      </c>
    </row>
    <row r="10">
      <c r="A10" s="32" t="inlineStr">
        <is>
          <t>Sediment continuity</t>
        </is>
      </c>
      <c r="B10" s="69">
        <f>IF(COUNT('DEEP Score'!G22:G22)=0,"",SUM('DEEP Score'!G22:G22)/COUNT('DEEP Score'!G22:G22)*15)</f>
        <v/>
      </c>
      <c r="C10" s="32" t="n">
        <v>1</v>
      </c>
      <c r="D10" s="32" t="n">
        <v>0.1</v>
      </c>
      <c r="E10" s="32" t="n">
        <v>0.1</v>
      </c>
      <c r="F10" s="69">
        <f>IF(ISNUMBER('Results'!$B$10),'Results'!$B$10*'Results'!$C$10,0)</f>
        <v/>
      </c>
      <c r="G10" s="69">
        <f>IF(ISNUMBER('Results'!$B$10),'Results'!$B$10*'Results'!$D$10,0)</f>
        <v/>
      </c>
      <c r="H10" s="69">
        <f>IF(ISNUMBER('Results'!$B$10),'Results'!$B$10*'Results'!$E$10,0)</f>
        <v/>
      </c>
      <c r="I10" s="69">
        <f>IF(ISNUMBER('Results'!$B$10),15*'Results'!$C$10,0)</f>
        <v/>
      </c>
      <c r="J10" s="69">
        <f>IF(ISNUMBER('Results'!$B$10),15*'Results'!$D$10,0)</f>
        <v/>
      </c>
      <c r="K10" s="69">
        <f>IF(ISNUMBER('Results'!$B$10),15*'Results'!$E$10,0)</f>
        <v/>
      </c>
    </row>
    <row r="11">
      <c r="A11" s="32" t="inlineStr">
        <is>
          <t>Light &amp; thermal regime</t>
        </is>
      </c>
      <c r="B11" s="69">
        <f>IF(COUNT('DEEP Score'!G23:G23)=0,"",SUM('DEEP Score'!G23:G23)/COUNT('DEEP Score'!G23:G23)*15)</f>
        <v/>
      </c>
      <c r="C11" s="32" t="n">
        <v>0</v>
      </c>
      <c r="D11" s="32" t="n">
        <v>1</v>
      </c>
      <c r="E11" s="32" t="n">
        <v>0.1</v>
      </c>
      <c r="F11" s="69">
        <f>IF(ISNUMBER('Results'!$B$11),'Results'!$B$11*'Results'!$C$11,0)</f>
        <v/>
      </c>
      <c r="G11" s="69">
        <f>IF(ISNUMBER('Results'!$B$11),'Results'!$B$11*'Results'!$D$11,0)</f>
        <v/>
      </c>
      <c r="H11" s="69">
        <f>IF(ISNUMBER('Results'!$B$11),'Results'!$B$11*'Results'!$E$11,0)</f>
        <v/>
      </c>
      <c r="I11" s="69">
        <f>IF(ISNUMBER('Results'!$B$11),15*'Results'!$C$11,0)</f>
        <v/>
      </c>
      <c r="J11" s="69">
        <f>IF(ISNUMBER('Results'!$B$11),15*'Results'!$D$11,0)</f>
        <v/>
      </c>
      <c r="K11" s="69">
        <f>IF(ISNUMBER('Results'!$B$11),15*'Results'!$E$11,0)</f>
        <v/>
      </c>
    </row>
    <row r="12">
      <c r="A12" s="32" t="inlineStr">
        <is>
          <t>Carbon processing</t>
        </is>
      </c>
      <c r="B12" s="69">
        <f>IF(COUNT('DEEP Score'!G24:G28)=0,"",SUM('DEEP Score'!G24:G28)/COUNT('DEEP Score'!G24:G28)*15)</f>
        <v/>
      </c>
      <c r="C12" s="32" t="n">
        <v>0</v>
      </c>
      <c r="D12" s="32" t="n">
        <v>1</v>
      </c>
      <c r="E12" s="32" t="n">
        <v>0.1</v>
      </c>
      <c r="F12" s="69">
        <f>IF(ISNUMBER('Results'!$B$12),'Results'!$B$12*'Results'!$C$12,0)</f>
        <v/>
      </c>
      <c r="G12" s="69">
        <f>IF(ISNUMBER('Results'!$B$12),'Results'!$B$12*'Results'!$D$12,0)</f>
        <v/>
      </c>
      <c r="H12" s="69">
        <f>IF(ISNUMBER('Results'!$B$12),'Results'!$B$12*'Results'!$E$12,0)</f>
        <v/>
      </c>
      <c r="I12" s="69">
        <f>IF(ISNUMBER('Results'!$B$12),15*'Results'!$C$12,0)</f>
        <v/>
      </c>
      <c r="J12" s="69">
        <f>IF(ISNUMBER('Results'!$B$12),15*'Results'!$D$12,0)</f>
        <v/>
      </c>
      <c r="K12" s="69">
        <f>IF(ISNUMBER('Results'!$B$12),15*'Results'!$E$12,0)</f>
        <v/>
      </c>
    </row>
    <row r="13">
      <c r="A13" s="32" t="inlineStr">
        <is>
          <t>Water &amp; soil quality</t>
        </is>
      </c>
      <c r="B13" s="69">
        <f>IF(COUNT('DEEP Score'!G29:G29)=0,"",SUM('DEEP Score'!G29:G29)/COUNT('DEEP Score'!G29:G29)*15)</f>
        <v/>
      </c>
      <c r="C13" s="32" t="n">
        <v>0.1</v>
      </c>
      <c r="D13" s="32" t="n">
        <v>1</v>
      </c>
      <c r="E13" s="32" t="n">
        <v>0.1</v>
      </c>
      <c r="F13" s="69">
        <f>IF(ISNUMBER('Results'!$B$13),'Results'!$B$13*'Results'!$C$13,0)</f>
        <v/>
      </c>
      <c r="G13" s="69">
        <f>IF(ISNUMBER('Results'!$B$13),'Results'!$B$13*'Results'!$D$13,0)</f>
        <v/>
      </c>
      <c r="H13" s="69">
        <f>IF(ISNUMBER('Results'!$B$13),'Results'!$B$13*'Results'!$E$13,0)</f>
        <v/>
      </c>
      <c r="I13" s="69">
        <f>IF(ISNUMBER('Results'!$B$13),15*'Results'!$C$13,0)</f>
        <v/>
      </c>
      <c r="J13" s="69">
        <f>IF(ISNUMBER('Results'!$B$13),15*'Results'!$D$13,0)</f>
        <v/>
      </c>
      <c r="K13" s="69">
        <f>IF(ISNUMBER('Results'!$B$13),15*'Results'!$E$13,0)</f>
        <v/>
      </c>
    </row>
    <row r="14">
      <c r="A14" s="32" t="inlineStr">
        <is>
          <t>Habitat provision</t>
        </is>
      </c>
      <c r="B14" s="69">
        <f>IF(COUNT('DEEP Score'!G30:G34)=0,"",SUM('DEEP Score'!G30:G34)/COUNT('DEEP Score'!G30:G34)*15)</f>
        <v/>
      </c>
      <c r="C14" s="32" t="n">
        <v>0</v>
      </c>
      <c r="D14" s="32" t="n">
        <v>0</v>
      </c>
      <c r="E14" s="32" t="n">
        <v>1</v>
      </c>
      <c r="F14" s="69">
        <f>IF(ISNUMBER('Results'!$B$14),'Results'!$B$14*'Results'!$C$14,0)</f>
        <v/>
      </c>
      <c r="G14" s="69">
        <f>IF(ISNUMBER('Results'!$B$14),'Results'!$B$14*'Results'!$D$14,0)</f>
        <v/>
      </c>
      <c r="H14" s="69">
        <f>IF(ISNUMBER('Results'!$B$14),'Results'!$B$14*'Results'!$E$14,0)</f>
        <v/>
      </c>
      <c r="I14" s="69">
        <f>IF(ISNUMBER('Results'!$B$14),15*'Results'!$C$14,0)</f>
        <v/>
      </c>
      <c r="J14" s="69">
        <f>IF(ISNUMBER('Results'!$B$14),15*'Results'!$D$14,0)</f>
        <v/>
      </c>
      <c r="K14" s="69">
        <f>IF(ISNUMBER('Results'!$B$14),15*'Results'!$E$14,0)</f>
        <v/>
      </c>
    </row>
    <row r="15">
      <c r="A15" s="32" t="inlineStr">
        <is>
          <t>Population support</t>
        </is>
      </c>
      <c r="B15" s="69">
        <f>IF(COUNT('DEEP Score'!G35:G36)=0,"",SUM('DEEP Score'!G35:G36)/COUNT('DEEP Score'!G35:G36)*15)</f>
        <v/>
      </c>
      <c r="C15" s="32" t="n">
        <v>0.1</v>
      </c>
      <c r="D15" s="32" t="n">
        <v>0.1</v>
      </c>
      <c r="E15" s="32" t="n">
        <v>1</v>
      </c>
      <c r="F15" s="69">
        <f>IF(ISNUMBER('Results'!$B$15),'Results'!$B$15*'Results'!$C$15,0)</f>
        <v/>
      </c>
      <c r="G15" s="69">
        <f>IF(ISNUMBER('Results'!$B$15),'Results'!$B$15*'Results'!$D$15,0)</f>
        <v/>
      </c>
      <c r="H15" s="69">
        <f>IF(ISNUMBER('Results'!$B$15),'Results'!$B$15*'Results'!$E$15,0)</f>
        <v/>
      </c>
      <c r="I15" s="69">
        <f>IF(ISNUMBER('Results'!$B$15),15*'Results'!$C$15,0)</f>
        <v/>
      </c>
      <c r="J15" s="69">
        <f>IF(ISNUMBER('Results'!$B$15),15*'Results'!$D$15,0)</f>
        <v/>
      </c>
      <c r="K15" s="69">
        <f>IF(ISNUMBER('Results'!$B$15),15*'Results'!$E$15,0)</f>
        <v/>
      </c>
    </row>
    <row r="16">
      <c r="A16" s="32" t="inlineStr">
        <is>
          <t>Community dynamics</t>
        </is>
      </c>
      <c r="B16" s="69">
        <f>IF(COUNT('DEEP Score'!G37:G37)=0,"",SUM('DEEP Score'!G37:G37)/COUNT('DEEP Score'!G37:G37)*15)</f>
        <v/>
      </c>
      <c r="C16" s="32" t="n">
        <v>0.1</v>
      </c>
      <c r="D16" s="32" t="n">
        <v>0.1</v>
      </c>
      <c r="E16" s="32" t="n">
        <v>1</v>
      </c>
      <c r="F16" s="69">
        <f>IF(ISNUMBER('Results'!$B$16),'Results'!$B$16*'Results'!$C$16,0)</f>
        <v/>
      </c>
      <c r="G16" s="69">
        <f>IF(ISNUMBER('Results'!$B$16),'Results'!$B$16*'Results'!$D$16,0)</f>
        <v/>
      </c>
      <c r="H16" s="69">
        <f>IF(ISNUMBER('Results'!$B$16),'Results'!$B$16*'Results'!$E$16,0)</f>
        <v/>
      </c>
      <c r="I16" s="69">
        <f>IF(ISNUMBER('Results'!$B$16),15*'Results'!$C$16,0)</f>
        <v/>
      </c>
      <c r="J16" s="69">
        <f>IF(ISNUMBER('Results'!$B$16),15*'Results'!$D$16,0)</f>
        <v/>
      </c>
      <c r="K16" s="69">
        <f>IF(ISNUMBER('Results'!$B$16),15*'Results'!$E$16,0)</f>
        <v/>
      </c>
    </row>
    <row r="18">
      <c r="A18" s="6" t="inlineStr">
        <is>
          <t>Outcome</t>
        </is>
      </c>
      <c r="B18" s="6" t="inlineStr">
        <is>
          <t>Sub-index</t>
        </is>
      </c>
    </row>
    <row r="19">
      <c r="A19" s="32" t="inlineStr">
        <is>
          <t>Physical</t>
        </is>
      </c>
      <c r="B19" s="69">
        <f>IF(SUM('Results'!$I$4:$I$16)=0,0,SUM('Results'!$F$4:$F$16)/SUM('Results'!$I$4:$I$16))</f>
        <v/>
      </c>
    </row>
    <row r="20">
      <c r="A20" s="32" t="inlineStr">
        <is>
          <t>Chemical</t>
        </is>
      </c>
      <c r="B20" s="69">
        <f>IF(SUM('Results'!$J$4:$J$16)=0,0,SUM('Results'!$G$4:$G$16)/SUM('Results'!$J$4:$J$16))</f>
        <v/>
      </c>
    </row>
    <row r="21">
      <c r="A21" s="32" t="inlineStr">
        <is>
          <t>Biological</t>
        </is>
      </c>
      <c r="B21" s="69">
        <f>IF(SUM('Results'!$K$4:$K$16)=0,0,SUM('Results'!$H$4:$H$16)/SUM('Results'!$K$4:$K$16))</f>
        <v/>
      </c>
    </row>
    <row r="22">
      <c r="A22" s="55" t="inlineStr">
        <is>
          <t>Ecosystem Condition Index</t>
        </is>
      </c>
      <c r="B22" s="69">
        <f>('Results'!$B$19+'Results'!$B$20+'Results'!$B$21)/3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pageMargins left="0.75" right="0.75" top="1" bottom="1" header="0.5" footer="0.5"/>
  <headerFooter>
    <oddHeader>&amp;C&amp;"Calibri,Bold"&amp;KB45309Assessment status: Preliminary._x000a_Reviewed and approved as Preliminary.</oddHeader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00B45309"/>
    <outlinePr summaryBelow="1" summaryRight="1"/>
    <pageSetUpPr/>
  </sheetPr>
  <dimension ref="A1:V99"/>
  <sheetViews>
    <sheetView tabSelected="0" workbookViewId="0">
      <selection activeCell="A1" sqref="A1"/>
    </sheetView>
  </sheetViews>
  <sheetFormatPr baseColWidth="8" defaultRowHeight="15"/>
  <cols>
    <col width="58" customWidth="1" min="1" max="1"/>
    <col width="34" customWidth="1" min="2" max="2"/>
    <col width="34" customWidth="1" min="3" max="3"/>
    <col width="40" customWidth="1" min="4" max="4"/>
    <col width="60" customWidth="1" min="6" max="6"/>
  </cols>
  <sheetData>
    <row r="1">
      <c r="A1" s="68" t="inlineStr">
        <is>
          <t>Reference curves, bands and weights</t>
        </is>
      </c>
    </row>
    <row r="2">
      <c r="A2" s="5" t="inlineStr">
        <is>
          <t>One row per metric and curve set. Knots in ascending x, the last knot repeated to fill eight. The DEEP Score sheet reads these rows.</t>
        </is>
      </c>
    </row>
    <row r="3" ht="21" customHeight="1">
      <c r="A3" s="3" t="inlineStr">
        <is>
          <t>Assessment status: Preliminary. Reviewed and approved as Preliminary.</t>
        </is>
      </c>
    </row>
    <row r="4">
      <c r="A4" s="6" t="inlineStr">
        <is>
          <t>Curve key</t>
        </is>
      </c>
      <c r="B4" s="6" t="inlineStr">
        <is>
          <t>Metric id</t>
        </is>
      </c>
      <c r="C4" s="6" t="inlineStr">
        <is>
          <t>Metric</t>
        </is>
      </c>
      <c r="D4" s="6" t="inlineStr">
        <is>
          <t>Curve set</t>
        </is>
      </c>
      <c r="E4" s="6" t="inlineStr">
        <is>
          <t>Knots</t>
        </is>
      </c>
      <c r="F4" s="6" t="inlineStr">
        <is>
          <t>Scored against</t>
        </is>
      </c>
      <c r="G4" s="6" t="inlineStr">
        <is>
          <t>x1</t>
        </is>
      </c>
      <c r="H4" s="6" t="inlineStr">
        <is>
          <t>x2</t>
        </is>
      </c>
      <c r="I4" s="6" t="inlineStr">
        <is>
          <t>x3</t>
        </is>
      </c>
      <c r="J4" s="6" t="inlineStr">
        <is>
          <t>x4</t>
        </is>
      </c>
      <c r="K4" s="6" t="inlineStr">
        <is>
          <t>x5</t>
        </is>
      </c>
      <c r="L4" s="6" t="inlineStr">
        <is>
          <t>x6</t>
        </is>
      </c>
      <c r="M4" s="6" t="inlineStr">
        <is>
          <t>x7</t>
        </is>
      </c>
      <c r="N4" s="6" t="inlineStr">
        <is>
          <t>x8</t>
        </is>
      </c>
      <c r="O4" s="6" t="inlineStr">
        <is>
          <t>y1</t>
        </is>
      </c>
      <c r="P4" s="6" t="inlineStr">
        <is>
          <t>y2</t>
        </is>
      </c>
      <c r="Q4" s="6" t="inlineStr">
        <is>
          <t>y3</t>
        </is>
      </c>
      <c r="R4" s="6" t="inlineStr">
        <is>
          <t>y4</t>
        </is>
      </c>
      <c r="S4" s="6" t="inlineStr">
        <is>
          <t>y5</t>
        </is>
      </c>
      <c r="T4" s="6" t="inlineStr">
        <is>
          <t>y6</t>
        </is>
      </c>
      <c r="U4" s="6" t="inlineStr">
        <is>
          <t>y7</t>
        </is>
      </c>
      <c r="V4" s="6" t="inlineStr">
        <is>
          <t>y8</t>
        </is>
      </c>
    </row>
    <row r="5">
      <c r="A5" s="32" t="inlineStr">
        <is>
          <t>catchment_hydrology_land_use_coefficient|</t>
        </is>
      </c>
      <c r="B5" s="32" t="inlineStr">
        <is>
          <t>catchment-hydrology-land-use-coefficient</t>
        </is>
      </c>
      <c r="C5" s="32" t="inlineStr">
        <is>
          <t>Land Use Coefficient</t>
        </is>
      </c>
      <c r="D5" s="32" t="inlineStr"/>
      <c r="E5" s="32" t="n">
        <v>2</v>
      </c>
      <c r="F5" s="32" t="inlineStr"/>
      <c r="G5" s="32" t="n">
        <v>55</v>
      </c>
      <c r="H5" s="32" t="n">
        <v>62</v>
      </c>
      <c r="I5" s="32" t="n">
        <v>62</v>
      </c>
      <c r="J5" s="32" t="n">
        <v>62</v>
      </c>
      <c r="K5" s="32" t="n">
        <v>62</v>
      </c>
      <c r="L5" s="32" t="n">
        <v>62</v>
      </c>
      <c r="M5" s="32" t="n">
        <v>62</v>
      </c>
      <c r="N5" s="32" t="n">
        <v>62</v>
      </c>
      <c r="O5" s="32" t="n">
        <v>1</v>
      </c>
      <c r="P5" s="32" t="n">
        <v>0.7</v>
      </c>
      <c r="Q5" s="32" t="n">
        <v>0.7</v>
      </c>
      <c r="R5" s="32" t="n">
        <v>0.7</v>
      </c>
      <c r="S5" s="32" t="n">
        <v>0.7</v>
      </c>
      <c r="T5" s="32" t="n">
        <v>0.7</v>
      </c>
      <c r="U5" s="32" t="n">
        <v>0.7</v>
      </c>
      <c r="V5" s="32" t="n">
        <v>0.7</v>
      </c>
    </row>
    <row r="6">
      <c r="A6" s="32" t="inlineStr">
        <is>
          <t>reach_inflow_concentrated_flow_points|</t>
        </is>
      </c>
      <c r="B6" s="32" t="inlineStr">
        <is>
          <t>reach-inflow-concentrated-flow-points</t>
        </is>
      </c>
      <c r="C6" s="32" t="inlineStr">
        <is>
          <t>Concentrated Flow Points</t>
        </is>
      </c>
      <c r="D6" s="32" t="inlineStr"/>
      <c r="E6" s="32" t="n">
        <v>2</v>
      </c>
      <c r="F6" s="32" t="inlineStr"/>
      <c r="G6" s="32" t="n">
        <v>0</v>
      </c>
      <c r="H6" s="32" t="n">
        <v>1</v>
      </c>
      <c r="I6" s="32" t="n">
        <v>1</v>
      </c>
      <c r="J6" s="32" t="n">
        <v>1</v>
      </c>
      <c r="K6" s="32" t="n">
        <v>1</v>
      </c>
      <c r="L6" s="32" t="n">
        <v>1</v>
      </c>
      <c r="M6" s="32" t="n">
        <v>1</v>
      </c>
      <c r="N6" s="32" t="n">
        <v>1</v>
      </c>
      <c r="O6" s="32" t="n">
        <v>1</v>
      </c>
      <c r="P6" s="32" t="n">
        <v>0.6899999999999999</v>
      </c>
      <c r="Q6" s="32" t="n">
        <v>0.6899999999999999</v>
      </c>
      <c r="R6" s="32" t="n">
        <v>0.6899999999999999</v>
      </c>
      <c r="S6" s="32" t="n">
        <v>0.6899999999999999</v>
      </c>
      <c r="T6" s="32" t="n">
        <v>0.6899999999999999</v>
      </c>
      <c r="U6" s="32" t="n">
        <v>0.6899999999999999</v>
      </c>
      <c r="V6" s="32" t="n">
        <v>0.6899999999999999</v>
      </c>
    </row>
    <row r="7">
      <c r="A7" s="32" t="inlineStr">
        <is>
          <t>streamflow_regime_flow_alteration_module|</t>
        </is>
      </c>
      <c r="B7" s="32" t="inlineStr">
        <is>
          <t>streamflow-regime-flow-alteration-module</t>
        </is>
      </c>
      <c r="C7" s="32" t="inlineStr">
        <is>
          <t>Flow Alteration Module</t>
        </is>
      </c>
      <c r="D7" s="32" t="inlineStr"/>
      <c r="E7" s="32" t="n">
        <v>2</v>
      </c>
      <c r="F7" s="32" t="inlineStr"/>
      <c r="G7" s="32" t="n">
        <v>0</v>
      </c>
      <c r="H7" s="32" t="n">
        <v>0.9</v>
      </c>
      <c r="I7" s="32" t="n">
        <v>0.9</v>
      </c>
      <c r="J7" s="32" t="n">
        <v>0.9</v>
      </c>
      <c r="K7" s="32" t="n">
        <v>0.9</v>
      </c>
      <c r="L7" s="32" t="n">
        <v>0.9</v>
      </c>
      <c r="M7" s="32" t="n">
        <v>0.9</v>
      </c>
      <c r="N7" s="32" t="n">
        <v>0.9</v>
      </c>
      <c r="O7" s="32" t="n">
        <v>0</v>
      </c>
      <c r="P7" s="32" t="n">
        <v>1</v>
      </c>
      <c r="Q7" s="32" t="n">
        <v>1</v>
      </c>
      <c r="R7" s="32" t="n">
        <v>1</v>
      </c>
      <c r="S7" s="32" t="n">
        <v>1</v>
      </c>
      <c r="T7" s="32" t="n">
        <v>1</v>
      </c>
      <c r="U7" s="32" t="n">
        <v>1</v>
      </c>
      <c r="V7" s="32" t="n">
        <v>1</v>
      </c>
    </row>
    <row r="8">
      <c r="A8" s="32" t="inlineStr">
        <is>
          <t>low_flow_and_baseflow_dynamics_average_depth|CS-I &amp; CS-I MWF; W &lt; 20ft</t>
        </is>
      </c>
      <c r="B8" s="32" t="inlineStr">
        <is>
          <t>low-flow-and-baseflow-dynamics-average-depth</t>
        </is>
      </c>
      <c r="C8" s="32" t="inlineStr">
        <is>
          <t>Average Depth</t>
        </is>
      </c>
      <c r="D8" s="32" t="inlineStr">
        <is>
          <t>CS-I &amp; CS-I MWF; W &lt; 20ft</t>
        </is>
      </c>
      <c r="E8" s="32" t="n">
        <v>2</v>
      </c>
      <c r="F8" s="32" t="inlineStr"/>
      <c r="G8" s="32" t="n">
        <v>0.2</v>
      </c>
      <c r="H8" s="32" t="n">
        <v>1</v>
      </c>
      <c r="I8" s="32" t="n">
        <v>1</v>
      </c>
      <c r="J8" s="32" t="n">
        <v>1</v>
      </c>
      <c r="K8" s="32" t="n">
        <v>1</v>
      </c>
      <c r="L8" s="32" t="n">
        <v>1</v>
      </c>
      <c r="M8" s="32" t="n">
        <v>1</v>
      </c>
      <c r="N8" s="32" t="n">
        <v>1</v>
      </c>
      <c r="O8" s="32" t="n">
        <v>0</v>
      </c>
      <c r="P8" s="32" t="n">
        <v>1</v>
      </c>
      <c r="Q8" s="32" t="n">
        <v>1</v>
      </c>
      <c r="R8" s="32" t="n">
        <v>1</v>
      </c>
      <c r="S8" s="32" t="n">
        <v>1</v>
      </c>
      <c r="T8" s="32" t="n">
        <v>1</v>
      </c>
      <c r="U8" s="32" t="n">
        <v>1</v>
      </c>
      <c r="V8" s="32" t="n">
        <v>1</v>
      </c>
    </row>
    <row r="9">
      <c r="A9" s="32" t="inlineStr">
        <is>
          <t>low_flow_and_baseflow_dynamics_average_depth|CS-I &amp; CS-I MWF; W &gt; 20ft</t>
        </is>
      </c>
      <c r="B9" s="32" t="inlineStr">
        <is>
          <t>low-flow-and-baseflow-dynamics-average-depth</t>
        </is>
      </c>
      <c r="C9" s="32" t="inlineStr">
        <is>
          <t>Average Depth</t>
        </is>
      </c>
      <c r="D9" s="32" t="inlineStr">
        <is>
          <t>CS-I &amp; CS-I MWF; W &gt; 20ft</t>
        </is>
      </c>
      <c r="E9" s="32" t="n">
        <v>2</v>
      </c>
      <c r="F9" s="32" t="inlineStr"/>
      <c r="G9" s="32" t="n">
        <v>0.4</v>
      </c>
      <c r="H9" s="32" t="n">
        <v>1.5</v>
      </c>
      <c r="I9" s="32" t="n">
        <v>1.5</v>
      </c>
      <c r="J9" s="32" t="n">
        <v>1.5</v>
      </c>
      <c r="K9" s="32" t="n">
        <v>1.5</v>
      </c>
      <c r="L9" s="32" t="n">
        <v>1.5</v>
      </c>
      <c r="M9" s="32" t="n">
        <v>1.5</v>
      </c>
      <c r="N9" s="32" t="n">
        <v>1.5</v>
      </c>
      <c r="O9" s="32" t="n">
        <v>0</v>
      </c>
      <c r="P9" s="32" t="n">
        <v>1</v>
      </c>
      <c r="Q9" s="32" t="n">
        <v>1</v>
      </c>
      <c r="R9" s="32" t="n">
        <v>1</v>
      </c>
      <c r="S9" s="32" t="n">
        <v>1</v>
      </c>
      <c r="T9" s="32" t="n">
        <v>1</v>
      </c>
      <c r="U9" s="32" t="n">
        <v>1</v>
      </c>
      <c r="V9" s="32" t="n">
        <v>1</v>
      </c>
    </row>
    <row r="10">
      <c r="A10" s="32" t="inlineStr">
        <is>
          <t>low_flow_and_baseflow_dynamics_average_depth|CS-II</t>
        </is>
      </c>
      <c r="B10" s="32" t="inlineStr">
        <is>
          <t>low-flow-and-baseflow-dynamics-average-depth</t>
        </is>
      </c>
      <c r="C10" s="32" t="inlineStr">
        <is>
          <t>Average Depth</t>
        </is>
      </c>
      <c r="D10" s="32" t="inlineStr">
        <is>
          <t>CS-II</t>
        </is>
      </c>
      <c r="E10" s="32" t="n">
        <v>2</v>
      </c>
      <c r="F10" s="32" t="inlineStr"/>
      <c r="G10" s="32" t="n">
        <v>0.6</v>
      </c>
      <c r="H10" s="32" t="n">
        <v>2.3</v>
      </c>
      <c r="I10" s="32" t="n">
        <v>2.3</v>
      </c>
      <c r="J10" s="32" t="n">
        <v>2.3</v>
      </c>
      <c r="K10" s="32" t="n">
        <v>2.3</v>
      </c>
      <c r="L10" s="32" t="n">
        <v>2.3</v>
      </c>
      <c r="M10" s="32" t="n">
        <v>2.3</v>
      </c>
      <c r="N10" s="32" t="n">
        <v>2.3</v>
      </c>
      <c r="O10" s="32" t="n">
        <v>0</v>
      </c>
      <c r="P10" s="32" t="n">
        <v>1</v>
      </c>
      <c r="Q10" s="32" t="n">
        <v>1</v>
      </c>
      <c r="R10" s="32" t="n">
        <v>1</v>
      </c>
      <c r="S10" s="32" t="n">
        <v>1</v>
      </c>
      <c r="T10" s="32" t="n">
        <v>1</v>
      </c>
      <c r="U10" s="32" t="n">
        <v>1</v>
      </c>
      <c r="V10" s="32" t="n">
        <v>1</v>
      </c>
    </row>
    <row r="11">
      <c r="A11" s="32" t="inlineStr">
        <is>
          <t>floodplain_connectivity_entrenchment_ratio_er|C Streams</t>
        </is>
      </c>
      <c r="B11" s="32" t="inlineStr">
        <is>
          <t>floodplain-connectivity-entrenchment-ratio-er</t>
        </is>
      </c>
      <c r="C11" s="32" t="inlineStr">
        <is>
          <t>Entrenchment Ratio (ER)</t>
        </is>
      </c>
      <c r="D11" s="32" t="inlineStr">
        <is>
          <t>C Streams</t>
        </is>
      </c>
      <c r="E11" s="32" t="n">
        <v>3</v>
      </c>
      <c r="F11" s="32" t="inlineStr"/>
      <c r="G11" s="32" t="n">
        <v>2</v>
      </c>
      <c r="H11" s="32" t="n">
        <v>2.4</v>
      </c>
      <c r="I11" s="32" t="n">
        <v>4.2</v>
      </c>
      <c r="J11" s="32" t="n">
        <v>4.2</v>
      </c>
      <c r="K11" s="32" t="n">
        <v>4.2</v>
      </c>
      <c r="L11" s="32" t="n">
        <v>4.2</v>
      </c>
      <c r="M11" s="32" t="n">
        <v>4.2</v>
      </c>
      <c r="N11" s="32" t="n">
        <v>4.2</v>
      </c>
      <c r="O11" s="32" t="n">
        <v>0.3</v>
      </c>
      <c r="P11" s="32" t="n">
        <v>0.7</v>
      </c>
      <c r="Q11" s="32" t="n">
        <v>1</v>
      </c>
      <c r="R11" s="32" t="n">
        <v>1</v>
      </c>
      <c r="S11" s="32" t="n">
        <v>1</v>
      </c>
      <c r="T11" s="32" t="n">
        <v>1</v>
      </c>
      <c r="U11" s="32" t="n">
        <v>1</v>
      </c>
      <c r="V11" s="32" t="n">
        <v>1</v>
      </c>
    </row>
    <row r="12">
      <c r="A12" s="32" t="inlineStr">
        <is>
          <t>floodplain_connectivity_entrenchment_ratio_er|Cb Streams</t>
        </is>
      </c>
      <c r="B12" s="32" t="inlineStr">
        <is>
          <t>floodplain-connectivity-entrenchment-ratio-er</t>
        </is>
      </c>
      <c r="C12" s="32" t="inlineStr">
        <is>
          <t>Entrenchment Ratio (ER)</t>
        </is>
      </c>
      <c r="D12" s="32" t="inlineStr">
        <is>
          <t>Cb Streams</t>
        </is>
      </c>
      <c r="E12" s="32" t="n">
        <v>3</v>
      </c>
      <c r="F12" s="32" t="inlineStr"/>
      <c r="G12" s="32" t="n">
        <v>2</v>
      </c>
      <c r="H12" s="32" t="n">
        <v>2.4</v>
      </c>
      <c r="I12" s="32" t="n">
        <v>3.9</v>
      </c>
      <c r="J12" s="32" t="n">
        <v>3.9</v>
      </c>
      <c r="K12" s="32" t="n">
        <v>3.9</v>
      </c>
      <c r="L12" s="32" t="n">
        <v>3.9</v>
      </c>
      <c r="M12" s="32" t="n">
        <v>3.9</v>
      </c>
      <c r="N12" s="32" t="n">
        <v>3.9</v>
      </c>
      <c r="O12" s="32" t="n">
        <v>0.3</v>
      </c>
      <c r="P12" s="32" t="n">
        <v>0.7</v>
      </c>
      <c r="Q12" s="32" t="n">
        <v>1</v>
      </c>
      <c r="R12" s="32" t="n">
        <v>1</v>
      </c>
      <c r="S12" s="32" t="n">
        <v>1</v>
      </c>
      <c r="T12" s="32" t="n">
        <v>1</v>
      </c>
      <c r="U12" s="32" t="n">
        <v>1</v>
      </c>
      <c r="V12" s="32" t="n">
        <v>1</v>
      </c>
    </row>
    <row r="13">
      <c r="A13" s="32" t="inlineStr">
        <is>
          <t>floodplain_connectivity_entrenchment_ratio_er|E Streams</t>
        </is>
      </c>
      <c r="B13" s="32" t="inlineStr">
        <is>
          <t>floodplain-connectivity-entrenchment-ratio-er</t>
        </is>
      </c>
      <c r="C13" s="32" t="inlineStr">
        <is>
          <t>Entrenchment Ratio (ER)</t>
        </is>
      </c>
      <c r="D13" s="32" t="inlineStr">
        <is>
          <t>E Streams</t>
        </is>
      </c>
      <c r="E13" s="32" t="n">
        <v>3</v>
      </c>
      <c r="F13" s="32" t="inlineStr"/>
      <c r="G13" s="32" t="n">
        <v>2</v>
      </c>
      <c r="H13" s="32" t="n">
        <v>2.4</v>
      </c>
      <c r="I13" s="32" t="n">
        <v>6.7</v>
      </c>
      <c r="J13" s="32" t="n">
        <v>6.7</v>
      </c>
      <c r="K13" s="32" t="n">
        <v>6.7</v>
      </c>
      <c r="L13" s="32" t="n">
        <v>6.7</v>
      </c>
      <c r="M13" s="32" t="n">
        <v>6.7</v>
      </c>
      <c r="N13" s="32" t="n">
        <v>6.7</v>
      </c>
      <c r="O13" s="32" t="n">
        <v>0.3</v>
      </c>
      <c r="P13" s="32" t="n">
        <v>0.7</v>
      </c>
      <c r="Q13" s="32" t="n">
        <v>1</v>
      </c>
      <c r="R13" s="32" t="n">
        <v>1</v>
      </c>
      <c r="S13" s="32" t="n">
        <v>1</v>
      </c>
      <c r="T13" s="32" t="n">
        <v>1</v>
      </c>
      <c r="U13" s="32" t="n">
        <v>1</v>
      </c>
      <c r="V13" s="32" t="n">
        <v>1</v>
      </c>
    </row>
    <row r="14">
      <c r="A14" s="32" t="inlineStr">
        <is>
          <t>floodplain_connectivity_entrenchment_ratio_er|A and B Streams</t>
        </is>
      </c>
      <c r="B14" s="32" t="inlineStr">
        <is>
          <t>floodplain-connectivity-entrenchment-ratio-er</t>
        </is>
      </c>
      <c r="C14" s="32" t="inlineStr">
        <is>
          <t>Entrenchment Ratio (ER)</t>
        </is>
      </c>
      <c r="D14" s="32" t="inlineStr">
        <is>
          <t>A and B Streams</t>
        </is>
      </c>
      <c r="E14" s="32" t="n">
        <v>3</v>
      </c>
      <c r="F14" s="32" t="inlineStr"/>
      <c r="G14" s="32" t="n">
        <v>1.2</v>
      </c>
      <c r="H14" s="32" t="n">
        <v>1.4</v>
      </c>
      <c r="I14" s="32" t="n">
        <v>2.2</v>
      </c>
      <c r="J14" s="32" t="n">
        <v>2.2</v>
      </c>
      <c r="K14" s="32" t="n">
        <v>2.2</v>
      </c>
      <c r="L14" s="32" t="n">
        <v>2.2</v>
      </c>
      <c r="M14" s="32" t="n">
        <v>2.2</v>
      </c>
      <c r="N14" s="32" t="n">
        <v>2.2</v>
      </c>
      <c r="O14" s="32" t="n">
        <v>0.3</v>
      </c>
      <c r="P14" s="32" t="n">
        <v>0.7</v>
      </c>
      <c r="Q14" s="32" t="n">
        <v>1</v>
      </c>
      <c r="R14" s="32" t="n">
        <v>1</v>
      </c>
      <c r="S14" s="32" t="n">
        <v>1</v>
      </c>
      <c r="T14" s="32" t="n">
        <v>1</v>
      </c>
      <c r="U14" s="32" t="n">
        <v>1</v>
      </c>
      <c r="V14" s="32" t="n">
        <v>1</v>
      </c>
    </row>
    <row r="15">
      <c r="A15" s="32" t="inlineStr">
        <is>
          <t>channel_and_floodplain_dynamics_bank_height_ratio_bhr|All Regimes</t>
        </is>
      </c>
      <c r="B15" s="32" t="inlineStr">
        <is>
          <t>channel-and-floodplain-dynamics-bank-height-ratio-bhr</t>
        </is>
      </c>
      <c r="C15" s="32" t="inlineStr">
        <is>
          <t>Bank Height Ratio (BHR)</t>
        </is>
      </c>
      <c r="D15" s="32" t="inlineStr">
        <is>
          <t>All Regimes</t>
        </is>
      </c>
      <c r="E15" s="32" t="n">
        <v>2</v>
      </c>
      <c r="F15" s="32" t="inlineStr"/>
      <c r="G15" s="32" t="n">
        <v>1</v>
      </c>
      <c r="H15" s="32" t="n">
        <v>1.5</v>
      </c>
      <c r="I15" s="32" t="n">
        <v>1.5</v>
      </c>
      <c r="J15" s="32" t="n">
        <v>1.5</v>
      </c>
      <c r="K15" s="32" t="n">
        <v>1.5</v>
      </c>
      <c r="L15" s="32" t="n">
        <v>1.5</v>
      </c>
      <c r="M15" s="32" t="n">
        <v>1.5</v>
      </c>
      <c r="N15" s="32" t="n">
        <v>1.5</v>
      </c>
      <c r="O15" s="32" t="n">
        <v>1</v>
      </c>
      <c r="P15" s="32" t="n">
        <v>0.3</v>
      </c>
      <c r="Q15" s="32" t="n">
        <v>0.3</v>
      </c>
      <c r="R15" s="32" t="n">
        <v>0.3</v>
      </c>
      <c r="S15" s="32" t="n">
        <v>0.3</v>
      </c>
      <c r="T15" s="32" t="n">
        <v>0.3</v>
      </c>
      <c r="U15" s="32" t="n">
        <v>0.3</v>
      </c>
      <c r="V15" s="32" t="n">
        <v>0.3</v>
      </c>
    </row>
    <row r="16">
      <c r="A16" s="32" t="inlineStr">
        <is>
          <t>channel_and_floodplain_dynamics_bank_height_ratio_bhr|Transport</t>
        </is>
      </c>
      <c r="B16" s="32" t="inlineStr">
        <is>
          <t>channel-and-floodplain-dynamics-bank-height-ratio-bhr</t>
        </is>
      </c>
      <c r="C16" s="32" t="inlineStr">
        <is>
          <t>Bank Height Ratio (BHR)</t>
        </is>
      </c>
      <c r="D16" s="32" t="inlineStr">
        <is>
          <t>Transport</t>
        </is>
      </c>
      <c r="E16" s="32" t="n">
        <v>2</v>
      </c>
      <c r="F16" s="32" t="inlineStr"/>
      <c r="G16" s="32" t="n">
        <v>0.8</v>
      </c>
      <c r="H16" s="32" t="n">
        <v>1</v>
      </c>
      <c r="I16" s="32" t="n">
        <v>1</v>
      </c>
      <c r="J16" s="32" t="n">
        <v>1</v>
      </c>
      <c r="K16" s="32" t="n">
        <v>1</v>
      </c>
      <c r="L16" s="32" t="n">
        <v>1</v>
      </c>
      <c r="M16" s="32" t="n">
        <v>1</v>
      </c>
      <c r="N16" s="32" t="n">
        <v>1</v>
      </c>
      <c r="O16" s="32" t="n">
        <v>0.7</v>
      </c>
      <c r="P16" s="32" t="n">
        <v>1</v>
      </c>
      <c r="Q16" s="32" t="n">
        <v>1</v>
      </c>
      <c r="R16" s="32" t="n">
        <v>1</v>
      </c>
      <c r="S16" s="32" t="n">
        <v>1</v>
      </c>
      <c r="T16" s="32" t="n">
        <v>1</v>
      </c>
      <c r="U16" s="32" t="n">
        <v>1</v>
      </c>
      <c r="V16" s="32" t="n">
        <v>1</v>
      </c>
    </row>
    <row r="17">
      <c r="A17" s="32" t="inlineStr">
        <is>
          <t>channel_and_floodplain_dynamics_greenline_stability_rating|</t>
        </is>
      </c>
      <c r="B17" s="32" t="inlineStr">
        <is>
          <t>channel-and-floodplain-dynamics-greenline-stability-rating</t>
        </is>
      </c>
      <c r="C17" s="32" t="inlineStr">
        <is>
          <t>Greenline Stability Rating</t>
        </is>
      </c>
      <c r="D17" s="32" t="inlineStr"/>
      <c r="E17" s="32" t="n">
        <v>4</v>
      </c>
      <c r="F17" s="32" t="inlineStr"/>
      <c r="G17" s="32" t="n">
        <v>2</v>
      </c>
      <c r="H17" s="32" t="n">
        <v>5</v>
      </c>
      <c r="I17" s="32" t="n">
        <v>7</v>
      </c>
      <c r="J17" s="32" t="n">
        <v>9</v>
      </c>
      <c r="K17" s="32" t="n">
        <v>9</v>
      </c>
      <c r="L17" s="32" t="n">
        <v>9</v>
      </c>
      <c r="M17" s="32" t="n">
        <v>9</v>
      </c>
      <c r="N17" s="32" t="n">
        <v>9</v>
      </c>
      <c r="O17" s="32" t="n">
        <v>0</v>
      </c>
      <c r="P17" s="32" t="n">
        <v>0.3</v>
      </c>
      <c r="Q17" s="32" t="n">
        <v>0.7</v>
      </c>
      <c r="R17" s="32" t="n">
        <v>1</v>
      </c>
      <c r="S17" s="32" t="n">
        <v>1</v>
      </c>
      <c r="T17" s="32" t="n">
        <v>1</v>
      </c>
      <c r="U17" s="32" t="n">
        <v>1</v>
      </c>
      <c r="V17" s="32" t="n">
        <v>1</v>
      </c>
    </row>
    <row r="18">
      <c r="A18" s="32" t="inlineStr">
        <is>
          <t>channel_and_floodplain_dynamics_percent_armoring|</t>
        </is>
      </c>
      <c r="B18" s="32" t="inlineStr">
        <is>
          <t>channel-and-floodplain-dynamics-percent-armoring</t>
        </is>
      </c>
      <c r="C18" s="32" t="inlineStr">
        <is>
          <t>Percent Armoring</t>
        </is>
      </c>
      <c r="D18" s="32" t="inlineStr"/>
      <c r="E18" s="32" t="n">
        <v>2</v>
      </c>
      <c r="F18" s="32" t="inlineStr"/>
      <c r="G18" s="32" t="n">
        <v>0</v>
      </c>
      <c r="H18" s="32" t="n">
        <v>30</v>
      </c>
      <c r="I18" s="32" t="n">
        <v>30</v>
      </c>
      <c r="J18" s="32" t="n">
        <v>30</v>
      </c>
      <c r="K18" s="32" t="n">
        <v>30</v>
      </c>
      <c r="L18" s="32" t="n">
        <v>30</v>
      </c>
      <c r="M18" s="32" t="n">
        <v>30</v>
      </c>
      <c r="N18" s="32" t="n">
        <v>30</v>
      </c>
      <c r="O18" s="32" t="n">
        <v>1</v>
      </c>
      <c r="P18" s="32" t="n">
        <v>0</v>
      </c>
      <c r="Q18" s="32" t="n">
        <v>0</v>
      </c>
      <c r="R18" s="32" t="n">
        <v>0</v>
      </c>
      <c r="S18" s="32" t="n">
        <v>0</v>
      </c>
      <c r="T18" s="32" t="n">
        <v>0</v>
      </c>
      <c r="U18" s="32" t="n">
        <v>0</v>
      </c>
      <c r="V18" s="32" t="n">
        <v>0</v>
      </c>
    </row>
    <row r="19">
      <c r="A19" s="32" t="inlineStr">
        <is>
          <t>channel_and_floodplain_dynamics_percent_side_channels|Unconfined Alluvial</t>
        </is>
      </c>
      <c r="B19" s="32" t="inlineStr">
        <is>
          <t>channel-and-floodplain-dynamics-percent-side-channels</t>
        </is>
      </c>
      <c r="C19" s="32" t="inlineStr">
        <is>
          <t>Percent Side Channels</t>
        </is>
      </c>
      <c r="D19" s="32" t="inlineStr">
        <is>
          <t>Unconfined Alluvial</t>
        </is>
      </c>
      <c r="E19" s="32" t="n">
        <v>4</v>
      </c>
      <c r="F19" s="32" t="inlineStr"/>
      <c r="G19" s="32" t="n">
        <v>0</v>
      </c>
      <c r="H19" s="32" t="n">
        <v>10</v>
      </c>
      <c r="I19" s="32" t="n">
        <v>50</v>
      </c>
      <c r="J19" s="32" t="n">
        <v>100</v>
      </c>
      <c r="K19" s="32" t="n">
        <v>100</v>
      </c>
      <c r="L19" s="32" t="n">
        <v>100</v>
      </c>
      <c r="M19" s="32" t="n">
        <v>100</v>
      </c>
      <c r="N19" s="32" t="n">
        <v>100</v>
      </c>
      <c r="O19" s="32" t="n">
        <v>0</v>
      </c>
      <c r="P19" s="32" t="n">
        <v>0.3</v>
      </c>
      <c r="Q19" s="32" t="n">
        <v>0.7</v>
      </c>
      <c r="R19" s="32" t="n">
        <v>1</v>
      </c>
      <c r="S19" s="32" t="n">
        <v>1</v>
      </c>
      <c r="T19" s="32" t="n">
        <v>1</v>
      </c>
      <c r="U19" s="32" t="n">
        <v>1</v>
      </c>
      <c r="V19" s="32" t="n">
        <v>1</v>
      </c>
    </row>
    <row r="20">
      <c r="A20" s="32" t="inlineStr">
        <is>
          <t>channel_and_floodplain_dynamics_percent_side_channels|Confined Alluvial</t>
        </is>
      </c>
      <c r="B20" s="32" t="inlineStr">
        <is>
          <t>channel-and-floodplain-dynamics-percent-side-channels</t>
        </is>
      </c>
      <c r="C20" s="32" t="inlineStr">
        <is>
          <t>Percent Side Channels</t>
        </is>
      </c>
      <c r="D20" s="32" t="inlineStr">
        <is>
          <t>Confined Alluvial</t>
        </is>
      </c>
      <c r="E20" s="32" t="n">
        <v>4</v>
      </c>
      <c r="F20" s="32" t="inlineStr"/>
      <c r="G20" s="32" t="n">
        <v>0</v>
      </c>
      <c r="H20" s="32" t="n">
        <v>5</v>
      </c>
      <c r="I20" s="32" t="n">
        <v>25</v>
      </c>
      <c r="J20" s="32" t="n">
        <v>50</v>
      </c>
      <c r="K20" s="32" t="n">
        <v>50</v>
      </c>
      <c r="L20" s="32" t="n">
        <v>50</v>
      </c>
      <c r="M20" s="32" t="n">
        <v>50</v>
      </c>
      <c r="N20" s="32" t="n">
        <v>50</v>
      </c>
      <c r="O20" s="32" t="n">
        <v>0</v>
      </c>
      <c r="P20" s="32" t="n">
        <v>0.3</v>
      </c>
      <c r="Q20" s="32" t="n">
        <v>0.7</v>
      </c>
      <c r="R20" s="32" t="n">
        <v>1</v>
      </c>
      <c r="S20" s="32" t="n">
        <v>1</v>
      </c>
      <c r="T20" s="32" t="n">
        <v>1</v>
      </c>
      <c r="U20" s="32" t="n">
        <v>1</v>
      </c>
      <c r="V20" s="32" t="n">
        <v>1</v>
      </c>
    </row>
    <row r="21">
      <c r="A21" s="32" t="inlineStr">
        <is>
          <t>channel_and_floodplain_dynamics_percent_streambank_erosion|</t>
        </is>
      </c>
      <c r="B21" s="32" t="inlineStr">
        <is>
          <t>channel-and-floodplain-dynamics-percent-streambank-erosion</t>
        </is>
      </c>
      <c r="C21" s="32" t="inlineStr">
        <is>
          <t>Percent Streambank Erosion</t>
        </is>
      </c>
      <c r="D21" s="32" t="inlineStr"/>
      <c r="E21" s="32" t="n">
        <v>3</v>
      </c>
      <c r="F21" s="32" t="inlineStr"/>
      <c r="G21" s="32" t="n">
        <v>5</v>
      </c>
      <c r="H21" s="32" t="n">
        <v>10</v>
      </c>
      <c r="I21" s="32" t="n">
        <v>75</v>
      </c>
      <c r="J21" s="32" t="n">
        <v>75</v>
      </c>
      <c r="K21" s="32" t="n">
        <v>75</v>
      </c>
      <c r="L21" s="32" t="n">
        <v>75</v>
      </c>
      <c r="M21" s="32" t="n">
        <v>75</v>
      </c>
      <c r="N21" s="32" t="n">
        <v>75</v>
      </c>
      <c r="O21" s="32" t="n">
        <v>1</v>
      </c>
      <c r="P21" s="32" t="n">
        <v>0.7</v>
      </c>
      <c r="Q21" s="32" t="n">
        <v>0</v>
      </c>
      <c r="R21" s="32" t="n">
        <v>0</v>
      </c>
      <c r="S21" s="32" t="n">
        <v>0</v>
      </c>
      <c r="T21" s="32" t="n">
        <v>0</v>
      </c>
      <c r="U21" s="32" t="n">
        <v>0</v>
      </c>
      <c r="V21" s="32" t="n">
        <v>0</v>
      </c>
    </row>
    <row r="22">
      <c r="A22" s="32" t="inlineStr">
        <is>
          <t>sediment_continuity_aggradation_ratio|</t>
        </is>
      </c>
      <c r="B22" s="32" t="inlineStr">
        <is>
          <t>sediment-continuity-aggradation-ratio</t>
        </is>
      </c>
      <c r="C22" s="32" t="inlineStr">
        <is>
          <t>Aggradation Ratio</t>
        </is>
      </c>
      <c r="D22" s="32" t="inlineStr"/>
      <c r="E22" s="32" t="n">
        <v>4</v>
      </c>
      <c r="F22" s="32" t="inlineStr"/>
      <c r="G22" s="32" t="n">
        <v>1</v>
      </c>
      <c r="H22" s="32" t="n">
        <v>1.2</v>
      </c>
      <c r="I22" s="32" t="n">
        <v>1.4</v>
      </c>
      <c r="J22" s="32" t="n">
        <v>1.6</v>
      </c>
      <c r="K22" s="32" t="n">
        <v>1.6</v>
      </c>
      <c r="L22" s="32" t="n">
        <v>1.6</v>
      </c>
      <c r="M22" s="32" t="n">
        <v>1.6</v>
      </c>
      <c r="N22" s="32" t="n">
        <v>1.6</v>
      </c>
      <c r="O22" s="32" t="n">
        <v>1</v>
      </c>
      <c r="P22" s="32" t="n">
        <v>0.6899999999999999</v>
      </c>
      <c r="Q22" s="32" t="n">
        <v>0.3</v>
      </c>
      <c r="R22" s="32" t="n">
        <v>0</v>
      </c>
      <c r="S22" s="32" t="n">
        <v>0</v>
      </c>
      <c r="T22" s="32" t="n">
        <v>0</v>
      </c>
      <c r="U22" s="32" t="n">
        <v>0</v>
      </c>
      <c r="V22" s="32" t="n">
        <v>0</v>
      </c>
    </row>
    <row r="23">
      <c r="A23" s="32" t="inlineStr">
        <is>
          <t>light_and_thermal_regime_mwat|CS-I (MWF)</t>
        </is>
      </c>
      <c r="B23" s="32" t="inlineStr">
        <is>
          <t>light-and-thermal-regime-mwat</t>
        </is>
      </c>
      <c r="C23" s="32" t="inlineStr">
        <is>
          <t>MWAT</t>
        </is>
      </c>
      <c r="D23" s="32" t="inlineStr">
        <is>
          <t>CS-I (MWF)</t>
        </is>
      </c>
      <c r="E23" s="32" t="n">
        <v>2</v>
      </c>
      <c r="F23" s="32" t="inlineStr"/>
      <c r="G23" s="32" t="n">
        <v>13.8</v>
      </c>
      <c r="H23" s="32" t="n">
        <v>16.9</v>
      </c>
      <c r="I23" s="32" t="n">
        <v>16.9</v>
      </c>
      <c r="J23" s="32" t="n">
        <v>16.9</v>
      </c>
      <c r="K23" s="32" t="n">
        <v>16.9</v>
      </c>
      <c r="L23" s="32" t="n">
        <v>16.9</v>
      </c>
      <c r="M23" s="32" t="n">
        <v>16.9</v>
      </c>
      <c r="N23" s="32" t="n">
        <v>16.9</v>
      </c>
      <c r="O23" s="32" t="n">
        <v>1</v>
      </c>
      <c r="P23" s="32" t="n">
        <v>0.3</v>
      </c>
      <c r="Q23" s="32" t="n">
        <v>0.3</v>
      </c>
      <c r="R23" s="32" t="n">
        <v>0.3</v>
      </c>
      <c r="S23" s="32" t="n">
        <v>0.3</v>
      </c>
      <c r="T23" s="32" t="n">
        <v>0.3</v>
      </c>
      <c r="U23" s="32" t="n">
        <v>0.3</v>
      </c>
      <c r="V23" s="32" t="n">
        <v>0.3</v>
      </c>
    </row>
    <row r="24">
      <c r="A24" s="32" t="inlineStr">
        <is>
          <t>light_and_thermal_regime_mwat|CS-I</t>
        </is>
      </c>
      <c r="B24" s="32" t="inlineStr">
        <is>
          <t>light-and-thermal-regime-mwat</t>
        </is>
      </c>
      <c r="C24" s="32" t="inlineStr">
        <is>
          <t>MWAT</t>
        </is>
      </c>
      <c r="D24" s="32" t="inlineStr">
        <is>
          <t>CS-I</t>
        </is>
      </c>
      <c r="E24" s="32" t="n">
        <v>2</v>
      </c>
      <c r="F24" s="32" t="inlineStr"/>
      <c r="G24" s="32" t="n">
        <v>15.7</v>
      </c>
      <c r="H24" s="32" t="n">
        <v>17</v>
      </c>
      <c r="I24" s="32" t="n">
        <v>17</v>
      </c>
      <c r="J24" s="32" t="n">
        <v>17</v>
      </c>
      <c r="K24" s="32" t="n">
        <v>17</v>
      </c>
      <c r="L24" s="32" t="n">
        <v>17</v>
      </c>
      <c r="M24" s="32" t="n">
        <v>17</v>
      </c>
      <c r="N24" s="32" t="n">
        <v>17</v>
      </c>
      <c r="O24" s="32" t="n">
        <v>1</v>
      </c>
      <c r="P24" s="32" t="n">
        <v>0.3</v>
      </c>
      <c r="Q24" s="32" t="n">
        <v>0.3</v>
      </c>
      <c r="R24" s="32" t="n">
        <v>0.3</v>
      </c>
      <c r="S24" s="32" t="n">
        <v>0.3</v>
      </c>
      <c r="T24" s="32" t="n">
        <v>0.3</v>
      </c>
      <c r="U24" s="32" t="n">
        <v>0.3</v>
      </c>
      <c r="V24" s="32" t="n">
        <v>0.3</v>
      </c>
    </row>
    <row r="25">
      <c r="A25" s="32" t="inlineStr">
        <is>
          <t>light_and_thermal_regime_mwat|CS-II</t>
        </is>
      </c>
      <c r="B25" s="32" t="inlineStr">
        <is>
          <t>light-and-thermal-regime-mwat</t>
        </is>
      </c>
      <c r="C25" s="32" t="inlineStr">
        <is>
          <t>MWAT</t>
        </is>
      </c>
      <c r="D25" s="32" t="inlineStr">
        <is>
          <t>CS-II</t>
        </is>
      </c>
      <c r="E25" s="32" t="n">
        <v>2</v>
      </c>
      <c r="F25" s="32" t="inlineStr"/>
      <c r="G25" s="32" t="n">
        <v>16.6</v>
      </c>
      <c r="H25" s="32" t="n">
        <v>18.3</v>
      </c>
      <c r="I25" s="32" t="n">
        <v>18.3</v>
      </c>
      <c r="J25" s="32" t="n">
        <v>18.3</v>
      </c>
      <c r="K25" s="32" t="n">
        <v>18.3</v>
      </c>
      <c r="L25" s="32" t="n">
        <v>18.3</v>
      </c>
      <c r="M25" s="32" t="n">
        <v>18.3</v>
      </c>
      <c r="N25" s="32" t="n">
        <v>18.3</v>
      </c>
      <c r="O25" s="32" t="n">
        <v>1</v>
      </c>
      <c r="P25" s="32" t="n">
        <v>0.3</v>
      </c>
      <c r="Q25" s="32" t="n">
        <v>0.3</v>
      </c>
      <c r="R25" s="32" t="n">
        <v>0.3</v>
      </c>
      <c r="S25" s="32" t="n">
        <v>0.3</v>
      </c>
      <c r="T25" s="32" t="n">
        <v>0.3</v>
      </c>
      <c r="U25" s="32" t="n">
        <v>0.3</v>
      </c>
      <c r="V25" s="32" t="n">
        <v>0.3</v>
      </c>
    </row>
    <row r="26">
      <c r="A26" s="32" t="inlineStr">
        <is>
          <t>light_and_thermal_regime_mwat|WS-I</t>
        </is>
      </c>
      <c r="B26" s="32" t="inlineStr">
        <is>
          <t>light-and-thermal-regime-mwat</t>
        </is>
      </c>
      <c r="C26" s="32" t="inlineStr">
        <is>
          <t>MWAT</t>
        </is>
      </c>
      <c r="D26" s="32" t="inlineStr">
        <is>
          <t>WS-I</t>
        </is>
      </c>
      <c r="E26" s="32" t="n">
        <v>2</v>
      </c>
      <c r="F26" s="32" t="inlineStr"/>
      <c r="G26" s="32" t="n">
        <v>20.9</v>
      </c>
      <c r="H26" s="32" t="n">
        <v>24.2</v>
      </c>
      <c r="I26" s="32" t="n">
        <v>24.2</v>
      </c>
      <c r="J26" s="32" t="n">
        <v>24.2</v>
      </c>
      <c r="K26" s="32" t="n">
        <v>24.2</v>
      </c>
      <c r="L26" s="32" t="n">
        <v>24.2</v>
      </c>
      <c r="M26" s="32" t="n">
        <v>24.2</v>
      </c>
      <c r="N26" s="32" t="n">
        <v>24.2</v>
      </c>
      <c r="O26" s="32" t="n">
        <v>1</v>
      </c>
      <c r="P26" s="32" t="n">
        <v>0.3</v>
      </c>
      <c r="Q26" s="32" t="n">
        <v>0.3</v>
      </c>
      <c r="R26" s="32" t="n">
        <v>0.3</v>
      </c>
      <c r="S26" s="32" t="n">
        <v>0.3</v>
      </c>
      <c r="T26" s="32" t="n">
        <v>0.3</v>
      </c>
      <c r="U26" s="32" t="n">
        <v>0.3</v>
      </c>
      <c r="V26" s="32" t="n">
        <v>0.3</v>
      </c>
    </row>
    <row r="27">
      <c r="A27" s="32" t="inlineStr">
        <is>
          <t>light_and_thermal_regime_mwat|WS-II</t>
        </is>
      </c>
      <c r="B27" s="32" t="inlineStr">
        <is>
          <t>light-and-thermal-regime-mwat</t>
        </is>
      </c>
      <c r="C27" s="32" t="inlineStr">
        <is>
          <t>MWAT</t>
        </is>
      </c>
      <c r="D27" s="32" t="inlineStr">
        <is>
          <t>WS-II</t>
        </is>
      </c>
      <c r="E27" s="32" t="n">
        <v>2</v>
      </c>
      <c r="F27" s="32" t="inlineStr"/>
      <c r="G27" s="32" t="n">
        <v>22.5</v>
      </c>
      <c r="H27" s="32" t="n">
        <v>27.5</v>
      </c>
      <c r="I27" s="32" t="n">
        <v>27.5</v>
      </c>
      <c r="J27" s="32" t="n">
        <v>27.5</v>
      </c>
      <c r="K27" s="32" t="n">
        <v>27.5</v>
      </c>
      <c r="L27" s="32" t="n">
        <v>27.5</v>
      </c>
      <c r="M27" s="32" t="n">
        <v>27.5</v>
      </c>
      <c r="N27" s="32" t="n">
        <v>27.5</v>
      </c>
      <c r="O27" s="32" t="n">
        <v>1</v>
      </c>
      <c r="P27" s="32" t="n">
        <v>0.3</v>
      </c>
      <c r="Q27" s="32" t="n">
        <v>0.3</v>
      </c>
      <c r="R27" s="32" t="n">
        <v>0.3</v>
      </c>
      <c r="S27" s="32" t="n">
        <v>0.3</v>
      </c>
      <c r="T27" s="32" t="n">
        <v>0.3</v>
      </c>
      <c r="U27" s="32" t="n">
        <v>0.3</v>
      </c>
      <c r="V27" s="32" t="n">
        <v>0.3</v>
      </c>
    </row>
    <row r="28">
      <c r="A28" s="32" t="inlineStr">
        <is>
          <t>light_and_thermal_regime_mwat|WS-III</t>
        </is>
      </c>
      <c r="B28" s="32" t="inlineStr">
        <is>
          <t>light-and-thermal-regime-mwat</t>
        </is>
      </c>
      <c r="C28" s="32" t="inlineStr">
        <is>
          <t>MWAT</t>
        </is>
      </c>
      <c r="D28" s="32" t="inlineStr">
        <is>
          <t>WS-III</t>
        </is>
      </c>
      <c r="E28" s="32" t="n">
        <v>2</v>
      </c>
      <c r="F28" s="32" t="inlineStr"/>
      <c r="G28" s="32" t="n">
        <v>25.9</v>
      </c>
      <c r="H28" s="32" t="n">
        <v>28.7</v>
      </c>
      <c r="I28" s="32" t="n">
        <v>28.7</v>
      </c>
      <c r="J28" s="32" t="n">
        <v>28.7</v>
      </c>
      <c r="K28" s="32" t="n">
        <v>28.7</v>
      </c>
      <c r="L28" s="32" t="n">
        <v>28.7</v>
      </c>
      <c r="M28" s="32" t="n">
        <v>28.7</v>
      </c>
      <c r="N28" s="32" t="n">
        <v>28.7</v>
      </c>
      <c r="O28" s="32" t="n">
        <v>1</v>
      </c>
      <c r="P28" s="32" t="n">
        <v>0.3</v>
      </c>
      <c r="Q28" s="32" t="n">
        <v>0.3</v>
      </c>
      <c r="R28" s="32" t="n">
        <v>0.3</v>
      </c>
      <c r="S28" s="32" t="n">
        <v>0.3</v>
      </c>
      <c r="T28" s="32" t="n">
        <v>0.3</v>
      </c>
      <c r="U28" s="32" t="n">
        <v>0.3</v>
      </c>
      <c r="V28" s="32" t="n">
        <v>0.3</v>
      </c>
    </row>
    <row r="29">
      <c r="A29" s="32" t="inlineStr">
        <is>
          <t>carbon_processing_chlorophyll|Biotypes 1 and 2</t>
        </is>
      </c>
      <c r="B29" s="32" t="inlineStr">
        <is>
          <t>carbon-processing-chlorophyll</t>
        </is>
      </c>
      <c r="C29" s="32" t="inlineStr">
        <is>
          <t>Chlorophyll ?</t>
        </is>
      </c>
      <c r="D29" s="32" t="inlineStr">
        <is>
          <t>Biotypes 1 and 2</t>
        </is>
      </c>
      <c r="E29" s="32" t="n">
        <v>3</v>
      </c>
      <c r="F29" s="32" t="inlineStr"/>
      <c r="G29" s="32" t="n">
        <v>12</v>
      </c>
      <c r="H29" s="32" t="n">
        <v>27</v>
      </c>
      <c r="I29" s="32" t="n">
        <v>53</v>
      </c>
      <c r="J29" s="32" t="n">
        <v>53</v>
      </c>
      <c r="K29" s="32" t="n">
        <v>53</v>
      </c>
      <c r="L29" s="32" t="n">
        <v>53</v>
      </c>
      <c r="M29" s="32" t="n">
        <v>53</v>
      </c>
      <c r="N29" s="32" t="n">
        <v>53</v>
      </c>
      <c r="O29" s="32" t="n">
        <v>1</v>
      </c>
      <c r="P29" s="32" t="n">
        <v>0.6899999999999999</v>
      </c>
      <c r="Q29" s="32" t="n">
        <v>0.29</v>
      </c>
      <c r="R29" s="32" t="n">
        <v>0.29</v>
      </c>
      <c r="S29" s="32" t="n">
        <v>0.29</v>
      </c>
      <c r="T29" s="32" t="n">
        <v>0.29</v>
      </c>
      <c r="U29" s="32" t="n">
        <v>0.29</v>
      </c>
      <c r="V29" s="32" t="n">
        <v>0.29</v>
      </c>
    </row>
    <row r="30">
      <c r="A30" s="32" t="inlineStr">
        <is>
          <t>carbon_processing_chlorophyll|Biotype 3</t>
        </is>
      </c>
      <c r="B30" s="32" t="inlineStr">
        <is>
          <t>carbon-processing-chlorophyll</t>
        </is>
      </c>
      <c r="C30" s="32" t="inlineStr">
        <is>
          <t>Chlorophyll ?</t>
        </is>
      </c>
      <c r="D30" s="32" t="inlineStr">
        <is>
          <t>Biotype 3</t>
        </is>
      </c>
      <c r="E30" s="32" t="n">
        <v>4</v>
      </c>
      <c r="F30" s="32" t="inlineStr"/>
      <c r="G30" s="32" t="n">
        <v>16</v>
      </c>
      <c r="H30" s="32" t="n">
        <v>29</v>
      </c>
      <c r="I30" s="32" t="n">
        <v>117</v>
      </c>
      <c r="J30" s="32" t="n">
        <v>150</v>
      </c>
      <c r="K30" s="32" t="n">
        <v>150</v>
      </c>
      <c r="L30" s="32" t="n">
        <v>150</v>
      </c>
      <c r="M30" s="32" t="n">
        <v>150</v>
      </c>
      <c r="N30" s="32" t="n">
        <v>150</v>
      </c>
      <c r="O30" s="32" t="n">
        <v>1</v>
      </c>
      <c r="P30" s="32" t="n">
        <v>0.6899999999999999</v>
      </c>
      <c r="Q30" s="32" t="n">
        <v>0.29</v>
      </c>
      <c r="R30" s="32" t="n">
        <v>0</v>
      </c>
      <c r="S30" s="32" t="n">
        <v>0</v>
      </c>
      <c r="T30" s="32" t="n">
        <v>0</v>
      </c>
      <c r="U30" s="32" t="n">
        <v>0</v>
      </c>
      <c r="V30" s="32" t="n">
        <v>0</v>
      </c>
    </row>
    <row r="31">
      <c r="A31" s="32" t="inlineStr">
        <is>
          <t>carbon_processing_herbaceous_vegetation_cover|</t>
        </is>
      </c>
      <c r="B31" s="32" t="inlineStr">
        <is>
          <t>carbon-processing-herbaceous-vegetation-cover</t>
        </is>
      </c>
      <c r="C31" s="32" t="inlineStr">
        <is>
          <t>Herbaceous Vegetation Cover</t>
        </is>
      </c>
      <c r="D31" s="32" t="inlineStr"/>
      <c r="E31" s="32" t="n">
        <v>3</v>
      </c>
      <c r="F31" s="32" t="inlineStr"/>
      <c r="G31" s="32" t="n">
        <v>34</v>
      </c>
      <c r="H31" s="32" t="n">
        <v>73</v>
      </c>
      <c r="I31" s="32" t="n">
        <v>120</v>
      </c>
      <c r="J31" s="32" t="n">
        <v>120</v>
      </c>
      <c r="K31" s="32" t="n">
        <v>120</v>
      </c>
      <c r="L31" s="32" t="n">
        <v>120</v>
      </c>
      <c r="M31" s="32" t="n">
        <v>120</v>
      </c>
      <c r="N31" s="32" t="n">
        <v>120</v>
      </c>
      <c r="O31" s="32" t="n">
        <v>0</v>
      </c>
      <c r="P31" s="32" t="n">
        <v>0.7</v>
      </c>
      <c r="Q31" s="32" t="n">
        <v>1</v>
      </c>
      <c r="R31" s="32" t="n">
        <v>1</v>
      </c>
      <c r="S31" s="32" t="n">
        <v>1</v>
      </c>
      <c r="T31" s="32" t="n">
        <v>1</v>
      </c>
      <c r="U31" s="32" t="n">
        <v>1</v>
      </c>
      <c r="V31" s="32" t="n">
        <v>1</v>
      </c>
    </row>
    <row r="32">
      <c r="A32" s="32" t="inlineStr">
        <is>
          <t>carbon_processing_percent_native_cover|</t>
        </is>
      </c>
      <c r="B32" s="32" t="inlineStr">
        <is>
          <t>carbon-processing-percent-native-cover</t>
        </is>
      </c>
      <c r="C32" s="32" t="inlineStr">
        <is>
          <t>Percent Native Cover</t>
        </is>
      </c>
      <c r="D32" s="32" t="inlineStr"/>
      <c r="E32" s="32" t="n">
        <v>3</v>
      </c>
      <c r="F32" s="32" t="inlineStr"/>
      <c r="G32" s="32" t="n">
        <v>65</v>
      </c>
      <c r="H32" s="32" t="n">
        <v>91</v>
      </c>
      <c r="I32" s="32" t="n">
        <v>100</v>
      </c>
      <c r="J32" s="32" t="n">
        <v>100</v>
      </c>
      <c r="K32" s="32" t="n">
        <v>100</v>
      </c>
      <c r="L32" s="32" t="n">
        <v>100</v>
      </c>
      <c r="M32" s="32" t="n">
        <v>100</v>
      </c>
      <c r="N32" s="32" t="n">
        <v>100</v>
      </c>
      <c r="O32" s="32" t="n">
        <v>0.3</v>
      </c>
      <c r="P32" s="32" t="n">
        <v>0.6899999999999999</v>
      </c>
      <c r="Q32" s="32" t="n">
        <v>1</v>
      </c>
      <c r="R32" s="32" t="n">
        <v>1</v>
      </c>
      <c r="S32" s="32" t="n">
        <v>1</v>
      </c>
      <c r="T32" s="32" t="n">
        <v>1</v>
      </c>
      <c r="U32" s="32" t="n">
        <v>1</v>
      </c>
      <c r="V32" s="32" t="n">
        <v>1</v>
      </c>
    </row>
    <row r="33">
      <c r="A33" s="32" t="inlineStr">
        <is>
          <t>carbon_processing_riparian_extent|Unconfined Alluvial Valleys</t>
        </is>
      </c>
      <c r="B33" s="32" t="inlineStr">
        <is>
          <t>carbon-processing-riparian-extent</t>
        </is>
      </c>
      <c r="C33" s="32" t="inlineStr">
        <is>
          <t>Riparian Extent</t>
        </is>
      </c>
      <c r="D33" s="32" t="inlineStr">
        <is>
          <t>Unconfined Alluvial Valleys</t>
        </is>
      </c>
      <c r="E33" s="32" t="n">
        <v>3</v>
      </c>
      <c r="F33" s="32" t="inlineStr"/>
      <c r="G33" s="32" t="n">
        <v>0</v>
      </c>
      <c r="H33" s="32" t="n">
        <v>30</v>
      </c>
      <c r="I33" s="32" t="n">
        <v>100</v>
      </c>
      <c r="J33" s="32" t="n">
        <v>100</v>
      </c>
      <c r="K33" s="32" t="n">
        <v>100</v>
      </c>
      <c r="L33" s="32" t="n">
        <v>100</v>
      </c>
      <c r="M33" s="32" t="n">
        <v>100</v>
      </c>
      <c r="N33" s="32" t="n">
        <v>100</v>
      </c>
      <c r="O33" s="32" t="n">
        <v>0</v>
      </c>
      <c r="P33" s="32" t="n">
        <v>0.29</v>
      </c>
      <c r="Q33" s="32" t="n">
        <v>1</v>
      </c>
      <c r="R33" s="32" t="n">
        <v>1</v>
      </c>
      <c r="S33" s="32" t="n">
        <v>1</v>
      </c>
      <c r="T33" s="32" t="n">
        <v>1</v>
      </c>
      <c r="U33" s="32" t="n">
        <v>1</v>
      </c>
      <c r="V33" s="32" t="n">
        <v>1</v>
      </c>
    </row>
    <row r="34">
      <c r="A34" s="32" t="inlineStr">
        <is>
          <t>carbon_processing_riparian_extent|Confined Alluvial, Colluvial/V-Shaped, or Bedrock Valleys</t>
        </is>
      </c>
      <c r="B34" s="32" t="inlineStr">
        <is>
          <t>carbon-processing-riparian-extent</t>
        </is>
      </c>
      <c r="C34" s="32" t="inlineStr">
        <is>
          <t>Riparian Extent</t>
        </is>
      </c>
      <c r="D34" s="32" t="inlineStr">
        <is>
          <t>Confined Alluvial, Colluvial/V-Shaped, or Bedrock Valleys</t>
        </is>
      </c>
      <c r="E34" s="32" t="n">
        <v>3</v>
      </c>
      <c r="F34" s="32" t="inlineStr"/>
      <c r="G34" s="32" t="n">
        <v>0</v>
      </c>
      <c r="H34" s="32" t="n">
        <v>60</v>
      </c>
      <c r="I34" s="32" t="n">
        <v>100</v>
      </c>
      <c r="J34" s="32" t="n">
        <v>100</v>
      </c>
      <c r="K34" s="32" t="n">
        <v>100</v>
      </c>
      <c r="L34" s="32" t="n">
        <v>100</v>
      </c>
      <c r="M34" s="32" t="n">
        <v>100</v>
      </c>
      <c r="N34" s="32" t="n">
        <v>100</v>
      </c>
      <c r="O34" s="32" t="n">
        <v>0</v>
      </c>
      <c r="P34" s="32" t="n">
        <v>0.29</v>
      </c>
      <c r="Q34" s="32" t="n">
        <v>1</v>
      </c>
      <c r="R34" s="32" t="n">
        <v>1</v>
      </c>
      <c r="S34" s="32" t="n">
        <v>1</v>
      </c>
      <c r="T34" s="32" t="n">
        <v>1</v>
      </c>
      <c r="U34" s="32" t="n">
        <v>1</v>
      </c>
      <c r="V34" s="32" t="n">
        <v>1</v>
      </c>
    </row>
    <row r="35">
      <c r="A35" s="32" t="inlineStr">
        <is>
          <t>carbon_processing_woody_vegetation_cover|Mountains &amp; Basins</t>
        </is>
      </c>
      <c r="B35" s="32" t="inlineStr">
        <is>
          <t>carbon-processing-woody-vegetation-cover</t>
        </is>
      </c>
      <c r="C35" s="32" t="inlineStr">
        <is>
          <t>Woody Vegetation Cover</t>
        </is>
      </c>
      <c r="D35" s="32" t="inlineStr">
        <is>
          <t>Mountains &amp; Basins</t>
        </is>
      </c>
      <c r="E35" s="32" t="n">
        <v>3</v>
      </c>
      <c r="F35" s="32" t="inlineStr"/>
      <c r="G35" s="32" t="n">
        <v>0</v>
      </c>
      <c r="H35" s="32" t="n">
        <v>69</v>
      </c>
      <c r="I35" s="32" t="n">
        <v>122</v>
      </c>
      <c r="J35" s="32" t="n">
        <v>122</v>
      </c>
      <c r="K35" s="32" t="n">
        <v>122</v>
      </c>
      <c r="L35" s="32" t="n">
        <v>122</v>
      </c>
      <c r="M35" s="32" t="n">
        <v>122</v>
      </c>
      <c r="N35" s="32" t="n">
        <v>122</v>
      </c>
      <c r="O35" s="32" t="n">
        <v>0</v>
      </c>
      <c r="P35" s="32" t="n">
        <v>0.7</v>
      </c>
      <c r="Q35" s="32" t="n">
        <v>1</v>
      </c>
      <c r="R35" s="32" t="n">
        <v>1</v>
      </c>
      <c r="S35" s="32" t="n">
        <v>1</v>
      </c>
      <c r="T35" s="32" t="n">
        <v>1</v>
      </c>
      <c r="U35" s="32" t="n">
        <v>1</v>
      </c>
      <c r="V35" s="32" t="n">
        <v>1</v>
      </c>
    </row>
    <row r="36">
      <c r="A36" s="32" t="inlineStr">
        <is>
          <t>carbon_processing_woody_vegetation_cover|Plains</t>
        </is>
      </c>
      <c r="B36" s="32" t="inlineStr">
        <is>
          <t>carbon-processing-woody-vegetation-cover</t>
        </is>
      </c>
      <c r="C36" s="32" t="inlineStr">
        <is>
          <t>Woody Vegetation Cover</t>
        </is>
      </c>
      <c r="D36" s="32" t="inlineStr">
        <is>
          <t>Plains</t>
        </is>
      </c>
      <c r="E36" s="32" t="n">
        <v>3</v>
      </c>
      <c r="F36" s="32" t="inlineStr"/>
      <c r="G36" s="32" t="n">
        <v>0</v>
      </c>
      <c r="H36" s="32" t="n">
        <v>76</v>
      </c>
      <c r="I36" s="32" t="n">
        <v>101</v>
      </c>
      <c r="J36" s="32" t="n">
        <v>101</v>
      </c>
      <c r="K36" s="32" t="n">
        <v>101</v>
      </c>
      <c r="L36" s="32" t="n">
        <v>101</v>
      </c>
      <c r="M36" s="32" t="n">
        <v>101</v>
      </c>
      <c r="N36" s="32" t="n">
        <v>101</v>
      </c>
      <c r="O36" s="32" t="n">
        <v>0</v>
      </c>
      <c r="P36" s="32" t="n">
        <v>1</v>
      </c>
      <c r="Q36" s="32" t="n">
        <v>0.29</v>
      </c>
      <c r="R36" s="32" t="n">
        <v>0.29</v>
      </c>
      <c r="S36" s="32" t="n">
        <v>0.29</v>
      </c>
      <c r="T36" s="32" t="n">
        <v>0.29</v>
      </c>
      <c r="U36" s="32" t="n">
        <v>0.29</v>
      </c>
      <c r="V36" s="32" t="n">
        <v>0.29</v>
      </c>
    </row>
    <row r="37">
      <c r="A37" s="32" t="inlineStr">
        <is>
          <t>water_and_soil_quality_dissolved_oxygen_concentration|</t>
        </is>
      </c>
      <c r="B37" s="32" t="inlineStr">
        <is>
          <t>water-and-soil-quality-dissolved-oxygen-concentration</t>
        </is>
      </c>
      <c r="C37" s="32" t="inlineStr">
        <is>
          <t>Dissolved Oxygen Concentration</t>
        </is>
      </c>
      <c r="D37" s="32" t="inlineStr"/>
      <c r="E37" s="32" t="n">
        <v>2</v>
      </c>
      <c r="F37" s="32" t="inlineStr"/>
      <c r="G37" s="32" t="n">
        <v>6</v>
      </c>
      <c r="H37" s="32" t="n">
        <v>9</v>
      </c>
      <c r="I37" s="32" t="n">
        <v>9</v>
      </c>
      <c r="J37" s="32" t="n">
        <v>9</v>
      </c>
      <c r="K37" s="32" t="n">
        <v>9</v>
      </c>
      <c r="L37" s="32" t="n">
        <v>9</v>
      </c>
      <c r="M37" s="32" t="n">
        <v>9</v>
      </c>
      <c r="N37" s="32" t="n">
        <v>9</v>
      </c>
      <c r="O37" s="32" t="n">
        <v>0</v>
      </c>
      <c r="P37" s="32" t="n">
        <v>0.7</v>
      </c>
      <c r="Q37" s="32" t="n">
        <v>0.7</v>
      </c>
      <c r="R37" s="32" t="n">
        <v>0.7</v>
      </c>
      <c r="S37" s="32" t="n">
        <v>0.7</v>
      </c>
      <c r="T37" s="32" t="n">
        <v>0.7</v>
      </c>
      <c r="U37" s="32" t="n">
        <v>0.7</v>
      </c>
      <c r="V37" s="32" t="n">
        <v>0.7</v>
      </c>
    </row>
    <row r="38">
      <c r="A38" s="32" t="inlineStr">
        <is>
          <t>habitat_provision_lwd|</t>
        </is>
      </c>
      <c r="B38" s="32" t="inlineStr">
        <is>
          <t>habitat-provision-lwd</t>
        </is>
      </c>
      <c r="C38" s="32" t="inlineStr">
        <is>
          <t>LWD</t>
        </is>
      </c>
      <c r="D38" s="32" t="inlineStr"/>
      <c r="E38" s="32" t="n">
        <v>3</v>
      </c>
      <c r="F38" s="32" t="inlineStr"/>
      <c r="G38" s="32" t="n">
        <v>0</v>
      </c>
      <c r="H38" s="32" t="n">
        <v>13</v>
      </c>
      <c r="I38" s="32" t="n">
        <v>28</v>
      </c>
      <c r="J38" s="32" t="n">
        <v>28</v>
      </c>
      <c r="K38" s="32" t="n">
        <v>28</v>
      </c>
      <c r="L38" s="32" t="n">
        <v>28</v>
      </c>
      <c r="M38" s="32" t="n">
        <v>28</v>
      </c>
      <c r="N38" s="32" t="n">
        <v>28</v>
      </c>
      <c r="O38" s="32" t="n">
        <v>0</v>
      </c>
      <c r="P38" s="32" t="n">
        <v>0.7</v>
      </c>
      <c r="Q38" s="32" t="n">
        <v>1</v>
      </c>
      <c r="R38" s="32" t="n">
        <v>1</v>
      </c>
      <c r="S38" s="32" t="n">
        <v>1</v>
      </c>
      <c r="T38" s="32" t="n">
        <v>1</v>
      </c>
      <c r="U38" s="32" t="n">
        <v>1</v>
      </c>
      <c r="V38" s="32" t="n">
        <v>1</v>
      </c>
    </row>
    <row r="39">
      <c r="A39" s="32" t="inlineStr">
        <is>
          <t>habitat_provision_lwd_index|</t>
        </is>
      </c>
      <c r="B39" s="32" t="inlineStr">
        <is>
          <t>habitat-provision-lwd-index</t>
        </is>
      </c>
      <c r="C39" s="32" t="inlineStr">
        <is>
          <t>LWD Index</t>
        </is>
      </c>
      <c r="D39" s="32" t="inlineStr"/>
      <c r="E39" s="32" t="n">
        <v>3</v>
      </c>
      <c r="F39" s="32" t="inlineStr"/>
      <c r="G39" s="32" t="n">
        <v>0</v>
      </c>
      <c r="H39" s="32" t="n">
        <v>430</v>
      </c>
      <c r="I39" s="32" t="n">
        <v>660</v>
      </c>
      <c r="J39" s="32" t="n">
        <v>660</v>
      </c>
      <c r="K39" s="32" t="n">
        <v>660</v>
      </c>
      <c r="L39" s="32" t="n">
        <v>660</v>
      </c>
      <c r="M39" s="32" t="n">
        <v>660</v>
      </c>
      <c r="N39" s="32" t="n">
        <v>660</v>
      </c>
      <c r="O39" s="32" t="n">
        <v>0</v>
      </c>
      <c r="P39" s="32" t="n">
        <v>0.7</v>
      </c>
      <c r="Q39" s="32" t="n">
        <v>1</v>
      </c>
      <c r="R39" s="32" t="n">
        <v>1</v>
      </c>
      <c r="S39" s="32" t="n">
        <v>1</v>
      </c>
      <c r="T39" s="32" t="n">
        <v>1</v>
      </c>
      <c r="U39" s="32" t="n">
        <v>1</v>
      </c>
      <c r="V39" s="32" t="n">
        <v>1</v>
      </c>
    </row>
    <row r="40">
      <c r="A40" s="32" t="inlineStr">
        <is>
          <t>habitat_provision_percent_riffle|Streams &lt; 3% slope</t>
        </is>
      </c>
      <c r="B40" s="32" t="inlineStr">
        <is>
          <t>habitat-provision-percent-riffle</t>
        </is>
      </c>
      <c r="C40" s="32" t="inlineStr">
        <is>
          <t>Percent Riffle</t>
        </is>
      </c>
      <c r="D40" s="32" t="inlineStr">
        <is>
          <t>Streams &lt; 3% slope</t>
        </is>
      </c>
      <c r="E40" s="32" t="n">
        <v>2</v>
      </c>
      <c r="F40" s="32" t="inlineStr"/>
      <c r="G40" s="32" t="n">
        <v>39</v>
      </c>
      <c r="H40" s="32" t="n">
        <v>50</v>
      </c>
      <c r="I40" s="32" t="n">
        <v>50</v>
      </c>
      <c r="J40" s="32" t="n">
        <v>50</v>
      </c>
      <c r="K40" s="32" t="n">
        <v>50</v>
      </c>
      <c r="L40" s="32" t="n">
        <v>50</v>
      </c>
      <c r="M40" s="32" t="n">
        <v>50</v>
      </c>
      <c r="N40" s="32" t="n">
        <v>50</v>
      </c>
      <c r="O40" s="32" t="n">
        <v>0.7</v>
      </c>
      <c r="P40" s="32" t="n">
        <v>1</v>
      </c>
      <c r="Q40" s="32" t="n">
        <v>1</v>
      </c>
      <c r="R40" s="32" t="n">
        <v>1</v>
      </c>
      <c r="S40" s="32" t="n">
        <v>1</v>
      </c>
      <c r="T40" s="32" t="n">
        <v>1</v>
      </c>
      <c r="U40" s="32" t="n">
        <v>1</v>
      </c>
      <c r="V40" s="32" t="n">
        <v>1</v>
      </c>
    </row>
    <row r="41">
      <c r="A41" s="32" t="inlineStr">
        <is>
          <t>habitat_provision_percent_riffle|Streams &lt; 3% slope / Overall</t>
        </is>
      </c>
      <c r="B41" s="32" t="inlineStr">
        <is>
          <t>habitat-provision-percent-riffle</t>
        </is>
      </c>
      <c r="C41" s="32" t="inlineStr">
        <is>
          <t>Percent Riffle</t>
        </is>
      </c>
      <c r="D41" s="32" t="inlineStr">
        <is>
          <t>Streams &lt; 3% slope / Overall</t>
        </is>
      </c>
      <c r="E41" s="32" t="n">
        <v>2</v>
      </c>
      <c r="F41" s="32" t="inlineStr"/>
      <c r="G41" s="32" t="n">
        <v>60</v>
      </c>
      <c r="H41" s="32" t="n">
        <v>68</v>
      </c>
      <c r="I41" s="32" t="n">
        <v>68</v>
      </c>
      <c r="J41" s="32" t="n">
        <v>68</v>
      </c>
      <c r="K41" s="32" t="n">
        <v>68</v>
      </c>
      <c r="L41" s="32" t="n">
        <v>68</v>
      </c>
      <c r="M41" s="32" t="n">
        <v>68</v>
      </c>
      <c r="N41" s="32" t="n">
        <v>68</v>
      </c>
      <c r="O41" s="32" t="n">
        <v>0.7</v>
      </c>
      <c r="P41" s="32" t="n">
        <v>1</v>
      </c>
      <c r="Q41" s="32" t="n">
        <v>1</v>
      </c>
      <c r="R41" s="32" t="n">
        <v>1</v>
      </c>
      <c r="S41" s="32" t="n">
        <v>1</v>
      </c>
      <c r="T41" s="32" t="n">
        <v>1</v>
      </c>
      <c r="U41" s="32" t="n">
        <v>1</v>
      </c>
      <c r="V41" s="32" t="n">
        <v>1</v>
      </c>
    </row>
    <row r="42">
      <c r="A42" s="32" t="inlineStr">
        <is>
          <t>habitat_provision_pool_depth_ratio|</t>
        </is>
      </c>
      <c r="B42" s="32" t="inlineStr">
        <is>
          <t>habitat-provision-pool-depth-ratio</t>
        </is>
      </c>
      <c r="C42" s="32" t="inlineStr">
        <is>
          <t>Pool Depth Ratio</t>
        </is>
      </c>
      <c r="D42" s="32" t="inlineStr"/>
      <c r="E42" s="32" t="n">
        <v>3</v>
      </c>
      <c r="F42" s="32" t="inlineStr"/>
      <c r="G42" s="32" t="n">
        <v>1</v>
      </c>
      <c r="H42" s="32" t="n">
        <v>2.2</v>
      </c>
      <c r="I42" s="32" t="n">
        <v>3.2</v>
      </c>
      <c r="J42" s="32" t="n">
        <v>3.2</v>
      </c>
      <c r="K42" s="32" t="n">
        <v>3.2</v>
      </c>
      <c r="L42" s="32" t="n">
        <v>3.2</v>
      </c>
      <c r="M42" s="32" t="n">
        <v>3.2</v>
      </c>
      <c r="N42" s="32" t="n">
        <v>3.2</v>
      </c>
      <c r="O42" s="32" t="n">
        <v>0</v>
      </c>
      <c r="P42" s="32" t="n">
        <v>0.7</v>
      </c>
      <c r="Q42" s="32" t="n">
        <v>1</v>
      </c>
      <c r="R42" s="32" t="n">
        <v>1</v>
      </c>
      <c r="S42" s="32" t="n">
        <v>1</v>
      </c>
      <c r="T42" s="32" t="n">
        <v>1</v>
      </c>
      <c r="U42" s="32" t="n">
        <v>1</v>
      </c>
      <c r="V42" s="32" t="n">
        <v>1</v>
      </c>
    </row>
    <row r="43">
      <c r="A43" s="32" t="inlineStr">
        <is>
          <t>habitat_provision_pool_spacing_ratio|C Stream Types</t>
        </is>
      </c>
      <c r="B43" s="32" t="inlineStr">
        <is>
          <t>habitat-provision-pool-spacing-ratio</t>
        </is>
      </c>
      <c r="C43" s="32" t="inlineStr">
        <is>
          <t>Pool Spacing Ratio</t>
        </is>
      </c>
      <c r="D43" s="32" t="inlineStr">
        <is>
          <t>C Stream Types</t>
        </is>
      </c>
      <c r="E43" s="32" t="n">
        <v>3</v>
      </c>
      <c r="F43" s="32" t="inlineStr"/>
      <c r="G43" s="32" t="n">
        <v>3</v>
      </c>
      <c r="H43" s="32" t="n">
        <v>3.7</v>
      </c>
      <c r="I43" s="32" t="n">
        <v>4</v>
      </c>
      <c r="J43" s="32" t="n">
        <v>4</v>
      </c>
      <c r="K43" s="32" t="n">
        <v>4</v>
      </c>
      <c r="L43" s="32" t="n">
        <v>4</v>
      </c>
      <c r="M43" s="32" t="n">
        <v>4</v>
      </c>
      <c r="N43" s="32" t="n">
        <v>4</v>
      </c>
      <c r="O43" s="32" t="n">
        <v>0</v>
      </c>
      <c r="P43" s="32" t="n">
        <v>0.7</v>
      </c>
      <c r="Q43" s="32" t="n">
        <v>1</v>
      </c>
      <c r="R43" s="32" t="n">
        <v>1</v>
      </c>
      <c r="S43" s="32" t="n">
        <v>1</v>
      </c>
      <c r="T43" s="32" t="n">
        <v>1</v>
      </c>
      <c r="U43" s="32" t="n">
        <v>1</v>
      </c>
      <c r="V43" s="32" t="n">
        <v>1</v>
      </c>
    </row>
    <row r="44">
      <c r="A44" s="32" t="inlineStr">
        <is>
          <t>habitat_provision_pool_spacing_ratio|Cb Stream Types</t>
        </is>
      </c>
      <c r="B44" s="32" t="inlineStr">
        <is>
          <t>habitat-provision-pool-spacing-ratio</t>
        </is>
      </c>
      <c r="C44" s="32" t="inlineStr">
        <is>
          <t>Pool Spacing Ratio</t>
        </is>
      </c>
      <c r="D44" s="32" t="inlineStr">
        <is>
          <t>Cb Stream Types</t>
        </is>
      </c>
      <c r="E44" s="32" t="n">
        <v>2</v>
      </c>
      <c r="F44" s="32" t="inlineStr"/>
      <c r="G44" s="32" t="n">
        <v>3</v>
      </c>
      <c r="H44" s="32" t="n">
        <v>3.7</v>
      </c>
      <c r="I44" s="32" t="n">
        <v>3.7</v>
      </c>
      <c r="J44" s="32" t="n">
        <v>3.7</v>
      </c>
      <c r="K44" s="32" t="n">
        <v>3.7</v>
      </c>
      <c r="L44" s="32" t="n">
        <v>3.7</v>
      </c>
      <c r="M44" s="32" t="n">
        <v>3.7</v>
      </c>
      <c r="N44" s="32" t="n">
        <v>3.7</v>
      </c>
      <c r="O44" s="32" t="n">
        <v>0.7</v>
      </c>
      <c r="P44" s="32" t="n">
        <v>1</v>
      </c>
      <c r="Q44" s="32" t="n">
        <v>1</v>
      </c>
      <c r="R44" s="32" t="n">
        <v>1</v>
      </c>
      <c r="S44" s="32" t="n">
        <v>1</v>
      </c>
      <c r="T44" s="32" t="n">
        <v>1</v>
      </c>
      <c r="U44" s="32" t="n">
        <v>1</v>
      </c>
      <c r="V44" s="32" t="n">
        <v>1</v>
      </c>
    </row>
    <row r="45">
      <c r="A45" s="32" t="inlineStr">
        <is>
          <t>habitat_provision_pool_spacing_ratio|B &amp; Ba Stream Types</t>
        </is>
      </c>
      <c r="B45" s="32" t="inlineStr">
        <is>
          <t>habitat-provision-pool-spacing-ratio</t>
        </is>
      </c>
      <c r="C45" s="32" t="inlineStr">
        <is>
          <t>Pool Spacing Ratio</t>
        </is>
      </c>
      <c r="D45" s="32" t="inlineStr">
        <is>
          <t>B &amp; Ba Stream Types</t>
        </is>
      </c>
      <c r="E45" s="32" t="n">
        <v>3</v>
      </c>
      <c r="F45" s="32" t="inlineStr"/>
      <c r="G45" s="32" t="n">
        <v>3</v>
      </c>
      <c r="H45" s="32" t="n">
        <v>4</v>
      </c>
      <c r="I45" s="32" t="n">
        <v>7.5</v>
      </c>
      <c r="J45" s="32" t="n">
        <v>7.5</v>
      </c>
      <c r="K45" s="32" t="n">
        <v>7.5</v>
      </c>
      <c r="L45" s="32" t="n">
        <v>7.5</v>
      </c>
      <c r="M45" s="32" t="n">
        <v>7.5</v>
      </c>
      <c r="N45" s="32" t="n">
        <v>7.5</v>
      </c>
      <c r="O45" s="32" t="n">
        <v>1</v>
      </c>
      <c r="P45" s="32" t="n">
        <v>0.7</v>
      </c>
      <c r="Q45" s="32" t="n">
        <v>0</v>
      </c>
      <c r="R45" s="32" t="n">
        <v>0</v>
      </c>
      <c r="S45" s="32" t="n">
        <v>0</v>
      </c>
      <c r="T45" s="32" t="n">
        <v>0</v>
      </c>
      <c r="U45" s="32" t="n">
        <v>0</v>
      </c>
      <c r="V45" s="32" t="n">
        <v>0</v>
      </c>
    </row>
    <row r="46">
      <c r="A46" s="32" t="inlineStr">
        <is>
          <t>habitat_provision_pool_spacing_ratio|Bc Stream Types</t>
        </is>
      </c>
      <c r="B46" s="32" t="inlineStr">
        <is>
          <t>habitat-provision-pool-spacing-ratio</t>
        </is>
      </c>
      <c r="C46" s="32" t="inlineStr">
        <is>
          <t>Pool Spacing Ratio</t>
        </is>
      </c>
      <c r="D46" s="32" t="inlineStr">
        <is>
          <t>Bc Stream Types</t>
        </is>
      </c>
      <c r="E46" s="32" t="n">
        <v>2</v>
      </c>
      <c r="F46" s="32" t="inlineStr"/>
      <c r="G46" s="32" t="n">
        <v>3.4</v>
      </c>
      <c r="H46" s="32" t="n">
        <v>6</v>
      </c>
      <c r="I46" s="32" t="n">
        <v>6</v>
      </c>
      <c r="J46" s="32" t="n">
        <v>6</v>
      </c>
      <c r="K46" s="32" t="n">
        <v>6</v>
      </c>
      <c r="L46" s="32" t="n">
        <v>6</v>
      </c>
      <c r="M46" s="32" t="n">
        <v>6</v>
      </c>
      <c r="N46" s="32" t="n">
        <v>6</v>
      </c>
      <c r="O46" s="32" t="n">
        <v>1</v>
      </c>
      <c r="P46" s="32" t="n">
        <v>0.7</v>
      </c>
      <c r="Q46" s="32" t="n">
        <v>0.7</v>
      </c>
      <c r="R46" s="32" t="n">
        <v>0.7</v>
      </c>
      <c r="S46" s="32" t="n">
        <v>0.7</v>
      </c>
      <c r="T46" s="32" t="n">
        <v>0.7</v>
      </c>
      <c r="U46" s="32" t="n">
        <v>0.7</v>
      </c>
      <c r="V46" s="32" t="n">
        <v>0.7</v>
      </c>
    </row>
    <row r="47">
      <c r="A47" s="32" t="inlineStr">
        <is>
          <t>habitat_provision_pool_spacing_ratio|E Stream Types</t>
        </is>
      </c>
      <c r="B47" s="32" t="inlineStr">
        <is>
          <t>habitat-provision-pool-spacing-ratio</t>
        </is>
      </c>
      <c r="C47" s="32" t="inlineStr">
        <is>
          <t>Pool Spacing Ratio</t>
        </is>
      </c>
      <c r="D47" s="32" t="inlineStr">
        <is>
          <t>E Stream Types</t>
        </is>
      </c>
      <c r="E47" s="32" t="n">
        <v>3</v>
      </c>
      <c r="F47" s="32" t="inlineStr"/>
      <c r="G47" s="32" t="n">
        <v>1.833333333</v>
      </c>
      <c r="H47" s="32" t="n">
        <v>3</v>
      </c>
      <c r="I47" s="32" t="n">
        <v>3.5</v>
      </c>
      <c r="J47" s="32" t="n">
        <v>3.5</v>
      </c>
      <c r="K47" s="32" t="n">
        <v>3.5</v>
      </c>
      <c r="L47" s="32" t="n">
        <v>3.5</v>
      </c>
      <c r="M47" s="32" t="n">
        <v>3.5</v>
      </c>
      <c r="N47" s="32" t="n">
        <v>3.5</v>
      </c>
      <c r="O47" s="32" t="n">
        <v>0</v>
      </c>
      <c r="P47" s="32" t="n">
        <v>0.7</v>
      </c>
      <c r="Q47" s="32" t="n">
        <v>1</v>
      </c>
      <c r="R47" s="32" t="n">
        <v>1</v>
      </c>
      <c r="S47" s="32" t="n">
        <v>1</v>
      </c>
      <c r="T47" s="32" t="n">
        <v>1</v>
      </c>
      <c r="U47" s="32" t="n">
        <v>1</v>
      </c>
      <c r="V47" s="32" t="n">
        <v>1</v>
      </c>
    </row>
    <row r="48">
      <c r="A48" s="32" t="inlineStr">
        <is>
          <t>population_support_co_mmi|Biotype 1</t>
        </is>
      </c>
      <c r="B48" s="32" t="inlineStr">
        <is>
          <t>population-support-co-mmi</t>
        </is>
      </c>
      <c r="C48" s="32" t="inlineStr">
        <is>
          <t>CO MMI</t>
        </is>
      </c>
      <c r="D48" s="32" t="inlineStr">
        <is>
          <t>Biotype 1</t>
        </is>
      </c>
      <c r="E48" s="32" t="n">
        <v>4</v>
      </c>
      <c r="F48" s="32" t="inlineStr"/>
      <c r="G48" s="32" t="n">
        <v>0</v>
      </c>
      <c r="H48" s="32" t="n">
        <v>34</v>
      </c>
      <c r="I48" s="32" t="n">
        <v>45</v>
      </c>
      <c r="J48" s="32" t="n">
        <v>56</v>
      </c>
      <c r="K48" s="32" t="n">
        <v>56</v>
      </c>
      <c r="L48" s="32" t="n">
        <v>56</v>
      </c>
      <c r="M48" s="32" t="n">
        <v>56</v>
      </c>
      <c r="N48" s="32" t="n">
        <v>56</v>
      </c>
      <c r="O48" s="32" t="n">
        <v>0</v>
      </c>
      <c r="P48" s="32" t="n">
        <v>0.29</v>
      </c>
      <c r="Q48" s="32" t="n">
        <v>0.7</v>
      </c>
      <c r="R48" s="32" t="n">
        <v>1</v>
      </c>
      <c r="S48" s="32" t="n">
        <v>1</v>
      </c>
      <c r="T48" s="32" t="n">
        <v>1</v>
      </c>
      <c r="U48" s="32" t="n">
        <v>1</v>
      </c>
      <c r="V48" s="32" t="n">
        <v>1</v>
      </c>
    </row>
    <row r="49">
      <c r="A49" s="32" t="inlineStr">
        <is>
          <t>population_support_co_mmi|Biotype 2</t>
        </is>
      </c>
      <c r="B49" s="32" t="inlineStr">
        <is>
          <t>population-support-co-mmi</t>
        </is>
      </c>
      <c r="C49" s="32" t="inlineStr">
        <is>
          <t>CO MMI</t>
        </is>
      </c>
      <c r="D49" s="32" t="inlineStr">
        <is>
          <t>Biotype 2</t>
        </is>
      </c>
      <c r="E49" s="32" t="n">
        <v>4</v>
      </c>
      <c r="F49" s="32" t="inlineStr"/>
      <c r="G49" s="32" t="n">
        <v>0</v>
      </c>
      <c r="H49" s="32" t="n">
        <v>40</v>
      </c>
      <c r="I49" s="32" t="n">
        <v>48</v>
      </c>
      <c r="J49" s="32" t="n">
        <v>62</v>
      </c>
      <c r="K49" s="32" t="n">
        <v>62</v>
      </c>
      <c r="L49" s="32" t="n">
        <v>62</v>
      </c>
      <c r="M49" s="32" t="n">
        <v>62</v>
      </c>
      <c r="N49" s="32" t="n">
        <v>62</v>
      </c>
      <c r="O49" s="32" t="n">
        <v>0</v>
      </c>
      <c r="P49" s="32" t="n">
        <v>0.29</v>
      </c>
      <c r="Q49" s="32" t="n">
        <v>0.7</v>
      </c>
      <c r="R49" s="32" t="n">
        <v>1</v>
      </c>
      <c r="S49" s="32" t="n">
        <v>1</v>
      </c>
      <c r="T49" s="32" t="n">
        <v>1</v>
      </c>
      <c r="U49" s="32" t="n">
        <v>1</v>
      </c>
      <c r="V49" s="32" t="n">
        <v>1</v>
      </c>
    </row>
    <row r="50">
      <c r="A50" s="32" t="inlineStr">
        <is>
          <t>population_support_co_mmi|Biotype 3</t>
        </is>
      </c>
      <c r="B50" s="32" t="inlineStr">
        <is>
          <t>population-support-co-mmi</t>
        </is>
      </c>
      <c r="C50" s="32" t="inlineStr">
        <is>
          <t>CO MMI</t>
        </is>
      </c>
      <c r="D50" s="32" t="inlineStr">
        <is>
          <t>Biotype 3</t>
        </is>
      </c>
      <c r="E50" s="32" t="n">
        <v>4</v>
      </c>
      <c r="F50" s="32" t="inlineStr"/>
      <c r="G50" s="32" t="n">
        <v>0</v>
      </c>
      <c r="H50" s="32" t="n">
        <v>29</v>
      </c>
      <c r="I50" s="32" t="n">
        <v>42</v>
      </c>
      <c r="J50" s="32" t="n">
        <v>51</v>
      </c>
      <c r="K50" s="32" t="n">
        <v>51</v>
      </c>
      <c r="L50" s="32" t="n">
        <v>51</v>
      </c>
      <c r="M50" s="32" t="n">
        <v>51</v>
      </c>
      <c r="N50" s="32" t="n">
        <v>51</v>
      </c>
      <c r="O50" s="32" t="n">
        <v>0</v>
      </c>
      <c r="P50" s="32" t="n">
        <v>0.29</v>
      </c>
      <c r="Q50" s="32" t="n">
        <v>0.7</v>
      </c>
      <c r="R50" s="32" t="n">
        <v>1</v>
      </c>
      <c r="S50" s="32" t="n">
        <v>1</v>
      </c>
      <c r="T50" s="32" t="n">
        <v>1</v>
      </c>
      <c r="U50" s="32" t="n">
        <v>1</v>
      </c>
      <c r="V50" s="32" t="n">
        <v>1</v>
      </c>
    </row>
    <row r="51">
      <c r="A51" s="32" t="inlineStr">
        <is>
          <t>population_support_wild_trout_biomass|High</t>
        </is>
      </c>
      <c r="B51" s="32" t="inlineStr">
        <is>
          <t>population-support-wild-trout-biomass</t>
        </is>
      </c>
      <c r="C51" s="32" t="inlineStr">
        <is>
          <t>Wild Trout Biomass</t>
        </is>
      </c>
      <c r="D51" s="32" t="inlineStr">
        <is>
          <t>High</t>
        </is>
      </c>
      <c r="E51" s="32" t="n">
        <v>3</v>
      </c>
      <c r="F51" s="32" t="inlineStr"/>
      <c r="G51" s="32" t="n">
        <v>5</v>
      </c>
      <c r="H51" s="32" t="n">
        <v>25</v>
      </c>
      <c r="I51" s="32" t="n">
        <v>40</v>
      </c>
      <c r="J51" s="32" t="n">
        <v>40</v>
      </c>
      <c r="K51" s="32" t="n">
        <v>40</v>
      </c>
      <c r="L51" s="32" t="n">
        <v>40</v>
      </c>
      <c r="M51" s="32" t="n">
        <v>40</v>
      </c>
      <c r="N51" s="32" t="n">
        <v>40</v>
      </c>
      <c r="O51" s="32" t="n">
        <v>0.3</v>
      </c>
      <c r="P51" s="32" t="n">
        <v>0.7</v>
      </c>
      <c r="Q51" s="32" t="n">
        <v>1</v>
      </c>
      <c r="R51" s="32" t="n">
        <v>1</v>
      </c>
      <c r="S51" s="32" t="n">
        <v>1</v>
      </c>
      <c r="T51" s="32" t="n">
        <v>1</v>
      </c>
      <c r="U51" s="32" t="n">
        <v>1</v>
      </c>
      <c r="V51" s="32" t="n">
        <v>1</v>
      </c>
    </row>
    <row r="52">
      <c r="A52" s="32" t="inlineStr">
        <is>
          <t>population_support_wild_trout_biomass|Moderate</t>
        </is>
      </c>
      <c r="B52" s="32" t="inlineStr">
        <is>
          <t>population-support-wild-trout-biomass</t>
        </is>
      </c>
      <c r="C52" s="32" t="inlineStr">
        <is>
          <t>Wild Trout Biomass</t>
        </is>
      </c>
      <c r="D52" s="32" t="inlineStr">
        <is>
          <t>Moderate</t>
        </is>
      </c>
      <c r="E52" s="32" t="n">
        <v>3</v>
      </c>
      <c r="F52" s="32" t="inlineStr"/>
      <c r="G52" s="32" t="n">
        <v>10</v>
      </c>
      <c r="H52" s="32" t="n">
        <v>50</v>
      </c>
      <c r="I52" s="32" t="n">
        <v>80</v>
      </c>
      <c r="J52" s="32" t="n">
        <v>80</v>
      </c>
      <c r="K52" s="32" t="n">
        <v>80</v>
      </c>
      <c r="L52" s="32" t="n">
        <v>80</v>
      </c>
      <c r="M52" s="32" t="n">
        <v>80</v>
      </c>
      <c r="N52" s="32" t="n">
        <v>80</v>
      </c>
      <c r="O52" s="32" t="n">
        <v>0.3</v>
      </c>
      <c r="P52" s="32" t="n">
        <v>0.7</v>
      </c>
      <c r="Q52" s="32" t="n">
        <v>1</v>
      </c>
      <c r="R52" s="32" t="n">
        <v>1</v>
      </c>
      <c r="S52" s="32" t="n">
        <v>1</v>
      </c>
      <c r="T52" s="32" t="n">
        <v>1</v>
      </c>
      <c r="U52" s="32" t="n">
        <v>1</v>
      </c>
      <c r="V52" s="32" t="n">
        <v>1</v>
      </c>
    </row>
    <row r="53">
      <c r="A53" s="32" t="inlineStr">
        <is>
          <t>population_support_wild_trout_biomass|Low</t>
        </is>
      </c>
      <c r="B53" s="32" t="inlineStr">
        <is>
          <t>population-support-wild-trout-biomass</t>
        </is>
      </c>
      <c r="C53" s="32" t="inlineStr">
        <is>
          <t>Wild Trout Biomass</t>
        </is>
      </c>
      <c r="D53" s="32" t="inlineStr">
        <is>
          <t>Low</t>
        </is>
      </c>
      <c r="E53" s="32" t="n">
        <v>3</v>
      </c>
      <c r="F53" s="32" t="inlineStr"/>
      <c r="G53" s="32" t="n">
        <v>15</v>
      </c>
      <c r="H53" s="32" t="n">
        <v>75</v>
      </c>
      <c r="I53" s="32" t="n">
        <v>119</v>
      </c>
      <c r="J53" s="32" t="n">
        <v>119</v>
      </c>
      <c r="K53" s="32" t="n">
        <v>119</v>
      </c>
      <c r="L53" s="32" t="n">
        <v>119</v>
      </c>
      <c r="M53" s="32" t="n">
        <v>119</v>
      </c>
      <c r="N53" s="32" t="n">
        <v>119</v>
      </c>
      <c r="O53" s="32" t="n">
        <v>0.3</v>
      </c>
      <c r="P53" s="32" t="n">
        <v>0.7</v>
      </c>
      <c r="Q53" s="32" t="n">
        <v>1</v>
      </c>
      <c r="R53" s="32" t="n">
        <v>1</v>
      </c>
      <c r="S53" s="32" t="n">
        <v>1</v>
      </c>
      <c r="T53" s="32" t="n">
        <v>1</v>
      </c>
      <c r="U53" s="32" t="n">
        <v>1</v>
      </c>
      <c r="V53" s="32" t="n">
        <v>1</v>
      </c>
    </row>
    <row r="54">
      <c r="A54" s="32" t="inlineStr">
        <is>
          <t>community_dynamics_native_fish_species_richness|</t>
        </is>
      </c>
      <c r="B54" s="32" t="inlineStr">
        <is>
          <t>community-dynamics-native-fish-species-richness</t>
        </is>
      </c>
      <c r="C54" s="32" t="inlineStr">
        <is>
          <t>Native Fish Species Richness</t>
        </is>
      </c>
      <c r="D54" s="32" t="inlineStr"/>
      <c r="E54" s="32" t="n">
        <v>3</v>
      </c>
      <c r="F54" s="32" t="inlineStr"/>
      <c r="G54" s="32" t="n">
        <v>0</v>
      </c>
      <c r="H54" s="32" t="n">
        <v>80</v>
      </c>
      <c r="I54" s="32" t="n">
        <v>100</v>
      </c>
      <c r="J54" s="32" t="n">
        <v>100</v>
      </c>
      <c r="K54" s="32" t="n">
        <v>100</v>
      </c>
      <c r="L54" s="32" t="n">
        <v>100</v>
      </c>
      <c r="M54" s="32" t="n">
        <v>100</v>
      </c>
      <c r="N54" s="32" t="n">
        <v>100</v>
      </c>
      <c r="O54" s="32" t="n">
        <v>0</v>
      </c>
      <c r="P54" s="32" t="n">
        <v>0.6899999999999999</v>
      </c>
      <c r="Q54" s="32" t="n">
        <v>1</v>
      </c>
      <c r="R54" s="32" t="n">
        <v>1</v>
      </c>
      <c r="S54" s="32" t="n">
        <v>1</v>
      </c>
      <c r="T54" s="32" t="n">
        <v>1</v>
      </c>
      <c r="U54" s="32" t="n">
        <v>1</v>
      </c>
      <c r="V54" s="32" t="n">
        <v>1</v>
      </c>
    </row>
    <row r="57">
      <c r="A57" s="71" t="inlineStr">
        <is>
          <t>Curve sets by metric</t>
        </is>
      </c>
    </row>
    <row r="58">
      <c r="A58" s="32" t="inlineStr">
        <is>
          <t>CS-I &amp; CS-I MWF; W &lt; 20ft</t>
        </is>
      </c>
      <c r="B58" s="5" t="inlineStr">
        <is>
          <t>Average Depth</t>
        </is>
      </c>
    </row>
    <row r="59">
      <c r="A59" s="32" t="inlineStr">
        <is>
          <t>CS-I &amp; CS-I MWF; W &gt; 20ft</t>
        </is>
      </c>
      <c r="B59" s="5" t="inlineStr">
        <is>
          <t>Average Depth</t>
        </is>
      </c>
    </row>
    <row r="60">
      <c r="A60" s="32" t="inlineStr">
        <is>
          <t>CS-II</t>
        </is>
      </c>
      <c r="B60" s="5" t="inlineStr">
        <is>
          <t>Average Depth</t>
        </is>
      </c>
    </row>
    <row r="61">
      <c r="A61" s="32" t="inlineStr">
        <is>
          <t>C Streams</t>
        </is>
      </c>
      <c r="B61" s="5" t="inlineStr">
        <is>
          <t>Entrenchment Ratio (ER)</t>
        </is>
      </c>
    </row>
    <row r="62">
      <c r="A62" s="32" t="inlineStr">
        <is>
          <t>Cb Streams</t>
        </is>
      </c>
      <c r="B62" s="5" t="inlineStr">
        <is>
          <t>Entrenchment Ratio (ER)</t>
        </is>
      </c>
    </row>
    <row r="63">
      <c r="A63" s="32" t="inlineStr">
        <is>
          <t>E Streams</t>
        </is>
      </c>
      <c r="B63" s="5" t="inlineStr">
        <is>
          <t>Entrenchment Ratio (ER)</t>
        </is>
      </c>
    </row>
    <row r="64">
      <c r="A64" s="32" t="inlineStr">
        <is>
          <t>A and B Streams</t>
        </is>
      </c>
      <c r="B64" s="5" t="inlineStr">
        <is>
          <t>Entrenchment Ratio (ER)</t>
        </is>
      </c>
    </row>
    <row r="65">
      <c r="A65" s="32" t="inlineStr">
        <is>
          <t>All Regimes</t>
        </is>
      </c>
      <c r="B65" s="5" t="inlineStr">
        <is>
          <t>Bank Height Ratio (BHR)</t>
        </is>
      </c>
    </row>
    <row r="66">
      <c r="A66" s="32" t="inlineStr">
        <is>
          <t>Transport</t>
        </is>
      </c>
      <c r="B66" s="5" t="inlineStr">
        <is>
          <t>Bank Height Ratio (BHR)</t>
        </is>
      </c>
    </row>
    <row r="67">
      <c r="A67" s="32" t="inlineStr">
        <is>
          <t>Unconfined Alluvial</t>
        </is>
      </c>
      <c r="B67" s="5" t="inlineStr">
        <is>
          <t>Percent Side Channels</t>
        </is>
      </c>
    </row>
    <row r="68">
      <c r="A68" s="32" t="inlineStr">
        <is>
          <t>Confined Alluvial</t>
        </is>
      </c>
      <c r="B68" s="5" t="inlineStr">
        <is>
          <t>Percent Side Channels</t>
        </is>
      </c>
    </row>
    <row r="69">
      <c r="A69" s="32" t="inlineStr">
        <is>
          <t>CS-I (MWF)</t>
        </is>
      </c>
      <c r="B69" s="5" t="inlineStr">
        <is>
          <t>MWAT</t>
        </is>
      </c>
    </row>
    <row r="70">
      <c r="A70" s="32" t="inlineStr">
        <is>
          <t>CS-I</t>
        </is>
      </c>
      <c r="B70" s="5" t="inlineStr">
        <is>
          <t>MWAT</t>
        </is>
      </c>
    </row>
    <row r="71">
      <c r="A71" s="32" t="inlineStr">
        <is>
          <t>CS-II</t>
        </is>
      </c>
      <c r="B71" s="5" t="inlineStr">
        <is>
          <t>MWAT</t>
        </is>
      </c>
    </row>
    <row r="72">
      <c r="A72" s="32" t="inlineStr">
        <is>
          <t>WS-I</t>
        </is>
      </c>
      <c r="B72" s="5" t="inlineStr">
        <is>
          <t>MWAT</t>
        </is>
      </c>
    </row>
    <row r="73">
      <c r="A73" s="32" t="inlineStr">
        <is>
          <t>WS-II</t>
        </is>
      </c>
      <c r="B73" s="5" t="inlineStr">
        <is>
          <t>MWAT</t>
        </is>
      </c>
    </row>
    <row r="74">
      <c r="A74" s="32" t="inlineStr">
        <is>
          <t>WS-III</t>
        </is>
      </c>
      <c r="B74" s="5" t="inlineStr">
        <is>
          <t>MWAT</t>
        </is>
      </c>
    </row>
    <row r="75">
      <c r="A75" s="32" t="inlineStr">
        <is>
          <t>Biotypes 1 and 2</t>
        </is>
      </c>
      <c r="B75" s="5" t="inlineStr">
        <is>
          <t>Chlorophyll ?</t>
        </is>
      </c>
    </row>
    <row r="76">
      <c r="A76" s="32" t="inlineStr">
        <is>
          <t>Biotype 3</t>
        </is>
      </c>
      <c r="B76" s="5" t="inlineStr">
        <is>
          <t>Chlorophyll ?</t>
        </is>
      </c>
    </row>
    <row r="77">
      <c r="A77" s="32" t="inlineStr">
        <is>
          <t>Unconfined Alluvial Valleys</t>
        </is>
      </c>
      <c r="B77" s="5" t="inlineStr">
        <is>
          <t>Riparian Extent</t>
        </is>
      </c>
    </row>
    <row r="78">
      <c r="A78" s="32" t="inlineStr">
        <is>
          <t>Confined Alluvial, Colluvial/V-Shaped, or Bedrock Valleys</t>
        </is>
      </c>
      <c r="B78" s="5" t="inlineStr">
        <is>
          <t>Riparian Extent</t>
        </is>
      </c>
    </row>
    <row r="79">
      <c r="A79" s="32" t="inlineStr">
        <is>
          <t>Mountains &amp; Basins</t>
        </is>
      </c>
      <c r="B79" s="5" t="inlineStr">
        <is>
          <t>Woody Vegetation Cover</t>
        </is>
      </c>
    </row>
    <row r="80">
      <c r="A80" s="32" t="inlineStr">
        <is>
          <t>Plains</t>
        </is>
      </c>
      <c r="B80" s="5" t="inlineStr">
        <is>
          <t>Woody Vegetation Cover</t>
        </is>
      </c>
    </row>
    <row r="81">
      <c r="A81" s="32" t="inlineStr">
        <is>
          <t>Streams &lt; 3% slope</t>
        </is>
      </c>
      <c r="B81" s="5" t="inlineStr">
        <is>
          <t>Percent Riffle</t>
        </is>
      </c>
    </row>
    <row r="82">
      <c r="A82" s="32" t="inlineStr">
        <is>
          <t>Streams &lt; 3% slope / Overall</t>
        </is>
      </c>
      <c r="B82" s="5" t="inlineStr">
        <is>
          <t>Percent Riffle</t>
        </is>
      </c>
    </row>
    <row r="83">
      <c r="A83" s="32" t="inlineStr">
        <is>
          <t>C Stream Types</t>
        </is>
      </c>
      <c r="B83" s="5" t="inlineStr">
        <is>
          <t>Pool Spacing Ratio</t>
        </is>
      </c>
    </row>
    <row r="84">
      <c r="A84" s="32" t="inlineStr">
        <is>
          <t>Cb Stream Types</t>
        </is>
      </c>
      <c r="B84" s="5" t="inlineStr">
        <is>
          <t>Pool Spacing Ratio</t>
        </is>
      </c>
    </row>
    <row r="85">
      <c r="A85" s="32" t="inlineStr">
        <is>
          <t>B &amp; Ba Stream Types</t>
        </is>
      </c>
      <c r="B85" s="5" t="inlineStr">
        <is>
          <t>Pool Spacing Ratio</t>
        </is>
      </c>
    </row>
    <row r="86">
      <c r="A86" s="32" t="inlineStr">
        <is>
          <t>Bc Stream Types</t>
        </is>
      </c>
      <c r="B86" s="5" t="inlineStr">
        <is>
          <t>Pool Spacing Ratio</t>
        </is>
      </c>
    </row>
    <row r="87">
      <c r="A87" s="32" t="inlineStr">
        <is>
          <t>E Stream Types</t>
        </is>
      </c>
      <c r="B87" s="5" t="inlineStr">
        <is>
          <t>Pool Spacing Ratio</t>
        </is>
      </c>
    </row>
    <row r="88">
      <c r="A88" s="32" t="inlineStr">
        <is>
          <t>Biotype 1</t>
        </is>
      </c>
      <c r="B88" s="5" t="inlineStr">
        <is>
          <t>CO MMI</t>
        </is>
      </c>
    </row>
    <row r="89">
      <c r="A89" s="32" t="inlineStr">
        <is>
          <t>Biotype 2</t>
        </is>
      </c>
      <c r="B89" s="5" t="inlineStr">
        <is>
          <t>CO MMI</t>
        </is>
      </c>
    </row>
    <row r="90">
      <c r="A90" s="32" t="inlineStr">
        <is>
          <t>Biotype 3</t>
        </is>
      </c>
      <c r="B90" s="5" t="inlineStr">
        <is>
          <t>CO MMI</t>
        </is>
      </c>
    </row>
    <row r="91">
      <c r="A91" s="32" t="inlineStr">
        <is>
          <t>High</t>
        </is>
      </c>
      <c r="B91" s="5" t="inlineStr">
        <is>
          <t>Wild Trout Biomass</t>
        </is>
      </c>
    </row>
    <row r="92">
      <c r="A92" s="32" t="inlineStr">
        <is>
          <t>Moderate</t>
        </is>
      </c>
      <c r="B92" s="5" t="inlineStr">
        <is>
          <t>Wild Trout Biomass</t>
        </is>
      </c>
    </row>
    <row r="93">
      <c r="A93" s="32" t="inlineStr">
        <is>
          <t>Low</t>
        </is>
      </c>
      <c r="B93" s="5" t="inlineStr">
        <is>
          <t>Wild Trout Biomass</t>
        </is>
      </c>
    </row>
    <row r="96">
      <c r="A96" s="71" t="inlineStr">
        <is>
          <t>Condition classes</t>
        </is>
      </c>
    </row>
    <row r="97">
      <c r="A97" t="inlineStr">
        <is>
          <t>Metric index: at or below 0.39 Non-Functioning, at or below 0.69 Functioning At-Risk, above Functioning.</t>
        </is>
      </c>
    </row>
    <row r="98">
      <c r="A98" t="inlineStr">
        <is>
          <t>Function score (0 to 15): at or below 5 Non-Functioning, at or below 10 Functioning At-Risk, above Functioning.</t>
        </is>
      </c>
    </row>
    <row r="99">
      <c r="A99" t="inlineStr">
        <is>
          <t>Outcome weights: a direct contribution counts 1, an indirect one 0.1.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mergeCells count="1">
    <mergeCell ref="A3:D3"/>
  </mergeCells>
  <pageMargins left="0.75" right="0.75" top="1" bottom="1" header="0.5" footer="0.5"/>
  <headerFooter>
    <oddHeader>&amp;C&amp;"Calibri,Bold"&amp;KB45309Assessment status: Preliminary._x000a_Reviewed and approved as Preliminary.</oddHeader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00B45309"/>
    <outlinePr summaryBelow="1" summaryRight="1"/>
    <pageSetUpPr/>
  </sheetPr>
  <dimension ref="A1:B19"/>
  <sheetViews>
    <sheetView showGridLines="0" tabSelected="0" workbookViewId="0">
      <selection activeCell="A1" sqref="A1"/>
    </sheetView>
  </sheetViews>
  <sheetFormatPr baseColWidth="8" defaultRowHeight="15"/>
  <cols>
    <col width="26" customWidth="1" min="1" max="1"/>
    <col width="100" customWidth="1" min="2" max="2"/>
  </cols>
  <sheetData>
    <row r="1">
      <c r="A1" s="68" t="inlineStr">
        <is>
          <t>Metadata and version information</t>
        </is>
      </c>
    </row>
    <row r="2" ht="21" customHeight="1">
      <c r="A2" s="3" t="inlineStr">
        <is>
          <t>Assessment status: Preliminary. Reviewed and approved as Preliminary.</t>
        </is>
      </c>
    </row>
    <row r="3">
      <c r="A3" s="6" t="inlineStr">
        <is>
          <t>Item</t>
        </is>
      </c>
      <c r="B3" s="6" t="inlineStr">
        <is>
          <t>Value</t>
        </is>
      </c>
    </row>
    <row r="4">
      <c r="A4" s="32" t="inlineStr">
        <is>
          <t>Assessment id</t>
        </is>
      </c>
      <c r="B4" s="32" t="inlineStr">
        <is>
          <t>co-sqt-adapted</t>
        </is>
      </c>
    </row>
    <row r="5">
      <c r="A5" s="32" t="inlineStr">
        <is>
          <t>Assessment name</t>
        </is>
      </c>
      <c r="B5" s="32" t="inlineStr">
        <is>
          <t>CO SQT Adapted</t>
        </is>
      </c>
    </row>
    <row r="6">
      <c r="A6" s="32" t="inlineStr">
        <is>
          <t>Version</t>
        </is>
      </c>
      <c r="B6" s="32" t="n">
        <v>2</v>
      </c>
    </row>
    <row r="7">
      <c r="A7" s="32" t="inlineStr">
        <is>
          <t>Lifecycle status</t>
        </is>
      </c>
      <c r="B7" s="32" t="inlineStr">
        <is>
          <t>Preliminary</t>
        </is>
      </c>
    </row>
    <row r="8">
      <c r="A8" s="32" t="inlineStr">
        <is>
          <t>Content digest</t>
        </is>
      </c>
      <c r="B8" s="32" t="inlineStr">
        <is>
          <t>sha256:6f50aa175a53ebec76273007f75d5abbd26f90d8bc56e624d715fb2fa6b6459a</t>
        </is>
      </c>
    </row>
    <row r="9">
      <c r="A9" s="32" t="inlineStr">
        <is>
          <t>Region</t>
        </is>
      </c>
      <c r="B9" s="32" t="inlineStr">
        <is>
          <t>state CO Colorado</t>
        </is>
      </c>
    </row>
    <row r="10">
      <c r="A10" s="32" t="inlineStr">
        <is>
          <t>Source</t>
        </is>
      </c>
      <c r="B10" s="32" t="inlineStr">
        <is>
          <t>Colorado SQT</t>
        </is>
      </c>
    </row>
    <row r="11">
      <c r="A11" s="32" t="inlineStr">
        <is>
          <t>Reference method</t>
        </is>
      </c>
      <c r="B11" s="32" t="inlineStr"/>
    </row>
    <row r="12">
      <c r="A12" s="32" t="inlineStr">
        <is>
          <t>Reference screen</t>
        </is>
      </c>
      <c r="B12" s="32" t="inlineStr"/>
    </row>
    <row r="13">
      <c r="A13" s="32" t="inlineStr">
        <is>
          <t>Scoring method</t>
        </is>
      </c>
      <c r="B13" s="32" t="inlineStr"/>
    </row>
    <row r="14">
      <c r="A14" s="32" t="inlineStr">
        <is>
          <t>Functions scored</t>
        </is>
      </c>
      <c r="B14" s="32" t="n">
        <v>13</v>
      </c>
    </row>
    <row r="15">
      <c r="A15" s="32" t="inlineStr">
        <is>
          <t>Metrics</t>
        </is>
      </c>
      <c r="B15" s="32" t="n">
        <v>26</v>
      </c>
    </row>
    <row r="16">
      <c r="A16" s="32" t="inlineStr">
        <is>
          <t>Function coverage</t>
        </is>
      </c>
      <c r="B16" s="32" t="inlineStr">
        <is>
          <t>This assessment covers 13 of 20 STAF functions (7 documented exclusions).</t>
        </is>
      </c>
    </row>
    <row r="17">
      <c r="A17" s="32" t="inlineStr">
        <is>
          <t>Generator</t>
        </is>
      </c>
      <c r="B17" s="32" t="inlineStr">
        <is>
          <t>streamcurves.deep_calculator</t>
        </is>
      </c>
    </row>
    <row r="18">
      <c r="A18" s="32" t="inlineStr">
        <is>
          <t>Generator version</t>
        </is>
      </c>
      <c r="B18" s="32" t="inlineStr">
        <is>
          <t>1.1</t>
        </is>
      </c>
    </row>
    <row r="19">
      <c r="A19" s="32" t="inlineStr">
        <is>
          <t>Formula vocabulary</t>
        </is>
      </c>
      <c r="B19" s="32" t="inlineStr">
        <is>
          <t>IF AND MIN MAX INDEX MATCH IFERROR ISNUMBER COUNT SUM NA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mergeCells count="1">
    <mergeCell ref="A2:B2"/>
  </mergeCells>
  <pageMargins left="0.75" right="0.75" top="1" bottom="1" header="0.5" footer="0.5"/>
  <headerFooter>
    <oddHeader>&amp;C&amp;"Calibri,Bold"&amp;KB45309Assessment status: Preliminary._x000a_Reviewed and approved as Preliminary.</oddHeader>
    <oddFooter/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tabColor rgb="00B45309"/>
    <outlinePr summaryBelow="1" summaryRight="1"/>
    <pageSetUpPr/>
  </sheetPr>
  <dimension ref="A1:E20"/>
  <sheetViews>
    <sheetView tabSelected="0" workbookViewId="0">
      <selection activeCell="A1" sqref="A1"/>
    </sheetView>
  </sheetViews>
  <sheetFormatPr baseColWidth="8" defaultRowHeight="15"/>
  <cols>
    <col width="38" customWidth="1" min="1" max="1"/>
  </cols>
  <sheetData>
    <row r="1">
      <c r="A1" s="5" t="inlineStr">
        <is>
          <t>Chart series (hidden). One column per class so each bar takes the class colour.</t>
        </is>
      </c>
    </row>
    <row r="2">
      <c r="A2" s="71" t="inlineStr">
        <is>
          <t>Function</t>
        </is>
      </c>
      <c r="B2" s="71" t="inlineStr">
        <is>
          <t>Score</t>
        </is>
      </c>
      <c r="C2" s="71" t="inlineStr">
        <is>
          <t>Non-Functioning (0-5)</t>
        </is>
      </c>
      <c r="D2" s="71" t="inlineStr">
        <is>
          <t>Functioning At-Risk (6-10)</t>
        </is>
      </c>
      <c r="E2" s="71" t="inlineStr">
        <is>
          <t>Functioning (11-15)</t>
        </is>
      </c>
    </row>
    <row r="3">
      <c r="A3" t="inlineStr">
        <is>
          <t>Catchment hydrology</t>
        </is>
      </c>
      <c r="B3">
        <f>IF('Results'!$B$4="","",'Results'!$B$4)</f>
        <v/>
      </c>
      <c r="C3" s="72">
        <f>IF(ISNUMBER('ChartData'!$B$3),IF('ChartData'!$B$3&lt;=5,'ChartData'!$B$3,NA()),NA())</f>
        <v/>
      </c>
      <c r="D3" s="72">
        <f>IF(ISNUMBER('ChartData'!$B$3),IF(AND('ChartData'!$B$3&gt;5,'ChartData'!$B$3&lt;=10),'ChartData'!$B$3,NA()),NA())</f>
        <v/>
      </c>
      <c r="E3" s="72">
        <f>IF(ISNUMBER('ChartData'!$B$3),IF('ChartData'!$B$3&gt;10,'ChartData'!$B$3,NA()),NA())</f>
        <v/>
      </c>
    </row>
    <row r="4">
      <c r="A4" t="inlineStr">
        <is>
          <t>Reach inflow</t>
        </is>
      </c>
      <c r="B4">
        <f>IF('Results'!$B$5="","",'Results'!$B$5)</f>
        <v/>
      </c>
      <c r="C4" s="72">
        <f>IF(ISNUMBER('ChartData'!$B$4),IF('ChartData'!$B$4&lt;=5,'ChartData'!$B$4,NA()),NA())</f>
        <v/>
      </c>
      <c r="D4" s="72">
        <f>IF(ISNUMBER('ChartData'!$B$4),IF(AND('ChartData'!$B$4&gt;5,'ChartData'!$B$4&lt;=10),'ChartData'!$B$4,NA()),NA())</f>
        <v/>
      </c>
      <c r="E4" s="72">
        <f>IF(ISNUMBER('ChartData'!$B$4),IF('ChartData'!$B$4&gt;10,'ChartData'!$B$4,NA()),NA())</f>
        <v/>
      </c>
    </row>
    <row r="5">
      <c r="A5" t="inlineStr">
        <is>
          <t>Streamflow regime</t>
        </is>
      </c>
      <c r="B5">
        <f>IF('Results'!$B$6="","",'Results'!$B$6)</f>
        <v/>
      </c>
      <c r="C5" s="72">
        <f>IF(ISNUMBER('ChartData'!$B$5),IF('ChartData'!$B$5&lt;=5,'ChartData'!$B$5,NA()),NA())</f>
        <v/>
      </c>
      <c r="D5" s="72">
        <f>IF(ISNUMBER('ChartData'!$B$5),IF(AND('ChartData'!$B$5&gt;5,'ChartData'!$B$5&lt;=10),'ChartData'!$B$5,NA()),NA())</f>
        <v/>
      </c>
      <c r="E5" s="72">
        <f>IF(ISNUMBER('ChartData'!$B$5),IF('ChartData'!$B$5&gt;10,'ChartData'!$B$5,NA()),NA())</f>
        <v/>
      </c>
    </row>
    <row r="6">
      <c r="A6" t="inlineStr">
        <is>
          <t>Low flow and baseflow dynamics</t>
        </is>
      </c>
      <c r="B6">
        <f>IF('Results'!$B$7="","",'Results'!$B$7)</f>
        <v/>
      </c>
      <c r="C6" s="72">
        <f>IF(ISNUMBER('ChartData'!$B$6),IF('ChartData'!$B$6&lt;=5,'ChartData'!$B$6,NA()),NA())</f>
        <v/>
      </c>
      <c r="D6" s="72">
        <f>IF(ISNUMBER('ChartData'!$B$6),IF(AND('ChartData'!$B$6&gt;5,'ChartData'!$B$6&lt;=10),'ChartData'!$B$6,NA()),NA())</f>
        <v/>
      </c>
      <c r="E6" s="72">
        <f>IF(ISNUMBER('ChartData'!$B$6),IF('ChartData'!$B$6&gt;10,'ChartData'!$B$6,NA()),NA())</f>
        <v/>
      </c>
    </row>
    <row r="7">
      <c r="A7" t="inlineStr">
        <is>
          <t>Floodplain connectivity</t>
        </is>
      </c>
      <c r="B7">
        <f>IF('Results'!$B$8="","",'Results'!$B$8)</f>
        <v/>
      </c>
      <c r="C7" s="72">
        <f>IF(ISNUMBER('ChartData'!$B$7),IF('ChartData'!$B$7&lt;=5,'ChartData'!$B$7,NA()),NA())</f>
        <v/>
      </c>
      <c r="D7" s="72">
        <f>IF(ISNUMBER('ChartData'!$B$7),IF(AND('ChartData'!$B$7&gt;5,'ChartData'!$B$7&lt;=10),'ChartData'!$B$7,NA()),NA())</f>
        <v/>
      </c>
      <c r="E7" s="72">
        <f>IF(ISNUMBER('ChartData'!$B$7),IF('ChartData'!$B$7&gt;10,'ChartData'!$B$7,NA()),NA())</f>
        <v/>
      </c>
    </row>
    <row r="8">
      <c r="A8" t="inlineStr">
        <is>
          <t>Channel and floodplain dynamics</t>
        </is>
      </c>
      <c r="B8">
        <f>IF('Results'!$B$9="","",'Results'!$B$9)</f>
        <v/>
      </c>
      <c r="C8" s="72">
        <f>IF(ISNUMBER('ChartData'!$B$8),IF('ChartData'!$B$8&lt;=5,'ChartData'!$B$8,NA()),NA())</f>
        <v/>
      </c>
      <c r="D8" s="72">
        <f>IF(ISNUMBER('ChartData'!$B$8),IF(AND('ChartData'!$B$8&gt;5,'ChartData'!$B$8&lt;=10),'ChartData'!$B$8,NA()),NA())</f>
        <v/>
      </c>
      <c r="E8" s="72">
        <f>IF(ISNUMBER('ChartData'!$B$8),IF('ChartData'!$B$8&gt;10,'ChartData'!$B$8,NA()),NA())</f>
        <v/>
      </c>
    </row>
    <row r="9">
      <c r="A9" t="inlineStr">
        <is>
          <t>Sediment continuity</t>
        </is>
      </c>
      <c r="B9">
        <f>IF('Results'!$B$10="","",'Results'!$B$10)</f>
        <v/>
      </c>
      <c r="C9" s="72">
        <f>IF(ISNUMBER('ChartData'!$B$9),IF('ChartData'!$B$9&lt;=5,'ChartData'!$B$9,NA()),NA())</f>
        <v/>
      </c>
      <c r="D9" s="72">
        <f>IF(ISNUMBER('ChartData'!$B$9),IF(AND('ChartData'!$B$9&gt;5,'ChartData'!$B$9&lt;=10),'ChartData'!$B$9,NA()),NA())</f>
        <v/>
      </c>
      <c r="E9" s="72">
        <f>IF(ISNUMBER('ChartData'!$B$9),IF('ChartData'!$B$9&gt;10,'ChartData'!$B$9,NA()),NA())</f>
        <v/>
      </c>
    </row>
    <row r="10">
      <c r="A10" t="inlineStr">
        <is>
          <t>Light &amp; thermal regime</t>
        </is>
      </c>
      <c r="B10">
        <f>IF('Results'!$B$11="","",'Results'!$B$11)</f>
        <v/>
      </c>
      <c r="C10" s="72">
        <f>IF(ISNUMBER('ChartData'!$B$10),IF('ChartData'!$B$10&lt;=5,'ChartData'!$B$10,NA()),NA())</f>
        <v/>
      </c>
      <c r="D10" s="72">
        <f>IF(ISNUMBER('ChartData'!$B$10),IF(AND('ChartData'!$B$10&gt;5,'ChartData'!$B$10&lt;=10),'ChartData'!$B$10,NA()),NA())</f>
        <v/>
      </c>
      <c r="E10" s="72">
        <f>IF(ISNUMBER('ChartData'!$B$10),IF('ChartData'!$B$10&gt;10,'ChartData'!$B$10,NA()),NA())</f>
        <v/>
      </c>
    </row>
    <row r="11">
      <c r="A11" t="inlineStr">
        <is>
          <t>Carbon processing</t>
        </is>
      </c>
      <c r="B11">
        <f>IF('Results'!$B$12="","",'Results'!$B$12)</f>
        <v/>
      </c>
      <c r="C11" s="72">
        <f>IF(ISNUMBER('ChartData'!$B$11),IF('ChartData'!$B$11&lt;=5,'ChartData'!$B$11,NA()),NA())</f>
        <v/>
      </c>
      <c r="D11" s="72">
        <f>IF(ISNUMBER('ChartData'!$B$11),IF(AND('ChartData'!$B$11&gt;5,'ChartData'!$B$11&lt;=10),'ChartData'!$B$11,NA()),NA())</f>
        <v/>
      </c>
      <c r="E11" s="72">
        <f>IF(ISNUMBER('ChartData'!$B$11),IF('ChartData'!$B$11&gt;10,'ChartData'!$B$11,NA()),NA())</f>
        <v/>
      </c>
    </row>
    <row r="12">
      <c r="A12" t="inlineStr">
        <is>
          <t>Water &amp; soil quality</t>
        </is>
      </c>
      <c r="B12">
        <f>IF('Results'!$B$13="","",'Results'!$B$13)</f>
        <v/>
      </c>
      <c r="C12" s="72">
        <f>IF(ISNUMBER('ChartData'!$B$12),IF('ChartData'!$B$12&lt;=5,'ChartData'!$B$12,NA()),NA())</f>
        <v/>
      </c>
      <c r="D12" s="72">
        <f>IF(ISNUMBER('ChartData'!$B$12),IF(AND('ChartData'!$B$12&gt;5,'ChartData'!$B$12&lt;=10),'ChartData'!$B$12,NA()),NA())</f>
        <v/>
      </c>
      <c r="E12" s="72">
        <f>IF(ISNUMBER('ChartData'!$B$12),IF('ChartData'!$B$12&gt;10,'ChartData'!$B$12,NA()),NA())</f>
        <v/>
      </c>
    </row>
    <row r="13">
      <c r="A13" t="inlineStr">
        <is>
          <t>Habitat provision</t>
        </is>
      </c>
      <c r="B13">
        <f>IF('Results'!$B$14="","",'Results'!$B$14)</f>
        <v/>
      </c>
      <c r="C13" s="72">
        <f>IF(ISNUMBER('ChartData'!$B$13),IF('ChartData'!$B$13&lt;=5,'ChartData'!$B$13,NA()),NA())</f>
        <v/>
      </c>
      <c r="D13" s="72">
        <f>IF(ISNUMBER('ChartData'!$B$13),IF(AND('ChartData'!$B$13&gt;5,'ChartData'!$B$13&lt;=10),'ChartData'!$B$13,NA()),NA())</f>
        <v/>
      </c>
      <c r="E13" s="72">
        <f>IF(ISNUMBER('ChartData'!$B$13),IF('ChartData'!$B$13&gt;10,'ChartData'!$B$13,NA()),NA())</f>
        <v/>
      </c>
    </row>
    <row r="14">
      <c r="A14" t="inlineStr">
        <is>
          <t>Population support</t>
        </is>
      </c>
      <c r="B14">
        <f>IF('Results'!$B$15="","",'Results'!$B$15)</f>
        <v/>
      </c>
      <c r="C14" s="72">
        <f>IF(ISNUMBER('ChartData'!$B$14),IF('ChartData'!$B$14&lt;=5,'ChartData'!$B$14,NA()),NA())</f>
        <v/>
      </c>
      <c r="D14" s="72">
        <f>IF(ISNUMBER('ChartData'!$B$14),IF(AND('ChartData'!$B$14&gt;5,'ChartData'!$B$14&lt;=10),'ChartData'!$B$14,NA()),NA())</f>
        <v/>
      </c>
      <c r="E14" s="72">
        <f>IF(ISNUMBER('ChartData'!$B$14),IF('ChartData'!$B$14&gt;10,'ChartData'!$B$14,NA()),NA())</f>
        <v/>
      </c>
    </row>
    <row r="15">
      <c r="A15" t="inlineStr">
        <is>
          <t>Community dynamics</t>
        </is>
      </c>
      <c r="B15">
        <f>IF('Results'!$B$16="","",'Results'!$B$16)</f>
        <v/>
      </c>
      <c r="C15" s="72">
        <f>IF(ISNUMBER('ChartData'!$B$15),IF('ChartData'!$B$15&lt;=5,'ChartData'!$B$15,NA()),NA())</f>
        <v/>
      </c>
      <c r="D15" s="72">
        <f>IF(ISNUMBER('ChartData'!$B$15),IF(AND('ChartData'!$B$15&gt;5,'ChartData'!$B$15&lt;=10),'ChartData'!$B$15,NA()),NA())</f>
        <v/>
      </c>
      <c r="E15" s="72">
        <f>IF(ISNUMBER('ChartData'!$B$15),IF('ChartData'!$B$15&gt;10,'ChartData'!$B$15,NA()),NA())</f>
        <v/>
      </c>
    </row>
    <row r="17">
      <c r="A17" s="71" t="inlineStr">
        <is>
          <t>Outcome</t>
        </is>
      </c>
      <c r="B17" s="71" t="inlineStr">
        <is>
          <t>Score</t>
        </is>
      </c>
      <c r="C17" s="71" t="inlineStr">
        <is>
          <t>Non-Functioning (0.00-0.39)</t>
        </is>
      </c>
      <c r="D17" s="71" t="inlineStr">
        <is>
          <t>Functioning At-Risk (0.40-0.69)</t>
        </is>
      </c>
      <c r="E17" s="71" t="inlineStr">
        <is>
          <t>Functioning (0.70-1.00)</t>
        </is>
      </c>
    </row>
    <row r="18">
      <c r="A18" t="inlineStr">
        <is>
          <t>Physical</t>
        </is>
      </c>
      <c r="B18">
        <f>'Results'!$B$19</f>
        <v/>
      </c>
      <c r="C18" s="73">
        <f>IF('ChartData'!$B$18&lt;=0.39,'ChartData'!$B$18,NA())</f>
        <v/>
      </c>
      <c r="D18" s="73">
        <f>IF(AND('ChartData'!$B$18&gt;0.39,'ChartData'!$B$18&lt;=0.69),'ChartData'!$B$18,NA())</f>
        <v/>
      </c>
      <c r="E18" s="73">
        <f>IF('ChartData'!$B$18&gt;0.69,'ChartData'!$B$18,NA())</f>
        <v/>
      </c>
    </row>
    <row r="19">
      <c r="A19" t="inlineStr">
        <is>
          <t>Chemical</t>
        </is>
      </c>
      <c r="B19">
        <f>'Results'!$B$20</f>
        <v/>
      </c>
      <c r="C19" s="73">
        <f>IF('ChartData'!$B$19&lt;=0.39,'ChartData'!$B$19,NA())</f>
        <v/>
      </c>
      <c r="D19" s="73">
        <f>IF(AND('ChartData'!$B$19&gt;0.39,'ChartData'!$B$19&lt;=0.69),'ChartData'!$B$19,NA())</f>
        <v/>
      </c>
      <c r="E19" s="73">
        <f>IF('ChartData'!$B$19&gt;0.69,'ChartData'!$B$19,NA())</f>
        <v/>
      </c>
    </row>
    <row r="20">
      <c r="A20" t="inlineStr">
        <is>
          <t>Biological</t>
        </is>
      </c>
      <c r="B20">
        <f>'Results'!$B$21</f>
        <v/>
      </c>
      <c r="C20" s="73">
        <f>IF('ChartData'!$B$20&lt;=0.39,'ChartData'!$B$20,NA())</f>
        <v/>
      </c>
      <c r="D20" s="73">
        <f>IF(AND('ChartData'!$B$20&gt;0.39,'ChartData'!$B$20&lt;=0.69),'ChartData'!$B$20,NA())</f>
        <v/>
      </c>
      <c r="E20" s="73">
        <f>IF('ChartData'!$B$20&gt;0.69,'ChartData'!$B$20,NA())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pageMargins left="0.75" right="0.75" top="1" bottom="1" header="0.5" footer="0.5"/>
  <headerFooter>
    <oddHeader>&amp;C&amp;"Calibri,Bold"&amp;KB45309Assessment status: Preliminary._x000a_Reviewed and approved as Preliminary.</oddHeader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DEEP</dc:creator>
  <dc:title xmlns:dc="http://purl.org/dc/elements/1.1/">DEEP calculator</dc:title>
  <dc:subject xmlns:dc="http://purl.org/dc/elements/1.1/">Assessment status: Preliminary. Reviewed and approved as Preliminary.</dc:subject>
  <dcterms:created xmlns:dcterms="http://purl.org/dc/terms/" xmlns:xsi="http://www.w3.org/2001/XMLSchema-instance" xsi:type="dcterms:W3CDTF">2026-09-24T15:33:24Z</dcterms:created>
  <dcterms:modified xmlns:dcterms="http://purl.org/dc/terms/" xmlns:xsi="http://www.w3.org/2001/XMLSchema-instance" xsi:type="dcterms:W3CDTF">2026-09-24T15:33:24Z</dcterms:modified>
  <cp:lastModifiedBy>DEEP</cp:lastModifiedBy>
  <cp:contentStatus>Preliminary</cp:contentStatus>
</cp:coreProperties>
</file>