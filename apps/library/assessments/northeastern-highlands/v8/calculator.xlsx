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'Reference'!$A$5:$A$52</definedName>
    <definedName name="curve_x1">'Reference'!$G$5:$G$52</definedName>
    <definedName name="curve_y1">'Reference'!$O$5:$O$52</definedName>
    <definedName name="curve_x2">'Reference'!$H$5:$H$52</definedName>
    <definedName name="curve_y2">'Reference'!$P$5:$P$52</definedName>
    <definedName name="curve_x3">'Reference'!$I$5:$I$52</definedName>
    <definedName name="curve_y3">'Reference'!$Q$5:$Q$52</definedName>
    <definedName name="curve_x4">'Reference'!$J$5:$J$52</definedName>
    <definedName name="curve_y4">'Reference'!$R$5:$R$52</definedName>
    <definedName name="curve_x5">'Reference'!$K$5:$K$52</definedName>
    <definedName name="curve_y5">'Reference'!$S$5:$S$52</definedName>
    <definedName name="curve_x6">'Reference'!$L$5:$L$52</definedName>
    <definedName name="curve_y6">'Reference'!$T$5:$T$52</definedName>
    <definedName name="curve_x7">'Reference'!$M$5:$M$52</definedName>
    <definedName name="curve_y7">'Reference'!$U$5:$U$52</definedName>
    <definedName name="curve_x8">'Reference'!$N$5:$N$52</definedName>
    <definedName name="curve_y8">'Reference'!$V$5:$V$52</definedName>
    <definedName name="strata_spring_pctwet2019ws">'Reference'!$A$56:$A$58</definedName>
    <definedName name="strata_spring_phab_bfwd_rat">'Reference'!$A$59:$A$61</definedName>
    <definedName name="strata_spring_phab_rp100_cm">'Reference'!$A$62:$A$64</definedName>
    <definedName name="strata_spring_phab_xbkf_h">'Reference'!$A$65:$A$67</definedName>
    <definedName name="strata_spring_phab_lrbs_use">'Reference'!$A$68:$A$70</definedName>
    <definedName name="strata_spring_phab_xcdenmid">'Reference'!$A$71:$A$73</definedName>
    <definedName name="strata_spring_phab_pct_fast">'Reference'!$A$74:$A$76</definedName>
    <definedName name="strata_spring_phab_xfc_nat">'Reference'!$A$77:$A$79</definedName>
    <definedName name="strata_spring_fish_nat_totlntax">'Reference'!$A$80:$A$82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chem_chla">'Metrics'!$V$21</definedName>
    <definedName name="idx_spring_phab_xcdenmid">'Metrics'!$V$22</definedName>
    <definedName name="idx_spring_phab_xcmgw">'Metrics'!$V$23</definedName>
    <definedName name="idx_spring_chem_ntl">'Metrics'!$V$24</definedName>
    <definedName name="idx_spring_chem_ptl">'Metrics'!$V$25</definedName>
    <definedName name="idx_spring_chem_cond">'Metrics'!$V$26</definedName>
    <definedName name="idx_spring_chem_ph">'Metrics'!$V$27</definedName>
    <definedName name="idx_spring_chem_turb">'Metrics'!$V$28</definedName>
    <definedName name="idx_spring_phab_pct_fast">'Metrics'!$V$29</definedName>
    <definedName name="idx_spring_phab_xfc_nat">'Metrics'!$V$30</definedName>
    <definedName name="idx_spring_fish_nat_totlntax">'Metrics'!$V$31</definedName>
    <definedName name="idx_spring_bent_ept_ntax">'Metrics'!$V$32</definedName>
    <definedName name="idx_spring_bent_hprime">'Metrics'!$V$33</definedName>
    <definedName name="idx_spring_nid_dams_1mi">'Metrics'!$V$34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st_spring_pctwet2019ws">'DEEP Score'!$F$14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rp100_cm">'DEEP Score'!$E$20</definedName>
    <definedName name="st_spring_phab_rp100_cm">'DEEP Score'!$F$20</definedName>
    <definedName name="in_spring_phab_xbkf_h">'DEEP Score'!$E$23</definedName>
    <definedName name="st_spring_phab_xbkf_h">'DEEP Score'!$F$23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st_spring_phab_lrbs_use">'DEEP Score'!$F$30</definedName>
    <definedName name="in_spring_phab_lsub_dmm">'DEEP Score'!$E$32</definedName>
    <definedName name="in_spring_phab_lwdeqvolm100">'DEEP Score'!$E$33</definedName>
    <definedName name="in_spring_chem_chla">'DEEP Score'!$E$35</definedName>
    <definedName name="in_spring_phab_xcdenmid">'DEEP Score'!$E$36</definedName>
    <definedName name="st_spring_phab_xcdenmid">'DEEP Score'!$F$36</definedName>
    <definedName name="in_spring_phab_xcmgw">'DEEP Score'!$E$37</definedName>
    <definedName name="in_spring_chem_ntl">'DEEP Score'!$E$38</definedName>
    <definedName name="in_spring_chem_ptl">'DEEP Score'!$E$39</definedName>
    <definedName name="in_spring_chem_cond">'DEEP Score'!$E$40</definedName>
    <definedName name="in_spring_chem_ph">'DEEP Score'!$E$41</definedName>
    <definedName name="in_spring_chem_turb">'DEEP Score'!$E$42</definedName>
    <definedName name="in_spring_phab_pct_fast">'DEEP Score'!$E$43</definedName>
    <definedName name="st_spring_phab_pct_fast">'DEEP Score'!$F$43</definedName>
    <definedName name="in_spring_phab_xfc_nat">'DEEP Score'!$E$44</definedName>
    <definedName name="st_spring_phab_xfc_nat">'DEEP Score'!$F$44</definedName>
    <definedName name="in_spring_fish_nat_totlntax">'DEEP Score'!$E$45</definedName>
    <definedName name="st_spring_fish_nat_totlntax">'DEEP Score'!$F$45</definedName>
    <definedName name="in_spring_bent_ept_ntax">'DEEP Score'!$E$46</definedName>
    <definedName name="in_spring_bent_hprime">'DEEP Score'!$E$47</definedName>
    <definedName name="in_spring_nid_dams_1mi">'DEEP Score'!$E$48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2" borderId="12" pivotButton="0" quotePrefix="0" xfId="0"/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2" borderId="1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3" ht="21" customHeight="1">
      <c r="A3" s="3" t="inlineStr">
        <is>
          <t>Assessment status: Preliminary. Reviewed and approved as Preliminary.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45" customHeight="1">
      <c r="A5" s="4" t="inlineStr">
        <is>
          <t>Reference condition. Reference condition is set by a fixed landscape-pressure screen, never by a score. 27 curves are fitted to least-disturbed stations of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3">
      <c r="A3" s="5" t="inlineStr">
        <is>
          <t>Version 8 | Preliminary | USEPA NRSA 2013-24 (L3 ecoregion 58), StreamCurves regional analysis, methodology 0.13-provisional</t>
        </is>
      </c>
    </row>
    <row r="4" ht="21" customHeight="1">
      <c r="A4" s="3" t="inlineStr">
        <is>
          <t>Assessment status: Preliminary. Reviewed and approved as Preliminary.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>
        <is>
          <t>All streams (pooled)</t>
        </is>
      </c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7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8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9">
        <f>IF('DEEP Score'!$E$16="","",'DEEP Score'!$E$16)</f>
        <v/>
      </c>
      <c r="F18" s="40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41" t="n"/>
      <c r="B19" s="42" t="n"/>
      <c r="C19" s="43" t="inlineStr">
        <is>
          <t>Bankfull width:depth ratio</t>
        </is>
      </c>
      <c r="D19" s="44" t="inlineStr"/>
      <c r="E19" s="45" t="n"/>
      <c r="F19" s="7" t="inlineStr">
        <is>
          <t>All streams (pooled)</t>
        </is>
      </c>
      <c r="G19" s="46">
        <f>IF('Metrics'!$V$11="","",'Metrics'!$V$11)</f>
        <v/>
      </c>
      <c r="H19" s="42" t="n"/>
      <c r="I19" s="47" t="n"/>
    </row>
    <row r="20">
      <c r="A20" s="20" t="n"/>
      <c r="B20" s="21" t="n"/>
      <c r="C20" s="22" t="inlineStr">
        <is>
          <t>Residual pool depth</t>
        </is>
      </c>
      <c r="D20" s="23" t="inlineStr">
        <is>
          <t>cm</t>
        </is>
      </c>
      <c r="E20" s="24" t="n"/>
      <c r="F20" s="48" t="inlineStr">
        <is>
          <t>All streams (pooled)</t>
        </is>
      </c>
      <c r="G20" s="26">
        <f>IF('Metrics'!$V$12="","",'Metrics'!$V$12)</f>
        <v/>
      </c>
      <c r="H20" s="21" t="n"/>
      <c r="I20" s="27" t="n"/>
    </row>
    <row r="21">
      <c r="A21" s="49" t="inlineStr">
        <is>
          <t>Hydraulics</t>
        </is>
      </c>
      <c r="B21" s="29" t="inlineStr">
        <is>
          <t>High flow dynamics</t>
        </is>
      </c>
      <c r="C21" s="30" t="inlineStr">
        <is>
          <t>Impervious surface</t>
        </is>
      </c>
      <c r="D21" s="31" t="inlineStr">
        <is>
          <t>%</t>
        </is>
      </c>
      <c r="E21" s="50">
        <f>IF('DEEP Score'!$E$12="","",'DEEP Score'!$E$12)</f>
        <v/>
      </c>
      <c r="F21" s="51" t="inlineStr"/>
      <c r="G21" s="34">
        <f>IF('Metrics'!$V$5="","",'Metrics'!$V$5)</f>
        <v/>
      </c>
      <c r="H21" s="35">
        <f>IF('Results'!$B$9="","",'Results'!$B$9)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8" t="inlineStr">
        <is>
          <t>Hydraulics</t>
        </is>
      </c>
      <c r="B22" s="12" t="inlineStr">
        <is>
          <t>Floodplain connectivity</t>
        </is>
      </c>
      <c r="C22" s="13" t="inlineStr">
        <is>
          <t>Bankfull width:depth ratio</t>
        </is>
      </c>
      <c r="D22" s="14" t="inlineStr"/>
      <c r="E22" s="39">
        <f>IF('DEEP Score'!$E$19="","",'DEEP Score'!$E$19)</f>
        <v/>
      </c>
      <c r="F22" s="40">
        <f>IF('DEEP Score'!$F$19="","",'DEEP Score'!$F$19)</f>
        <v/>
      </c>
      <c r="G22" s="17">
        <f>IF('Metrics'!$V$11="","",'Metrics'!$V$11)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Bankfull height above channel</t>
        </is>
      </c>
      <c r="D23" s="23" t="inlineStr">
        <is>
          <t>m</t>
        </is>
      </c>
      <c r="E23" s="24" t="n"/>
      <c r="F23" s="48" t="inlineStr">
        <is>
          <t>All streams (pooled)</t>
        </is>
      </c>
      <c r="G23" s="26">
        <f>IF('Metrics'!$V$13="","",'Metrics'!$V$13)</f>
        <v/>
      </c>
      <c r="H23" s="21" t="n"/>
      <c r="I23" s="27" t="n"/>
    </row>
    <row r="24">
      <c r="A24" s="38" t="inlineStr">
        <is>
          <t>Hydraulics</t>
        </is>
      </c>
      <c r="B24" s="12" t="inlineStr">
        <is>
          <t>Hyporheic connectivity</t>
        </is>
      </c>
      <c r="C24" s="13" t="inlineStr">
        <is>
          <t>Sand + fines</t>
        </is>
      </c>
      <c r="D24" s="14" t="inlineStr">
        <is>
          <t>%</t>
        </is>
      </c>
      <c r="E24" s="15" t="n"/>
      <c r="F24" s="16" t="inlineStr"/>
      <c r="G24" s="17">
        <f>IF('Metrics'!$V$14="","",'Metrics'!$V$14)</f>
        <v/>
      </c>
      <c r="H24" s="18">
        <f>IF('Results'!$B$11="","",'Results'!$B$11)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Embeddedness</t>
        </is>
      </c>
      <c r="D25" s="23" t="inlineStr">
        <is>
          <t>%</t>
        </is>
      </c>
      <c r="E25" s="24" t="n"/>
      <c r="F25" s="25" t="inlineStr"/>
      <c r="G25" s="26">
        <f>IF('Metrics'!$V$15="","",'Metrics'!$V$15)</f>
        <v/>
      </c>
      <c r="H25" s="21" t="n"/>
      <c r="I25" s="27" t="n"/>
    </row>
    <row r="26">
      <c r="A26" s="52" t="inlineStr">
        <is>
          <t>Geomorphology</t>
        </is>
      </c>
      <c r="B26" s="12" t="inlineStr">
        <is>
          <t>Channel evolution</t>
        </is>
      </c>
      <c r="C26" s="13" t="inlineStr">
        <is>
          <t>Bankfull width:depth ratio</t>
        </is>
      </c>
      <c r="D26" s="14" t="inlineStr"/>
      <c r="E26" s="39">
        <f>IF('DEEP Score'!$E$19="","",'DEEP Score'!$E$19)</f>
        <v/>
      </c>
      <c r="F26" s="40">
        <f>IF('DEEP Score'!$F$19="","",'DEEP Score'!$F$19)</f>
        <v/>
      </c>
      <c r="G26" s="17">
        <f>IF('Metrics'!$V$11="","",'Metrics'!$V$11)</f>
        <v/>
      </c>
      <c r="H26" s="18">
        <f>IF('Results'!$B$12="","",'Results'!$B$12)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Bankfull height above channel</t>
        </is>
      </c>
      <c r="D27" s="23" t="inlineStr">
        <is>
          <t>m</t>
        </is>
      </c>
      <c r="E27" s="53">
        <f>IF('DEEP Score'!$E$23="","",'DEEP Score'!$E$23)</f>
        <v/>
      </c>
      <c r="F27" s="54">
        <f>IF('DEEP Score'!$F$23="","",'DEEP Score'!$F$23)</f>
        <v/>
      </c>
      <c r="G27" s="26">
        <f>IF('Metrics'!$V$13="","",'Metrics'!$V$13)</f>
        <v/>
      </c>
      <c r="H27" s="21" t="n"/>
      <c r="I27" s="27" t="n"/>
    </row>
    <row r="28">
      <c r="A28" s="52" t="inlineStr">
        <is>
          <t>Geomorphology</t>
        </is>
      </c>
      <c r="B28" s="12" t="inlineStr">
        <is>
          <t>Channel and floodplain dynamics</t>
        </is>
      </c>
      <c r="C28" s="13" t="inlineStr">
        <is>
          <t>Sinuosity</t>
        </is>
      </c>
      <c r="D28" s="14" t="inlineStr"/>
      <c r="E28" s="15" t="n"/>
      <c r="F28" s="16" t="inlineStr"/>
      <c r="G28" s="17">
        <f>IF('Metrics'!$V$16="","",'Metrics'!$V$16)</f>
        <v/>
      </c>
      <c r="H28" s="18">
        <f>IF('Results'!$B$13="","",'Results'!$B$13)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Bank angle</t>
        </is>
      </c>
      <c r="D29" s="23" t="inlineStr">
        <is>
          <t>degrees</t>
        </is>
      </c>
      <c r="E29" s="24" t="n"/>
      <c r="F29" s="25" t="inlineStr"/>
      <c r="G29" s="26">
        <f>IF('Metrics'!$V$17="","",'Metrics'!$V$17)</f>
        <v/>
      </c>
      <c r="H29" s="21" t="n"/>
      <c r="I29" s="27" t="n"/>
    </row>
    <row r="30">
      <c r="A30" s="52" t="inlineStr">
        <is>
          <t>Geomorphology</t>
        </is>
      </c>
      <c r="B30" s="12" t="inlineStr">
        <is>
          <t>Sediment continuity</t>
        </is>
      </c>
      <c r="C30" s="13" t="inlineStr">
        <is>
          <t>Relative bed stability</t>
        </is>
      </c>
      <c r="D30" s="14" t="inlineStr">
        <is>
          <t>log</t>
        </is>
      </c>
      <c r="E30" s="15" t="n"/>
      <c r="F30" s="55" t="inlineStr">
        <is>
          <t>All streams (pooled)</t>
        </is>
      </c>
      <c r="G30" s="17">
        <f>IF('Metrics'!$V$18="","",'Metrics'!$V$18)</f>
        <v/>
      </c>
      <c r="H30" s="18">
        <f>IF('Results'!$B$14="","",'Results'!$B$14)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Sand + fines</t>
        </is>
      </c>
      <c r="D31" s="23" t="inlineStr">
        <is>
          <t>%</t>
        </is>
      </c>
      <c r="E31" s="53">
        <f>IF('DEEP Score'!$E$24="","",'DEEP Score'!$E$24)</f>
        <v/>
      </c>
      <c r="F31" s="54" t="inlineStr"/>
      <c r="G31" s="26">
        <f>IF('Metrics'!$V$14="","",'Metrics'!$V$14)</f>
        <v/>
      </c>
      <c r="H31" s="21" t="n"/>
      <c r="I31" s="27" t="n"/>
    </row>
    <row r="32">
      <c r="A32" s="52" t="inlineStr">
        <is>
          <t>Geomorphology</t>
        </is>
      </c>
      <c r="B32" s="12" t="inlineStr">
        <is>
          <t>Bed composition and bedform dynamics</t>
        </is>
      </c>
      <c r="C32" s="13" t="inlineStr">
        <is>
          <t>Substrate size</t>
        </is>
      </c>
      <c r="D32" s="14" t="inlineStr">
        <is>
          <t>log mm</t>
        </is>
      </c>
      <c r="E32" s="15" t="n"/>
      <c r="F32" s="16" t="inlineStr"/>
      <c r="G32" s="17">
        <f>IF('Metrics'!$V$19="","",'Metrics'!$V$19)</f>
        <v/>
      </c>
      <c r="H32" s="18">
        <f>IF('Results'!$B$15="","",'Results'!$B$15)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41" t="n"/>
      <c r="B33" s="42" t="n"/>
      <c r="C33" s="43" t="inlineStr">
        <is>
          <t>Large wood volume</t>
        </is>
      </c>
      <c r="D33" s="44" t="inlineStr">
        <is>
          <t>m3/100m</t>
        </is>
      </c>
      <c r="E33" s="45" t="n"/>
      <c r="F33" s="56" t="inlineStr"/>
      <c r="G33" s="46">
        <f>IF('Metrics'!$V$20="","",'Metrics'!$V$20)</f>
        <v/>
      </c>
      <c r="H33" s="42" t="n"/>
      <c r="I33" s="47" t="n"/>
    </row>
    <row r="34">
      <c r="A34" s="20" t="n"/>
      <c r="B34" s="21" t="n"/>
      <c r="C34" s="22" t="inlineStr">
        <is>
          <t>Embeddedness</t>
        </is>
      </c>
      <c r="D34" s="23" t="inlineStr">
        <is>
          <t>%</t>
        </is>
      </c>
      <c r="E34" s="53">
        <f>IF('DEEP Score'!$E$25="","",'DEEP Score'!$E$25)</f>
        <v/>
      </c>
      <c r="F34" s="54" t="inlineStr"/>
      <c r="G34" s="26">
        <f>IF('Metrics'!$V$15="","",'Metrics'!$V$15)</f>
        <v/>
      </c>
      <c r="H34" s="21" t="n"/>
      <c r="I34" s="27" t="n"/>
    </row>
    <row r="35">
      <c r="A35" s="57" t="inlineStr">
        <is>
          <t>Physicochemistry</t>
        </is>
      </c>
      <c r="B35" s="12" t="inlineStr">
        <is>
          <t>Light &amp; thermal regime</t>
        </is>
      </c>
      <c r="C35" s="13" t="inlineStr">
        <is>
          <t>Chlorophyll a</t>
        </is>
      </c>
      <c r="D35" s="14" t="inlineStr">
        <is>
          <t>ug/L</t>
        </is>
      </c>
      <c r="E35" s="15" t="n"/>
      <c r="F35" s="16" t="inlineStr"/>
      <c r="G35" s="17">
        <f>IF('Metrics'!$V$21="","",'Metrics'!$V$21)</f>
        <v/>
      </c>
      <c r="H35" s="18">
        <f>IF('Results'!$B$16="","",'Results'!$B$16)</f>
        <v/>
      </c>
      <c r="I35" s="19">
        <f>IF('DEEP Score'!$H$35="","",IF('DEEP Score'!$H$35&lt;=5,"Non-Functioning",IF('DEEP Score'!$H$35&lt;=10,"Functioning At-Risk","Functioning")))</f>
        <v/>
      </c>
    </row>
    <row r="36">
      <c r="A36" s="20" t="n"/>
      <c r="B36" s="21" t="n"/>
      <c r="C36" s="22" t="inlineStr">
        <is>
          <t>Canopy density, mid-channel</t>
        </is>
      </c>
      <c r="D36" s="23" t="inlineStr">
        <is>
          <t>%</t>
        </is>
      </c>
      <c r="E36" s="24" t="n"/>
      <c r="F36" s="48" t="inlineStr">
        <is>
          <t>All streams (pooled)</t>
        </is>
      </c>
      <c r="G36" s="26">
        <f>IF('Metrics'!$V$22="","",'Metrics'!$V$22)</f>
        <v/>
      </c>
      <c r="H36" s="21" t="n"/>
      <c r="I36" s="27" t="n"/>
    </row>
    <row r="37">
      <c r="A37" s="58" t="inlineStr">
        <is>
          <t>Physicochemistry</t>
        </is>
      </c>
      <c r="B37" s="29" t="inlineStr">
        <is>
          <t>Carbon processing</t>
        </is>
      </c>
      <c r="C37" s="30" t="inlineStr">
        <is>
          <t>Riparian veg cover, woody</t>
        </is>
      </c>
      <c r="D37" s="31" t="inlineStr">
        <is>
          <t>frac</t>
        </is>
      </c>
      <c r="E37" s="32" t="n"/>
      <c r="F37" s="37" t="inlineStr"/>
      <c r="G37" s="34">
        <f>IF('Metrics'!$V$23="","",'Metrics'!$V$23)</f>
        <v/>
      </c>
      <c r="H37" s="35">
        <f>IF('Results'!$B$17="","",'Results'!$B$17)</f>
        <v/>
      </c>
      <c r="I37" s="36">
        <f>IF('DEEP Score'!$H$37="","",IF('DEEP Score'!$H$37&lt;=5,"Non-Functioning",IF('DEEP Score'!$H$37&lt;=10,"Functioning At-Risk","Functioning")))</f>
        <v/>
      </c>
    </row>
    <row r="38">
      <c r="A38" s="57" t="inlineStr">
        <is>
          <t>Physicochemistry</t>
        </is>
      </c>
      <c r="B38" s="12" t="inlineStr">
        <is>
          <t>Nutrient cycling</t>
        </is>
      </c>
      <c r="C38" s="13" t="inlineStr">
        <is>
          <t>Total nitrogen</t>
        </is>
      </c>
      <c r="D38" s="14" t="inlineStr">
        <is>
          <t>mg N/L</t>
        </is>
      </c>
      <c r="E38" s="15" t="n"/>
      <c r="F38" s="16" t="inlineStr"/>
      <c r="G38" s="17">
        <f>IF('Metrics'!$V$24="","",'Metrics'!$V$24)</f>
        <v/>
      </c>
      <c r="H38" s="18">
        <f>IF('Results'!$B$18="","",'Results'!$B$18)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Total phosphorus</t>
        </is>
      </c>
      <c r="D39" s="23" t="inlineStr">
        <is>
          <t>ug/L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7" t="inlineStr">
        <is>
          <t>Physicochemistry</t>
        </is>
      </c>
      <c r="B40" s="12" t="inlineStr">
        <is>
          <t>Water &amp; soil quality</t>
        </is>
      </c>
      <c r="C40" s="13" t="inlineStr">
        <is>
          <t>Specific conductivity</t>
        </is>
      </c>
      <c r="D40" s="14" t="inlineStr">
        <is>
          <t>uS/cm</t>
        </is>
      </c>
      <c r="E40" s="15" t="n"/>
      <c r="F40" s="16" t="inlineStr"/>
      <c r="G40" s="17">
        <f>IF('Metrics'!$V$26="","",'Metrics'!$V$26)</f>
        <v/>
      </c>
      <c r="H40" s="18">
        <f>IF('Results'!$B$19="","",'Results'!$B$19)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41" t="n"/>
      <c r="B41" s="42" t="n"/>
      <c r="C41" s="43" t="inlineStr">
        <is>
          <t>pH</t>
        </is>
      </c>
      <c r="D41" s="44" t="inlineStr">
        <is>
          <t>Std. Units</t>
        </is>
      </c>
      <c r="E41" s="45" t="n"/>
      <c r="F41" s="56" t="inlineStr"/>
      <c r="G41" s="46">
        <f>IF('Metrics'!$V$27="","",'Metrics'!$V$27)</f>
        <v/>
      </c>
      <c r="H41" s="42" t="n"/>
      <c r="I41" s="47" t="n"/>
    </row>
    <row r="42">
      <c r="A42" s="20" t="n"/>
      <c r="B42" s="21" t="n"/>
      <c r="C42" s="22" t="inlineStr">
        <is>
          <t>Turbidity</t>
        </is>
      </c>
      <c r="D42" s="23" t="inlineStr">
        <is>
          <t>NTU</t>
        </is>
      </c>
      <c r="E42" s="24" t="n"/>
      <c r="F42" s="25" t="inlineStr"/>
      <c r="G42" s="26">
        <f>IF('Metrics'!$V$28="","",'Metrics'!$V$28)</f>
        <v/>
      </c>
      <c r="H42" s="21" t="n"/>
      <c r="I42" s="27" t="n"/>
    </row>
    <row r="43">
      <c r="A43" s="59" t="inlineStr">
        <is>
          <t>Biology</t>
        </is>
      </c>
      <c r="B43" s="12" t="inlineStr">
        <is>
          <t>Habitat provision</t>
        </is>
      </c>
      <c r="C43" s="13" t="inlineStr">
        <is>
          <t>Fast-water / riffle habitat</t>
        </is>
      </c>
      <c r="D43" s="14" t="inlineStr">
        <is>
          <t>%</t>
        </is>
      </c>
      <c r="E43" s="15" t="n"/>
      <c r="F43" s="55" t="inlineStr">
        <is>
          <t>All streams (pooled)</t>
        </is>
      </c>
      <c r="G43" s="17">
        <f>IF('Metrics'!$V$29="","",'Metrics'!$V$29)</f>
        <v/>
      </c>
      <c r="H43" s="18">
        <f>IF('Results'!$B$20="","",'Results'!$B$20)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Natural fish cover</t>
        </is>
      </c>
      <c r="D44" s="23" t="inlineStr">
        <is>
          <t>frac</t>
        </is>
      </c>
      <c r="E44" s="24" t="n"/>
      <c r="F44" s="48" t="inlineStr">
        <is>
          <t>All streams (pooled)</t>
        </is>
      </c>
      <c r="G44" s="26">
        <f>IF('Metrics'!$V$30="","",'Metrics'!$V$30)</f>
        <v/>
      </c>
      <c r="H44" s="21" t="n"/>
      <c r="I44" s="27" t="n"/>
    </row>
    <row r="45">
      <c r="A45" s="60" t="inlineStr">
        <is>
          <t>Biology</t>
        </is>
      </c>
      <c r="B45" s="29" t="inlineStr">
        <is>
          <t>Population support</t>
        </is>
      </c>
      <c r="C45" s="30" t="inlineStr">
        <is>
          <t>Native fish taxa richness</t>
        </is>
      </c>
      <c r="D45" s="31" t="inlineStr"/>
      <c r="E45" s="32" t="n"/>
      <c r="F45" s="33" t="inlineStr">
        <is>
          <t>All streams (pooled)</t>
        </is>
      </c>
      <c r="G45" s="34">
        <f>IF('Metrics'!$V$31="","",'Metrics'!$V$31)</f>
        <v/>
      </c>
      <c r="H45" s="35">
        <f>IF('Results'!$B$21="","",'Results'!$B$21)</f>
        <v/>
      </c>
      <c r="I45" s="36">
        <f>IF('DEEP Score'!$H$45="","",IF('DEEP Score'!$H$45&lt;=5,"Non-Functioning",IF('DEEP Score'!$H$45&lt;=10,"Functioning At-Risk","Functioning")))</f>
        <v/>
      </c>
    </row>
    <row r="46">
      <c r="A46" s="59" t="inlineStr">
        <is>
          <t>Biology</t>
        </is>
      </c>
      <c r="B46" s="12" t="inlineStr">
        <is>
          <t>Community dynamics</t>
        </is>
      </c>
      <c r="C46" s="13" t="inlineStr">
        <is>
          <t>EPT taxa richness</t>
        </is>
      </c>
      <c r="D46" s="14" t="inlineStr"/>
      <c r="E46" s="15" t="n"/>
      <c r="F46" s="16" t="inlineStr"/>
      <c r="G46" s="17">
        <f>IF('Metrics'!$V$32="","",'Metrics'!$V$32)</f>
        <v/>
      </c>
      <c r="H46" s="18">
        <f>IF('Results'!$B$22="","",'Results'!$B$22)</f>
        <v/>
      </c>
      <c r="I46" s="19">
        <f>IF('DEEP Score'!$H$46="","",IF('DEEP Score'!$H$46&lt;=5,"Non-Functioning",IF('DEEP Score'!$H$46&lt;=10,"Functioning At-Risk","Functioning")))</f>
        <v/>
      </c>
    </row>
    <row r="47">
      <c r="A47" s="20" t="n"/>
      <c r="B47" s="21" t="n"/>
      <c r="C47" s="22" t="inlineStr">
        <is>
          <t>Shannon diversity (H')</t>
        </is>
      </c>
      <c r="D47" s="23" t="inlineStr">
        <is>
          <t>H'</t>
        </is>
      </c>
      <c r="E47" s="24" t="n"/>
      <c r="F47" s="25" t="inlineStr"/>
      <c r="G47" s="26">
        <f>IF('Metrics'!$V$33="","",'Metrics'!$V$33)</f>
        <v/>
      </c>
      <c r="H47" s="21" t="n"/>
      <c r="I47" s="27" t="n"/>
    </row>
    <row r="48">
      <c r="A48" s="60" t="inlineStr">
        <is>
          <t>Biology</t>
        </is>
      </c>
      <c r="B48" s="29" t="inlineStr">
        <is>
          <t>Watershed connectivity</t>
        </is>
      </c>
      <c r="C48" s="30" t="inlineStr">
        <is>
          <t>Mapped dams within one mile</t>
        </is>
      </c>
      <c r="D48" s="31" t="inlineStr">
        <is>
          <t>dams</t>
        </is>
      </c>
      <c r="E48" s="32" t="n"/>
      <c r="F48" s="37" t="inlineStr"/>
      <c r="G48" s="34">
        <f>IF('Metrics'!$V$34="","",'Metrics'!$V$34)</f>
        <v/>
      </c>
      <c r="H48" s="35">
        <f>IF('Results'!$B$23="","",'Results'!$B$23)</f>
        <v/>
      </c>
      <c r="I48" s="36">
        <f>IF('DEEP Score'!$H$48="","",IF('DEEP Score'!$H$48&lt;=5,"Non-Functioning",IF('DEEP Score'!$H$48&lt;=10,"Functioning At-Risk","Functioning")))</f>
        <v/>
      </c>
    </row>
    <row r="50">
      <c r="A50" s="61" t="inlineStr">
        <is>
          <t>Summary</t>
        </is>
      </c>
    </row>
    <row r="51">
      <c r="A51" s="10" t="inlineStr">
        <is>
          <t>Outcome</t>
        </is>
      </c>
      <c r="B51" s="10" t="inlineStr">
        <is>
          <t>Sub-index (0 to 1)</t>
        </is>
      </c>
      <c r="C51" s="10" t="inlineStr">
        <is>
          <t>Condition</t>
        </is>
      </c>
    </row>
    <row r="52">
      <c r="A52" s="62" t="inlineStr">
        <is>
          <t>Physical</t>
        </is>
      </c>
      <c r="B52" s="63">
        <f>'Results'!$B$26</f>
        <v/>
      </c>
      <c r="C52" s="44">
        <f>IF('DEEP Score'!$B$52&lt;=0.39,"Non-Functioning",IF('DEEP Score'!$B$52&lt;=0.69,"Functioning At-Risk","Functioning"))</f>
        <v/>
      </c>
    </row>
    <row r="53">
      <c r="A53" s="62" t="inlineStr">
        <is>
          <t>Chemical</t>
        </is>
      </c>
      <c r="B53" s="63">
        <f>'Results'!$B$27</f>
        <v/>
      </c>
      <c r="C53" s="44">
        <f>IF('DEEP Score'!$B$53&lt;=0.39,"Non-Functioning",IF('DEEP Score'!$B$53&lt;=0.69,"Functioning At-Risk","Functioning"))</f>
        <v/>
      </c>
    </row>
    <row r="54">
      <c r="A54" s="62" t="inlineStr">
        <is>
          <t>Biological</t>
        </is>
      </c>
      <c r="B54" s="63">
        <f>'Results'!$B$28</f>
        <v/>
      </c>
      <c r="C54" s="44">
        <f>IF('DEEP Score'!$B$54&lt;=0.39,"Non-Functioning",IF('DEEP Score'!$B$54&lt;=0.69,"Functioning At-Risk","Functioning"))</f>
        <v/>
      </c>
    </row>
    <row r="55" ht="30" customHeight="1">
      <c r="A55" s="64" t="inlineStr">
        <is>
          <t>Ecosystem Condition Index</t>
        </is>
      </c>
      <c r="B55" s="65">
        <f>'Results'!$B$29</f>
        <v/>
      </c>
      <c r="C55" s="44">
        <f>IF('DEEP Score'!$B$55&lt;=0.39,"Non-Functioning",IF('DEEP Score'!$B$55&lt;=0.69,"Functioning At-Risk","Functioning"))</f>
        <v/>
      </c>
    </row>
    <row r="56">
      <c r="A56" s="5" t="inlineStr">
        <is>
          <t xml:space="preserve">Functions with a score: </t>
        </is>
      </c>
      <c r="B56" s="5">
        <f>COUNT('Results'!$B$4:$B$23)&amp;" of 20"</f>
        <v/>
      </c>
    </row>
    <row r="57">
      <c r="A57" s="5" t="inlineStr">
        <is>
          <t>This assessment covers 20 of 20 STAF functions.</t>
        </is>
      </c>
    </row>
    <row r="59">
      <c r="A59" s="66" t="inlineStr">
        <is>
          <t>Withheld for insufficient reference support (not scored)</t>
        </is>
      </c>
    </row>
    <row r="60">
      <c r="A60" t="inlineStr">
        <is>
          <t>Tolerant individuals (%) ~ HBI</t>
        </is>
      </c>
      <c r="C60" s="5" t="inlineStr">
        <is>
          <t>Community dynamics</t>
        </is>
      </c>
    </row>
    <row r="61">
      <c r="A61" t="inlineStr">
        <is>
          <t>Benthic total taxa richness</t>
        </is>
      </c>
      <c r="C61" s="5" t="inlineStr">
        <is>
          <t>Population support</t>
        </is>
      </c>
    </row>
    <row r="63">
      <c r="A63" s="6" t="inlineStr">
        <is>
          <t>Notes</t>
        </is>
      </c>
    </row>
    <row r="64">
      <c r="A64" s="67" t="n"/>
      <c r="B64" s="68" t="n"/>
      <c r="C64" s="68" t="n"/>
      <c r="D64" s="68" t="n"/>
      <c r="E64" s="68" t="n"/>
      <c r="F64" s="68" t="n"/>
      <c r="G64" s="68" t="n"/>
      <c r="H64" s="68" t="n"/>
      <c r="I64" s="69" t="n"/>
    </row>
    <row r="65">
      <c r="A65" s="70" t="n"/>
      <c r="B65" s="71" t="n"/>
      <c r="C65" s="71" t="n"/>
      <c r="D65" s="71" t="n"/>
      <c r="E65" s="71" t="n"/>
      <c r="F65" s="71" t="n"/>
      <c r="G65" s="71" t="n"/>
      <c r="H65" s="71" t="n"/>
      <c r="I65" s="72" t="n"/>
    </row>
    <row r="66">
      <c r="A66" s="70" t="n"/>
      <c r="B66" s="71" t="n"/>
      <c r="C66" s="71" t="n"/>
      <c r="D66" s="71" t="n"/>
      <c r="E66" s="71" t="n"/>
      <c r="F66" s="71" t="n"/>
      <c r="G66" s="71" t="n"/>
      <c r="H66" s="71" t="n"/>
      <c r="I66" s="72" t="n"/>
    </row>
    <row r="67">
      <c r="A67" s="70" t="n"/>
      <c r="B67" s="71" t="n"/>
      <c r="C67" s="71" t="n"/>
      <c r="D67" s="71" t="n"/>
      <c r="E67" s="71" t="n"/>
      <c r="F67" s="71" t="n"/>
      <c r="G67" s="71" t="n"/>
      <c r="H67" s="71" t="n"/>
      <c r="I67" s="72" t="n"/>
    </row>
    <row r="68">
      <c r="A68" s="70" t="n"/>
      <c r="B68" s="71" t="n"/>
      <c r="C68" s="71" t="n"/>
      <c r="D68" s="71" t="n"/>
      <c r="E68" s="71" t="n"/>
      <c r="F68" s="71" t="n"/>
      <c r="G68" s="71" t="n"/>
      <c r="H68" s="71" t="n"/>
      <c r="I68" s="72" t="n"/>
    </row>
    <row r="69">
      <c r="A69" s="73" t="n"/>
      <c r="B69" s="74" t="n"/>
      <c r="C69" s="74" t="n"/>
      <c r="D69" s="74" t="n"/>
      <c r="E69" s="74" t="n"/>
      <c r="F69" s="74" t="n"/>
      <c r="G69" s="74" t="n"/>
      <c r="H69" s="74" t="n"/>
      <c r="I69" s="7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I18:I20"/>
    <mergeCell ref="H26:H27"/>
    <mergeCell ref="I30:I31"/>
    <mergeCell ref="A24:A25"/>
    <mergeCell ref="B43:B44"/>
    <mergeCell ref="H43:H44"/>
    <mergeCell ref="B12:B13"/>
    <mergeCell ref="H38:H39"/>
    <mergeCell ref="B40:B42"/>
    <mergeCell ref="B8:D8"/>
    <mergeCell ref="I16:I17"/>
    <mergeCell ref="B46:B47"/>
    <mergeCell ref="A16:A17"/>
    <mergeCell ref="A32:A34"/>
    <mergeCell ref="H32:H34"/>
    <mergeCell ref="B35:B36"/>
    <mergeCell ref="B38:B39"/>
    <mergeCell ref="I26:I27"/>
    <mergeCell ref="I22:I23"/>
    <mergeCell ref="H18:H20"/>
    <mergeCell ref="I28:I29"/>
    <mergeCell ref="H35:H36"/>
    <mergeCell ref="I40:I42"/>
    <mergeCell ref="A12:A13"/>
    <mergeCell ref="A26:A27"/>
    <mergeCell ref="I12:I13"/>
    <mergeCell ref="H46:H47"/>
    <mergeCell ref="H22:H23"/>
    <mergeCell ref="B9:D9"/>
    <mergeCell ref="A46:A47"/>
    <mergeCell ref="B28:B29"/>
    <mergeCell ref="B32:B34"/>
    <mergeCell ref="A4:I4"/>
    <mergeCell ref="B6:D6"/>
    <mergeCell ref="B24:B25"/>
    <mergeCell ref="I24:I25"/>
    <mergeCell ref="A40:A42"/>
    <mergeCell ref="I43:I44"/>
    <mergeCell ref="A64:I69"/>
    <mergeCell ref="B5:D5"/>
    <mergeCell ref="A22:A23"/>
    <mergeCell ref="H16:H17"/>
    <mergeCell ref="H12:H13"/>
    <mergeCell ref="I38:I39"/>
    <mergeCell ref="H28:H29"/>
    <mergeCell ref="B7:D7"/>
    <mergeCell ref="H24:H25"/>
    <mergeCell ref="B18:B20"/>
    <mergeCell ref="B30:B31"/>
    <mergeCell ref="I32:I34"/>
    <mergeCell ref="I35:I36"/>
    <mergeCell ref="A35:A36"/>
    <mergeCell ref="H40:H42"/>
    <mergeCell ref="A43:A44"/>
    <mergeCell ref="A38:A39"/>
    <mergeCell ref="H30:H31"/>
    <mergeCell ref="B22:B23"/>
    <mergeCell ref="A28:A29"/>
    <mergeCell ref="B16:B17"/>
    <mergeCell ref="B26:B27"/>
    <mergeCell ref="I46:I47"/>
    <mergeCell ref="A18:A20"/>
    <mergeCell ref="A30:A31"/>
  </mergeCells>
  <conditionalFormatting sqref="G12:G48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8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8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9">
    <dataValidation sqref="F14" showDropDown="0" showInputMessage="0" showErrorMessage="1" allowBlank="1" errorTitle="Curve set" error="Choose a curve set from the list." type="list">
      <formula1>=strata_spring_pctwet2019ws</formula1>
    </dataValidation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0" showDropDown="0" showInputMessage="0" showErrorMessage="1" allowBlank="1" errorTitle="Curve set" error="Choose a curve set from the list." type="list">
      <formula1>=strata_spring_phab_rp100_cm</formula1>
    </dataValidation>
    <dataValidation sqref="F23" showDropDown="0" showInputMessage="0" showErrorMessage="1" allowBlank="1" errorTitle="Curve set" error="Choose a curve set from the list." type="list">
      <formula1>=strata_spring_phab_xbkf_h</formula1>
    </dataValidation>
    <dataValidation sqref="F30" showDropDown="0" showInputMessage="0" showErrorMessage="1" allowBlank="1" errorTitle="Curve set" error="Choose a curve set from the list." type="list">
      <formula1>=strata_spring_phab_lrbs_use</formula1>
    </dataValidation>
    <dataValidation sqref="F36" showDropDown="0" showInputMessage="0" showErrorMessage="1" allowBlank="1" errorTitle="Curve set" error="Choose a curve set from the list." type="list">
      <formula1>=strata_spring_phab_xcdenmid</formula1>
    </dataValidation>
    <dataValidation sqref="F43" showDropDown="0" showInputMessage="0" showErrorMessage="1" allowBlank="1" errorTitle="Curve set" error="Choose a curve set from the list." type="list">
      <formula1>=strata_spring_phab_pct_fast</formula1>
    </dataValidation>
    <dataValidation sqref="F44" showDropDown="0" showInputMessage="0" showErrorMessage="1" allowBlank="1" errorTitle="Curve set" error="Choose a curve set from the list." type="list">
      <formula1>=strata_spring_phab_xfc_nat</formula1>
    </dataValidation>
    <dataValidation sqref="F45" showDropDown="0" showInputMessage="0" showErrorMessage="1" allowBlank="1" errorTitle="Curve set" error="Choose a curve set from the list." type="list">
      <formula1>=strata_spring_fish_nat_totlntax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4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6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2" t="inlineStr">
        <is>
          <t>Impervious surface</t>
        </is>
      </c>
      <c r="B5" s="77">
        <f>IF('DEEP Score'!$E$12="","",'DEEP Score'!$E$12)</f>
        <v/>
      </c>
      <c r="C5" s="77">
        <f>""</f>
        <v/>
      </c>
      <c r="D5" s="77">
        <f>"spring_pctimp2019ws|"&amp;'Metrics'!$C$5</f>
        <v/>
      </c>
      <c r="E5" s="77">
        <f>IFERROR(MATCH('Metrics'!$D$5,curve_key,0),MATCH("spring_pctimp2019ws|",curve_key,0))</f>
        <v/>
      </c>
      <c r="F5" s="77">
        <f>INDEX(curve_x1,'Metrics'!$E$5)</f>
        <v/>
      </c>
      <c r="G5" s="77">
        <f>INDEX(curve_x2,'Metrics'!$E$5)</f>
        <v/>
      </c>
      <c r="H5" s="77">
        <f>INDEX(curve_x3,'Metrics'!$E$5)</f>
        <v/>
      </c>
      <c r="I5" s="77">
        <f>INDEX(curve_x4,'Metrics'!$E$5)</f>
        <v/>
      </c>
      <c r="J5" s="77">
        <f>INDEX(curve_x5,'Metrics'!$E$5)</f>
        <v/>
      </c>
      <c r="K5" s="77">
        <f>INDEX(curve_x6,'Metrics'!$E$5)</f>
        <v/>
      </c>
      <c r="L5" s="77">
        <f>INDEX(curve_x7,'Metrics'!$E$5)</f>
        <v/>
      </c>
      <c r="M5" s="77">
        <f>INDEX(curve_x8,'Metrics'!$E$5)</f>
        <v/>
      </c>
      <c r="N5" s="77">
        <f>INDEX(curve_y1,'Metrics'!$E$5)</f>
        <v/>
      </c>
      <c r="O5" s="77">
        <f>INDEX(curve_y2,'Metrics'!$E$5)</f>
        <v/>
      </c>
      <c r="P5" s="77">
        <f>INDEX(curve_y3,'Metrics'!$E$5)</f>
        <v/>
      </c>
      <c r="Q5" s="77">
        <f>INDEX(curve_y4,'Metrics'!$E$5)</f>
        <v/>
      </c>
      <c r="R5" s="77">
        <f>INDEX(curve_y5,'Metrics'!$E$5)</f>
        <v/>
      </c>
      <c r="S5" s="77">
        <f>INDEX(curve_y6,'Metrics'!$E$5)</f>
        <v/>
      </c>
      <c r="T5" s="77">
        <f>INDEX(curve_y7,'Metrics'!$E$5)</f>
        <v/>
      </c>
      <c r="U5" s="77">
        <f>INDEX(curve_y8,'Metrics'!$E$5)</f>
        <v/>
      </c>
      <c r="V5" s="78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2" t="inlineStr">
        <is>
          <t>Agriculture, crop and hay</t>
        </is>
      </c>
      <c r="B6" s="77">
        <f>IF('DEEP Score'!$E$13="","",'DEEP Score'!$E$13)</f>
        <v/>
      </c>
      <c r="C6" s="77">
        <f>""</f>
        <v/>
      </c>
      <c r="D6" s="77">
        <f>"spring_pctag2019ws|"&amp;'Metrics'!$C$6</f>
        <v/>
      </c>
      <c r="E6" s="77">
        <f>IFERROR(MATCH('Metrics'!$D$6,curve_key,0),MATCH("spring_pctag2019ws|",curve_key,0))</f>
        <v/>
      </c>
      <c r="F6" s="77">
        <f>INDEX(curve_x1,'Metrics'!$E$6)</f>
        <v/>
      </c>
      <c r="G6" s="77">
        <f>INDEX(curve_x2,'Metrics'!$E$6)</f>
        <v/>
      </c>
      <c r="H6" s="77">
        <f>INDEX(curve_x3,'Metrics'!$E$6)</f>
        <v/>
      </c>
      <c r="I6" s="77">
        <f>INDEX(curve_x4,'Metrics'!$E$6)</f>
        <v/>
      </c>
      <c r="J6" s="77">
        <f>INDEX(curve_x5,'Metrics'!$E$6)</f>
        <v/>
      </c>
      <c r="K6" s="77">
        <f>INDEX(curve_x6,'Metrics'!$E$6)</f>
        <v/>
      </c>
      <c r="L6" s="77">
        <f>INDEX(curve_x7,'Metrics'!$E$6)</f>
        <v/>
      </c>
      <c r="M6" s="77">
        <f>INDEX(curve_x8,'Metrics'!$E$6)</f>
        <v/>
      </c>
      <c r="N6" s="77">
        <f>INDEX(curve_y1,'Metrics'!$E$6)</f>
        <v/>
      </c>
      <c r="O6" s="77">
        <f>INDEX(curve_y2,'Metrics'!$E$6)</f>
        <v/>
      </c>
      <c r="P6" s="77">
        <f>INDEX(curve_y3,'Metrics'!$E$6)</f>
        <v/>
      </c>
      <c r="Q6" s="77">
        <f>INDEX(curve_y4,'Metrics'!$E$6)</f>
        <v/>
      </c>
      <c r="R6" s="77">
        <f>INDEX(curve_y5,'Metrics'!$E$6)</f>
        <v/>
      </c>
      <c r="S6" s="77">
        <f>INDEX(curve_y6,'Metrics'!$E$6)</f>
        <v/>
      </c>
      <c r="T6" s="77">
        <f>INDEX(curve_y7,'Metrics'!$E$6)</f>
        <v/>
      </c>
      <c r="U6" s="77">
        <f>INDEX(curve_y8,'Metrics'!$E$6)</f>
        <v/>
      </c>
      <c r="V6" s="78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2" t="inlineStr">
        <is>
          <t>Wetland</t>
        </is>
      </c>
      <c r="B7" s="77">
        <f>IF('DEEP Score'!$E$14="","",'DEEP Score'!$E$14)</f>
        <v/>
      </c>
      <c r="C7" s="77">
        <f>IF('DEEP Score'!$F$14="","All streams (pooled)",'DEEP Score'!$F$14)</f>
        <v/>
      </c>
      <c r="D7" s="77">
        <f>"spring_pctwet2019ws|"&amp;'Metrics'!$C$7</f>
        <v/>
      </c>
      <c r="E7" s="77">
        <f>IFERROR(MATCH('Metrics'!$D$7,curve_key,0),MATCH("spring_pctwet2019ws|All streams (pooled)",curve_key,0))</f>
        <v/>
      </c>
      <c r="F7" s="77">
        <f>INDEX(curve_x1,'Metrics'!$E$7)</f>
        <v/>
      </c>
      <c r="G7" s="77">
        <f>INDEX(curve_x2,'Metrics'!$E$7)</f>
        <v/>
      </c>
      <c r="H7" s="77">
        <f>INDEX(curve_x3,'Metrics'!$E$7)</f>
        <v/>
      </c>
      <c r="I7" s="77">
        <f>INDEX(curve_x4,'Metrics'!$E$7)</f>
        <v/>
      </c>
      <c r="J7" s="77">
        <f>INDEX(curve_x5,'Metrics'!$E$7)</f>
        <v/>
      </c>
      <c r="K7" s="77">
        <f>INDEX(curve_x6,'Metrics'!$E$7)</f>
        <v/>
      </c>
      <c r="L7" s="77">
        <f>INDEX(curve_x7,'Metrics'!$E$7)</f>
        <v/>
      </c>
      <c r="M7" s="77">
        <f>INDEX(curve_x8,'Metrics'!$E$7)</f>
        <v/>
      </c>
      <c r="N7" s="77">
        <f>INDEX(curve_y1,'Metrics'!$E$7)</f>
        <v/>
      </c>
      <c r="O7" s="77">
        <f>INDEX(curve_y2,'Metrics'!$E$7)</f>
        <v/>
      </c>
      <c r="P7" s="77">
        <f>INDEX(curve_y3,'Metrics'!$E$7)</f>
        <v/>
      </c>
      <c r="Q7" s="77">
        <f>INDEX(curve_y4,'Metrics'!$E$7)</f>
        <v/>
      </c>
      <c r="R7" s="77">
        <f>INDEX(curve_y5,'Metrics'!$E$7)</f>
        <v/>
      </c>
      <c r="S7" s="77">
        <f>INDEX(curve_y6,'Metrics'!$E$7)</f>
        <v/>
      </c>
      <c r="T7" s="77">
        <f>INDEX(curve_y7,'Metrics'!$E$7)</f>
        <v/>
      </c>
      <c r="U7" s="77">
        <f>INDEX(curve_y8,'Metrics'!$E$7)</f>
        <v/>
      </c>
      <c r="V7" s="78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2" t="inlineStr">
        <is>
          <t>Road density</t>
        </is>
      </c>
      <c r="B8" s="77">
        <f>IF('DEEP Score'!$E$15="","",'DEEP Score'!$E$15)</f>
        <v/>
      </c>
      <c r="C8" s="77">
        <f>""</f>
        <v/>
      </c>
      <c r="D8" s="77">
        <f>"spring_rddensws|"&amp;'Metrics'!$C$8</f>
        <v/>
      </c>
      <c r="E8" s="77">
        <f>IFERROR(MATCH('Metrics'!$D$8,curve_key,0),MATCH("spring_rddensws|",curve_key,0))</f>
        <v/>
      </c>
      <c r="F8" s="77">
        <f>INDEX(curve_x1,'Metrics'!$E$8)</f>
        <v/>
      </c>
      <c r="G8" s="77">
        <f>INDEX(curve_x2,'Metrics'!$E$8)</f>
        <v/>
      </c>
      <c r="H8" s="77">
        <f>INDEX(curve_x3,'Metrics'!$E$8)</f>
        <v/>
      </c>
      <c r="I8" s="77">
        <f>INDEX(curve_x4,'Metrics'!$E$8)</f>
        <v/>
      </c>
      <c r="J8" s="77">
        <f>INDEX(curve_x5,'Metrics'!$E$8)</f>
        <v/>
      </c>
      <c r="K8" s="77">
        <f>INDEX(curve_x6,'Metrics'!$E$8)</f>
        <v/>
      </c>
      <c r="L8" s="77">
        <f>INDEX(curve_x7,'Metrics'!$E$8)</f>
        <v/>
      </c>
      <c r="M8" s="77">
        <f>INDEX(curve_x8,'Metrics'!$E$8)</f>
        <v/>
      </c>
      <c r="N8" s="77">
        <f>INDEX(curve_y1,'Metrics'!$E$8)</f>
        <v/>
      </c>
      <c r="O8" s="77">
        <f>INDEX(curve_y2,'Metrics'!$E$8)</f>
        <v/>
      </c>
      <c r="P8" s="77">
        <f>INDEX(curve_y3,'Metrics'!$E$8)</f>
        <v/>
      </c>
      <c r="Q8" s="77">
        <f>INDEX(curve_y4,'Metrics'!$E$8)</f>
        <v/>
      </c>
      <c r="R8" s="77">
        <f>INDEX(curve_y5,'Metrics'!$E$8)</f>
        <v/>
      </c>
      <c r="S8" s="77">
        <f>INDEX(curve_y6,'Metrics'!$E$8)</f>
        <v/>
      </c>
      <c r="T8" s="77">
        <f>INDEX(curve_y7,'Metrics'!$E$8)</f>
        <v/>
      </c>
      <c r="U8" s="77">
        <f>INDEX(curve_y8,'Metrics'!$E$8)</f>
        <v/>
      </c>
      <c r="V8" s="78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2" t="inlineStr">
        <is>
          <t>Base flow index</t>
        </is>
      </c>
      <c r="B9" s="77">
        <f>IF('DEEP Score'!$E$16="","",'DEEP Score'!$E$16)</f>
        <v/>
      </c>
      <c r="C9" s="77">
        <f>""</f>
        <v/>
      </c>
      <c r="D9" s="77">
        <f>"spring_bfiws|"&amp;'Metrics'!$C$9</f>
        <v/>
      </c>
      <c r="E9" s="77">
        <f>IFERROR(MATCH('Metrics'!$D$9,curve_key,0),MATCH("spring_bfiws|",curve_key,0))</f>
        <v/>
      </c>
      <c r="F9" s="77">
        <f>INDEX(curve_x1,'Metrics'!$E$9)</f>
        <v/>
      </c>
      <c r="G9" s="77">
        <f>INDEX(curve_x2,'Metrics'!$E$9)</f>
        <v/>
      </c>
      <c r="H9" s="77">
        <f>INDEX(curve_x3,'Metrics'!$E$9)</f>
        <v/>
      </c>
      <c r="I9" s="77">
        <f>INDEX(curve_x4,'Metrics'!$E$9)</f>
        <v/>
      </c>
      <c r="J9" s="77">
        <f>INDEX(curve_x5,'Metrics'!$E$9)</f>
        <v/>
      </c>
      <c r="K9" s="77">
        <f>INDEX(curve_x6,'Metrics'!$E$9)</f>
        <v/>
      </c>
      <c r="L9" s="77">
        <f>INDEX(curve_x7,'Metrics'!$E$9)</f>
        <v/>
      </c>
      <c r="M9" s="77">
        <f>INDEX(curve_x8,'Metrics'!$E$9)</f>
        <v/>
      </c>
      <c r="N9" s="77">
        <f>INDEX(curve_y1,'Metrics'!$E$9)</f>
        <v/>
      </c>
      <c r="O9" s="77">
        <f>INDEX(curve_y2,'Metrics'!$E$9)</f>
        <v/>
      </c>
      <c r="P9" s="77">
        <f>INDEX(curve_y3,'Metrics'!$E$9)</f>
        <v/>
      </c>
      <c r="Q9" s="77">
        <f>INDEX(curve_y4,'Metrics'!$E$9)</f>
        <v/>
      </c>
      <c r="R9" s="77">
        <f>INDEX(curve_y5,'Metrics'!$E$9)</f>
        <v/>
      </c>
      <c r="S9" s="77">
        <f>INDEX(curve_y6,'Metrics'!$E$9)</f>
        <v/>
      </c>
      <c r="T9" s="77">
        <f>INDEX(curve_y7,'Metrics'!$E$9)</f>
        <v/>
      </c>
      <c r="U9" s="77">
        <f>INDEX(curve_y8,'Metrics'!$E$9)</f>
        <v/>
      </c>
      <c r="V9" s="78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2" t="inlineStr">
        <is>
          <t>Degree of regulation</t>
        </is>
      </c>
      <c r="B10" s="77">
        <f>IF('DEEP Score'!$E$17="","",'DEEP Score'!$E$17)</f>
        <v/>
      </c>
      <c r="C10" s="77">
        <f>""</f>
        <v/>
      </c>
      <c r="D10" s="77">
        <f>"spring_dorws|"&amp;'Metrics'!$C$10</f>
        <v/>
      </c>
      <c r="E10" s="77">
        <f>IFERROR(MATCH('Metrics'!$D$10,curve_key,0),MATCH("spring_dorws|",curve_key,0))</f>
        <v/>
      </c>
      <c r="F10" s="77">
        <f>INDEX(curve_x1,'Metrics'!$E$10)</f>
        <v/>
      </c>
      <c r="G10" s="77">
        <f>INDEX(curve_x2,'Metrics'!$E$10)</f>
        <v/>
      </c>
      <c r="H10" s="77">
        <f>INDEX(curve_x3,'Metrics'!$E$10)</f>
        <v/>
      </c>
      <c r="I10" s="77">
        <f>INDEX(curve_x4,'Metrics'!$E$10)</f>
        <v/>
      </c>
      <c r="J10" s="77">
        <f>INDEX(curve_x5,'Metrics'!$E$10)</f>
        <v/>
      </c>
      <c r="K10" s="77">
        <f>INDEX(curve_x6,'Metrics'!$E$10)</f>
        <v/>
      </c>
      <c r="L10" s="77">
        <f>INDEX(curve_x7,'Metrics'!$E$10)</f>
        <v/>
      </c>
      <c r="M10" s="77">
        <f>INDEX(curve_x8,'Metrics'!$E$10)</f>
        <v/>
      </c>
      <c r="N10" s="77">
        <f>INDEX(curve_y1,'Metrics'!$E$10)</f>
        <v/>
      </c>
      <c r="O10" s="77">
        <f>INDEX(curve_y2,'Metrics'!$E$10)</f>
        <v/>
      </c>
      <c r="P10" s="77">
        <f>INDEX(curve_y3,'Metrics'!$E$10)</f>
        <v/>
      </c>
      <c r="Q10" s="77">
        <f>INDEX(curve_y4,'Metrics'!$E$10)</f>
        <v/>
      </c>
      <c r="R10" s="77">
        <f>INDEX(curve_y5,'Metrics'!$E$10)</f>
        <v/>
      </c>
      <c r="S10" s="77">
        <f>INDEX(curve_y6,'Metrics'!$E$10)</f>
        <v/>
      </c>
      <c r="T10" s="77">
        <f>INDEX(curve_y7,'Metrics'!$E$10)</f>
        <v/>
      </c>
      <c r="U10" s="77">
        <f>INDEX(curve_y8,'Metrics'!$E$10)</f>
        <v/>
      </c>
      <c r="V10" s="78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2" t="inlineStr">
        <is>
          <t>Bankfull width:depth ratio</t>
        </is>
      </c>
      <c r="B11" s="77">
        <f>IF('DEEP Score'!$E$19="","",'DEEP Score'!$E$19)</f>
        <v/>
      </c>
      <c r="C11" s="77">
        <f>IF('DEEP Score'!$F$19="","All streams (pooled)",'DEEP Score'!$F$19)</f>
        <v/>
      </c>
      <c r="D11" s="77">
        <f>"spring_phab_bfwd_rat|"&amp;'Metrics'!$C$11</f>
        <v/>
      </c>
      <c r="E11" s="77">
        <f>IFERROR(MATCH('Metrics'!$D$11,curve_key,0),MATCH("spring_phab_bfwd_rat|All streams (pooled)",curve_key,0))</f>
        <v/>
      </c>
      <c r="F11" s="77">
        <f>INDEX(curve_x1,'Metrics'!$E$11)</f>
        <v/>
      </c>
      <c r="G11" s="77">
        <f>INDEX(curve_x2,'Metrics'!$E$11)</f>
        <v/>
      </c>
      <c r="H11" s="77">
        <f>INDEX(curve_x3,'Metrics'!$E$11)</f>
        <v/>
      </c>
      <c r="I11" s="77">
        <f>INDEX(curve_x4,'Metrics'!$E$11)</f>
        <v/>
      </c>
      <c r="J11" s="77">
        <f>INDEX(curve_x5,'Metrics'!$E$11)</f>
        <v/>
      </c>
      <c r="K11" s="77">
        <f>INDEX(curve_x6,'Metrics'!$E$11)</f>
        <v/>
      </c>
      <c r="L11" s="77">
        <f>INDEX(curve_x7,'Metrics'!$E$11)</f>
        <v/>
      </c>
      <c r="M11" s="77">
        <f>INDEX(curve_x8,'Metrics'!$E$11)</f>
        <v/>
      </c>
      <c r="N11" s="77">
        <f>INDEX(curve_y1,'Metrics'!$E$11)</f>
        <v/>
      </c>
      <c r="O11" s="77">
        <f>INDEX(curve_y2,'Metrics'!$E$11)</f>
        <v/>
      </c>
      <c r="P11" s="77">
        <f>INDEX(curve_y3,'Metrics'!$E$11)</f>
        <v/>
      </c>
      <c r="Q11" s="77">
        <f>INDEX(curve_y4,'Metrics'!$E$11)</f>
        <v/>
      </c>
      <c r="R11" s="77">
        <f>INDEX(curve_y5,'Metrics'!$E$11)</f>
        <v/>
      </c>
      <c r="S11" s="77">
        <f>INDEX(curve_y6,'Metrics'!$E$11)</f>
        <v/>
      </c>
      <c r="T11" s="77">
        <f>INDEX(curve_y7,'Metrics'!$E$11)</f>
        <v/>
      </c>
      <c r="U11" s="77">
        <f>INDEX(curve_y8,'Metrics'!$E$11)</f>
        <v/>
      </c>
      <c r="V11" s="78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2" t="inlineStr">
        <is>
          <t>Residual pool depth</t>
        </is>
      </c>
      <c r="B12" s="77">
        <f>IF('DEEP Score'!$E$20="","",'DEEP Score'!$E$20)</f>
        <v/>
      </c>
      <c r="C12" s="77">
        <f>IF('DEEP Score'!$F$20="","All streams (pooled)",'DEEP Score'!$F$20)</f>
        <v/>
      </c>
      <c r="D12" s="77">
        <f>"spring_phab_rp100_cm|"&amp;'Metrics'!$C$12</f>
        <v/>
      </c>
      <c r="E12" s="77">
        <f>IFERROR(MATCH('Metrics'!$D$12,curve_key,0),MATCH("spring_phab_rp100_cm|All streams (pooled)",curve_key,0))</f>
        <v/>
      </c>
      <c r="F12" s="77">
        <f>INDEX(curve_x1,'Metrics'!$E$12)</f>
        <v/>
      </c>
      <c r="G12" s="77">
        <f>INDEX(curve_x2,'Metrics'!$E$12)</f>
        <v/>
      </c>
      <c r="H12" s="77">
        <f>INDEX(curve_x3,'Metrics'!$E$12)</f>
        <v/>
      </c>
      <c r="I12" s="77">
        <f>INDEX(curve_x4,'Metrics'!$E$12)</f>
        <v/>
      </c>
      <c r="J12" s="77">
        <f>INDEX(curve_x5,'Metrics'!$E$12)</f>
        <v/>
      </c>
      <c r="K12" s="77">
        <f>INDEX(curve_x6,'Metrics'!$E$12)</f>
        <v/>
      </c>
      <c r="L12" s="77">
        <f>INDEX(curve_x7,'Metrics'!$E$12)</f>
        <v/>
      </c>
      <c r="M12" s="77">
        <f>INDEX(curve_x8,'Metrics'!$E$12)</f>
        <v/>
      </c>
      <c r="N12" s="77">
        <f>INDEX(curve_y1,'Metrics'!$E$12)</f>
        <v/>
      </c>
      <c r="O12" s="77">
        <f>INDEX(curve_y2,'Metrics'!$E$12)</f>
        <v/>
      </c>
      <c r="P12" s="77">
        <f>INDEX(curve_y3,'Metrics'!$E$12)</f>
        <v/>
      </c>
      <c r="Q12" s="77">
        <f>INDEX(curve_y4,'Metrics'!$E$12)</f>
        <v/>
      </c>
      <c r="R12" s="77">
        <f>INDEX(curve_y5,'Metrics'!$E$12)</f>
        <v/>
      </c>
      <c r="S12" s="77">
        <f>INDEX(curve_y6,'Metrics'!$E$12)</f>
        <v/>
      </c>
      <c r="T12" s="77">
        <f>INDEX(curve_y7,'Metrics'!$E$12)</f>
        <v/>
      </c>
      <c r="U12" s="77">
        <f>INDEX(curve_y8,'Metrics'!$E$12)</f>
        <v/>
      </c>
      <c r="V12" s="78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2" t="inlineStr">
        <is>
          <t>Bankfull height above channel</t>
        </is>
      </c>
      <c r="B13" s="77">
        <f>IF('DEEP Score'!$E$23="","",'DEEP Score'!$E$23)</f>
        <v/>
      </c>
      <c r="C13" s="77">
        <f>IF('DEEP Score'!$F$23="","All streams (pooled)",'DEEP Score'!$F$23)</f>
        <v/>
      </c>
      <c r="D13" s="77">
        <f>"spring_phab_xbkf_h|"&amp;'Metrics'!$C$13</f>
        <v/>
      </c>
      <c r="E13" s="77">
        <f>IFERROR(MATCH('Metrics'!$D$13,curve_key,0),MATCH("spring_phab_xbkf_h|All streams (pooled)",curve_key,0))</f>
        <v/>
      </c>
      <c r="F13" s="77">
        <f>INDEX(curve_x1,'Metrics'!$E$13)</f>
        <v/>
      </c>
      <c r="G13" s="77">
        <f>INDEX(curve_x2,'Metrics'!$E$13)</f>
        <v/>
      </c>
      <c r="H13" s="77">
        <f>INDEX(curve_x3,'Metrics'!$E$13)</f>
        <v/>
      </c>
      <c r="I13" s="77">
        <f>INDEX(curve_x4,'Metrics'!$E$13)</f>
        <v/>
      </c>
      <c r="J13" s="77">
        <f>INDEX(curve_x5,'Metrics'!$E$13)</f>
        <v/>
      </c>
      <c r="K13" s="77">
        <f>INDEX(curve_x6,'Metrics'!$E$13)</f>
        <v/>
      </c>
      <c r="L13" s="77">
        <f>INDEX(curve_x7,'Metrics'!$E$13)</f>
        <v/>
      </c>
      <c r="M13" s="77">
        <f>INDEX(curve_x8,'Metrics'!$E$13)</f>
        <v/>
      </c>
      <c r="N13" s="77">
        <f>INDEX(curve_y1,'Metrics'!$E$13)</f>
        <v/>
      </c>
      <c r="O13" s="77">
        <f>INDEX(curve_y2,'Metrics'!$E$13)</f>
        <v/>
      </c>
      <c r="P13" s="77">
        <f>INDEX(curve_y3,'Metrics'!$E$13)</f>
        <v/>
      </c>
      <c r="Q13" s="77">
        <f>INDEX(curve_y4,'Metrics'!$E$13)</f>
        <v/>
      </c>
      <c r="R13" s="77">
        <f>INDEX(curve_y5,'Metrics'!$E$13)</f>
        <v/>
      </c>
      <c r="S13" s="77">
        <f>INDEX(curve_y6,'Metrics'!$E$13)</f>
        <v/>
      </c>
      <c r="T13" s="77">
        <f>INDEX(curve_y7,'Metrics'!$E$13)</f>
        <v/>
      </c>
      <c r="U13" s="77">
        <f>INDEX(curve_y8,'Metrics'!$E$13)</f>
        <v/>
      </c>
      <c r="V13" s="78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2" t="inlineStr">
        <is>
          <t>Sand + fines</t>
        </is>
      </c>
      <c r="B14" s="77">
        <f>IF('DEEP Score'!$E$24="","",'DEEP Score'!$E$24)</f>
        <v/>
      </c>
      <c r="C14" s="77">
        <f>""</f>
        <v/>
      </c>
      <c r="D14" s="77">
        <f>"spring_phab_pct_safn|"&amp;'Metrics'!$C$14</f>
        <v/>
      </c>
      <c r="E14" s="77">
        <f>IFERROR(MATCH('Metrics'!$D$14,curve_key,0),MATCH("spring_phab_pct_safn|",curve_key,0))</f>
        <v/>
      </c>
      <c r="F14" s="77">
        <f>INDEX(curve_x1,'Metrics'!$E$14)</f>
        <v/>
      </c>
      <c r="G14" s="77">
        <f>INDEX(curve_x2,'Metrics'!$E$14)</f>
        <v/>
      </c>
      <c r="H14" s="77">
        <f>INDEX(curve_x3,'Metrics'!$E$14)</f>
        <v/>
      </c>
      <c r="I14" s="77">
        <f>INDEX(curve_x4,'Metrics'!$E$14)</f>
        <v/>
      </c>
      <c r="J14" s="77">
        <f>INDEX(curve_x5,'Metrics'!$E$14)</f>
        <v/>
      </c>
      <c r="K14" s="77">
        <f>INDEX(curve_x6,'Metrics'!$E$14)</f>
        <v/>
      </c>
      <c r="L14" s="77">
        <f>INDEX(curve_x7,'Metrics'!$E$14)</f>
        <v/>
      </c>
      <c r="M14" s="77">
        <f>INDEX(curve_x8,'Metrics'!$E$14)</f>
        <v/>
      </c>
      <c r="N14" s="77">
        <f>INDEX(curve_y1,'Metrics'!$E$14)</f>
        <v/>
      </c>
      <c r="O14" s="77">
        <f>INDEX(curve_y2,'Metrics'!$E$14)</f>
        <v/>
      </c>
      <c r="P14" s="77">
        <f>INDEX(curve_y3,'Metrics'!$E$14)</f>
        <v/>
      </c>
      <c r="Q14" s="77">
        <f>INDEX(curve_y4,'Metrics'!$E$14)</f>
        <v/>
      </c>
      <c r="R14" s="77">
        <f>INDEX(curve_y5,'Metrics'!$E$14)</f>
        <v/>
      </c>
      <c r="S14" s="77">
        <f>INDEX(curve_y6,'Metrics'!$E$14)</f>
        <v/>
      </c>
      <c r="T14" s="77">
        <f>INDEX(curve_y7,'Metrics'!$E$14)</f>
        <v/>
      </c>
      <c r="U14" s="77">
        <f>INDEX(curve_y8,'Metrics'!$E$14)</f>
        <v/>
      </c>
      <c r="V14" s="78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2" t="inlineStr">
        <is>
          <t>Embeddedness</t>
        </is>
      </c>
      <c r="B15" s="77">
        <f>IF('DEEP Score'!$E$25="","",'DEEP Score'!$E$25)</f>
        <v/>
      </c>
      <c r="C15" s="77">
        <f>""</f>
        <v/>
      </c>
      <c r="D15" s="77">
        <f>"spring_phab_xembed|"&amp;'Metrics'!$C$15</f>
        <v/>
      </c>
      <c r="E15" s="77">
        <f>IFERROR(MATCH('Metrics'!$D$15,curve_key,0),MATCH("spring_phab_xembed|",curve_key,0))</f>
        <v/>
      </c>
      <c r="F15" s="77">
        <f>INDEX(curve_x1,'Metrics'!$E$15)</f>
        <v/>
      </c>
      <c r="G15" s="77">
        <f>INDEX(curve_x2,'Metrics'!$E$15)</f>
        <v/>
      </c>
      <c r="H15" s="77">
        <f>INDEX(curve_x3,'Metrics'!$E$15)</f>
        <v/>
      </c>
      <c r="I15" s="77">
        <f>INDEX(curve_x4,'Metrics'!$E$15)</f>
        <v/>
      </c>
      <c r="J15" s="77">
        <f>INDEX(curve_x5,'Metrics'!$E$15)</f>
        <v/>
      </c>
      <c r="K15" s="77">
        <f>INDEX(curve_x6,'Metrics'!$E$15)</f>
        <v/>
      </c>
      <c r="L15" s="77">
        <f>INDEX(curve_x7,'Metrics'!$E$15)</f>
        <v/>
      </c>
      <c r="M15" s="77">
        <f>INDEX(curve_x8,'Metrics'!$E$15)</f>
        <v/>
      </c>
      <c r="N15" s="77">
        <f>INDEX(curve_y1,'Metrics'!$E$15)</f>
        <v/>
      </c>
      <c r="O15" s="77">
        <f>INDEX(curve_y2,'Metrics'!$E$15)</f>
        <v/>
      </c>
      <c r="P15" s="77">
        <f>INDEX(curve_y3,'Metrics'!$E$15)</f>
        <v/>
      </c>
      <c r="Q15" s="77">
        <f>INDEX(curve_y4,'Metrics'!$E$15)</f>
        <v/>
      </c>
      <c r="R15" s="77">
        <f>INDEX(curve_y5,'Metrics'!$E$15)</f>
        <v/>
      </c>
      <c r="S15" s="77">
        <f>INDEX(curve_y6,'Metrics'!$E$15)</f>
        <v/>
      </c>
      <c r="T15" s="77">
        <f>INDEX(curve_y7,'Metrics'!$E$15)</f>
        <v/>
      </c>
      <c r="U15" s="77">
        <f>INDEX(curve_y8,'Metrics'!$E$15)</f>
        <v/>
      </c>
      <c r="V15" s="78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2" t="inlineStr">
        <is>
          <t>Sinuosity</t>
        </is>
      </c>
      <c r="B16" s="77">
        <f>IF('DEEP Score'!$E$28="","",'DEEP Score'!$E$28)</f>
        <v/>
      </c>
      <c r="C16" s="77">
        <f>""</f>
        <v/>
      </c>
      <c r="D16" s="77">
        <f>"spring_phab_sinu|"&amp;'Metrics'!$C$16</f>
        <v/>
      </c>
      <c r="E16" s="77">
        <f>IFERROR(MATCH('Metrics'!$D$16,curve_key,0),MATCH("spring_phab_sinu|",curve_key,0))</f>
        <v/>
      </c>
      <c r="F16" s="77">
        <f>INDEX(curve_x1,'Metrics'!$E$16)</f>
        <v/>
      </c>
      <c r="G16" s="77">
        <f>INDEX(curve_x2,'Metrics'!$E$16)</f>
        <v/>
      </c>
      <c r="H16" s="77">
        <f>INDEX(curve_x3,'Metrics'!$E$16)</f>
        <v/>
      </c>
      <c r="I16" s="77">
        <f>INDEX(curve_x4,'Metrics'!$E$16)</f>
        <v/>
      </c>
      <c r="J16" s="77">
        <f>INDEX(curve_x5,'Metrics'!$E$16)</f>
        <v/>
      </c>
      <c r="K16" s="77">
        <f>INDEX(curve_x6,'Metrics'!$E$16)</f>
        <v/>
      </c>
      <c r="L16" s="77">
        <f>INDEX(curve_x7,'Metrics'!$E$16)</f>
        <v/>
      </c>
      <c r="M16" s="77">
        <f>INDEX(curve_x8,'Metrics'!$E$16)</f>
        <v/>
      </c>
      <c r="N16" s="77">
        <f>INDEX(curve_y1,'Metrics'!$E$16)</f>
        <v/>
      </c>
      <c r="O16" s="77">
        <f>INDEX(curve_y2,'Metrics'!$E$16)</f>
        <v/>
      </c>
      <c r="P16" s="77">
        <f>INDEX(curve_y3,'Metrics'!$E$16)</f>
        <v/>
      </c>
      <c r="Q16" s="77">
        <f>INDEX(curve_y4,'Metrics'!$E$16)</f>
        <v/>
      </c>
      <c r="R16" s="77">
        <f>INDEX(curve_y5,'Metrics'!$E$16)</f>
        <v/>
      </c>
      <c r="S16" s="77">
        <f>INDEX(curve_y6,'Metrics'!$E$16)</f>
        <v/>
      </c>
      <c r="T16" s="77">
        <f>INDEX(curve_y7,'Metrics'!$E$16)</f>
        <v/>
      </c>
      <c r="U16" s="77">
        <f>INDEX(curve_y8,'Metrics'!$E$16)</f>
        <v/>
      </c>
      <c r="V16" s="78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2" t="inlineStr">
        <is>
          <t>Bank angle</t>
        </is>
      </c>
      <c r="B17" s="77">
        <f>IF('DEEP Score'!$E$29="","",'DEEP Score'!$E$29)</f>
        <v/>
      </c>
      <c r="C17" s="77">
        <f>""</f>
        <v/>
      </c>
      <c r="D17" s="77">
        <f>"spring_phab_xbka|"&amp;'Metrics'!$C$17</f>
        <v/>
      </c>
      <c r="E17" s="77">
        <f>IFERROR(MATCH('Metrics'!$D$17,curve_key,0),MATCH("spring_phab_xbka|",curve_key,0))</f>
        <v/>
      </c>
      <c r="F17" s="77">
        <f>INDEX(curve_x1,'Metrics'!$E$17)</f>
        <v/>
      </c>
      <c r="G17" s="77">
        <f>INDEX(curve_x2,'Metrics'!$E$17)</f>
        <v/>
      </c>
      <c r="H17" s="77">
        <f>INDEX(curve_x3,'Metrics'!$E$17)</f>
        <v/>
      </c>
      <c r="I17" s="77">
        <f>INDEX(curve_x4,'Metrics'!$E$17)</f>
        <v/>
      </c>
      <c r="J17" s="77">
        <f>INDEX(curve_x5,'Metrics'!$E$17)</f>
        <v/>
      </c>
      <c r="K17" s="77">
        <f>INDEX(curve_x6,'Metrics'!$E$17)</f>
        <v/>
      </c>
      <c r="L17" s="77">
        <f>INDEX(curve_x7,'Metrics'!$E$17)</f>
        <v/>
      </c>
      <c r="M17" s="77">
        <f>INDEX(curve_x8,'Metrics'!$E$17)</f>
        <v/>
      </c>
      <c r="N17" s="77">
        <f>INDEX(curve_y1,'Metrics'!$E$17)</f>
        <v/>
      </c>
      <c r="O17" s="77">
        <f>INDEX(curve_y2,'Metrics'!$E$17)</f>
        <v/>
      </c>
      <c r="P17" s="77">
        <f>INDEX(curve_y3,'Metrics'!$E$17)</f>
        <v/>
      </c>
      <c r="Q17" s="77">
        <f>INDEX(curve_y4,'Metrics'!$E$17)</f>
        <v/>
      </c>
      <c r="R17" s="77">
        <f>INDEX(curve_y5,'Metrics'!$E$17)</f>
        <v/>
      </c>
      <c r="S17" s="77">
        <f>INDEX(curve_y6,'Metrics'!$E$17)</f>
        <v/>
      </c>
      <c r="T17" s="77">
        <f>INDEX(curve_y7,'Metrics'!$E$17)</f>
        <v/>
      </c>
      <c r="U17" s="77">
        <f>INDEX(curve_y8,'Metrics'!$E$17)</f>
        <v/>
      </c>
      <c r="V17" s="78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2" t="inlineStr">
        <is>
          <t>Relative bed stability</t>
        </is>
      </c>
      <c r="B18" s="77">
        <f>IF('DEEP Score'!$E$30="","",'DEEP Score'!$E$30)</f>
        <v/>
      </c>
      <c r="C18" s="77">
        <f>IF('DEEP Score'!$F$30="","All streams (pooled)",'DEEP Score'!$F$30)</f>
        <v/>
      </c>
      <c r="D18" s="77">
        <f>"spring_phab_lrbs_use|"&amp;'Metrics'!$C$18</f>
        <v/>
      </c>
      <c r="E18" s="77">
        <f>IFERROR(MATCH('Metrics'!$D$18,curve_key,0),MATCH("spring_phab_lrbs_use|All streams (pooled)",curve_key,0))</f>
        <v/>
      </c>
      <c r="F18" s="77">
        <f>INDEX(curve_x1,'Metrics'!$E$18)</f>
        <v/>
      </c>
      <c r="G18" s="77">
        <f>INDEX(curve_x2,'Metrics'!$E$18)</f>
        <v/>
      </c>
      <c r="H18" s="77">
        <f>INDEX(curve_x3,'Metrics'!$E$18)</f>
        <v/>
      </c>
      <c r="I18" s="77">
        <f>INDEX(curve_x4,'Metrics'!$E$18)</f>
        <v/>
      </c>
      <c r="J18" s="77">
        <f>INDEX(curve_x5,'Metrics'!$E$18)</f>
        <v/>
      </c>
      <c r="K18" s="77">
        <f>INDEX(curve_x6,'Metrics'!$E$18)</f>
        <v/>
      </c>
      <c r="L18" s="77">
        <f>INDEX(curve_x7,'Metrics'!$E$18)</f>
        <v/>
      </c>
      <c r="M18" s="77">
        <f>INDEX(curve_x8,'Metrics'!$E$18)</f>
        <v/>
      </c>
      <c r="N18" s="77">
        <f>INDEX(curve_y1,'Metrics'!$E$18)</f>
        <v/>
      </c>
      <c r="O18" s="77">
        <f>INDEX(curve_y2,'Metrics'!$E$18)</f>
        <v/>
      </c>
      <c r="P18" s="77">
        <f>INDEX(curve_y3,'Metrics'!$E$18)</f>
        <v/>
      </c>
      <c r="Q18" s="77">
        <f>INDEX(curve_y4,'Metrics'!$E$18)</f>
        <v/>
      </c>
      <c r="R18" s="77">
        <f>INDEX(curve_y5,'Metrics'!$E$18)</f>
        <v/>
      </c>
      <c r="S18" s="77">
        <f>INDEX(curve_y6,'Metrics'!$E$18)</f>
        <v/>
      </c>
      <c r="T18" s="77">
        <f>INDEX(curve_y7,'Metrics'!$E$18)</f>
        <v/>
      </c>
      <c r="U18" s="77">
        <f>INDEX(curve_y8,'Metrics'!$E$18)</f>
        <v/>
      </c>
      <c r="V18" s="78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2" t="inlineStr">
        <is>
          <t>Substrate size</t>
        </is>
      </c>
      <c r="B19" s="77">
        <f>IF('DEEP Score'!$E$32="","",'DEEP Score'!$E$32)</f>
        <v/>
      </c>
      <c r="C19" s="77">
        <f>""</f>
        <v/>
      </c>
      <c r="D19" s="77">
        <f>"spring_phab_lsub_dmm|"&amp;'Metrics'!$C$19</f>
        <v/>
      </c>
      <c r="E19" s="77">
        <f>IFERROR(MATCH('Metrics'!$D$19,curve_key,0),MATCH("spring_phab_lsub_dmm|",curve_key,0))</f>
        <v/>
      </c>
      <c r="F19" s="77">
        <f>INDEX(curve_x1,'Metrics'!$E$19)</f>
        <v/>
      </c>
      <c r="G19" s="77">
        <f>INDEX(curve_x2,'Metrics'!$E$19)</f>
        <v/>
      </c>
      <c r="H19" s="77">
        <f>INDEX(curve_x3,'Metrics'!$E$19)</f>
        <v/>
      </c>
      <c r="I19" s="77">
        <f>INDEX(curve_x4,'Metrics'!$E$19)</f>
        <v/>
      </c>
      <c r="J19" s="77">
        <f>INDEX(curve_x5,'Metrics'!$E$19)</f>
        <v/>
      </c>
      <c r="K19" s="77">
        <f>INDEX(curve_x6,'Metrics'!$E$19)</f>
        <v/>
      </c>
      <c r="L19" s="77">
        <f>INDEX(curve_x7,'Metrics'!$E$19)</f>
        <v/>
      </c>
      <c r="M19" s="77">
        <f>INDEX(curve_x8,'Metrics'!$E$19)</f>
        <v/>
      </c>
      <c r="N19" s="77">
        <f>INDEX(curve_y1,'Metrics'!$E$19)</f>
        <v/>
      </c>
      <c r="O19" s="77">
        <f>INDEX(curve_y2,'Metrics'!$E$19)</f>
        <v/>
      </c>
      <c r="P19" s="77">
        <f>INDEX(curve_y3,'Metrics'!$E$19)</f>
        <v/>
      </c>
      <c r="Q19" s="77">
        <f>INDEX(curve_y4,'Metrics'!$E$19)</f>
        <v/>
      </c>
      <c r="R19" s="77">
        <f>INDEX(curve_y5,'Metrics'!$E$19)</f>
        <v/>
      </c>
      <c r="S19" s="77">
        <f>INDEX(curve_y6,'Metrics'!$E$19)</f>
        <v/>
      </c>
      <c r="T19" s="77">
        <f>INDEX(curve_y7,'Metrics'!$E$19)</f>
        <v/>
      </c>
      <c r="U19" s="77">
        <f>INDEX(curve_y8,'Metrics'!$E$19)</f>
        <v/>
      </c>
      <c r="V19" s="78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2" t="inlineStr">
        <is>
          <t>Large wood volume</t>
        </is>
      </c>
      <c r="B20" s="77">
        <f>IF('DEEP Score'!$E$33="","",'DEEP Score'!$E$33)</f>
        <v/>
      </c>
      <c r="C20" s="77">
        <f>""</f>
        <v/>
      </c>
      <c r="D20" s="77">
        <f>"spring_phab_lwdeqvolm100|"&amp;'Metrics'!$C$20</f>
        <v/>
      </c>
      <c r="E20" s="77">
        <f>IFERROR(MATCH('Metrics'!$D$20,curve_key,0),MATCH("spring_phab_lwdeqvolm100|",curve_key,0))</f>
        <v/>
      </c>
      <c r="F20" s="77">
        <f>INDEX(curve_x1,'Metrics'!$E$20)</f>
        <v/>
      </c>
      <c r="G20" s="77">
        <f>INDEX(curve_x2,'Metrics'!$E$20)</f>
        <v/>
      </c>
      <c r="H20" s="77">
        <f>INDEX(curve_x3,'Metrics'!$E$20)</f>
        <v/>
      </c>
      <c r="I20" s="77">
        <f>INDEX(curve_x4,'Metrics'!$E$20)</f>
        <v/>
      </c>
      <c r="J20" s="77">
        <f>INDEX(curve_x5,'Metrics'!$E$20)</f>
        <v/>
      </c>
      <c r="K20" s="77">
        <f>INDEX(curve_x6,'Metrics'!$E$20)</f>
        <v/>
      </c>
      <c r="L20" s="77">
        <f>INDEX(curve_x7,'Metrics'!$E$20)</f>
        <v/>
      </c>
      <c r="M20" s="77">
        <f>INDEX(curve_x8,'Metrics'!$E$20)</f>
        <v/>
      </c>
      <c r="N20" s="77">
        <f>INDEX(curve_y1,'Metrics'!$E$20)</f>
        <v/>
      </c>
      <c r="O20" s="77">
        <f>INDEX(curve_y2,'Metrics'!$E$20)</f>
        <v/>
      </c>
      <c r="P20" s="77">
        <f>INDEX(curve_y3,'Metrics'!$E$20)</f>
        <v/>
      </c>
      <c r="Q20" s="77">
        <f>INDEX(curve_y4,'Metrics'!$E$20)</f>
        <v/>
      </c>
      <c r="R20" s="77">
        <f>INDEX(curve_y5,'Metrics'!$E$20)</f>
        <v/>
      </c>
      <c r="S20" s="77">
        <f>INDEX(curve_y6,'Metrics'!$E$20)</f>
        <v/>
      </c>
      <c r="T20" s="77">
        <f>INDEX(curve_y7,'Metrics'!$E$20)</f>
        <v/>
      </c>
      <c r="U20" s="77">
        <f>INDEX(curve_y8,'Metrics'!$E$20)</f>
        <v/>
      </c>
      <c r="V20" s="78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2" t="inlineStr">
        <is>
          <t>Chlorophyll a</t>
        </is>
      </c>
      <c r="B21" s="77">
        <f>IF('DEEP Score'!$E$35="","",'DEEP Score'!$E$35)</f>
        <v/>
      </c>
      <c r="C21" s="77">
        <f>""</f>
        <v/>
      </c>
      <c r="D21" s="77">
        <f>"spring_chem_chla|"&amp;'Metrics'!$C$21</f>
        <v/>
      </c>
      <c r="E21" s="77">
        <f>IFERROR(MATCH('Metrics'!$D$21,curve_key,0),MATCH("spring_chem_chla|",curve_key,0))</f>
        <v/>
      </c>
      <c r="F21" s="77">
        <f>INDEX(curve_x1,'Metrics'!$E$21)</f>
        <v/>
      </c>
      <c r="G21" s="77">
        <f>INDEX(curve_x2,'Metrics'!$E$21)</f>
        <v/>
      </c>
      <c r="H21" s="77">
        <f>INDEX(curve_x3,'Metrics'!$E$21)</f>
        <v/>
      </c>
      <c r="I21" s="77">
        <f>INDEX(curve_x4,'Metrics'!$E$21)</f>
        <v/>
      </c>
      <c r="J21" s="77">
        <f>INDEX(curve_x5,'Metrics'!$E$21)</f>
        <v/>
      </c>
      <c r="K21" s="77">
        <f>INDEX(curve_x6,'Metrics'!$E$21)</f>
        <v/>
      </c>
      <c r="L21" s="77">
        <f>INDEX(curve_x7,'Metrics'!$E$21)</f>
        <v/>
      </c>
      <c r="M21" s="77">
        <f>INDEX(curve_x8,'Metrics'!$E$21)</f>
        <v/>
      </c>
      <c r="N21" s="77">
        <f>INDEX(curve_y1,'Metrics'!$E$21)</f>
        <v/>
      </c>
      <c r="O21" s="77">
        <f>INDEX(curve_y2,'Metrics'!$E$21)</f>
        <v/>
      </c>
      <c r="P21" s="77">
        <f>INDEX(curve_y3,'Metrics'!$E$21)</f>
        <v/>
      </c>
      <c r="Q21" s="77">
        <f>INDEX(curve_y4,'Metrics'!$E$21)</f>
        <v/>
      </c>
      <c r="R21" s="77">
        <f>INDEX(curve_y5,'Metrics'!$E$21)</f>
        <v/>
      </c>
      <c r="S21" s="77">
        <f>INDEX(curve_y6,'Metrics'!$E$21)</f>
        <v/>
      </c>
      <c r="T21" s="77">
        <f>INDEX(curve_y7,'Metrics'!$E$21)</f>
        <v/>
      </c>
      <c r="U21" s="77">
        <f>INDEX(curve_y8,'Metrics'!$E$21)</f>
        <v/>
      </c>
      <c r="V21" s="78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2" t="inlineStr">
        <is>
          <t>Canopy density, mid-channel</t>
        </is>
      </c>
      <c r="B22" s="77">
        <f>IF('DEEP Score'!$E$36="","",'DEEP Score'!$E$36)</f>
        <v/>
      </c>
      <c r="C22" s="77">
        <f>IF('DEEP Score'!$F$36="","All streams (pooled)",'DEEP Score'!$F$36)</f>
        <v/>
      </c>
      <c r="D22" s="77">
        <f>"spring_phab_xcdenmid|"&amp;'Metrics'!$C$22</f>
        <v/>
      </c>
      <c r="E22" s="77">
        <f>IFERROR(MATCH('Metrics'!$D$22,curve_key,0),MATCH("spring_phab_xcdenmid|All streams (pooled)",curve_key,0))</f>
        <v/>
      </c>
      <c r="F22" s="77">
        <f>INDEX(curve_x1,'Metrics'!$E$22)</f>
        <v/>
      </c>
      <c r="G22" s="77">
        <f>INDEX(curve_x2,'Metrics'!$E$22)</f>
        <v/>
      </c>
      <c r="H22" s="77">
        <f>INDEX(curve_x3,'Metrics'!$E$22)</f>
        <v/>
      </c>
      <c r="I22" s="77">
        <f>INDEX(curve_x4,'Metrics'!$E$22)</f>
        <v/>
      </c>
      <c r="J22" s="77">
        <f>INDEX(curve_x5,'Metrics'!$E$22)</f>
        <v/>
      </c>
      <c r="K22" s="77">
        <f>INDEX(curve_x6,'Metrics'!$E$22)</f>
        <v/>
      </c>
      <c r="L22" s="77">
        <f>INDEX(curve_x7,'Metrics'!$E$22)</f>
        <v/>
      </c>
      <c r="M22" s="77">
        <f>INDEX(curve_x8,'Metrics'!$E$22)</f>
        <v/>
      </c>
      <c r="N22" s="77">
        <f>INDEX(curve_y1,'Metrics'!$E$22)</f>
        <v/>
      </c>
      <c r="O22" s="77">
        <f>INDEX(curve_y2,'Metrics'!$E$22)</f>
        <v/>
      </c>
      <c r="P22" s="77">
        <f>INDEX(curve_y3,'Metrics'!$E$22)</f>
        <v/>
      </c>
      <c r="Q22" s="77">
        <f>INDEX(curve_y4,'Metrics'!$E$22)</f>
        <v/>
      </c>
      <c r="R22" s="77">
        <f>INDEX(curve_y5,'Metrics'!$E$22)</f>
        <v/>
      </c>
      <c r="S22" s="77">
        <f>INDEX(curve_y6,'Metrics'!$E$22)</f>
        <v/>
      </c>
      <c r="T22" s="77">
        <f>INDEX(curve_y7,'Metrics'!$E$22)</f>
        <v/>
      </c>
      <c r="U22" s="77">
        <f>INDEX(curve_y8,'Metrics'!$E$22)</f>
        <v/>
      </c>
      <c r="V22" s="78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2" t="inlineStr">
        <is>
          <t>Riparian veg cover, woody</t>
        </is>
      </c>
      <c r="B23" s="77">
        <f>IF('DEEP Score'!$E$37="","",'DEEP Score'!$E$37)</f>
        <v/>
      </c>
      <c r="C23" s="77">
        <f>""</f>
        <v/>
      </c>
      <c r="D23" s="77">
        <f>"spring_phab_xcmgw|"&amp;'Metrics'!$C$23</f>
        <v/>
      </c>
      <c r="E23" s="77">
        <f>IFERROR(MATCH('Metrics'!$D$23,curve_key,0),MATCH("spring_phab_xcmgw|",curve_key,0))</f>
        <v/>
      </c>
      <c r="F23" s="77">
        <f>INDEX(curve_x1,'Metrics'!$E$23)</f>
        <v/>
      </c>
      <c r="G23" s="77">
        <f>INDEX(curve_x2,'Metrics'!$E$23)</f>
        <v/>
      </c>
      <c r="H23" s="77">
        <f>INDEX(curve_x3,'Metrics'!$E$23)</f>
        <v/>
      </c>
      <c r="I23" s="77">
        <f>INDEX(curve_x4,'Metrics'!$E$23)</f>
        <v/>
      </c>
      <c r="J23" s="77">
        <f>INDEX(curve_x5,'Metrics'!$E$23)</f>
        <v/>
      </c>
      <c r="K23" s="77">
        <f>INDEX(curve_x6,'Metrics'!$E$23)</f>
        <v/>
      </c>
      <c r="L23" s="77">
        <f>INDEX(curve_x7,'Metrics'!$E$23)</f>
        <v/>
      </c>
      <c r="M23" s="77">
        <f>INDEX(curve_x8,'Metrics'!$E$23)</f>
        <v/>
      </c>
      <c r="N23" s="77">
        <f>INDEX(curve_y1,'Metrics'!$E$23)</f>
        <v/>
      </c>
      <c r="O23" s="77">
        <f>INDEX(curve_y2,'Metrics'!$E$23)</f>
        <v/>
      </c>
      <c r="P23" s="77">
        <f>INDEX(curve_y3,'Metrics'!$E$23)</f>
        <v/>
      </c>
      <c r="Q23" s="77">
        <f>INDEX(curve_y4,'Metrics'!$E$23)</f>
        <v/>
      </c>
      <c r="R23" s="77">
        <f>INDEX(curve_y5,'Metrics'!$E$23)</f>
        <v/>
      </c>
      <c r="S23" s="77">
        <f>INDEX(curve_y6,'Metrics'!$E$23)</f>
        <v/>
      </c>
      <c r="T23" s="77">
        <f>INDEX(curve_y7,'Metrics'!$E$23)</f>
        <v/>
      </c>
      <c r="U23" s="77">
        <f>INDEX(curve_y8,'Metrics'!$E$23)</f>
        <v/>
      </c>
      <c r="V23" s="78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2" t="inlineStr">
        <is>
          <t>Total nitrogen</t>
        </is>
      </c>
      <c r="B24" s="77">
        <f>IF('DEEP Score'!$E$38="","",'DEEP Score'!$E$38)</f>
        <v/>
      </c>
      <c r="C24" s="77">
        <f>""</f>
        <v/>
      </c>
      <c r="D24" s="77">
        <f>"spring_chem_ntl|"&amp;'Metrics'!$C$24</f>
        <v/>
      </c>
      <c r="E24" s="77">
        <f>IFERROR(MATCH('Metrics'!$D$24,curve_key,0),MATCH("spring_chem_ntl|",curve_key,0))</f>
        <v/>
      </c>
      <c r="F24" s="77">
        <f>INDEX(curve_x1,'Metrics'!$E$24)</f>
        <v/>
      </c>
      <c r="G24" s="77">
        <f>INDEX(curve_x2,'Metrics'!$E$24)</f>
        <v/>
      </c>
      <c r="H24" s="77">
        <f>INDEX(curve_x3,'Metrics'!$E$24)</f>
        <v/>
      </c>
      <c r="I24" s="77">
        <f>INDEX(curve_x4,'Metrics'!$E$24)</f>
        <v/>
      </c>
      <c r="J24" s="77">
        <f>INDEX(curve_x5,'Metrics'!$E$24)</f>
        <v/>
      </c>
      <c r="K24" s="77">
        <f>INDEX(curve_x6,'Metrics'!$E$24)</f>
        <v/>
      </c>
      <c r="L24" s="77">
        <f>INDEX(curve_x7,'Metrics'!$E$24)</f>
        <v/>
      </c>
      <c r="M24" s="77">
        <f>INDEX(curve_x8,'Metrics'!$E$24)</f>
        <v/>
      </c>
      <c r="N24" s="77">
        <f>INDEX(curve_y1,'Metrics'!$E$24)</f>
        <v/>
      </c>
      <c r="O24" s="77">
        <f>INDEX(curve_y2,'Metrics'!$E$24)</f>
        <v/>
      </c>
      <c r="P24" s="77">
        <f>INDEX(curve_y3,'Metrics'!$E$24)</f>
        <v/>
      </c>
      <c r="Q24" s="77">
        <f>INDEX(curve_y4,'Metrics'!$E$24)</f>
        <v/>
      </c>
      <c r="R24" s="77">
        <f>INDEX(curve_y5,'Metrics'!$E$24)</f>
        <v/>
      </c>
      <c r="S24" s="77">
        <f>INDEX(curve_y6,'Metrics'!$E$24)</f>
        <v/>
      </c>
      <c r="T24" s="77">
        <f>INDEX(curve_y7,'Metrics'!$E$24)</f>
        <v/>
      </c>
      <c r="U24" s="77">
        <f>INDEX(curve_y8,'Metrics'!$E$24)</f>
        <v/>
      </c>
      <c r="V24" s="78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2" t="inlineStr">
        <is>
          <t>Total phosphorus</t>
        </is>
      </c>
      <c r="B25" s="77">
        <f>IF('DEEP Score'!$E$39="","",'DEEP Score'!$E$39)</f>
        <v/>
      </c>
      <c r="C25" s="77">
        <f>""</f>
        <v/>
      </c>
      <c r="D25" s="77">
        <f>"spring_chem_ptl|"&amp;'Metrics'!$C$25</f>
        <v/>
      </c>
      <c r="E25" s="77">
        <f>IFERROR(MATCH('Metrics'!$D$25,curve_key,0),MATCH("spring_chem_ptl|",curve_key,0))</f>
        <v/>
      </c>
      <c r="F25" s="77">
        <f>INDEX(curve_x1,'Metrics'!$E$25)</f>
        <v/>
      </c>
      <c r="G25" s="77">
        <f>INDEX(curve_x2,'Metrics'!$E$25)</f>
        <v/>
      </c>
      <c r="H25" s="77">
        <f>INDEX(curve_x3,'Metrics'!$E$25)</f>
        <v/>
      </c>
      <c r="I25" s="77">
        <f>INDEX(curve_x4,'Metrics'!$E$25)</f>
        <v/>
      </c>
      <c r="J25" s="77">
        <f>INDEX(curve_x5,'Metrics'!$E$25)</f>
        <v/>
      </c>
      <c r="K25" s="77">
        <f>INDEX(curve_x6,'Metrics'!$E$25)</f>
        <v/>
      </c>
      <c r="L25" s="77">
        <f>INDEX(curve_x7,'Metrics'!$E$25)</f>
        <v/>
      </c>
      <c r="M25" s="77">
        <f>INDEX(curve_x8,'Metrics'!$E$25)</f>
        <v/>
      </c>
      <c r="N25" s="77">
        <f>INDEX(curve_y1,'Metrics'!$E$25)</f>
        <v/>
      </c>
      <c r="O25" s="77">
        <f>INDEX(curve_y2,'Metrics'!$E$25)</f>
        <v/>
      </c>
      <c r="P25" s="77">
        <f>INDEX(curve_y3,'Metrics'!$E$25)</f>
        <v/>
      </c>
      <c r="Q25" s="77">
        <f>INDEX(curve_y4,'Metrics'!$E$25)</f>
        <v/>
      </c>
      <c r="R25" s="77">
        <f>INDEX(curve_y5,'Metrics'!$E$25)</f>
        <v/>
      </c>
      <c r="S25" s="77">
        <f>INDEX(curve_y6,'Metrics'!$E$25)</f>
        <v/>
      </c>
      <c r="T25" s="77">
        <f>INDEX(curve_y7,'Metrics'!$E$25)</f>
        <v/>
      </c>
      <c r="U25" s="77">
        <f>INDEX(curve_y8,'Metrics'!$E$25)</f>
        <v/>
      </c>
      <c r="V25" s="78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2" t="inlineStr">
        <is>
          <t>Specific conductivity</t>
        </is>
      </c>
      <c r="B26" s="77">
        <f>IF('DEEP Score'!$E$40="","",'DEEP Score'!$E$40)</f>
        <v/>
      </c>
      <c r="C26" s="77">
        <f>""</f>
        <v/>
      </c>
      <c r="D26" s="77">
        <f>"spring_chem_cond|"&amp;'Metrics'!$C$26</f>
        <v/>
      </c>
      <c r="E26" s="77">
        <f>IFERROR(MATCH('Metrics'!$D$26,curve_key,0),MATCH("spring_chem_cond|",curve_key,0))</f>
        <v/>
      </c>
      <c r="F26" s="77">
        <f>INDEX(curve_x1,'Metrics'!$E$26)</f>
        <v/>
      </c>
      <c r="G26" s="77">
        <f>INDEX(curve_x2,'Metrics'!$E$26)</f>
        <v/>
      </c>
      <c r="H26" s="77">
        <f>INDEX(curve_x3,'Metrics'!$E$26)</f>
        <v/>
      </c>
      <c r="I26" s="77">
        <f>INDEX(curve_x4,'Metrics'!$E$26)</f>
        <v/>
      </c>
      <c r="J26" s="77">
        <f>INDEX(curve_x5,'Metrics'!$E$26)</f>
        <v/>
      </c>
      <c r="K26" s="77">
        <f>INDEX(curve_x6,'Metrics'!$E$26)</f>
        <v/>
      </c>
      <c r="L26" s="77">
        <f>INDEX(curve_x7,'Metrics'!$E$26)</f>
        <v/>
      </c>
      <c r="M26" s="77">
        <f>INDEX(curve_x8,'Metrics'!$E$26)</f>
        <v/>
      </c>
      <c r="N26" s="77">
        <f>INDEX(curve_y1,'Metrics'!$E$26)</f>
        <v/>
      </c>
      <c r="O26" s="77">
        <f>INDEX(curve_y2,'Metrics'!$E$26)</f>
        <v/>
      </c>
      <c r="P26" s="77">
        <f>INDEX(curve_y3,'Metrics'!$E$26)</f>
        <v/>
      </c>
      <c r="Q26" s="77">
        <f>INDEX(curve_y4,'Metrics'!$E$26)</f>
        <v/>
      </c>
      <c r="R26" s="77">
        <f>INDEX(curve_y5,'Metrics'!$E$26)</f>
        <v/>
      </c>
      <c r="S26" s="77">
        <f>INDEX(curve_y6,'Metrics'!$E$26)</f>
        <v/>
      </c>
      <c r="T26" s="77">
        <f>INDEX(curve_y7,'Metrics'!$E$26)</f>
        <v/>
      </c>
      <c r="U26" s="77">
        <f>INDEX(curve_y8,'Metrics'!$E$26)</f>
        <v/>
      </c>
      <c r="V26" s="78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2" t="inlineStr">
        <is>
          <t>pH</t>
        </is>
      </c>
      <c r="B27" s="77">
        <f>IF('DEEP Score'!$E$41="","",'DEEP Score'!$E$41)</f>
        <v/>
      </c>
      <c r="C27" s="77">
        <f>""</f>
        <v/>
      </c>
      <c r="D27" s="77">
        <f>"spring_chem_ph|"&amp;'Metrics'!$C$27</f>
        <v/>
      </c>
      <c r="E27" s="77">
        <f>IFERROR(MATCH('Metrics'!$D$27,curve_key,0),MATCH("spring_chem_ph|",curve_key,0))</f>
        <v/>
      </c>
      <c r="F27" s="77">
        <f>INDEX(curve_x1,'Metrics'!$E$27)</f>
        <v/>
      </c>
      <c r="G27" s="77">
        <f>INDEX(curve_x2,'Metrics'!$E$27)</f>
        <v/>
      </c>
      <c r="H27" s="77">
        <f>INDEX(curve_x3,'Metrics'!$E$27)</f>
        <v/>
      </c>
      <c r="I27" s="77">
        <f>INDEX(curve_x4,'Metrics'!$E$27)</f>
        <v/>
      </c>
      <c r="J27" s="77">
        <f>INDEX(curve_x5,'Metrics'!$E$27)</f>
        <v/>
      </c>
      <c r="K27" s="77">
        <f>INDEX(curve_x6,'Metrics'!$E$27)</f>
        <v/>
      </c>
      <c r="L27" s="77">
        <f>INDEX(curve_x7,'Metrics'!$E$27)</f>
        <v/>
      </c>
      <c r="M27" s="77">
        <f>INDEX(curve_x8,'Metrics'!$E$27)</f>
        <v/>
      </c>
      <c r="N27" s="77">
        <f>INDEX(curve_y1,'Metrics'!$E$27)</f>
        <v/>
      </c>
      <c r="O27" s="77">
        <f>INDEX(curve_y2,'Metrics'!$E$27)</f>
        <v/>
      </c>
      <c r="P27" s="77">
        <f>INDEX(curve_y3,'Metrics'!$E$27)</f>
        <v/>
      </c>
      <c r="Q27" s="77">
        <f>INDEX(curve_y4,'Metrics'!$E$27)</f>
        <v/>
      </c>
      <c r="R27" s="77">
        <f>INDEX(curve_y5,'Metrics'!$E$27)</f>
        <v/>
      </c>
      <c r="S27" s="77">
        <f>INDEX(curve_y6,'Metrics'!$E$27)</f>
        <v/>
      </c>
      <c r="T27" s="77">
        <f>INDEX(curve_y7,'Metrics'!$E$27)</f>
        <v/>
      </c>
      <c r="U27" s="77">
        <f>INDEX(curve_y8,'Metrics'!$E$27)</f>
        <v/>
      </c>
      <c r="V27" s="78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2" t="inlineStr">
        <is>
          <t>Turbidity</t>
        </is>
      </c>
      <c r="B28" s="77">
        <f>IF('DEEP Score'!$E$42="","",'DEEP Score'!$E$42)</f>
        <v/>
      </c>
      <c r="C28" s="77">
        <f>""</f>
        <v/>
      </c>
      <c r="D28" s="77">
        <f>"spring_chem_turb|"&amp;'Metrics'!$C$28</f>
        <v/>
      </c>
      <c r="E28" s="77">
        <f>IFERROR(MATCH('Metrics'!$D$28,curve_key,0),MATCH("spring_chem_turb|",curve_key,0))</f>
        <v/>
      </c>
      <c r="F28" s="77">
        <f>INDEX(curve_x1,'Metrics'!$E$28)</f>
        <v/>
      </c>
      <c r="G28" s="77">
        <f>INDEX(curve_x2,'Metrics'!$E$28)</f>
        <v/>
      </c>
      <c r="H28" s="77">
        <f>INDEX(curve_x3,'Metrics'!$E$28)</f>
        <v/>
      </c>
      <c r="I28" s="77">
        <f>INDEX(curve_x4,'Metrics'!$E$28)</f>
        <v/>
      </c>
      <c r="J28" s="77">
        <f>INDEX(curve_x5,'Metrics'!$E$28)</f>
        <v/>
      </c>
      <c r="K28" s="77">
        <f>INDEX(curve_x6,'Metrics'!$E$28)</f>
        <v/>
      </c>
      <c r="L28" s="77">
        <f>INDEX(curve_x7,'Metrics'!$E$28)</f>
        <v/>
      </c>
      <c r="M28" s="77">
        <f>INDEX(curve_x8,'Metrics'!$E$28)</f>
        <v/>
      </c>
      <c r="N28" s="77">
        <f>INDEX(curve_y1,'Metrics'!$E$28)</f>
        <v/>
      </c>
      <c r="O28" s="77">
        <f>INDEX(curve_y2,'Metrics'!$E$28)</f>
        <v/>
      </c>
      <c r="P28" s="77">
        <f>INDEX(curve_y3,'Metrics'!$E$28)</f>
        <v/>
      </c>
      <c r="Q28" s="77">
        <f>INDEX(curve_y4,'Metrics'!$E$28)</f>
        <v/>
      </c>
      <c r="R28" s="77">
        <f>INDEX(curve_y5,'Metrics'!$E$28)</f>
        <v/>
      </c>
      <c r="S28" s="77">
        <f>INDEX(curve_y6,'Metrics'!$E$28)</f>
        <v/>
      </c>
      <c r="T28" s="77">
        <f>INDEX(curve_y7,'Metrics'!$E$28)</f>
        <v/>
      </c>
      <c r="U28" s="77">
        <f>INDEX(curve_y8,'Metrics'!$E$28)</f>
        <v/>
      </c>
      <c r="V28" s="78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2" t="inlineStr">
        <is>
          <t>Fast-water / riffle habitat</t>
        </is>
      </c>
      <c r="B29" s="77">
        <f>IF('DEEP Score'!$E$43="","",'DEEP Score'!$E$43)</f>
        <v/>
      </c>
      <c r="C29" s="77">
        <f>IF('DEEP Score'!$F$43="","All streams (pooled)",'DEEP Score'!$F$43)</f>
        <v/>
      </c>
      <c r="D29" s="77">
        <f>"spring_phab_pct_fast|"&amp;'Metrics'!$C$29</f>
        <v/>
      </c>
      <c r="E29" s="77">
        <f>IFERROR(MATCH('Metrics'!$D$29,curve_key,0),MATCH("spring_phab_pct_fast|All streams (pooled)",curve_key,0))</f>
        <v/>
      </c>
      <c r="F29" s="77">
        <f>INDEX(curve_x1,'Metrics'!$E$29)</f>
        <v/>
      </c>
      <c r="G29" s="77">
        <f>INDEX(curve_x2,'Metrics'!$E$29)</f>
        <v/>
      </c>
      <c r="H29" s="77">
        <f>INDEX(curve_x3,'Metrics'!$E$29)</f>
        <v/>
      </c>
      <c r="I29" s="77">
        <f>INDEX(curve_x4,'Metrics'!$E$29)</f>
        <v/>
      </c>
      <c r="J29" s="77">
        <f>INDEX(curve_x5,'Metrics'!$E$29)</f>
        <v/>
      </c>
      <c r="K29" s="77">
        <f>INDEX(curve_x6,'Metrics'!$E$29)</f>
        <v/>
      </c>
      <c r="L29" s="77">
        <f>INDEX(curve_x7,'Metrics'!$E$29)</f>
        <v/>
      </c>
      <c r="M29" s="77">
        <f>INDEX(curve_x8,'Metrics'!$E$29)</f>
        <v/>
      </c>
      <c r="N29" s="77">
        <f>INDEX(curve_y1,'Metrics'!$E$29)</f>
        <v/>
      </c>
      <c r="O29" s="77">
        <f>INDEX(curve_y2,'Metrics'!$E$29)</f>
        <v/>
      </c>
      <c r="P29" s="77">
        <f>INDEX(curve_y3,'Metrics'!$E$29)</f>
        <v/>
      </c>
      <c r="Q29" s="77">
        <f>INDEX(curve_y4,'Metrics'!$E$29)</f>
        <v/>
      </c>
      <c r="R29" s="77">
        <f>INDEX(curve_y5,'Metrics'!$E$29)</f>
        <v/>
      </c>
      <c r="S29" s="77">
        <f>INDEX(curve_y6,'Metrics'!$E$29)</f>
        <v/>
      </c>
      <c r="T29" s="77">
        <f>INDEX(curve_y7,'Metrics'!$E$29)</f>
        <v/>
      </c>
      <c r="U29" s="77">
        <f>INDEX(curve_y8,'Metrics'!$E$29)</f>
        <v/>
      </c>
      <c r="V29" s="78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42" t="inlineStr">
        <is>
          <t>Natural fish cover</t>
        </is>
      </c>
      <c r="B30" s="77">
        <f>IF('DEEP Score'!$E$44="","",'DEEP Score'!$E$44)</f>
        <v/>
      </c>
      <c r="C30" s="77">
        <f>IF('DEEP Score'!$F$44="","All streams (pooled)",'DEEP Score'!$F$44)</f>
        <v/>
      </c>
      <c r="D30" s="77">
        <f>"spring_phab_xfc_nat|"&amp;'Metrics'!$C$30</f>
        <v/>
      </c>
      <c r="E30" s="77">
        <f>IFERROR(MATCH('Metrics'!$D$30,curve_key,0),MATCH("spring_phab_xfc_nat|All streams (pooled)",curve_key,0))</f>
        <v/>
      </c>
      <c r="F30" s="77">
        <f>INDEX(curve_x1,'Metrics'!$E$30)</f>
        <v/>
      </c>
      <c r="G30" s="77">
        <f>INDEX(curve_x2,'Metrics'!$E$30)</f>
        <v/>
      </c>
      <c r="H30" s="77">
        <f>INDEX(curve_x3,'Metrics'!$E$30)</f>
        <v/>
      </c>
      <c r="I30" s="77">
        <f>INDEX(curve_x4,'Metrics'!$E$30)</f>
        <v/>
      </c>
      <c r="J30" s="77">
        <f>INDEX(curve_x5,'Metrics'!$E$30)</f>
        <v/>
      </c>
      <c r="K30" s="77">
        <f>INDEX(curve_x6,'Metrics'!$E$30)</f>
        <v/>
      </c>
      <c r="L30" s="77">
        <f>INDEX(curve_x7,'Metrics'!$E$30)</f>
        <v/>
      </c>
      <c r="M30" s="77">
        <f>INDEX(curve_x8,'Metrics'!$E$30)</f>
        <v/>
      </c>
      <c r="N30" s="77">
        <f>INDEX(curve_y1,'Metrics'!$E$30)</f>
        <v/>
      </c>
      <c r="O30" s="77">
        <f>INDEX(curve_y2,'Metrics'!$E$30)</f>
        <v/>
      </c>
      <c r="P30" s="77">
        <f>INDEX(curve_y3,'Metrics'!$E$30)</f>
        <v/>
      </c>
      <c r="Q30" s="77">
        <f>INDEX(curve_y4,'Metrics'!$E$30)</f>
        <v/>
      </c>
      <c r="R30" s="77">
        <f>INDEX(curve_y5,'Metrics'!$E$30)</f>
        <v/>
      </c>
      <c r="S30" s="77">
        <f>INDEX(curve_y6,'Metrics'!$E$30)</f>
        <v/>
      </c>
      <c r="T30" s="77">
        <f>INDEX(curve_y7,'Metrics'!$E$30)</f>
        <v/>
      </c>
      <c r="U30" s="77">
        <f>INDEX(curve_y8,'Metrics'!$E$30)</f>
        <v/>
      </c>
      <c r="V30" s="78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42" t="inlineStr">
        <is>
          <t>Native fish taxa richness</t>
        </is>
      </c>
      <c r="B31" s="77">
        <f>IF('DEEP Score'!$E$45="","",'DEEP Score'!$E$45)</f>
        <v/>
      </c>
      <c r="C31" s="77">
        <f>IF('DEEP Score'!$F$45="","All streams (pooled)",'DEEP Score'!$F$45)</f>
        <v/>
      </c>
      <c r="D31" s="77">
        <f>"spring_fish_nat_totlntax|"&amp;'Metrics'!$C$31</f>
        <v/>
      </c>
      <c r="E31" s="77">
        <f>IFERROR(MATCH('Metrics'!$D$31,curve_key,0),MATCH("spring_fish_nat_totlntax|All streams (pooled)",curve_key,0))</f>
        <v/>
      </c>
      <c r="F31" s="77">
        <f>INDEX(curve_x1,'Metrics'!$E$31)</f>
        <v/>
      </c>
      <c r="G31" s="77">
        <f>INDEX(curve_x2,'Metrics'!$E$31)</f>
        <v/>
      </c>
      <c r="H31" s="77">
        <f>INDEX(curve_x3,'Metrics'!$E$31)</f>
        <v/>
      </c>
      <c r="I31" s="77">
        <f>INDEX(curve_x4,'Metrics'!$E$31)</f>
        <v/>
      </c>
      <c r="J31" s="77">
        <f>INDEX(curve_x5,'Metrics'!$E$31)</f>
        <v/>
      </c>
      <c r="K31" s="77">
        <f>INDEX(curve_x6,'Metrics'!$E$31)</f>
        <v/>
      </c>
      <c r="L31" s="77">
        <f>INDEX(curve_x7,'Metrics'!$E$31)</f>
        <v/>
      </c>
      <c r="M31" s="77">
        <f>INDEX(curve_x8,'Metrics'!$E$31)</f>
        <v/>
      </c>
      <c r="N31" s="77">
        <f>INDEX(curve_y1,'Metrics'!$E$31)</f>
        <v/>
      </c>
      <c r="O31" s="77">
        <f>INDEX(curve_y2,'Metrics'!$E$31)</f>
        <v/>
      </c>
      <c r="P31" s="77">
        <f>INDEX(curve_y3,'Metrics'!$E$31)</f>
        <v/>
      </c>
      <c r="Q31" s="77">
        <f>INDEX(curve_y4,'Metrics'!$E$31)</f>
        <v/>
      </c>
      <c r="R31" s="77">
        <f>INDEX(curve_y5,'Metrics'!$E$31)</f>
        <v/>
      </c>
      <c r="S31" s="77">
        <f>INDEX(curve_y6,'Metrics'!$E$31)</f>
        <v/>
      </c>
      <c r="T31" s="77">
        <f>INDEX(curve_y7,'Metrics'!$E$31)</f>
        <v/>
      </c>
      <c r="U31" s="77">
        <f>INDEX(curve_y8,'Metrics'!$E$31)</f>
        <v/>
      </c>
      <c r="V31" s="78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42" t="inlineStr">
        <is>
          <t>EPT taxa richness</t>
        </is>
      </c>
      <c r="B32" s="77">
        <f>IF('DEEP Score'!$E$46="","",'DEEP Score'!$E$46)</f>
        <v/>
      </c>
      <c r="C32" s="77">
        <f>""</f>
        <v/>
      </c>
      <c r="D32" s="77">
        <f>"spring_bent_ept_ntax|"&amp;'Metrics'!$C$32</f>
        <v/>
      </c>
      <c r="E32" s="77">
        <f>IFERROR(MATCH('Metrics'!$D$32,curve_key,0),MATCH("spring_bent_ept_ntax|",curve_key,0))</f>
        <v/>
      </c>
      <c r="F32" s="77">
        <f>INDEX(curve_x1,'Metrics'!$E$32)</f>
        <v/>
      </c>
      <c r="G32" s="77">
        <f>INDEX(curve_x2,'Metrics'!$E$32)</f>
        <v/>
      </c>
      <c r="H32" s="77">
        <f>INDEX(curve_x3,'Metrics'!$E$32)</f>
        <v/>
      </c>
      <c r="I32" s="77">
        <f>INDEX(curve_x4,'Metrics'!$E$32)</f>
        <v/>
      </c>
      <c r="J32" s="77">
        <f>INDEX(curve_x5,'Metrics'!$E$32)</f>
        <v/>
      </c>
      <c r="K32" s="77">
        <f>INDEX(curve_x6,'Metrics'!$E$32)</f>
        <v/>
      </c>
      <c r="L32" s="77">
        <f>INDEX(curve_x7,'Metrics'!$E$32)</f>
        <v/>
      </c>
      <c r="M32" s="77">
        <f>INDEX(curve_x8,'Metrics'!$E$32)</f>
        <v/>
      </c>
      <c r="N32" s="77">
        <f>INDEX(curve_y1,'Metrics'!$E$32)</f>
        <v/>
      </c>
      <c r="O32" s="77">
        <f>INDEX(curve_y2,'Metrics'!$E$32)</f>
        <v/>
      </c>
      <c r="P32" s="77">
        <f>INDEX(curve_y3,'Metrics'!$E$32)</f>
        <v/>
      </c>
      <c r="Q32" s="77">
        <f>INDEX(curve_y4,'Metrics'!$E$32)</f>
        <v/>
      </c>
      <c r="R32" s="77">
        <f>INDEX(curve_y5,'Metrics'!$E$32)</f>
        <v/>
      </c>
      <c r="S32" s="77">
        <f>INDEX(curve_y6,'Metrics'!$E$32)</f>
        <v/>
      </c>
      <c r="T32" s="77">
        <f>INDEX(curve_y7,'Metrics'!$E$32)</f>
        <v/>
      </c>
      <c r="U32" s="77">
        <f>INDEX(curve_y8,'Metrics'!$E$32)</f>
        <v/>
      </c>
      <c r="V32" s="78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42" t="inlineStr">
        <is>
          <t>Shannon diversity (H')</t>
        </is>
      </c>
      <c r="B33" s="77">
        <f>IF('DEEP Score'!$E$47="","",'DEEP Score'!$E$47)</f>
        <v/>
      </c>
      <c r="C33" s="77">
        <f>""</f>
        <v/>
      </c>
      <c r="D33" s="77">
        <f>"spring_bent_hprime|"&amp;'Metrics'!$C$33</f>
        <v/>
      </c>
      <c r="E33" s="77">
        <f>IFERROR(MATCH('Metrics'!$D$33,curve_key,0),MATCH("spring_bent_hprime|",curve_key,0))</f>
        <v/>
      </c>
      <c r="F33" s="77">
        <f>INDEX(curve_x1,'Metrics'!$E$33)</f>
        <v/>
      </c>
      <c r="G33" s="77">
        <f>INDEX(curve_x2,'Metrics'!$E$33)</f>
        <v/>
      </c>
      <c r="H33" s="77">
        <f>INDEX(curve_x3,'Metrics'!$E$33)</f>
        <v/>
      </c>
      <c r="I33" s="77">
        <f>INDEX(curve_x4,'Metrics'!$E$33)</f>
        <v/>
      </c>
      <c r="J33" s="77">
        <f>INDEX(curve_x5,'Metrics'!$E$33)</f>
        <v/>
      </c>
      <c r="K33" s="77">
        <f>INDEX(curve_x6,'Metrics'!$E$33)</f>
        <v/>
      </c>
      <c r="L33" s="77">
        <f>INDEX(curve_x7,'Metrics'!$E$33)</f>
        <v/>
      </c>
      <c r="M33" s="77">
        <f>INDEX(curve_x8,'Metrics'!$E$33)</f>
        <v/>
      </c>
      <c r="N33" s="77">
        <f>INDEX(curve_y1,'Metrics'!$E$33)</f>
        <v/>
      </c>
      <c r="O33" s="77">
        <f>INDEX(curve_y2,'Metrics'!$E$33)</f>
        <v/>
      </c>
      <c r="P33" s="77">
        <f>INDEX(curve_y3,'Metrics'!$E$33)</f>
        <v/>
      </c>
      <c r="Q33" s="77">
        <f>INDEX(curve_y4,'Metrics'!$E$33)</f>
        <v/>
      </c>
      <c r="R33" s="77">
        <f>INDEX(curve_y5,'Metrics'!$E$33)</f>
        <v/>
      </c>
      <c r="S33" s="77">
        <f>INDEX(curve_y6,'Metrics'!$E$33)</f>
        <v/>
      </c>
      <c r="T33" s="77">
        <f>INDEX(curve_y7,'Metrics'!$E$33)</f>
        <v/>
      </c>
      <c r="U33" s="77">
        <f>INDEX(curve_y8,'Metrics'!$E$33)</f>
        <v/>
      </c>
      <c r="V33" s="78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  <row r="34">
      <c r="A34" s="42" t="inlineStr">
        <is>
          <t>Mapped dams within one mile</t>
        </is>
      </c>
      <c r="B34" s="77">
        <f>IF('DEEP Score'!$E$48="","",'DEEP Score'!$E$48)</f>
        <v/>
      </c>
      <c r="C34" s="77">
        <f>""</f>
        <v/>
      </c>
      <c r="D34" s="77">
        <f>"spring_nid_dams_1mi|"&amp;'Metrics'!$C$34</f>
        <v/>
      </c>
      <c r="E34" s="77">
        <f>IFERROR(MATCH('Metrics'!$D$34,curve_key,0),MATCH("spring_nid_dams_1mi|",curve_key,0))</f>
        <v/>
      </c>
      <c r="F34" s="77">
        <f>INDEX(curve_x1,'Metrics'!$E$34)</f>
        <v/>
      </c>
      <c r="G34" s="77">
        <f>INDEX(curve_x2,'Metrics'!$E$34)</f>
        <v/>
      </c>
      <c r="H34" s="77">
        <f>INDEX(curve_x3,'Metrics'!$E$34)</f>
        <v/>
      </c>
      <c r="I34" s="77">
        <f>INDEX(curve_x4,'Metrics'!$E$34)</f>
        <v/>
      </c>
      <c r="J34" s="77">
        <f>INDEX(curve_x5,'Metrics'!$E$34)</f>
        <v/>
      </c>
      <c r="K34" s="77">
        <f>INDEX(curve_x6,'Metrics'!$E$34)</f>
        <v/>
      </c>
      <c r="L34" s="77">
        <f>INDEX(curve_x7,'Metrics'!$E$34)</f>
        <v/>
      </c>
      <c r="M34" s="77">
        <f>INDEX(curve_x8,'Metrics'!$E$34)</f>
        <v/>
      </c>
      <c r="N34" s="77">
        <f>INDEX(curve_y1,'Metrics'!$E$34)</f>
        <v/>
      </c>
      <c r="O34" s="77">
        <f>INDEX(curve_y2,'Metrics'!$E$34)</f>
        <v/>
      </c>
      <c r="P34" s="77">
        <f>INDEX(curve_y3,'Metrics'!$E$34)</f>
        <v/>
      </c>
      <c r="Q34" s="77">
        <f>INDEX(curve_y4,'Metrics'!$E$34)</f>
        <v/>
      </c>
      <c r="R34" s="77">
        <f>INDEX(curve_y5,'Metrics'!$E$34)</f>
        <v/>
      </c>
      <c r="S34" s="77">
        <f>INDEX(curve_y6,'Metrics'!$E$34)</f>
        <v/>
      </c>
      <c r="T34" s="77">
        <f>INDEX(curve_y7,'Metrics'!$E$34)</f>
        <v/>
      </c>
      <c r="U34" s="77">
        <f>INDEX(curve_y8,'Metrics'!$E$34)</f>
        <v/>
      </c>
      <c r="V34" s="78">
        <f>IF(ISNUMBER('Metrics'!$B$34),MAX(0,MIN(1,IF('Metrics'!$B$34&lt;='Metrics'!$F$34,'Metrics'!$N$34,IF('Metrics'!$B$34&gt;='Metrics'!$M$34,'Metrics'!$U$34,IF('Metrics'!$B$34&lt;='Metrics'!$G$34,IF('Metrics'!$G$34-'Metrics'!$F$34&lt;=0,'Metrics'!$O$34,'Metrics'!$N$34+('Metrics'!$B$34-'Metrics'!$F$34)/('Metrics'!$G$34-'Metrics'!$F$34)*('Metrics'!$O$34-'Metrics'!$N$34)),IF('Metrics'!$B$34&lt;='Metrics'!$H$34,IF('Metrics'!$H$34-'Metrics'!$G$34&lt;=0,'Metrics'!$P$34,'Metrics'!$O$34+('Metrics'!$B$34-'Metrics'!$G$34)/('Metrics'!$H$34-'Metrics'!$G$34)*('Metrics'!$P$34-'Metrics'!$O$34)),IF('Metrics'!$B$34&lt;='Metrics'!$I$34,IF('Metrics'!$I$34-'Metrics'!$H$34&lt;=0,'Metrics'!$Q$34,'Metrics'!$P$34+('Metrics'!$B$34-'Metrics'!$H$34)/('Metrics'!$I$34-'Metrics'!$H$34)*('Metrics'!$Q$34-'Metrics'!$P$34)),IF('Metrics'!$B$34&lt;='Metrics'!$J$34,IF('Metrics'!$J$34-'Metrics'!$I$34&lt;=0,'Metrics'!$R$34,'Metrics'!$Q$34+('Metrics'!$B$34-'Metrics'!$I$34)/('Metrics'!$J$34-'Metrics'!$I$34)*('Metrics'!$R$34-'Metrics'!$Q$34)),IF('Metrics'!$B$34&lt;='Metrics'!$K$34,IF('Metrics'!$K$34-'Metrics'!$J$34&lt;=0,'Metrics'!$S$34,'Metrics'!$R$34+('Metrics'!$B$34-'Metrics'!$J$34)/('Metrics'!$K$34-'Metrics'!$J$34)*('Metrics'!$S$34-'Metrics'!$R$34)),IF('Metrics'!$B$34&lt;='Metrics'!$L$34,IF('Metrics'!$L$34-'Metrics'!$K$34&lt;=0,'Metrics'!$T$34,'Metrics'!$S$34+('Metrics'!$B$34-'Metrics'!$K$34)/('Metrics'!$L$34-'Metrics'!$K$34)*('Metrics'!$T$34-'Metrics'!$S$34)),IF('Metrics'!$M$34-'Metrics'!$L$34&lt;=0,'Metrics'!$U$34,'Metrics'!$T$34+('Metrics'!$B$34-'Metrics'!$L$34)/('Metrics'!$M$34-'Metrics'!$L$34)*('Metrics'!$U$34-'Metrics'!$T$34)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6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2" t="inlineStr">
        <is>
          <t>Catchment hydrology</t>
        </is>
      </c>
      <c r="B4" s="77">
        <f>IF(COUNT('DEEP Score'!G12:G13)=0,"",SUM('DEEP Score'!G12:G13)/COUNT('DEEP Score'!G12:G13)*15)</f>
        <v/>
      </c>
      <c r="C4" s="42" t="n">
        <v>1</v>
      </c>
      <c r="D4" s="42" t="n">
        <v>0.1</v>
      </c>
      <c r="E4" s="42" t="n">
        <v>0.1</v>
      </c>
      <c r="F4" s="77">
        <f>IF(ISNUMBER('Results'!$B$4),'Results'!$B$4*'Results'!$C$4,0)</f>
        <v/>
      </c>
      <c r="G4" s="77">
        <f>IF(ISNUMBER('Results'!$B$4),'Results'!$B$4*'Results'!$D$4,0)</f>
        <v/>
      </c>
      <c r="H4" s="77">
        <f>IF(ISNUMBER('Results'!$B$4),'Results'!$B$4*'Results'!$E$4,0)</f>
        <v/>
      </c>
      <c r="I4" s="77">
        <f>IF(ISNUMBER('Results'!$B$4),15*'Results'!$C$4,0)</f>
        <v/>
      </c>
      <c r="J4" s="77">
        <f>IF(ISNUMBER('Results'!$B$4),15*'Results'!$D$4,0)</f>
        <v/>
      </c>
      <c r="K4" s="77">
        <f>IF(ISNUMBER('Results'!$B$4),15*'Results'!$E$4,0)</f>
        <v/>
      </c>
    </row>
    <row r="5">
      <c r="A5" s="42" t="inlineStr">
        <is>
          <t>Surface water storage</t>
        </is>
      </c>
      <c r="B5" s="77">
        <f>IF(COUNT('DEEP Score'!G14:G14)=0,"",SUM('DEEP Score'!G14:G14)/COUNT('DEEP Score'!G14:G14)*15)</f>
        <v/>
      </c>
      <c r="C5" s="42" t="n">
        <v>1</v>
      </c>
      <c r="D5" s="42" t="n">
        <v>0.1</v>
      </c>
      <c r="E5" s="42" t="n">
        <v>0.1</v>
      </c>
      <c r="F5" s="77">
        <f>IF(ISNUMBER('Results'!$B$5),'Results'!$B$5*'Results'!$C$5,0)</f>
        <v/>
      </c>
      <c r="G5" s="77">
        <f>IF(ISNUMBER('Results'!$B$5),'Results'!$B$5*'Results'!$D$5,0)</f>
        <v/>
      </c>
      <c r="H5" s="77">
        <f>IF(ISNUMBER('Results'!$B$5),'Results'!$B$5*'Results'!$E$5,0)</f>
        <v/>
      </c>
      <c r="I5" s="77">
        <f>IF(ISNUMBER('Results'!$B$5),15*'Results'!$C$5,0)</f>
        <v/>
      </c>
      <c r="J5" s="77">
        <f>IF(ISNUMBER('Results'!$B$5),15*'Results'!$D$5,0)</f>
        <v/>
      </c>
      <c r="K5" s="77">
        <f>IF(ISNUMBER('Results'!$B$5),15*'Results'!$E$5,0)</f>
        <v/>
      </c>
    </row>
    <row r="6">
      <c r="A6" s="42" t="inlineStr">
        <is>
          <t>Reach inflow</t>
        </is>
      </c>
      <c r="B6" s="77">
        <f>IF(COUNT('DEEP Score'!G15:G15)=0,"",SUM('DEEP Score'!G15:G15)/COUNT('DEEP Score'!G15:G15)*15)</f>
        <v/>
      </c>
      <c r="C6" s="42" t="n">
        <v>1</v>
      </c>
      <c r="D6" s="42" t="n">
        <v>0.1</v>
      </c>
      <c r="E6" s="42" t="n">
        <v>0.1</v>
      </c>
      <c r="F6" s="77">
        <f>IF(ISNUMBER('Results'!$B$6),'Results'!$B$6*'Results'!$C$6,0)</f>
        <v/>
      </c>
      <c r="G6" s="77">
        <f>IF(ISNUMBER('Results'!$B$6),'Results'!$B$6*'Results'!$D$6,0)</f>
        <v/>
      </c>
      <c r="H6" s="77">
        <f>IF(ISNUMBER('Results'!$B$6),'Results'!$B$6*'Results'!$E$6,0)</f>
        <v/>
      </c>
      <c r="I6" s="77">
        <f>IF(ISNUMBER('Results'!$B$6),15*'Results'!$C$6,0)</f>
        <v/>
      </c>
      <c r="J6" s="77">
        <f>IF(ISNUMBER('Results'!$B$6),15*'Results'!$D$6,0)</f>
        <v/>
      </c>
      <c r="K6" s="77">
        <f>IF(ISNUMBER('Results'!$B$6),15*'Results'!$E$6,0)</f>
        <v/>
      </c>
    </row>
    <row r="7">
      <c r="A7" s="42" t="inlineStr">
        <is>
          <t>Streamflow regime</t>
        </is>
      </c>
      <c r="B7" s="77">
        <f>IF(COUNT('DEEP Score'!G16:G17)=0,"",SUM('DEEP Score'!G16:G17)/COUNT('DEEP Score'!G16:G17)*15)</f>
        <v/>
      </c>
      <c r="C7" s="42" t="n">
        <v>1</v>
      </c>
      <c r="D7" s="42" t="n">
        <v>0.1</v>
      </c>
      <c r="E7" s="42" t="n">
        <v>0.1</v>
      </c>
      <c r="F7" s="77">
        <f>IF(ISNUMBER('Results'!$B$7),'Results'!$B$7*'Results'!$C$7,0)</f>
        <v/>
      </c>
      <c r="G7" s="77">
        <f>IF(ISNUMBER('Results'!$B$7),'Results'!$B$7*'Results'!$D$7,0)</f>
        <v/>
      </c>
      <c r="H7" s="77">
        <f>IF(ISNUMBER('Results'!$B$7),'Results'!$B$7*'Results'!$E$7,0)</f>
        <v/>
      </c>
      <c r="I7" s="77">
        <f>IF(ISNUMBER('Results'!$B$7),15*'Results'!$C$7,0)</f>
        <v/>
      </c>
      <c r="J7" s="77">
        <f>IF(ISNUMBER('Results'!$B$7),15*'Results'!$D$7,0)</f>
        <v/>
      </c>
      <c r="K7" s="77">
        <f>IF(ISNUMBER('Results'!$B$7),15*'Results'!$E$7,0)</f>
        <v/>
      </c>
    </row>
    <row r="8">
      <c r="A8" s="42" t="inlineStr">
        <is>
          <t>Low flow and baseflow dynamics</t>
        </is>
      </c>
      <c r="B8" s="77">
        <f>IF(COUNT('DEEP Score'!G18:G20)=0,"",SUM('DEEP Score'!G18:G20)/COUNT('DEEP Score'!G18:G20)*15)</f>
        <v/>
      </c>
      <c r="C8" s="42" t="n">
        <v>1</v>
      </c>
      <c r="D8" s="42" t="n">
        <v>0.1</v>
      </c>
      <c r="E8" s="42" t="n">
        <v>0.1</v>
      </c>
      <c r="F8" s="77">
        <f>IF(ISNUMBER('Results'!$B$8),'Results'!$B$8*'Results'!$C$8,0)</f>
        <v/>
      </c>
      <c r="G8" s="77">
        <f>IF(ISNUMBER('Results'!$B$8),'Results'!$B$8*'Results'!$D$8,0)</f>
        <v/>
      </c>
      <c r="H8" s="77">
        <f>IF(ISNUMBER('Results'!$B$8),'Results'!$B$8*'Results'!$E$8,0)</f>
        <v/>
      </c>
      <c r="I8" s="77">
        <f>IF(ISNUMBER('Results'!$B$8),15*'Results'!$C$8,0)</f>
        <v/>
      </c>
      <c r="J8" s="77">
        <f>IF(ISNUMBER('Results'!$B$8),15*'Results'!$D$8,0)</f>
        <v/>
      </c>
      <c r="K8" s="77">
        <f>IF(ISNUMBER('Results'!$B$8),15*'Results'!$E$8,0)</f>
        <v/>
      </c>
    </row>
    <row r="9">
      <c r="A9" s="42" t="inlineStr">
        <is>
          <t>High flow dynamics</t>
        </is>
      </c>
      <c r="B9" s="77">
        <f>IF(COUNT('DEEP Score'!G21:G21)=0,"",SUM('DEEP Score'!G21:G21)/COUNT('DEEP Score'!G21:G21)*15)</f>
        <v/>
      </c>
      <c r="C9" s="42" t="n">
        <v>1</v>
      </c>
      <c r="D9" s="42" t="n">
        <v>0.1</v>
      </c>
      <c r="E9" s="42" t="n">
        <v>0.1</v>
      </c>
      <c r="F9" s="77">
        <f>IF(ISNUMBER('Results'!$B$9),'Results'!$B$9*'Results'!$C$9,0)</f>
        <v/>
      </c>
      <c r="G9" s="77">
        <f>IF(ISNUMBER('Results'!$B$9),'Results'!$B$9*'Results'!$D$9,0)</f>
        <v/>
      </c>
      <c r="H9" s="77">
        <f>IF(ISNUMBER('Results'!$B$9),'Results'!$B$9*'Results'!$E$9,0)</f>
        <v/>
      </c>
      <c r="I9" s="77">
        <f>IF(ISNUMBER('Results'!$B$9),15*'Results'!$C$9,0)</f>
        <v/>
      </c>
      <c r="J9" s="77">
        <f>IF(ISNUMBER('Results'!$B$9),15*'Results'!$D$9,0)</f>
        <v/>
      </c>
      <c r="K9" s="77">
        <f>IF(ISNUMBER('Results'!$B$9),15*'Results'!$E$9,0)</f>
        <v/>
      </c>
    </row>
    <row r="10">
      <c r="A10" s="42" t="inlineStr">
        <is>
          <t>Floodplain connectivity</t>
        </is>
      </c>
      <c r="B10" s="77">
        <f>IF(COUNT('DEEP Score'!G22:G23)=0,"",SUM('DEEP Score'!G22:G23)/COUNT('DEEP Score'!G22:G23)*15)</f>
        <v/>
      </c>
      <c r="C10" s="42" t="n">
        <v>1</v>
      </c>
      <c r="D10" s="42" t="n">
        <v>0.1</v>
      </c>
      <c r="E10" s="42" t="n">
        <v>0.1</v>
      </c>
      <c r="F10" s="77">
        <f>IF(ISNUMBER('Results'!$B$10),'Results'!$B$10*'Results'!$C$10,0)</f>
        <v/>
      </c>
      <c r="G10" s="77">
        <f>IF(ISNUMBER('Results'!$B$10),'Results'!$B$10*'Results'!$D$10,0)</f>
        <v/>
      </c>
      <c r="H10" s="77">
        <f>IF(ISNUMBER('Results'!$B$10),'Results'!$B$10*'Results'!$E$10,0)</f>
        <v/>
      </c>
      <c r="I10" s="77">
        <f>IF(ISNUMBER('Results'!$B$10),15*'Results'!$C$10,0)</f>
        <v/>
      </c>
      <c r="J10" s="77">
        <f>IF(ISNUMBER('Results'!$B$10),15*'Results'!$D$10,0)</f>
        <v/>
      </c>
      <c r="K10" s="77">
        <f>IF(ISNUMBER('Results'!$B$10),15*'Results'!$E$10,0)</f>
        <v/>
      </c>
    </row>
    <row r="11">
      <c r="A11" s="42" t="inlineStr">
        <is>
          <t>Hyporheic connectivity</t>
        </is>
      </c>
      <c r="B11" s="77">
        <f>IF(COUNT('DEEP Score'!G24:G25)=0,"",SUM('DEEP Score'!G24:G25)/COUNT('DEEP Score'!G24:G25)*15)</f>
        <v/>
      </c>
      <c r="C11" s="42" t="n">
        <v>1</v>
      </c>
      <c r="D11" s="42" t="n">
        <v>0.1</v>
      </c>
      <c r="E11" s="42" t="n">
        <v>0.1</v>
      </c>
      <c r="F11" s="77">
        <f>IF(ISNUMBER('Results'!$B$11),'Results'!$B$11*'Results'!$C$11,0)</f>
        <v/>
      </c>
      <c r="G11" s="77">
        <f>IF(ISNUMBER('Results'!$B$11),'Results'!$B$11*'Results'!$D$11,0)</f>
        <v/>
      </c>
      <c r="H11" s="77">
        <f>IF(ISNUMBER('Results'!$B$11),'Results'!$B$11*'Results'!$E$11,0)</f>
        <v/>
      </c>
      <c r="I11" s="77">
        <f>IF(ISNUMBER('Results'!$B$11),15*'Results'!$C$11,0)</f>
        <v/>
      </c>
      <c r="J11" s="77">
        <f>IF(ISNUMBER('Results'!$B$11),15*'Results'!$D$11,0)</f>
        <v/>
      </c>
      <c r="K11" s="77">
        <f>IF(ISNUMBER('Results'!$B$11),15*'Results'!$E$11,0)</f>
        <v/>
      </c>
    </row>
    <row r="12">
      <c r="A12" s="42" t="inlineStr">
        <is>
          <t>Channel evolution</t>
        </is>
      </c>
      <c r="B12" s="77">
        <f>IF(COUNT('DEEP Score'!G26:G27)=0,"",SUM('DEEP Score'!G26:G27)/COUNT('DEEP Score'!G26:G27)*15)</f>
        <v/>
      </c>
      <c r="C12" s="42" t="n">
        <v>1</v>
      </c>
      <c r="D12" s="42" t="n">
        <v>0.1</v>
      </c>
      <c r="E12" s="42" t="n">
        <v>0.1</v>
      </c>
      <c r="F12" s="77">
        <f>IF(ISNUMBER('Results'!$B$12),'Results'!$B$12*'Results'!$C$12,0)</f>
        <v/>
      </c>
      <c r="G12" s="77">
        <f>IF(ISNUMBER('Results'!$B$12),'Results'!$B$12*'Results'!$D$12,0)</f>
        <v/>
      </c>
      <c r="H12" s="77">
        <f>IF(ISNUMBER('Results'!$B$12),'Results'!$B$12*'Results'!$E$12,0)</f>
        <v/>
      </c>
      <c r="I12" s="77">
        <f>IF(ISNUMBER('Results'!$B$12),15*'Results'!$C$12,0)</f>
        <v/>
      </c>
      <c r="J12" s="77">
        <f>IF(ISNUMBER('Results'!$B$12),15*'Results'!$D$12,0)</f>
        <v/>
      </c>
      <c r="K12" s="77">
        <f>IF(ISNUMBER('Results'!$B$12),15*'Results'!$E$12,0)</f>
        <v/>
      </c>
    </row>
    <row r="13">
      <c r="A13" s="42" t="inlineStr">
        <is>
          <t>Channel and floodplain dynamics</t>
        </is>
      </c>
      <c r="B13" s="77">
        <f>IF(COUNT('DEEP Score'!G28:G29)=0,"",SUM('DEEP Score'!G28:G29)/COUNT('DEEP Score'!G28:G29)*15)</f>
        <v/>
      </c>
      <c r="C13" s="42" t="n">
        <v>1</v>
      </c>
      <c r="D13" s="42" t="n">
        <v>0.1</v>
      </c>
      <c r="E13" s="42" t="n">
        <v>0.1</v>
      </c>
      <c r="F13" s="77">
        <f>IF(ISNUMBER('Results'!$B$13),'Results'!$B$13*'Results'!$C$13,0)</f>
        <v/>
      </c>
      <c r="G13" s="77">
        <f>IF(ISNUMBER('Results'!$B$13),'Results'!$B$13*'Results'!$D$13,0)</f>
        <v/>
      </c>
      <c r="H13" s="77">
        <f>IF(ISNUMBER('Results'!$B$13),'Results'!$B$13*'Results'!$E$13,0)</f>
        <v/>
      </c>
      <c r="I13" s="77">
        <f>IF(ISNUMBER('Results'!$B$13),15*'Results'!$C$13,0)</f>
        <v/>
      </c>
      <c r="J13" s="77">
        <f>IF(ISNUMBER('Results'!$B$13),15*'Results'!$D$13,0)</f>
        <v/>
      </c>
      <c r="K13" s="77">
        <f>IF(ISNUMBER('Results'!$B$13),15*'Results'!$E$13,0)</f>
        <v/>
      </c>
    </row>
    <row r="14">
      <c r="A14" s="42" t="inlineStr">
        <is>
          <t>Sediment continuity</t>
        </is>
      </c>
      <c r="B14" s="77">
        <f>IF(COUNT('DEEP Score'!G30:G31)=0,"",SUM('DEEP Score'!G30:G31)/COUNT('DEEP Score'!G30:G31)*15)</f>
        <v/>
      </c>
      <c r="C14" s="42" t="n">
        <v>1</v>
      </c>
      <c r="D14" s="42" t="n">
        <v>0.1</v>
      </c>
      <c r="E14" s="42" t="n">
        <v>0.1</v>
      </c>
      <c r="F14" s="77">
        <f>IF(ISNUMBER('Results'!$B$14),'Results'!$B$14*'Results'!$C$14,0)</f>
        <v/>
      </c>
      <c r="G14" s="77">
        <f>IF(ISNUMBER('Results'!$B$14),'Results'!$B$14*'Results'!$D$14,0)</f>
        <v/>
      </c>
      <c r="H14" s="77">
        <f>IF(ISNUMBER('Results'!$B$14),'Results'!$B$14*'Results'!$E$14,0)</f>
        <v/>
      </c>
      <c r="I14" s="77">
        <f>IF(ISNUMBER('Results'!$B$14),15*'Results'!$C$14,0)</f>
        <v/>
      </c>
      <c r="J14" s="77">
        <f>IF(ISNUMBER('Results'!$B$14),15*'Results'!$D$14,0)</f>
        <v/>
      </c>
      <c r="K14" s="77">
        <f>IF(ISNUMBER('Results'!$B$14),15*'Results'!$E$14,0)</f>
        <v/>
      </c>
    </row>
    <row r="15">
      <c r="A15" s="42" t="inlineStr">
        <is>
          <t>Bed composition and bedform dynamics</t>
        </is>
      </c>
      <c r="B15" s="77">
        <f>IF(COUNT('DEEP Score'!G32:G34)=0,"",SUM('DEEP Score'!G32:G34)/COUNT('DEEP Score'!G32:G34)*15)</f>
        <v/>
      </c>
      <c r="C15" s="42" t="n">
        <v>1</v>
      </c>
      <c r="D15" s="42" t="n">
        <v>0.1</v>
      </c>
      <c r="E15" s="42" t="n">
        <v>0.1</v>
      </c>
      <c r="F15" s="77">
        <f>IF(ISNUMBER('Results'!$B$15),'Results'!$B$15*'Results'!$C$15,0)</f>
        <v/>
      </c>
      <c r="G15" s="77">
        <f>IF(ISNUMBER('Results'!$B$15),'Results'!$B$15*'Results'!$D$15,0)</f>
        <v/>
      </c>
      <c r="H15" s="77">
        <f>IF(ISNUMBER('Results'!$B$15),'Results'!$B$15*'Results'!$E$15,0)</f>
        <v/>
      </c>
      <c r="I15" s="77">
        <f>IF(ISNUMBER('Results'!$B$15),15*'Results'!$C$15,0)</f>
        <v/>
      </c>
      <c r="J15" s="77">
        <f>IF(ISNUMBER('Results'!$B$15),15*'Results'!$D$15,0)</f>
        <v/>
      </c>
      <c r="K15" s="77">
        <f>IF(ISNUMBER('Results'!$B$15),15*'Results'!$E$15,0)</f>
        <v/>
      </c>
    </row>
    <row r="16">
      <c r="A16" s="42" t="inlineStr">
        <is>
          <t>Light &amp; thermal regime</t>
        </is>
      </c>
      <c r="B16" s="77">
        <f>IF(COUNT('DEEP Score'!G35:G36)=0,"",SUM('DEEP Score'!G35:G36)/COUNT('DEEP Score'!G35:G36)*15)</f>
        <v/>
      </c>
      <c r="C16" s="42" t="n">
        <v>0</v>
      </c>
      <c r="D16" s="42" t="n">
        <v>1</v>
      </c>
      <c r="E16" s="42" t="n">
        <v>0.1</v>
      </c>
      <c r="F16" s="77">
        <f>IF(ISNUMBER('Results'!$B$16),'Results'!$B$16*'Results'!$C$16,0)</f>
        <v/>
      </c>
      <c r="G16" s="77">
        <f>IF(ISNUMBER('Results'!$B$16),'Results'!$B$16*'Results'!$D$16,0)</f>
        <v/>
      </c>
      <c r="H16" s="77">
        <f>IF(ISNUMBER('Results'!$B$16),'Results'!$B$16*'Results'!$E$16,0)</f>
        <v/>
      </c>
      <c r="I16" s="77">
        <f>IF(ISNUMBER('Results'!$B$16),15*'Results'!$C$16,0)</f>
        <v/>
      </c>
      <c r="J16" s="77">
        <f>IF(ISNUMBER('Results'!$B$16),15*'Results'!$D$16,0)</f>
        <v/>
      </c>
      <c r="K16" s="77">
        <f>IF(ISNUMBER('Results'!$B$16),15*'Results'!$E$16,0)</f>
        <v/>
      </c>
    </row>
    <row r="17">
      <c r="A17" s="42" t="inlineStr">
        <is>
          <t>Carbon processing</t>
        </is>
      </c>
      <c r="B17" s="77">
        <f>IF(COUNT('DEEP Score'!G37:G37)=0,"",SUM('DEEP Score'!G37:G37)/COUNT('DEEP Score'!G37:G37)*15)</f>
        <v/>
      </c>
      <c r="C17" s="42" t="n">
        <v>0</v>
      </c>
      <c r="D17" s="42" t="n">
        <v>1</v>
      </c>
      <c r="E17" s="42" t="n">
        <v>0.1</v>
      </c>
      <c r="F17" s="77">
        <f>IF(ISNUMBER('Results'!$B$17),'Results'!$B$17*'Results'!$C$17,0)</f>
        <v/>
      </c>
      <c r="G17" s="77">
        <f>IF(ISNUMBER('Results'!$B$17),'Results'!$B$17*'Results'!$D$17,0)</f>
        <v/>
      </c>
      <c r="H17" s="77">
        <f>IF(ISNUMBER('Results'!$B$17),'Results'!$B$17*'Results'!$E$17,0)</f>
        <v/>
      </c>
      <c r="I17" s="77">
        <f>IF(ISNUMBER('Results'!$B$17),15*'Results'!$C$17,0)</f>
        <v/>
      </c>
      <c r="J17" s="77">
        <f>IF(ISNUMBER('Results'!$B$17),15*'Results'!$D$17,0)</f>
        <v/>
      </c>
      <c r="K17" s="77">
        <f>IF(ISNUMBER('Results'!$B$17),15*'Results'!$E$17,0)</f>
        <v/>
      </c>
    </row>
    <row r="18">
      <c r="A18" s="42" t="inlineStr">
        <is>
          <t>Nutrient cycling</t>
        </is>
      </c>
      <c r="B18" s="77">
        <f>IF(COUNT('DEEP Score'!G38:G39)=0,"",SUM('DEEP Score'!G38:G39)/COUNT('DEEP Score'!G38:G39)*15)</f>
        <v/>
      </c>
      <c r="C18" s="42" t="n">
        <v>0.1</v>
      </c>
      <c r="D18" s="42" t="n">
        <v>1</v>
      </c>
      <c r="E18" s="42" t="n">
        <v>0.1</v>
      </c>
      <c r="F18" s="77">
        <f>IF(ISNUMBER('Results'!$B$18),'Results'!$B$18*'Results'!$C$18,0)</f>
        <v/>
      </c>
      <c r="G18" s="77">
        <f>IF(ISNUMBER('Results'!$B$18),'Results'!$B$18*'Results'!$D$18,0)</f>
        <v/>
      </c>
      <c r="H18" s="77">
        <f>IF(ISNUMBER('Results'!$B$18),'Results'!$B$18*'Results'!$E$18,0)</f>
        <v/>
      </c>
      <c r="I18" s="77">
        <f>IF(ISNUMBER('Results'!$B$18),15*'Results'!$C$18,0)</f>
        <v/>
      </c>
      <c r="J18" s="77">
        <f>IF(ISNUMBER('Results'!$B$18),15*'Results'!$D$18,0)</f>
        <v/>
      </c>
      <c r="K18" s="77">
        <f>IF(ISNUMBER('Results'!$B$18),15*'Results'!$E$18,0)</f>
        <v/>
      </c>
    </row>
    <row r="19">
      <c r="A19" s="42" t="inlineStr">
        <is>
          <t>Water &amp; soil quality</t>
        </is>
      </c>
      <c r="B19" s="77">
        <f>IF(COUNT('DEEP Score'!G40:G42)=0,"",SUM('DEEP Score'!G40:G42)/COUNT('DEEP Score'!G40:G42)*15)</f>
        <v/>
      </c>
      <c r="C19" s="42" t="n">
        <v>0.1</v>
      </c>
      <c r="D19" s="42" t="n">
        <v>1</v>
      </c>
      <c r="E19" s="42" t="n">
        <v>0.1</v>
      </c>
      <c r="F19" s="77">
        <f>IF(ISNUMBER('Results'!$B$19),'Results'!$B$19*'Results'!$C$19,0)</f>
        <v/>
      </c>
      <c r="G19" s="77">
        <f>IF(ISNUMBER('Results'!$B$19),'Results'!$B$19*'Results'!$D$19,0)</f>
        <v/>
      </c>
      <c r="H19" s="77">
        <f>IF(ISNUMBER('Results'!$B$19),'Results'!$B$19*'Results'!$E$19,0)</f>
        <v/>
      </c>
      <c r="I19" s="77">
        <f>IF(ISNUMBER('Results'!$B$19),15*'Results'!$C$19,0)</f>
        <v/>
      </c>
      <c r="J19" s="77">
        <f>IF(ISNUMBER('Results'!$B$19),15*'Results'!$D$19,0)</f>
        <v/>
      </c>
      <c r="K19" s="77">
        <f>IF(ISNUMBER('Results'!$B$19),15*'Results'!$E$19,0)</f>
        <v/>
      </c>
    </row>
    <row r="20">
      <c r="A20" s="42" t="inlineStr">
        <is>
          <t>Habitat provision</t>
        </is>
      </c>
      <c r="B20" s="77">
        <f>IF(COUNT('DEEP Score'!G43:G44)=0,"",SUM('DEEP Score'!G43:G44)/COUNT('DEEP Score'!G43:G44)*15)</f>
        <v/>
      </c>
      <c r="C20" s="42" t="n">
        <v>0</v>
      </c>
      <c r="D20" s="42" t="n">
        <v>0</v>
      </c>
      <c r="E20" s="42" t="n">
        <v>1</v>
      </c>
      <c r="F20" s="77">
        <f>IF(ISNUMBER('Results'!$B$20),'Results'!$B$20*'Results'!$C$20,0)</f>
        <v/>
      </c>
      <c r="G20" s="77">
        <f>IF(ISNUMBER('Results'!$B$20),'Results'!$B$20*'Results'!$D$20,0)</f>
        <v/>
      </c>
      <c r="H20" s="77">
        <f>IF(ISNUMBER('Results'!$B$20),'Results'!$B$20*'Results'!$E$20,0)</f>
        <v/>
      </c>
      <c r="I20" s="77">
        <f>IF(ISNUMBER('Results'!$B$20),15*'Results'!$C$20,0)</f>
        <v/>
      </c>
      <c r="J20" s="77">
        <f>IF(ISNUMBER('Results'!$B$20),15*'Results'!$D$20,0)</f>
        <v/>
      </c>
      <c r="K20" s="77">
        <f>IF(ISNUMBER('Results'!$B$20),15*'Results'!$E$20,0)</f>
        <v/>
      </c>
    </row>
    <row r="21">
      <c r="A21" s="42" t="inlineStr">
        <is>
          <t>Population support</t>
        </is>
      </c>
      <c r="B21" s="77">
        <f>IF(COUNT('DEEP Score'!G45:G45)=0,"",SUM('DEEP Score'!G45:G45)/COUNT('DEEP Score'!G45:G45)*15)</f>
        <v/>
      </c>
      <c r="C21" s="42" t="n">
        <v>0.1</v>
      </c>
      <c r="D21" s="42" t="n">
        <v>0.1</v>
      </c>
      <c r="E21" s="42" t="n">
        <v>1</v>
      </c>
      <c r="F21" s="77">
        <f>IF(ISNUMBER('Results'!$B$21),'Results'!$B$21*'Results'!$C$21,0)</f>
        <v/>
      </c>
      <c r="G21" s="77">
        <f>IF(ISNUMBER('Results'!$B$21),'Results'!$B$21*'Results'!$D$21,0)</f>
        <v/>
      </c>
      <c r="H21" s="77">
        <f>IF(ISNUMBER('Results'!$B$21),'Results'!$B$21*'Results'!$E$21,0)</f>
        <v/>
      </c>
      <c r="I21" s="77">
        <f>IF(ISNUMBER('Results'!$B$21),15*'Results'!$C$21,0)</f>
        <v/>
      </c>
      <c r="J21" s="77">
        <f>IF(ISNUMBER('Results'!$B$21),15*'Results'!$D$21,0)</f>
        <v/>
      </c>
      <c r="K21" s="77">
        <f>IF(ISNUMBER('Results'!$B$21),15*'Results'!$E$21,0)</f>
        <v/>
      </c>
    </row>
    <row r="22">
      <c r="A22" s="42" t="inlineStr">
        <is>
          <t>Community dynamics</t>
        </is>
      </c>
      <c r="B22" s="77">
        <f>IF(COUNT('DEEP Score'!G46:G47)=0,"",SUM('DEEP Score'!G46:G47)/COUNT('DEEP Score'!G46:G47)*15)</f>
        <v/>
      </c>
      <c r="C22" s="42" t="n">
        <v>0.1</v>
      </c>
      <c r="D22" s="42" t="n">
        <v>0.1</v>
      </c>
      <c r="E22" s="42" t="n">
        <v>1</v>
      </c>
      <c r="F22" s="77">
        <f>IF(ISNUMBER('Results'!$B$22),'Results'!$B$22*'Results'!$C$22,0)</f>
        <v/>
      </c>
      <c r="G22" s="77">
        <f>IF(ISNUMBER('Results'!$B$22),'Results'!$B$22*'Results'!$D$22,0)</f>
        <v/>
      </c>
      <c r="H22" s="77">
        <f>IF(ISNUMBER('Results'!$B$22),'Results'!$B$22*'Results'!$E$22,0)</f>
        <v/>
      </c>
      <c r="I22" s="77">
        <f>IF(ISNUMBER('Results'!$B$22),15*'Results'!$C$22,0)</f>
        <v/>
      </c>
      <c r="J22" s="77">
        <f>IF(ISNUMBER('Results'!$B$22),15*'Results'!$D$22,0)</f>
        <v/>
      </c>
      <c r="K22" s="77">
        <f>IF(ISNUMBER('Results'!$B$22),15*'Results'!$E$22,0)</f>
        <v/>
      </c>
    </row>
    <row r="23">
      <c r="A23" s="42" t="inlineStr">
        <is>
          <t>Watershed connectivity</t>
        </is>
      </c>
      <c r="B23" s="77">
        <f>IF(COUNT('DEEP Score'!G48:G48)=0,"",SUM('DEEP Score'!G48:G48)/COUNT('DEEP Score'!G48:G48)*15)</f>
        <v/>
      </c>
      <c r="C23" s="42" t="n">
        <v>0.1</v>
      </c>
      <c r="D23" s="42" t="n">
        <v>0</v>
      </c>
      <c r="E23" s="42" t="n">
        <v>1</v>
      </c>
      <c r="F23" s="77">
        <f>IF(ISNUMBER('Results'!$B$23),'Results'!$B$23*'Results'!$C$23,0)</f>
        <v/>
      </c>
      <c r="G23" s="77">
        <f>IF(ISNUMBER('Results'!$B$23),'Results'!$B$23*'Results'!$D$23,0)</f>
        <v/>
      </c>
      <c r="H23" s="77">
        <f>IF(ISNUMBER('Results'!$B$23),'Results'!$B$23*'Results'!$E$23,0)</f>
        <v/>
      </c>
      <c r="I23" s="77">
        <f>IF(ISNUMBER('Results'!$B$23),15*'Results'!$C$23,0)</f>
        <v/>
      </c>
      <c r="J23" s="77">
        <f>IF(ISNUMBER('Results'!$B$23),15*'Results'!$D$23,0)</f>
        <v/>
      </c>
      <c r="K23" s="77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42" t="inlineStr">
        <is>
          <t>Physical</t>
        </is>
      </c>
      <c r="B26" s="77">
        <f>IF(SUM('Results'!$I$4:$I$23)=0,0,SUM('Results'!$F$4:$F$23)/SUM('Results'!$I$4:$I$23))</f>
        <v/>
      </c>
    </row>
    <row r="27">
      <c r="A27" s="42" t="inlineStr">
        <is>
          <t>Chemical</t>
        </is>
      </c>
      <c r="B27" s="77">
        <f>IF(SUM('Results'!$J$4:$J$23)=0,0,SUM('Results'!$G$4:$G$23)/SUM('Results'!$J$4:$J$23))</f>
        <v/>
      </c>
    </row>
    <row r="28">
      <c r="A28" s="42" t="inlineStr">
        <is>
          <t>Biological</t>
        </is>
      </c>
      <c r="B28" s="77">
        <f>IF(SUM('Results'!$K$4:$K$23)=0,0,SUM('Results'!$H$4:$H$23)/SUM('Results'!$K$4:$K$23))</f>
        <v/>
      </c>
    </row>
    <row r="29">
      <c r="A29" s="62" t="inlineStr">
        <is>
          <t>Ecosystem Condition Index</t>
        </is>
      </c>
      <c r="B29" s="77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88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6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2" t="inlineStr">
        <is>
          <t>spring_pctimp2019ws|</t>
        </is>
      </c>
      <c r="B5" s="42" t="inlineStr">
        <is>
          <t>spring-pctimp2019ws</t>
        </is>
      </c>
      <c r="C5" s="42" t="inlineStr">
        <is>
          <t>Impervious surface</t>
        </is>
      </c>
      <c r="D5" s="42" t="inlineStr"/>
      <c r="E5" s="42" t="n">
        <v>4</v>
      </c>
      <c r="F5" s="42" t="inlineStr">
        <is>
          <t>Fixed criteria, the same in every region</t>
        </is>
      </c>
      <c r="G5" s="42" t="n">
        <v>0</v>
      </c>
      <c r="H5" s="42" t="n">
        <v>10</v>
      </c>
      <c r="I5" s="42" t="n">
        <v>25.005</v>
      </c>
      <c r="J5" s="42" t="n">
        <v>44.5115</v>
      </c>
      <c r="K5" s="42" t="n">
        <v>44.5115</v>
      </c>
      <c r="L5" s="42" t="n">
        <v>44.5115</v>
      </c>
      <c r="M5" s="42" t="n">
        <v>44.5115</v>
      </c>
      <c r="N5" s="42" t="n">
        <v>44.5115</v>
      </c>
      <c r="O5" s="42" t="n">
        <v>1</v>
      </c>
      <c r="P5" s="42" t="n">
        <v>0.6899999999999999</v>
      </c>
      <c r="Q5" s="42" t="n">
        <v>0.39</v>
      </c>
      <c r="R5" s="42" t="n">
        <v>0</v>
      </c>
      <c r="S5" s="42" t="n">
        <v>0</v>
      </c>
      <c r="T5" s="42" t="n">
        <v>0</v>
      </c>
      <c r="U5" s="42" t="n">
        <v>0</v>
      </c>
      <c r="V5" s="42" t="n">
        <v>0</v>
      </c>
    </row>
    <row r="6">
      <c r="A6" s="42" t="inlineStr">
        <is>
          <t>spring_pctag2019ws|</t>
        </is>
      </c>
      <c r="B6" s="42" t="inlineStr">
        <is>
          <t>spring-pctag2019ws</t>
        </is>
      </c>
      <c r="C6" s="42" t="inlineStr">
        <is>
          <t>Agriculture, crop and hay</t>
        </is>
      </c>
      <c r="D6" s="42" t="inlineStr"/>
      <c r="E6" s="42" t="n">
        <v>4</v>
      </c>
      <c r="F6" s="42" t="inlineStr">
        <is>
          <t>Fixed criteria, the same in every region</t>
        </is>
      </c>
      <c r="G6" s="42" t="n">
        <v>0</v>
      </c>
      <c r="H6" s="42" t="n">
        <v>30</v>
      </c>
      <c r="I6" s="42" t="n">
        <v>50.005</v>
      </c>
      <c r="J6" s="42" t="n">
        <v>76.0115</v>
      </c>
      <c r="K6" s="42" t="n">
        <v>76.0115</v>
      </c>
      <c r="L6" s="42" t="n">
        <v>76.0115</v>
      </c>
      <c r="M6" s="42" t="n">
        <v>76.0115</v>
      </c>
      <c r="N6" s="42" t="n">
        <v>76.0115</v>
      </c>
      <c r="O6" s="42" t="n">
        <v>1</v>
      </c>
      <c r="P6" s="42" t="n">
        <v>0.6899999999999999</v>
      </c>
      <c r="Q6" s="42" t="n">
        <v>0.39</v>
      </c>
      <c r="R6" s="42" t="n">
        <v>0</v>
      </c>
      <c r="S6" s="42" t="n">
        <v>0</v>
      </c>
      <c r="T6" s="42" t="n">
        <v>0</v>
      </c>
      <c r="U6" s="42" t="n">
        <v>0</v>
      </c>
      <c r="V6" s="42" t="n">
        <v>0</v>
      </c>
    </row>
    <row r="7">
      <c r="A7" s="42" t="inlineStr">
        <is>
          <t>spring_pctwet2019ws|All streams (pooled)</t>
        </is>
      </c>
      <c r="B7" s="42" t="inlineStr">
        <is>
          <t>spring-pctwet2019ws</t>
        </is>
      </c>
      <c r="C7" s="42" t="inlineStr">
        <is>
          <t>Wetland</t>
        </is>
      </c>
      <c r="D7" s="42" t="inlineStr">
        <is>
          <t>All streams (pooled)</t>
        </is>
      </c>
      <c r="E7" s="42" t="n">
        <v>5</v>
      </c>
      <c r="F7" s="42" t="inlineStr">
        <is>
          <t>66 least-disturbed stations of this ecoregion</t>
        </is>
      </c>
      <c r="G7" s="42" t="n">
        <v>0</v>
      </c>
      <c r="H7" s="42" t="n">
        <v>0.3664285714285714</v>
      </c>
      <c r="I7" s="42" t="n">
        <v>0.855</v>
      </c>
      <c r="J7" s="42" t="n">
        <v>8.935</v>
      </c>
      <c r="K7" s="42" t="n">
        <v>11.359</v>
      </c>
      <c r="L7" s="42" t="n">
        <v>11.359</v>
      </c>
      <c r="M7" s="42" t="n">
        <v>11.359</v>
      </c>
      <c r="N7" s="42" t="n">
        <v>11.359</v>
      </c>
      <c r="O7" s="42" t="n">
        <v>0</v>
      </c>
      <c r="P7" s="42" t="n">
        <v>0.3</v>
      </c>
      <c r="Q7" s="42" t="n">
        <v>0.7</v>
      </c>
      <c r="R7" s="42" t="n">
        <v>1</v>
      </c>
      <c r="S7" s="42" t="n">
        <v>1</v>
      </c>
      <c r="T7" s="42" t="n">
        <v>1</v>
      </c>
      <c r="U7" s="42" t="n">
        <v>1</v>
      </c>
      <c r="V7" s="42" t="n">
        <v>1</v>
      </c>
    </row>
    <row r="8">
      <c r="A8" s="42" t="inlineStr">
        <is>
          <t>spring_pctwet2019ws|Moderate gradient (0.5 to 2 percent)</t>
        </is>
      </c>
      <c r="B8" s="42" t="inlineStr">
        <is>
          <t>spring-pctwet2019ws</t>
        </is>
      </c>
      <c r="C8" s="42" t="inlineStr">
        <is>
          <t>Wetland</t>
        </is>
      </c>
      <c r="D8" s="42" t="inlineStr">
        <is>
          <t>Moderate gradient (0.5 to 2 percent)</t>
        </is>
      </c>
      <c r="E8" s="42" t="n">
        <v>5</v>
      </c>
      <c r="F8" s="42" t="inlineStr">
        <is>
          <t>66 least-disturbed stations of this ecoregion</t>
        </is>
      </c>
      <c r="G8" s="42" t="n">
        <v>0</v>
      </c>
      <c r="H8" s="42" t="n">
        <v>2.807142857142857</v>
      </c>
      <c r="I8" s="42" t="n">
        <v>6.55</v>
      </c>
      <c r="J8" s="42" t="n">
        <v>13.7425</v>
      </c>
      <c r="K8" s="42" t="n">
        <v>15.90025</v>
      </c>
      <c r="L8" s="42" t="n">
        <v>15.90025</v>
      </c>
      <c r="M8" s="42" t="n">
        <v>15.90025</v>
      </c>
      <c r="N8" s="42" t="n">
        <v>15.90025</v>
      </c>
      <c r="O8" s="42" t="n">
        <v>0</v>
      </c>
      <c r="P8" s="42" t="n">
        <v>0.3</v>
      </c>
      <c r="Q8" s="42" t="n">
        <v>0.7</v>
      </c>
      <c r="R8" s="42" t="n">
        <v>1</v>
      </c>
      <c r="S8" s="42" t="n">
        <v>1</v>
      </c>
      <c r="T8" s="42" t="n">
        <v>1</v>
      </c>
      <c r="U8" s="42" t="n">
        <v>1</v>
      </c>
      <c r="V8" s="42" t="n">
        <v>1</v>
      </c>
    </row>
    <row r="9">
      <c r="A9" s="42" t="inlineStr">
        <is>
          <t>spring_pctwet2019ws|Steep (2 percent and above)</t>
        </is>
      </c>
      <c r="B9" s="42" t="inlineStr">
        <is>
          <t>spring-pctwet2019ws</t>
        </is>
      </c>
      <c r="C9" s="42" t="inlineStr">
        <is>
          <t>Wetland</t>
        </is>
      </c>
      <c r="D9" s="42" t="inlineStr">
        <is>
          <t>Steep (2 percent and above)</t>
        </is>
      </c>
      <c r="E9" s="42" t="n">
        <v>5</v>
      </c>
      <c r="F9" s="42" t="inlineStr">
        <is>
          <t>66 least-disturbed stations of this ecoregion</t>
        </is>
      </c>
      <c r="G9" s="42" t="n">
        <v>0</v>
      </c>
      <c r="H9" s="42" t="n">
        <v>0.07071428571428572</v>
      </c>
      <c r="I9" s="42" t="n">
        <v>0.165</v>
      </c>
      <c r="J9" s="42" t="n">
        <v>3.2225</v>
      </c>
      <c r="K9" s="42" t="n">
        <v>4.13975</v>
      </c>
      <c r="L9" s="42" t="n">
        <v>4.13975</v>
      </c>
      <c r="M9" s="42" t="n">
        <v>4.13975</v>
      </c>
      <c r="N9" s="42" t="n">
        <v>4.13975</v>
      </c>
      <c r="O9" s="42" t="n">
        <v>0</v>
      </c>
      <c r="P9" s="42" t="n">
        <v>0.3</v>
      </c>
      <c r="Q9" s="42" t="n">
        <v>0.7</v>
      </c>
      <c r="R9" s="42" t="n">
        <v>1</v>
      </c>
      <c r="S9" s="42" t="n">
        <v>1</v>
      </c>
      <c r="T9" s="42" t="n">
        <v>1</v>
      </c>
      <c r="U9" s="42" t="n">
        <v>1</v>
      </c>
      <c r="V9" s="42" t="n">
        <v>1</v>
      </c>
    </row>
    <row r="10">
      <c r="A10" s="42" t="inlineStr">
        <is>
          <t>spring_rddensws|</t>
        </is>
      </c>
      <c r="B10" s="42" t="inlineStr">
        <is>
          <t>spring-rddensws</t>
        </is>
      </c>
      <c r="C10" s="42" t="inlineStr">
        <is>
          <t>Road density</t>
        </is>
      </c>
      <c r="D10" s="42" t="inlineStr"/>
      <c r="E10" s="42" t="n">
        <v>4</v>
      </c>
      <c r="F10" s="42" t="inlineStr">
        <is>
          <t>Fixed criteria, the same in every region</t>
        </is>
      </c>
      <c r="G10" s="42" t="n">
        <v>0</v>
      </c>
      <c r="H10" s="42" t="n">
        <v>1</v>
      </c>
      <c r="I10" s="42" t="n">
        <v>3</v>
      </c>
      <c r="J10" s="42" t="n">
        <v>5.6</v>
      </c>
      <c r="K10" s="42" t="n">
        <v>5.6</v>
      </c>
      <c r="L10" s="42" t="n">
        <v>5.6</v>
      </c>
      <c r="M10" s="42" t="n">
        <v>5.6</v>
      </c>
      <c r="N10" s="42" t="n">
        <v>5.6</v>
      </c>
      <c r="O10" s="42" t="n">
        <v>1</v>
      </c>
      <c r="P10" s="42" t="n">
        <v>0.6899999999999999</v>
      </c>
      <c r="Q10" s="42" t="n">
        <v>0.39</v>
      </c>
      <c r="R10" s="42" t="n">
        <v>0</v>
      </c>
      <c r="S10" s="42" t="n">
        <v>0</v>
      </c>
      <c r="T10" s="42" t="n">
        <v>0</v>
      </c>
      <c r="U10" s="42" t="n">
        <v>0</v>
      </c>
      <c r="V10" s="42" t="n">
        <v>0</v>
      </c>
    </row>
    <row r="11">
      <c r="A11" s="42" t="inlineStr">
        <is>
          <t>spring_bfiws|</t>
        </is>
      </c>
      <c r="B11" s="42" t="inlineStr">
        <is>
          <t>spring-bfiws</t>
        </is>
      </c>
      <c r="C11" s="42" t="inlineStr">
        <is>
          <t>Base flow index</t>
        </is>
      </c>
      <c r="D11" s="42" t="inlineStr"/>
      <c r="E11" s="42" t="n">
        <v>5</v>
      </c>
      <c r="F11" s="42" t="inlineStr">
        <is>
          <t>66 least-disturbed stations of this ecoregion</t>
        </is>
      </c>
      <c r="G11" s="42" t="n">
        <v>0</v>
      </c>
      <c r="H11" s="42" t="n">
        <v>20.14285714285714</v>
      </c>
      <c r="I11" s="42" t="n">
        <v>47</v>
      </c>
      <c r="J11" s="42" t="n">
        <v>52.86625</v>
      </c>
      <c r="K11" s="42" t="n">
        <v>54.626125</v>
      </c>
      <c r="L11" s="42" t="n">
        <v>54.626125</v>
      </c>
      <c r="M11" s="42" t="n">
        <v>54.626125</v>
      </c>
      <c r="N11" s="42" t="n">
        <v>54.626125</v>
      </c>
      <c r="O11" s="42" t="n">
        <v>0</v>
      </c>
      <c r="P11" s="42" t="n">
        <v>0.3</v>
      </c>
      <c r="Q11" s="42" t="n">
        <v>0.7</v>
      </c>
      <c r="R11" s="42" t="n">
        <v>1</v>
      </c>
      <c r="S11" s="42" t="n">
        <v>1</v>
      </c>
      <c r="T11" s="42" t="n">
        <v>1</v>
      </c>
      <c r="U11" s="42" t="n">
        <v>1</v>
      </c>
      <c r="V11" s="42" t="n">
        <v>1</v>
      </c>
    </row>
    <row r="12">
      <c r="A12" s="42" t="inlineStr">
        <is>
          <t>spring_dorws|</t>
        </is>
      </c>
      <c r="B12" s="42" t="inlineStr">
        <is>
          <t>spring-dorws</t>
        </is>
      </c>
      <c r="C12" s="42" t="inlineStr">
        <is>
          <t>Degree of regulation</t>
        </is>
      </c>
      <c r="D12" s="42" t="inlineStr"/>
      <c r="E12" s="42" t="n">
        <v>4</v>
      </c>
      <c r="F12" s="42" t="inlineStr">
        <is>
          <t>Fixed criteria, the same in every region</t>
        </is>
      </c>
      <c r="G12" s="42" t="n">
        <v>0</v>
      </c>
      <c r="H12" s="42" t="n">
        <v>2</v>
      </c>
      <c r="I12" s="42" t="n">
        <v>15.005</v>
      </c>
      <c r="J12" s="42" t="n">
        <v>31.9115</v>
      </c>
      <c r="K12" s="42" t="n">
        <v>31.9115</v>
      </c>
      <c r="L12" s="42" t="n">
        <v>31.9115</v>
      </c>
      <c r="M12" s="42" t="n">
        <v>31.9115</v>
      </c>
      <c r="N12" s="42" t="n">
        <v>31.9115</v>
      </c>
      <c r="O12" s="42" t="n">
        <v>1</v>
      </c>
      <c r="P12" s="42" t="n">
        <v>0.6899999999999999</v>
      </c>
      <c r="Q12" s="42" t="n">
        <v>0.39</v>
      </c>
      <c r="R12" s="42" t="n">
        <v>0</v>
      </c>
      <c r="S12" s="42" t="n">
        <v>0</v>
      </c>
      <c r="T12" s="42" t="n">
        <v>0</v>
      </c>
      <c r="U12" s="42" t="n">
        <v>0</v>
      </c>
      <c r="V12" s="42" t="n">
        <v>0</v>
      </c>
    </row>
    <row r="13">
      <c r="A13" s="42" t="inlineStr">
        <is>
          <t>spring_phab_bfwd_rat|All streams (pooled)</t>
        </is>
      </c>
      <c r="B13" s="42" t="inlineStr">
        <is>
          <t>spring-phab-bfwd-rat</t>
        </is>
      </c>
      <c r="C13" s="42" t="inlineStr">
        <is>
          <t>Bankfull width:depth ratio</t>
        </is>
      </c>
      <c r="D13" s="42" t="inlineStr">
        <is>
          <t>All streams (pooled)</t>
        </is>
      </c>
      <c r="E13" s="42" t="n">
        <v>7</v>
      </c>
      <c r="F13" s="42" t="inlineStr">
        <is>
          <t>66 least-disturbed stations of this ecoregion</t>
        </is>
      </c>
      <c r="G13" s="42" t="n">
        <v>0</v>
      </c>
      <c r="H13" s="42" t="n">
        <v>4.898586344718933</v>
      </c>
      <c r="I13" s="42" t="n">
        <v>8.195906639099121</v>
      </c>
      <c r="J13" s="42" t="n">
        <v>17.61682176589966</v>
      </c>
      <c r="K13" s="42" t="n">
        <v>20.91414206027985</v>
      </c>
      <c r="L13" s="42" t="n">
        <v>27.0377368927002</v>
      </c>
      <c r="M13" s="42" t="n">
        <v>36.45865201950073</v>
      </c>
      <c r="N13" s="42" t="n">
        <v>36.45865201950073</v>
      </c>
      <c r="O13" s="42" t="n">
        <v>0</v>
      </c>
      <c r="P13" s="42" t="n">
        <v>0.7</v>
      </c>
      <c r="Q13" s="42" t="n">
        <v>1</v>
      </c>
      <c r="R13" s="42" t="n">
        <v>1</v>
      </c>
      <c r="S13" s="42" t="n">
        <v>0.7</v>
      </c>
      <c r="T13" s="42" t="n">
        <v>0.3</v>
      </c>
      <c r="U13" s="42" t="n">
        <v>0</v>
      </c>
      <c r="V13" s="42" t="n">
        <v>0</v>
      </c>
    </row>
    <row r="14">
      <c r="A14" s="42" t="inlineStr">
        <is>
          <t>spring_phab_bfwd_rat|Headwater (10 km2 and under)</t>
        </is>
      </c>
      <c r="B14" s="42" t="inlineStr">
        <is>
          <t>spring-phab-bfwd-rat</t>
        </is>
      </c>
      <c r="C14" s="42" t="inlineStr">
        <is>
          <t>Bankfull width:depth ratio</t>
        </is>
      </c>
      <c r="D14" s="42" t="inlineStr">
        <is>
          <t>Headwater (10 km2 and under)</t>
        </is>
      </c>
      <c r="E14" s="42" t="n">
        <v>8</v>
      </c>
      <c r="F14" s="42" t="inlineStr">
        <is>
          <t>66 least-disturbed stations of this ecoregion</t>
        </is>
      </c>
      <c r="G14" s="42" t="n">
        <v>0</v>
      </c>
      <c r="H14" s="42" t="n">
        <v>1.40961742401123</v>
      </c>
      <c r="I14" s="42" t="n">
        <v>4.68621706366539</v>
      </c>
      <c r="J14" s="42" t="n">
        <v>6.450539946556091</v>
      </c>
      <c r="K14" s="42" t="n">
        <v>11.49146246910095</v>
      </c>
      <c r="L14" s="42" t="n">
        <v>13.25578535199165</v>
      </c>
      <c r="M14" s="42" t="n">
        <v>16.53238499164581</v>
      </c>
      <c r="N14" s="42" t="n">
        <v>21.57330751419067</v>
      </c>
      <c r="O14" s="42" t="n">
        <v>0</v>
      </c>
      <c r="P14" s="42" t="n">
        <v>0.3</v>
      </c>
      <c r="Q14" s="42" t="n">
        <v>0.7</v>
      </c>
      <c r="R14" s="42" t="n">
        <v>1</v>
      </c>
      <c r="S14" s="42" t="n">
        <v>1</v>
      </c>
      <c r="T14" s="42" t="n">
        <v>0.7</v>
      </c>
      <c r="U14" s="42" t="n">
        <v>0.3</v>
      </c>
      <c r="V14" s="42" t="n">
        <v>0</v>
      </c>
    </row>
    <row r="15">
      <c r="A15" s="42" t="inlineStr">
        <is>
          <t>spring_phab_bfwd_rat|Small stream (10 to 100 km2)</t>
        </is>
      </c>
      <c r="B15" s="42" t="inlineStr">
        <is>
          <t>spring-phab-bfwd-rat</t>
        </is>
      </c>
      <c r="C15" s="42" t="inlineStr">
        <is>
          <t>Bankfull width:depth ratio</t>
        </is>
      </c>
      <c r="D15" s="42" t="inlineStr">
        <is>
          <t>Small stream (10 to 100 km2)</t>
        </is>
      </c>
      <c r="E15" s="42" t="n">
        <v>8</v>
      </c>
      <c r="F15" s="42" t="inlineStr">
        <is>
          <t>66 least-disturbed stations of this ecoregion</t>
        </is>
      </c>
      <c r="G15" s="42" t="n">
        <v>0</v>
      </c>
      <c r="H15" s="42" t="n">
        <v>3.661773204803467</v>
      </c>
      <c r="I15" s="42" t="n">
        <v>8.411383438110352</v>
      </c>
      <c r="J15" s="42" t="n">
        <v>10.96886587142944</v>
      </c>
      <c r="K15" s="42" t="n">
        <v>18.27595853805542</v>
      </c>
      <c r="L15" s="42" t="n">
        <v>20.83344097137451</v>
      </c>
      <c r="M15" s="42" t="n">
        <v>25.5830512046814</v>
      </c>
      <c r="N15" s="42" t="n">
        <v>32.89014387130737</v>
      </c>
      <c r="O15" s="42" t="n">
        <v>0</v>
      </c>
      <c r="P15" s="42" t="n">
        <v>0.3</v>
      </c>
      <c r="Q15" s="42" t="n">
        <v>0.7</v>
      </c>
      <c r="R15" s="42" t="n">
        <v>1</v>
      </c>
      <c r="S15" s="42" t="n">
        <v>1</v>
      </c>
      <c r="T15" s="42" t="n">
        <v>0.7</v>
      </c>
      <c r="U15" s="42" t="n">
        <v>0.3</v>
      </c>
      <c r="V15" s="42" t="n">
        <v>0</v>
      </c>
    </row>
    <row r="16">
      <c r="A16" s="42" t="inlineStr">
        <is>
          <t>spring_phab_rp100_cm|All streams (pooled)</t>
        </is>
      </c>
      <c r="B16" s="42" t="inlineStr">
        <is>
          <t>spring-phab-rp100-cm</t>
        </is>
      </c>
      <c r="C16" s="42" t="inlineStr">
        <is>
          <t>Residual pool depth</t>
        </is>
      </c>
      <c r="D16" s="42" t="inlineStr">
        <is>
          <t>All streams (pooled)</t>
        </is>
      </c>
      <c r="E16" s="42" t="n">
        <v>5</v>
      </c>
      <c r="F16" s="42" t="inlineStr">
        <is>
          <t>50 least-disturbed stations of this ecoregion</t>
        </is>
      </c>
      <c r="G16" s="42" t="n">
        <v>0</v>
      </c>
      <c r="H16" s="42" t="n">
        <v>2.415524789265224</v>
      </c>
      <c r="I16" s="42" t="n">
        <v>5.636224508285522</v>
      </c>
      <c r="J16" s="42" t="n">
        <v>13.32957983016968</v>
      </c>
      <c r="K16" s="42" t="n">
        <v>15.63758642673492</v>
      </c>
      <c r="L16" s="42" t="n">
        <v>15.63758642673492</v>
      </c>
      <c r="M16" s="42" t="n">
        <v>15.63758642673492</v>
      </c>
      <c r="N16" s="42" t="n">
        <v>15.63758642673492</v>
      </c>
      <c r="O16" s="42" t="n">
        <v>0</v>
      </c>
      <c r="P16" s="42" t="n">
        <v>0.3</v>
      </c>
      <c r="Q16" s="42" t="n">
        <v>0.7</v>
      </c>
      <c r="R16" s="42" t="n">
        <v>1</v>
      </c>
      <c r="S16" s="42" t="n">
        <v>1</v>
      </c>
      <c r="T16" s="42" t="n">
        <v>1</v>
      </c>
      <c r="U16" s="42" t="n">
        <v>1</v>
      </c>
      <c r="V16" s="42" t="n">
        <v>1</v>
      </c>
    </row>
    <row r="17">
      <c r="A17" s="42" t="inlineStr">
        <is>
          <t>spring_phab_rp100_cm|Moderate gradient (0.5 to 2 percent)</t>
        </is>
      </c>
      <c r="B17" s="42" t="inlineStr">
        <is>
          <t>spring-phab-rp100-cm</t>
        </is>
      </c>
      <c r="C17" s="42" t="inlineStr">
        <is>
          <t>Residual pool depth</t>
        </is>
      </c>
      <c r="D17" s="42" t="inlineStr">
        <is>
          <t>Moderate gradient (0.5 to 2 percent)</t>
        </is>
      </c>
      <c r="E17" s="42" t="n">
        <v>5</v>
      </c>
      <c r="F17" s="42" t="inlineStr">
        <is>
          <t>50 least-disturbed stations of this ecoregion</t>
        </is>
      </c>
      <c r="G17" s="42" t="n">
        <v>0</v>
      </c>
      <c r="H17" s="42" t="n">
        <v>2.627713884626116</v>
      </c>
      <c r="I17" s="42" t="n">
        <v>6.131332397460938</v>
      </c>
      <c r="J17" s="42" t="n">
        <v>10.84903073310852</v>
      </c>
      <c r="K17" s="42" t="n">
        <v>12.26434023380279</v>
      </c>
      <c r="L17" s="42" t="n">
        <v>12.26434023380279</v>
      </c>
      <c r="M17" s="42" t="n">
        <v>12.26434023380279</v>
      </c>
      <c r="N17" s="42" t="n">
        <v>12.26434023380279</v>
      </c>
      <c r="O17" s="42" t="n">
        <v>0</v>
      </c>
      <c r="P17" s="42" t="n">
        <v>0.3</v>
      </c>
      <c r="Q17" s="42" t="n">
        <v>0.7</v>
      </c>
      <c r="R17" s="42" t="n">
        <v>1</v>
      </c>
      <c r="S17" s="42" t="n">
        <v>1</v>
      </c>
      <c r="T17" s="42" t="n">
        <v>1</v>
      </c>
      <c r="U17" s="42" t="n">
        <v>1</v>
      </c>
      <c r="V17" s="42" t="n">
        <v>1</v>
      </c>
    </row>
    <row r="18">
      <c r="A18" s="42" t="inlineStr">
        <is>
          <t>spring_phab_rp100_cm|Steep (2 percent and above)</t>
        </is>
      </c>
      <c r="B18" s="42" t="inlineStr">
        <is>
          <t>spring-phab-rp100-cm</t>
        </is>
      </c>
      <c r="C18" s="42" t="inlineStr">
        <is>
          <t>Residual pool depth</t>
        </is>
      </c>
      <c r="D18" s="42" t="inlineStr">
        <is>
          <t>Steep (2 percent and above)</t>
        </is>
      </c>
      <c r="E18" s="42" t="n">
        <v>5</v>
      </c>
      <c r="F18" s="42" t="inlineStr">
        <is>
          <t>50 least-disturbed stations of this ecoregion</t>
        </is>
      </c>
      <c r="G18" s="42" t="n">
        <v>0</v>
      </c>
      <c r="H18" s="42" t="n">
        <v>2.048769082341875</v>
      </c>
      <c r="I18" s="42" t="n">
        <v>4.780461192131042</v>
      </c>
      <c r="J18" s="42" t="n">
        <v>10.75931000709534</v>
      </c>
      <c r="K18" s="42" t="n">
        <v>12.55296465158463</v>
      </c>
      <c r="L18" s="42" t="n">
        <v>12.55296465158463</v>
      </c>
      <c r="M18" s="42" t="n">
        <v>12.55296465158463</v>
      </c>
      <c r="N18" s="42" t="n">
        <v>12.55296465158463</v>
      </c>
      <c r="O18" s="42" t="n">
        <v>0</v>
      </c>
      <c r="P18" s="42" t="n">
        <v>0.3</v>
      </c>
      <c r="Q18" s="42" t="n">
        <v>0.7</v>
      </c>
      <c r="R18" s="42" t="n">
        <v>1</v>
      </c>
      <c r="S18" s="42" t="n">
        <v>1</v>
      </c>
      <c r="T18" s="42" t="n">
        <v>1</v>
      </c>
      <c r="U18" s="42" t="n">
        <v>1</v>
      </c>
      <c r="V18" s="42" t="n">
        <v>1</v>
      </c>
    </row>
    <row r="19">
      <c r="A19" s="42" t="inlineStr">
        <is>
          <t>spring_phab_xbkf_h|All streams (pooled)</t>
        </is>
      </c>
      <c r="B19" s="42" t="inlineStr">
        <is>
          <t>spring-phab-xbkf-h</t>
        </is>
      </c>
      <c r="C19" s="42" t="inlineStr">
        <is>
          <t>Bankfull height above channel</t>
        </is>
      </c>
      <c r="D19" s="42" t="inlineStr">
        <is>
          <t>All streams (pooled)</t>
        </is>
      </c>
      <c r="E19" s="42" t="n">
        <v>7</v>
      </c>
      <c r="F19" s="42" t="inlineStr">
        <is>
          <t>66 least-disturbed stations of this ecoregion</t>
        </is>
      </c>
      <c r="G19" s="42" t="n">
        <v>0</v>
      </c>
      <c r="H19" s="42" t="n">
        <v>0.09515909478068352</v>
      </c>
      <c r="I19" s="42" t="n">
        <v>0.2000000029802322</v>
      </c>
      <c r="J19" s="42" t="n">
        <v>0.4995454549789429</v>
      </c>
      <c r="K19" s="42" t="n">
        <v>0.6043863631784916</v>
      </c>
      <c r="L19" s="42" t="n">
        <v>0.7990909069776535</v>
      </c>
      <c r="M19" s="42" t="n">
        <v>1.098636358976364</v>
      </c>
      <c r="N19" s="42" t="n">
        <v>1.098636358976364</v>
      </c>
      <c r="O19" s="42" t="n">
        <v>0</v>
      </c>
      <c r="P19" s="42" t="n">
        <v>0.7</v>
      </c>
      <c r="Q19" s="42" t="n">
        <v>1</v>
      </c>
      <c r="R19" s="42" t="n">
        <v>1</v>
      </c>
      <c r="S19" s="42" t="n">
        <v>0.7</v>
      </c>
      <c r="T19" s="42" t="n">
        <v>0.3</v>
      </c>
      <c r="U19" s="42" t="n">
        <v>0</v>
      </c>
      <c r="V19" s="42" t="n">
        <v>0</v>
      </c>
    </row>
    <row r="20">
      <c r="A20" s="42" t="inlineStr">
        <is>
          <t>spring_phab_xbkf_h|Headwater (10 km2 and under)</t>
        </is>
      </c>
      <c r="B20" s="42" t="inlineStr">
        <is>
          <t>spring-phab-xbkf-h</t>
        </is>
      </c>
      <c r="C20" s="42" t="inlineStr">
        <is>
          <t>Bankfull height above channel</t>
        </is>
      </c>
      <c r="D20" s="42" t="inlineStr">
        <is>
          <t>Headwater (10 km2 and under)</t>
        </is>
      </c>
      <c r="E20" s="42" t="n">
        <v>7</v>
      </c>
      <c r="F20" s="42" t="inlineStr">
        <is>
          <t>66 least-disturbed stations of this ecoregion</t>
        </is>
      </c>
      <c r="G20" s="42" t="n">
        <v>0</v>
      </c>
      <c r="H20" s="42" t="n">
        <v>0.09713636972010137</v>
      </c>
      <c r="I20" s="42" t="n">
        <v>0.1684090942144394</v>
      </c>
      <c r="J20" s="42" t="n">
        <v>0.3720454499125481</v>
      </c>
      <c r="K20" s="42" t="n">
        <v>0.4433181744068861</v>
      </c>
      <c r="L20" s="42" t="n">
        <v>0.5756818056106567</v>
      </c>
      <c r="M20" s="42" t="n">
        <v>0.7793181613087654</v>
      </c>
      <c r="N20" s="42" t="n">
        <v>0.7793181613087654</v>
      </c>
      <c r="O20" s="42" t="n">
        <v>0</v>
      </c>
      <c r="P20" s="42" t="n">
        <v>0.7</v>
      </c>
      <c r="Q20" s="42" t="n">
        <v>1</v>
      </c>
      <c r="R20" s="42" t="n">
        <v>1</v>
      </c>
      <c r="S20" s="42" t="n">
        <v>0.7</v>
      </c>
      <c r="T20" s="42" t="n">
        <v>0.3</v>
      </c>
      <c r="U20" s="42" t="n">
        <v>0</v>
      </c>
      <c r="V20" s="42" t="n">
        <v>0</v>
      </c>
    </row>
    <row r="21">
      <c r="A21" s="42" t="inlineStr">
        <is>
          <t>spring_phab_xbkf_h|Small stream (10 to 100 km2)</t>
        </is>
      </c>
      <c r="B21" s="42" t="inlineStr">
        <is>
          <t>spring-phab-xbkf-h</t>
        </is>
      </c>
      <c r="C21" s="42" t="inlineStr">
        <is>
          <t>Bankfull height above channel</t>
        </is>
      </c>
      <c r="D21" s="42" t="inlineStr">
        <is>
          <t>Small stream (10 to 100 km2)</t>
        </is>
      </c>
      <c r="E21" s="42" t="n">
        <v>7</v>
      </c>
      <c r="F21" s="42" t="inlineStr">
        <is>
          <t>66 least-disturbed stations of this ecoregion</t>
        </is>
      </c>
      <c r="G21" s="42" t="n">
        <v>0</v>
      </c>
      <c r="H21" s="42" t="n">
        <v>0.1153863675892353</v>
      </c>
      <c r="I21" s="42" t="n">
        <v>0.2345454543828964</v>
      </c>
      <c r="J21" s="42" t="n">
        <v>0.574999988079071</v>
      </c>
      <c r="K21" s="42" t="n">
        <v>0.6941590748727322</v>
      </c>
      <c r="L21" s="42" t="n">
        <v>0.9154545217752457</v>
      </c>
      <c r="M21" s="42" t="n">
        <v>1.25590905547142</v>
      </c>
      <c r="N21" s="42" t="n">
        <v>1.25590905547142</v>
      </c>
      <c r="O21" s="42" t="n">
        <v>0</v>
      </c>
      <c r="P21" s="42" t="n">
        <v>0.7</v>
      </c>
      <c r="Q21" s="42" t="n">
        <v>1</v>
      </c>
      <c r="R21" s="42" t="n">
        <v>1</v>
      </c>
      <c r="S21" s="42" t="n">
        <v>0.7</v>
      </c>
      <c r="T21" s="42" t="n">
        <v>0.3</v>
      </c>
      <c r="U21" s="42" t="n">
        <v>0</v>
      </c>
      <c r="V21" s="42" t="n">
        <v>0</v>
      </c>
    </row>
    <row r="22">
      <c r="A22" s="42" t="inlineStr">
        <is>
          <t>spring_phab_pct_safn|</t>
        </is>
      </c>
      <c r="B22" s="42" t="inlineStr">
        <is>
          <t>spring-phab-pct-safn</t>
        </is>
      </c>
      <c r="C22" s="42" t="inlineStr">
        <is>
          <t>Sand + fines</t>
        </is>
      </c>
      <c r="D22" s="42" t="inlineStr"/>
      <c r="E22" s="42" t="n">
        <v>5</v>
      </c>
      <c r="F22" s="42" t="inlineStr">
        <is>
          <t>66 least-disturbed stations of this ecoregion</t>
        </is>
      </c>
      <c r="G22" s="42" t="n">
        <v>0</v>
      </c>
      <c r="H22" s="42" t="n">
        <v>5.579710245132446</v>
      </c>
      <c r="I22" s="42" t="n">
        <v>36.54761981964111</v>
      </c>
      <c r="J22" s="42" t="n">
        <v>77.83816591898599</v>
      </c>
      <c r="K22" s="42" t="n">
        <v>100</v>
      </c>
      <c r="L22" s="42" t="n">
        <v>100</v>
      </c>
      <c r="M22" s="42" t="n">
        <v>100</v>
      </c>
      <c r="N22" s="42" t="n">
        <v>100</v>
      </c>
      <c r="O22" s="42" t="n">
        <v>1</v>
      </c>
      <c r="P22" s="42" t="n">
        <v>1</v>
      </c>
      <c r="Q22" s="42" t="n">
        <v>0.7</v>
      </c>
      <c r="R22" s="42" t="n">
        <v>0.3</v>
      </c>
      <c r="S22" s="42" t="n">
        <v>0</v>
      </c>
      <c r="T22" s="42" t="n">
        <v>0</v>
      </c>
      <c r="U22" s="42" t="n">
        <v>0</v>
      </c>
      <c r="V22" s="42" t="n">
        <v>0</v>
      </c>
    </row>
    <row r="23">
      <c r="A23" s="42" t="inlineStr">
        <is>
          <t>spring_phab_xembed|</t>
        </is>
      </c>
      <c r="B23" s="42" t="inlineStr">
        <is>
          <t>spring-phab-xembed</t>
        </is>
      </c>
      <c r="C23" s="42" t="inlineStr">
        <is>
          <t>Embeddedness</t>
        </is>
      </c>
      <c r="D23" s="42" t="inlineStr"/>
      <c r="E23" s="42" t="n">
        <v>4</v>
      </c>
      <c r="F23" s="42" t="inlineStr">
        <is>
          <t>63 least-disturbed stations of this ecoregion</t>
        </is>
      </c>
      <c r="G23" s="42" t="n">
        <v>11.34545392990112</v>
      </c>
      <c r="H23" s="42" t="n">
        <v>22.13286685943604</v>
      </c>
      <c r="I23" s="42" t="n">
        <v>58.09090995788574</v>
      </c>
      <c r="J23" s="42" t="n">
        <v>100</v>
      </c>
      <c r="K23" s="42" t="n">
        <v>100</v>
      </c>
      <c r="L23" s="42" t="n">
        <v>100</v>
      </c>
      <c r="M23" s="42" t="n">
        <v>100</v>
      </c>
      <c r="N23" s="42" t="n">
        <v>100</v>
      </c>
      <c r="O23" s="42" t="n">
        <v>1</v>
      </c>
      <c r="P23" s="42" t="n">
        <v>1</v>
      </c>
      <c r="Q23" s="42" t="n">
        <v>0.7</v>
      </c>
      <c r="R23" s="42" t="n">
        <v>0</v>
      </c>
      <c r="S23" s="42" t="n">
        <v>0</v>
      </c>
      <c r="T23" s="42" t="n">
        <v>0</v>
      </c>
      <c r="U23" s="42" t="n">
        <v>0</v>
      </c>
      <c r="V23" s="42" t="n">
        <v>0</v>
      </c>
    </row>
    <row r="24">
      <c r="A24" s="42" t="inlineStr">
        <is>
          <t>spring_phab_sinu|</t>
        </is>
      </c>
      <c r="B24" s="42" t="inlineStr">
        <is>
          <t>spring-phab-sinu</t>
        </is>
      </c>
      <c r="C24" s="42" t="inlineStr">
        <is>
          <t>Sinuosity</t>
        </is>
      </c>
      <c r="D24" s="42" t="inlineStr"/>
      <c r="E24" s="42" t="n">
        <v>4</v>
      </c>
      <c r="F24" s="42" t="inlineStr">
        <is>
          <t>63 least-disturbed stations of this ecoregion</t>
        </is>
      </c>
      <c r="G24" s="42" t="n">
        <v>1</v>
      </c>
      <c r="H24" s="42" t="n">
        <v>1.09111225605011</v>
      </c>
      <c r="I24" s="42" t="n">
        <v>1.285274803638458</v>
      </c>
      <c r="J24" s="42" t="n">
        <v>1.343523567914963</v>
      </c>
      <c r="K24" s="42" t="n">
        <v>1.343523567914963</v>
      </c>
      <c r="L24" s="42" t="n">
        <v>1.343523567914963</v>
      </c>
      <c r="M24" s="42" t="n">
        <v>1.343523567914963</v>
      </c>
      <c r="N24" s="42" t="n">
        <v>1.343523567914963</v>
      </c>
      <c r="O24" s="42" t="n">
        <v>0</v>
      </c>
      <c r="P24" s="42" t="n">
        <v>0.7</v>
      </c>
      <c r="Q24" s="42" t="n">
        <v>1</v>
      </c>
      <c r="R24" s="42" t="n">
        <v>1</v>
      </c>
      <c r="S24" s="42" t="n">
        <v>1</v>
      </c>
      <c r="T24" s="42" t="n">
        <v>1</v>
      </c>
      <c r="U24" s="42" t="n">
        <v>1</v>
      </c>
      <c r="V24" s="42" t="n">
        <v>1</v>
      </c>
    </row>
    <row r="25">
      <c r="A25" s="42" t="inlineStr">
        <is>
          <t>spring_phab_xbka|</t>
        </is>
      </c>
      <c r="B25" s="42" t="inlineStr">
        <is>
          <t>spring-phab-xbka</t>
        </is>
      </c>
      <c r="C25" s="42" t="inlineStr">
        <is>
          <t>Bank angle</t>
        </is>
      </c>
      <c r="D25" s="42" t="inlineStr"/>
      <c r="E25" s="42" t="n">
        <v>7</v>
      </c>
      <c r="F25" s="42" t="inlineStr">
        <is>
          <t>63 least-disturbed stations of this ecoregion</t>
        </is>
      </c>
      <c r="G25" s="42" t="n">
        <v>0</v>
      </c>
      <c r="H25" s="42" t="n">
        <v>12.16338405609131</v>
      </c>
      <c r="I25" s="42" t="n">
        <v>20.68181800842285</v>
      </c>
      <c r="J25" s="42" t="n">
        <v>45.02020072937012</v>
      </c>
      <c r="K25" s="42" t="n">
        <v>53.53863468170166</v>
      </c>
      <c r="L25" s="42" t="n">
        <v>69.35858345031738</v>
      </c>
      <c r="M25" s="42" t="n">
        <v>93.69696617126465</v>
      </c>
      <c r="N25" s="42" t="n">
        <v>93.69696617126465</v>
      </c>
      <c r="O25" s="42" t="n">
        <v>0.7</v>
      </c>
      <c r="P25" s="42" t="n">
        <v>0.7</v>
      </c>
      <c r="Q25" s="42" t="n">
        <v>1</v>
      </c>
      <c r="R25" s="42" t="n">
        <v>1</v>
      </c>
      <c r="S25" s="42" t="n">
        <v>0.7</v>
      </c>
      <c r="T25" s="42" t="n">
        <v>0.3</v>
      </c>
      <c r="U25" s="42" t="n">
        <v>0</v>
      </c>
      <c r="V25" s="42" t="n">
        <v>0</v>
      </c>
    </row>
    <row r="26">
      <c r="A26" s="42" t="inlineStr">
        <is>
          <t>spring_phab_lrbs_use|All streams (pooled)</t>
        </is>
      </c>
      <c r="B26" s="42" t="inlineStr">
        <is>
          <t>spring-phab-lrbs-use</t>
        </is>
      </c>
      <c r="C26" s="42" t="inlineStr">
        <is>
          <t>Relative bed stability</t>
        </is>
      </c>
      <c r="D26" s="42" t="inlineStr">
        <is>
          <t>All streams (pooled)</t>
        </is>
      </c>
      <c r="E26" s="42" t="n">
        <v>8</v>
      </c>
      <c r="F26" s="42" t="inlineStr">
        <is>
          <t>65 least-disturbed stations of this ecoregion</t>
        </is>
      </c>
      <c r="G26" s="42" t="n">
        <v>-2.010186046361923</v>
      </c>
      <c r="H26" s="42" t="n">
        <v>-1.363824024796486</v>
      </c>
      <c r="I26" s="42" t="n">
        <v>-0.9436887107789517</v>
      </c>
      <c r="J26" s="42" t="n">
        <v>-0.7174620032310486</v>
      </c>
      <c r="K26" s="42" t="n">
        <v>-0.07109998166561127</v>
      </c>
      <c r="L26" s="42" t="n">
        <v>0.1551267258822918</v>
      </c>
      <c r="M26" s="42" t="n">
        <v>0.575262039899826</v>
      </c>
      <c r="N26" s="42" t="n">
        <v>1.221624061465263</v>
      </c>
      <c r="O26" s="42" t="n">
        <v>0</v>
      </c>
      <c r="P26" s="42" t="n">
        <v>0.3</v>
      </c>
      <c r="Q26" s="42" t="n">
        <v>0.7</v>
      </c>
      <c r="R26" s="42" t="n">
        <v>1</v>
      </c>
      <c r="S26" s="42" t="n">
        <v>1</v>
      </c>
      <c r="T26" s="42" t="n">
        <v>0.7</v>
      </c>
      <c r="U26" s="42" t="n">
        <v>0.3</v>
      </c>
      <c r="V26" s="42" t="n">
        <v>0</v>
      </c>
    </row>
    <row r="27">
      <c r="A27" s="42" t="inlineStr">
        <is>
          <t>spring_phab_lrbs_use|Headwater (10 km2 and under)</t>
        </is>
      </c>
      <c r="B27" s="42" t="inlineStr">
        <is>
          <t>spring-phab-lrbs-use</t>
        </is>
      </c>
      <c r="C27" s="42" t="inlineStr">
        <is>
          <t>Relative bed stability</t>
        </is>
      </c>
      <c r="D27" s="42" t="inlineStr">
        <is>
          <t>Headwater (10 km2 and under)</t>
        </is>
      </c>
      <c r="E27" s="42" t="n">
        <v>8</v>
      </c>
      <c r="F27" s="42" t="inlineStr">
        <is>
          <t>65 least-disturbed stations of this ecoregion</t>
        </is>
      </c>
      <c r="G27" s="42" t="n">
        <v>-2.379357643425465</v>
      </c>
      <c r="H27" s="42" t="n">
        <v>-1.662288960069418</v>
      </c>
      <c r="I27" s="42" t="n">
        <v>-1.196194315887988</v>
      </c>
      <c r="J27" s="42" t="n">
        <v>-0.9452202767133713</v>
      </c>
      <c r="K27" s="42" t="n">
        <v>-0.2281515933573246</v>
      </c>
      <c r="L27" s="42" t="n">
        <v>0.0228224458172917</v>
      </c>
      <c r="M27" s="42" t="n">
        <v>0.4889170899987221</v>
      </c>
      <c r="N27" s="42" t="n">
        <v>1.205985773354769</v>
      </c>
      <c r="O27" s="42" t="n">
        <v>0</v>
      </c>
      <c r="P27" s="42" t="n">
        <v>0.3</v>
      </c>
      <c r="Q27" s="42" t="n">
        <v>0.7</v>
      </c>
      <c r="R27" s="42" t="n">
        <v>1</v>
      </c>
      <c r="S27" s="42" t="n">
        <v>1</v>
      </c>
      <c r="T27" s="42" t="n">
        <v>0.7</v>
      </c>
      <c r="U27" s="42" t="n">
        <v>0.3</v>
      </c>
      <c r="V27" s="42" t="n">
        <v>0</v>
      </c>
    </row>
    <row r="28">
      <c r="A28" s="42" t="inlineStr">
        <is>
          <t>spring_phab_lrbs_use|Small stream (10 to 100 km2)</t>
        </is>
      </c>
      <c r="B28" s="42" t="inlineStr">
        <is>
          <t>spring-phab-lrbs-use</t>
        </is>
      </c>
      <c r="C28" s="42" t="inlineStr">
        <is>
          <t>Relative bed stability</t>
        </is>
      </c>
      <c r="D28" s="42" t="inlineStr">
        <is>
          <t>Small stream (10 to 100 km2)</t>
        </is>
      </c>
      <c r="E28" s="42" t="n">
        <v>8</v>
      </c>
      <c r="F28" s="42" t="inlineStr">
        <is>
          <t>65 least-disturbed stations of this ecoregion</t>
        </is>
      </c>
      <c r="G28" s="42" t="n">
        <v>-2.091052040457726</v>
      </c>
      <c r="H28" s="42" t="n">
        <v>-1.380068026483059</v>
      </c>
      <c r="I28" s="42" t="n">
        <v>-0.9179284173995257</v>
      </c>
      <c r="J28" s="42" t="n">
        <v>-0.6690840125083923</v>
      </c>
      <c r="K28" s="42" t="n">
        <v>0.04190000146627426</v>
      </c>
      <c r="L28" s="42" t="n">
        <v>0.2907444063574076</v>
      </c>
      <c r="M28" s="42" t="n">
        <v>0.7528840154409409</v>
      </c>
      <c r="N28" s="42" t="n">
        <v>1.463868029415607</v>
      </c>
      <c r="O28" s="42" t="n">
        <v>0</v>
      </c>
      <c r="P28" s="42" t="n">
        <v>0.3</v>
      </c>
      <c r="Q28" s="42" t="n">
        <v>0.7</v>
      </c>
      <c r="R28" s="42" t="n">
        <v>1</v>
      </c>
      <c r="S28" s="42" t="n">
        <v>1</v>
      </c>
      <c r="T28" s="42" t="n">
        <v>0.7</v>
      </c>
      <c r="U28" s="42" t="n">
        <v>0.3</v>
      </c>
      <c r="V28" s="42" t="n">
        <v>0</v>
      </c>
    </row>
    <row r="29">
      <c r="A29" s="42" t="inlineStr">
        <is>
          <t>spring_phab_lsub_dmm|</t>
        </is>
      </c>
      <c r="B29" s="42" t="inlineStr">
        <is>
          <t>spring-phab-lsub-dmm</t>
        </is>
      </c>
      <c r="C29" s="42" t="inlineStr">
        <is>
          <t>Substrate size</t>
        </is>
      </c>
      <c r="D29" s="42" t="inlineStr"/>
      <c r="E29" s="42" t="n">
        <v>5</v>
      </c>
      <c r="F29" s="42" t="inlineStr">
        <is>
          <t>66 least-disturbed stations of this ecoregion</t>
        </is>
      </c>
      <c r="G29" s="42" t="n">
        <v>-2.029253174861272</v>
      </c>
      <c r="H29" s="42" t="n">
        <v>-0.848638226588567</v>
      </c>
      <c r="I29" s="42" t="n">
        <v>0.7255150377750397</v>
      </c>
      <c r="J29" s="42" t="n">
        <v>1.906129986047745</v>
      </c>
      <c r="K29" s="42" t="n">
        <v>2.260314470529556</v>
      </c>
      <c r="L29" s="42" t="n">
        <v>2.260314470529556</v>
      </c>
      <c r="M29" s="42" t="n">
        <v>2.260314470529556</v>
      </c>
      <c r="N29" s="42" t="n">
        <v>2.260314470529556</v>
      </c>
      <c r="O29" s="42" t="n">
        <v>0</v>
      </c>
      <c r="P29" s="42" t="n">
        <v>0.3</v>
      </c>
      <c r="Q29" s="42" t="n">
        <v>0.7</v>
      </c>
      <c r="R29" s="42" t="n">
        <v>1</v>
      </c>
      <c r="S29" s="42" t="n">
        <v>1</v>
      </c>
      <c r="T29" s="42" t="n">
        <v>1</v>
      </c>
      <c r="U29" s="42" t="n">
        <v>1</v>
      </c>
      <c r="V29" s="42" t="n">
        <v>1</v>
      </c>
    </row>
    <row r="30">
      <c r="A30" s="42" t="inlineStr">
        <is>
          <t>spring_phab_lwdeqvolm100|</t>
        </is>
      </c>
      <c r="B30" s="42" t="inlineStr">
        <is>
          <t>spring-phab-lwdeqvolm100</t>
        </is>
      </c>
      <c r="C30" s="42" t="inlineStr">
        <is>
          <t>Large wood volume</t>
        </is>
      </c>
      <c r="D30" s="42" t="inlineStr"/>
      <c r="E30" s="42" t="n">
        <v>5</v>
      </c>
      <c r="F30" s="42" t="inlineStr">
        <is>
          <t>66 least-disturbed stations of this ecoregion</t>
        </is>
      </c>
      <c r="G30" s="42" t="n">
        <v>0</v>
      </c>
      <c r="H30" s="42" t="n">
        <v>0.0357589279966695</v>
      </c>
      <c r="I30" s="42" t="n">
        <v>0.08343749865889549</v>
      </c>
      <c r="J30" s="42" t="n">
        <v>3.527048707008362</v>
      </c>
      <c r="K30" s="42" t="n">
        <v>4.560132069513202</v>
      </c>
      <c r="L30" s="42" t="n">
        <v>4.560132069513202</v>
      </c>
      <c r="M30" s="42" t="n">
        <v>4.560132069513202</v>
      </c>
      <c r="N30" s="42" t="n">
        <v>4.560132069513202</v>
      </c>
      <c r="O30" s="42" t="n">
        <v>0</v>
      </c>
      <c r="P30" s="42" t="n">
        <v>0.3</v>
      </c>
      <c r="Q30" s="42" t="n">
        <v>0.7</v>
      </c>
      <c r="R30" s="42" t="n">
        <v>1</v>
      </c>
      <c r="S30" s="42" t="n">
        <v>1</v>
      </c>
      <c r="T30" s="42" t="n">
        <v>1</v>
      </c>
      <c r="U30" s="42" t="n">
        <v>1</v>
      </c>
      <c r="V30" s="42" t="n">
        <v>1</v>
      </c>
    </row>
    <row r="31">
      <c r="A31" s="42" t="inlineStr">
        <is>
          <t>spring_chem_chla|</t>
        </is>
      </c>
      <c r="B31" s="42" t="inlineStr">
        <is>
          <t>spring-chem-chla</t>
        </is>
      </c>
      <c r="C31" s="42" t="inlineStr">
        <is>
          <t>Chlorophyll a</t>
        </is>
      </c>
      <c r="D31" s="42" t="inlineStr"/>
      <c r="E31" s="42" t="n">
        <v>5</v>
      </c>
      <c r="F31" s="42" t="inlineStr">
        <is>
          <t>66 least-disturbed stations of this ecoregion</t>
        </is>
      </c>
      <c r="G31" s="42" t="n">
        <v>0.07216500565409661</v>
      </c>
      <c r="H31" s="42" t="n">
        <v>0.3145500048995018</v>
      </c>
      <c r="I31" s="42" t="n">
        <v>1.122500002384186</v>
      </c>
      <c r="J31" s="42" t="n">
        <v>2.199766665697098</v>
      </c>
      <c r="K31" s="42" t="n">
        <v>3.007716663181782</v>
      </c>
      <c r="L31" s="42" t="n">
        <v>3.007716663181782</v>
      </c>
      <c r="M31" s="42" t="n">
        <v>3.007716663181782</v>
      </c>
      <c r="N31" s="42" t="n">
        <v>3.007716663181782</v>
      </c>
      <c r="O31" s="42" t="n">
        <v>1</v>
      </c>
      <c r="P31" s="42" t="n">
        <v>1</v>
      </c>
      <c r="Q31" s="42" t="n">
        <v>0.7</v>
      </c>
      <c r="R31" s="42" t="n">
        <v>0.3</v>
      </c>
      <c r="S31" s="42" t="n">
        <v>0</v>
      </c>
      <c r="T31" s="42" t="n">
        <v>0</v>
      </c>
      <c r="U31" s="42" t="n">
        <v>0</v>
      </c>
      <c r="V31" s="42" t="n">
        <v>0</v>
      </c>
    </row>
    <row r="32">
      <c r="A32" s="42" t="inlineStr">
        <is>
          <t>spring_phab_xcdenmid|All streams (pooled)</t>
        </is>
      </c>
      <c r="B32" s="42" t="inlineStr">
        <is>
          <t>spring-phab-xcdenmid</t>
        </is>
      </c>
      <c r="C32" s="42" t="inlineStr">
        <is>
          <t>Canopy density, mid-channel</t>
        </is>
      </c>
      <c r="D32" s="42" t="inlineStr">
        <is>
          <t>All streams (pooled)</t>
        </is>
      </c>
      <c r="E32" s="42" t="n">
        <v>5</v>
      </c>
      <c r="F32" s="42" t="inlineStr">
        <is>
          <t>63 least-disturbed stations of this ecoregion</t>
        </is>
      </c>
      <c r="G32" s="42" t="n">
        <v>0</v>
      </c>
      <c r="H32" s="42" t="n">
        <v>14.69633265904018</v>
      </c>
      <c r="I32" s="42" t="n">
        <v>34.29144287109375</v>
      </c>
      <c r="J32" s="42" t="n">
        <v>92.84759140014648</v>
      </c>
      <c r="K32" s="42" t="n">
        <v>100</v>
      </c>
      <c r="L32" s="42" t="n">
        <v>100</v>
      </c>
      <c r="M32" s="42" t="n">
        <v>100</v>
      </c>
      <c r="N32" s="42" t="n">
        <v>100</v>
      </c>
      <c r="O32" s="42" t="n">
        <v>0</v>
      </c>
      <c r="P32" s="42" t="n">
        <v>0.3</v>
      </c>
      <c r="Q32" s="42" t="n">
        <v>0.7</v>
      </c>
      <c r="R32" s="42" t="n">
        <v>1</v>
      </c>
      <c r="S32" s="42" t="n">
        <v>1</v>
      </c>
      <c r="T32" s="42" t="n">
        <v>1</v>
      </c>
      <c r="U32" s="42" t="n">
        <v>1</v>
      </c>
      <c r="V32" s="42" t="n">
        <v>1</v>
      </c>
    </row>
    <row r="33">
      <c r="A33" s="42" t="inlineStr">
        <is>
          <t>spring_phab_xcdenmid|Headwater (10 km2 and under)</t>
        </is>
      </c>
      <c r="B33" s="42" t="inlineStr">
        <is>
          <t>spring-phab-xcdenmid</t>
        </is>
      </c>
      <c r="C33" s="42" t="inlineStr">
        <is>
          <t>Canopy density, mid-channel</t>
        </is>
      </c>
      <c r="D33" s="42" t="inlineStr">
        <is>
          <t>Headwater (10 km2 and under)</t>
        </is>
      </c>
      <c r="E33" s="42" t="n">
        <v>5</v>
      </c>
      <c r="F33" s="42" t="inlineStr">
        <is>
          <t>63 least-disturbed stations of this ecoregion</t>
        </is>
      </c>
      <c r="G33" s="42" t="n">
        <v>0</v>
      </c>
      <c r="H33" s="42" t="n">
        <v>30.83938080923898</v>
      </c>
      <c r="I33" s="42" t="n">
        <v>71.95855522155762</v>
      </c>
      <c r="J33" s="42" t="n">
        <v>95.35427665710449</v>
      </c>
      <c r="K33" s="42" t="n">
        <v>100</v>
      </c>
      <c r="L33" s="42" t="n">
        <v>100</v>
      </c>
      <c r="M33" s="42" t="n">
        <v>100</v>
      </c>
      <c r="N33" s="42" t="n">
        <v>100</v>
      </c>
      <c r="O33" s="42" t="n">
        <v>0</v>
      </c>
      <c r="P33" s="42" t="n">
        <v>0.3</v>
      </c>
      <c r="Q33" s="42" t="n">
        <v>0.7</v>
      </c>
      <c r="R33" s="42" t="n">
        <v>1</v>
      </c>
      <c r="S33" s="42" t="n">
        <v>1</v>
      </c>
      <c r="T33" s="42" t="n">
        <v>1</v>
      </c>
      <c r="U33" s="42" t="n">
        <v>1</v>
      </c>
      <c r="V33" s="42" t="n">
        <v>1</v>
      </c>
    </row>
    <row r="34">
      <c r="A34" s="42" t="inlineStr">
        <is>
          <t>spring_phab_xcdenmid|Small stream (10 to 100 km2)</t>
        </is>
      </c>
      <c r="B34" s="42" t="inlineStr">
        <is>
          <t>spring-phab-xcdenmid</t>
        </is>
      </c>
      <c r="C34" s="42" t="inlineStr">
        <is>
          <t>Canopy density, mid-channel</t>
        </is>
      </c>
      <c r="D34" s="42" t="inlineStr">
        <is>
          <t>Small stream (10 to 100 km2)</t>
        </is>
      </c>
      <c r="E34" s="42" t="n">
        <v>5</v>
      </c>
      <c r="F34" s="42" t="inlineStr">
        <is>
          <t>63 least-disturbed stations of this ecoregion</t>
        </is>
      </c>
      <c r="G34" s="42" t="n">
        <v>0</v>
      </c>
      <c r="H34" s="42" t="n">
        <v>22.97555433000837</v>
      </c>
      <c r="I34" s="42" t="n">
        <v>53.60962677001953</v>
      </c>
      <c r="J34" s="42" t="n">
        <v>92.64705657958984</v>
      </c>
      <c r="K34" s="42" t="n">
        <v>100</v>
      </c>
      <c r="L34" s="42" t="n">
        <v>100</v>
      </c>
      <c r="M34" s="42" t="n">
        <v>100</v>
      </c>
      <c r="N34" s="42" t="n">
        <v>100</v>
      </c>
      <c r="O34" s="42" t="n">
        <v>0</v>
      </c>
      <c r="P34" s="42" t="n">
        <v>0.3</v>
      </c>
      <c r="Q34" s="42" t="n">
        <v>0.7</v>
      </c>
      <c r="R34" s="42" t="n">
        <v>1</v>
      </c>
      <c r="S34" s="42" t="n">
        <v>1</v>
      </c>
      <c r="T34" s="42" t="n">
        <v>1</v>
      </c>
      <c r="U34" s="42" t="n">
        <v>1</v>
      </c>
      <c r="V34" s="42" t="n">
        <v>1</v>
      </c>
    </row>
    <row r="35">
      <c r="A35" s="42" t="inlineStr">
        <is>
          <t>spring_phab_xcmgw|</t>
        </is>
      </c>
      <c r="B35" s="42" t="inlineStr">
        <is>
          <t>spring-phab-xcmgw</t>
        </is>
      </c>
      <c r="C35" s="42" t="inlineStr">
        <is>
          <t>Riparian veg cover, woody</t>
        </is>
      </c>
      <c r="D35" s="42" t="inlineStr"/>
      <c r="E35" s="42" t="n">
        <v>5</v>
      </c>
      <c r="F35" s="42" t="inlineStr">
        <is>
          <t>66 least-disturbed stations of this ecoregion</t>
        </is>
      </c>
      <c r="G35" s="42" t="n">
        <v>0</v>
      </c>
      <c r="H35" s="42" t="n">
        <v>0.320454546383449</v>
      </c>
      <c r="I35" s="42" t="n">
        <v>0.7477272748947144</v>
      </c>
      <c r="J35" s="42" t="n">
        <v>1.506919682025909</v>
      </c>
      <c r="K35" s="42" t="n">
        <v>1.734677404165268</v>
      </c>
      <c r="L35" s="42" t="n">
        <v>1.734677404165268</v>
      </c>
      <c r="M35" s="42" t="n">
        <v>1.734677404165268</v>
      </c>
      <c r="N35" s="42" t="n">
        <v>1.734677404165268</v>
      </c>
      <c r="O35" s="42" t="n">
        <v>0</v>
      </c>
      <c r="P35" s="42" t="n">
        <v>0.3</v>
      </c>
      <c r="Q35" s="42" t="n">
        <v>0.7</v>
      </c>
      <c r="R35" s="42" t="n">
        <v>1</v>
      </c>
      <c r="S35" s="42" t="n">
        <v>1</v>
      </c>
      <c r="T35" s="42" t="n">
        <v>1</v>
      </c>
      <c r="U35" s="42" t="n">
        <v>1</v>
      </c>
      <c r="V35" s="42" t="n">
        <v>1</v>
      </c>
    </row>
    <row r="36">
      <c r="A36" s="42" t="inlineStr">
        <is>
          <t>spring_chem_ntl|</t>
        </is>
      </c>
      <c r="B36" s="42" t="inlineStr">
        <is>
          <t>spring-chem-ntl</t>
        </is>
      </c>
      <c r="C36" s="42" t="inlineStr">
        <is>
          <t>Total nitrogen</t>
        </is>
      </c>
      <c r="D36" s="42" t="inlineStr"/>
      <c r="E36" s="42" t="n">
        <v>5</v>
      </c>
      <c r="F36" s="42" t="inlineStr">
        <is>
          <t>66 least-disturbed stations of this ecoregion</t>
        </is>
      </c>
      <c r="G36" s="42" t="n">
        <v>0.0818750061094761</v>
      </c>
      <c r="H36" s="42" t="n">
        <v>0.1460000053048134</v>
      </c>
      <c r="I36" s="42" t="n">
        <v>0.3597500026226044</v>
      </c>
      <c r="J36" s="42" t="n">
        <v>0.6447499990463257</v>
      </c>
      <c r="K36" s="42" t="n">
        <v>0.8584999963641167</v>
      </c>
      <c r="L36" s="42" t="n">
        <v>0.8584999963641167</v>
      </c>
      <c r="M36" s="42" t="n">
        <v>0.8584999963641167</v>
      </c>
      <c r="N36" s="42" t="n">
        <v>0.8584999963641167</v>
      </c>
      <c r="O36" s="42" t="n">
        <v>1</v>
      </c>
      <c r="P36" s="42" t="n">
        <v>1</v>
      </c>
      <c r="Q36" s="42" t="n">
        <v>0.7</v>
      </c>
      <c r="R36" s="42" t="n">
        <v>0.3</v>
      </c>
      <c r="S36" s="42" t="n">
        <v>0</v>
      </c>
      <c r="T36" s="42" t="n">
        <v>0</v>
      </c>
      <c r="U36" s="42" t="n">
        <v>0</v>
      </c>
      <c r="V36" s="42" t="n">
        <v>0</v>
      </c>
    </row>
    <row r="37">
      <c r="A37" s="42" t="inlineStr">
        <is>
          <t>spring_chem_ptl|</t>
        </is>
      </c>
      <c r="B37" s="42" t="inlineStr">
        <is>
          <t>spring-chem-ptl</t>
        </is>
      </c>
      <c r="C37" s="42" t="inlineStr">
        <is>
          <t>Total phosphorus</t>
        </is>
      </c>
      <c r="D37" s="42" t="inlineStr"/>
      <c r="E37" s="42" t="n">
        <v>5</v>
      </c>
      <c r="F37" s="42" t="inlineStr">
        <is>
          <t>65 least-disturbed stations of this ecoregion</t>
        </is>
      </c>
      <c r="G37" s="42" t="n">
        <v>4.130000114440918</v>
      </c>
      <c r="H37" s="42" t="n">
        <v>8</v>
      </c>
      <c r="I37" s="42" t="n">
        <v>20.89999961853027</v>
      </c>
      <c r="J37" s="42" t="n">
        <v>38.09999910990398</v>
      </c>
      <c r="K37" s="42" t="n">
        <v>50.99999872843425</v>
      </c>
      <c r="L37" s="42" t="n">
        <v>50.99999872843425</v>
      </c>
      <c r="M37" s="42" t="n">
        <v>50.99999872843425</v>
      </c>
      <c r="N37" s="42" t="n">
        <v>50.99999872843425</v>
      </c>
      <c r="O37" s="42" t="n">
        <v>1</v>
      </c>
      <c r="P37" s="42" t="n">
        <v>1</v>
      </c>
      <c r="Q37" s="42" t="n">
        <v>0.7</v>
      </c>
      <c r="R37" s="42" t="n">
        <v>0.3</v>
      </c>
      <c r="S37" s="42" t="n">
        <v>0</v>
      </c>
      <c r="T37" s="42" t="n">
        <v>0</v>
      </c>
      <c r="U37" s="42" t="n">
        <v>0</v>
      </c>
      <c r="V37" s="42" t="n">
        <v>0</v>
      </c>
    </row>
    <row r="38">
      <c r="A38" s="42" t="inlineStr">
        <is>
          <t>spring_chem_cond|</t>
        </is>
      </c>
      <c r="B38" s="42" t="inlineStr">
        <is>
          <t>spring-chem-cond</t>
        </is>
      </c>
      <c r="C38" s="42" t="inlineStr">
        <is>
          <t>Specific conductivity</t>
        </is>
      </c>
      <c r="D38" s="42" t="inlineStr"/>
      <c r="E38" s="42" t="n">
        <v>5</v>
      </c>
      <c r="F38" s="42" t="inlineStr">
        <is>
          <t>66 least-disturbed stations of this ecoregion</t>
        </is>
      </c>
      <c r="G38" s="42" t="n">
        <v>6.940000391006469</v>
      </c>
      <c r="H38" s="42" t="n">
        <v>20.12500047683716</v>
      </c>
      <c r="I38" s="42" t="n">
        <v>64.07500076293945</v>
      </c>
      <c r="J38" s="42" t="n">
        <v>122.6750011444092</v>
      </c>
      <c r="K38" s="42" t="n">
        <v>166.6250014305115</v>
      </c>
      <c r="L38" s="42" t="n">
        <v>166.6250014305115</v>
      </c>
      <c r="M38" s="42" t="n">
        <v>166.6250014305115</v>
      </c>
      <c r="N38" s="42" t="n">
        <v>166.6250014305115</v>
      </c>
      <c r="O38" s="42" t="n">
        <v>1</v>
      </c>
      <c r="P38" s="42" t="n">
        <v>1</v>
      </c>
      <c r="Q38" s="42" t="n">
        <v>0.7</v>
      </c>
      <c r="R38" s="42" t="n">
        <v>0.3</v>
      </c>
      <c r="S38" s="42" t="n">
        <v>0</v>
      </c>
      <c r="T38" s="42" t="n">
        <v>0</v>
      </c>
      <c r="U38" s="42" t="n">
        <v>0</v>
      </c>
      <c r="V38" s="42" t="n">
        <v>0</v>
      </c>
    </row>
    <row r="39">
      <c r="A39" s="42" t="inlineStr">
        <is>
          <t>spring_chem_ph|</t>
        </is>
      </c>
      <c r="B39" s="42" t="inlineStr">
        <is>
          <t>spring-chem-ph</t>
        </is>
      </c>
      <c r="C39" s="42" t="inlineStr">
        <is>
          <t>pH</t>
        </is>
      </c>
      <c r="D39" s="42" t="inlineStr"/>
      <c r="E39" s="42" t="n">
        <v>8</v>
      </c>
      <c r="F39" s="42" t="inlineStr">
        <is>
          <t>66 least-disturbed stations of this ecoregion</t>
        </is>
      </c>
      <c r="G39" s="42" t="n">
        <v>5.53249990940094</v>
      </c>
      <c r="H39" s="42" t="n">
        <v>6.154999971389771</v>
      </c>
      <c r="I39" s="42" t="n">
        <v>6.559625011682511</v>
      </c>
      <c r="J39" s="42" t="n">
        <v>6.777500033378601</v>
      </c>
      <c r="K39" s="42" t="n">
        <v>7.400000095367432</v>
      </c>
      <c r="L39" s="42" t="n">
        <v>7.617875117063522</v>
      </c>
      <c r="M39" s="42" t="n">
        <v>8.022500157356262</v>
      </c>
      <c r="N39" s="42" t="n">
        <v>8.645000219345093</v>
      </c>
      <c r="O39" s="42" t="n">
        <v>0</v>
      </c>
      <c r="P39" s="42" t="n">
        <v>0.3</v>
      </c>
      <c r="Q39" s="42" t="n">
        <v>0.7</v>
      </c>
      <c r="R39" s="42" t="n">
        <v>1</v>
      </c>
      <c r="S39" s="42" t="n">
        <v>1</v>
      </c>
      <c r="T39" s="42" t="n">
        <v>0.7</v>
      </c>
      <c r="U39" s="42" t="n">
        <v>0.3</v>
      </c>
      <c r="V39" s="42" t="n">
        <v>0</v>
      </c>
    </row>
    <row r="40">
      <c r="A40" s="42" t="inlineStr">
        <is>
          <t>spring_chem_turb|</t>
        </is>
      </c>
      <c r="B40" s="42" t="inlineStr">
        <is>
          <t>spring-chem-turb</t>
        </is>
      </c>
      <c r="C40" s="42" t="inlineStr">
        <is>
          <t>Turbidity</t>
        </is>
      </c>
      <c r="D40" s="42" t="inlineStr"/>
      <c r="E40" s="42" t="n">
        <v>5</v>
      </c>
      <c r="F40" s="42" t="inlineStr">
        <is>
          <t>62 least-disturbed stations of this ecoregion</t>
        </is>
      </c>
      <c r="G40" s="42" t="n">
        <v>0.06100002303719521</v>
      </c>
      <c r="H40" s="42" t="n">
        <v>0.3700000122189522</v>
      </c>
      <c r="I40" s="42" t="n">
        <v>1.399999976158142</v>
      </c>
      <c r="J40" s="42" t="n">
        <v>2.773333261410396</v>
      </c>
      <c r="K40" s="42" t="n">
        <v>3.803333225349585</v>
      </c>
      <c r="L40" s="42" t="n">
        <v>3.803333225349585</v>
      </c>
      <c r="M40" s="42" t="n">
        <v>3.803333225349585</v>
      </c>
      <c r="N40" s="42" t="n">
        <v>3.803333225349585</v>
      </c>
      <c r="O40" s="42" t="n">
        <v>1</v>
      </c>
      <c r="P40" s="42" t="n">
        <v>1</v>
      </c>
      <c r="Q40" s="42" t="n">
        <v>0.7</v>
      </c>
      <c r="R40" s="42" t="n">
        <v>0.3</v>
      </c>
      <c r="S40" s="42" t="n">
        <v>0</v>
      </c>
      <c r="T40" s="42" t="n">
        <v>0</v>
      </c>
      <c r="U40" s="42" t="n">
        <v>0</v>
      </c>
      <c r="V40" s="42" t="n">
        <v>0</v>
      </c>
    </row>
    <row r="41">
      <c r="A41" s="42" t="inlineStr">
        <is>
          <t>spring_phab_pct_fast|All streams (pooled)</t>
        </is>
      </c>
      <c r="B41" s="42" t="inlineStr">
        <is>
          <t>spring-phab-pct-fast</t>
        </is>
      </c>
      <c r="C41" s="42" t="inlineStr">
        <is>
          <t>Fast-water / riffle habitat</t>
        </is>
      </c>
      <c r="D41" s="42" t="inlineStr">
        <is>
          <t>All streams (pooled)</t>
        </is>
      </c>
      <c r="E41" s="42" t="n">
        <v>5</v>
      </c>
      <c r="F41" s="42" t="inlineStr">
        <is>
          <t>66 least-disturbed stations of this ecoregion</t>
        </is>
      </c>
      <c r="G41" s="42" t="n">
        <v>0</v>
      </c>
      <c r="H41" s="42" t="n">
        <v>5.785714285714286</v>
      </c>
      <c r="I41" s="42" t="n">
        <v>13.5</v>
      </c>
      <c r="J41" s="42" t="n">
        <v>59.31818103790283</v>
      </c>
      <c r="K41" s="42" t="n">
        <v>73.06363534927368</v>
      </c>
      <c r="L41" s="42" t="n">
        <v>73.06363534927368</v>
      </c>
      <c r="M41" s="42" t="n">
        <v>73.06363534927368</v>
      </c>
      <c r="N41" s="42" t="n">
        <v>73.06363534927368</v>
      </c>
      <c r="O41" s="42" t="n">
        <v>0</v>
      </c>
      <c r="P41" s="42" t="n">
        <v>0.3</v>
      </c>
      <c r="Q41" s="42" t="n">
        <v>0.7</v>
      </c>
      <c r="R41" s="42" t="n">
        <v>1</v>
      </c>
      <c r="S41" s="42" t="n">
        <v>1</v>
      </c>
      <c r="T41" s="42" t="n">
        <v>1</v>
      </c>
      <c r="U41" s="42" t="n">
        <v>1</v>
      </c>
      <c r="V41" s="42" t="n">
        <v>1</v>
      </c>
    </row>
    <row r="42">
      <c r="A42" s="42" t="inlineStr">
        <is>
          <t>spring_phab_pct_fast|Moderate gradient (0.5 to 2 percent)</t>
        </is>
      </c>
      <c r="B42" s="42" t="inlineStr">
        <is>
          <t>spring-phab-pct-fast</t>
        </is>
      </c>
      <c r="C42" s="42" t="inlineStr">
        <is>
          <t>Fast-water / riffle habitat</t>
        </is>
      </c>
      <c r="D42" s="42" t="inlineStr">
        <is>
          <t>Moderate gradient (0.5 to 2 percent)</t>
        </is>
      </c>
      <c r="E42" s="42" t="n">
        <v>5</v>
      </c>
      <c r="F42" s="42" t="inlineStr">
        <is>
          <t>66 least-disturbed stations of this ecoregion</t>
        </is>
      </c>
      <c r="G42" s="42" t="n">
        <v>0</v>
      </c>
      <c r="H42" s="42" t="n">
        <v>5.035714285714286</v>
      </c>
      <c r="I42" s="42" t="n">
        <v>11.75</v>
      </c>
      <c r="J42" s="42" t="n">
        <v>61.3636360168457</v>
      </c>
      <c r="K42" s="42" t="n">
        <v>76.24772682189942</v>
      </c>
      <c r="L42" s="42" t="n">
        <v>76.24772682189942</v>
      </c>
      <c r="M42" s="42" t="n">
        <v>76.24772682189942</v>
      </c>
      <c r="N42" s="42" t="n">
        <v>76.24772682189942</v>
      </c>
      <c r="O42" s="42" t="n">
        <v>0</v>
      </c>
      <c r="P42" s="42" t="n">
        <v>0.3</v>
      </c>
      <c r="Q42" s="42" t="n">
        <v>0.7</v>
      </c>
      <c r="R42" s="42" t="n">
        <v>1</v>
      </c>
      <c r="S42" s="42" t="n">
        <v>1</v>
      </c>
      <c r="T42" s="42" t="n">
        <v>1</v>
      </c>
      <c r="U42" s="42" t="n">
        <v>1</v>
      </c>
      <c r="V42" s="42" t="n">
        <v>1</v>
      </c>
    </row>
    <row r="43">
      <c r="A43" s="42" t="inlineStr">
        <is>
          <t>spring_phab_pct_fast|Steep (2 percent and above)</t>
        </is>
      </c>
      <c r="B43" s="42" t="inlineStr">
        <is>
          <t>spring-phab-pct-fast</t>
        </is>
      </c>
      <c r="C43" s="42" t="inlineStr">
        <is>
          <t>Fast-water / riffle habitat</t>
        </is>
      </c>
      <c r="D43" s="42" t="inlineStr">
        <is>
          <t>Steep (2 percent and above)</t>
        </is>
      </c>
      <c r="E43" s="42" t="n">
        <v>5</v>
      </c>
      <c r="F43" s="42" t="inlineStr">
        <is>
          <t>66 least-disturbed stations of this ecoregion</t>
        </is>
      </c>
      <c r="G43" s="42" t="n">
        <v>0</v>
      </c>
      <c r="H43" s="42" t="n">
        <v>11.7857140813555</v>
      </c>
      <c r="I43" s="42" t="n">
        <v>27.49999952316284</v>
      </c>
      <c r="J43" s="42" t="n">
        <v>69.5</v>
      </c>
      <c r="K43" s="42" t="n">
        <v>82.10000014305115</v>
      </c>
      <c r="L43" s="42" t="n">
        <v>82.10000014305115</v>
      </c>
      <c r="M43" s="42" t="n">
        <v>82.10000014305115</v>
      </c>
      <c r="N43" s="42" t="n">
        <v>82.10000014305115</v>
      </c>
      <c r="O43" s="42" t="n">
        <v>0</v>
      </c>
      <c r="P43" s="42" t="n">
        <v>0.3</v>
      </c>
      <c r="Q43" s="42" t="n">
        <v>0.7</v>
      </c>
      <c r="R43" s="42" t="n">
        <v>1</v>
      </c>
      <c r="S43" s="42" t="n">
        <v>1</v>
      </c>
      <c r="T43" s="42" t="n">
        <v>1</v>
      </c>
      <c r="U43" s="42" t="n">
        <v>1</v>
      </c>
      <c r="V43" s="42" t="n">
        <v>1</v>
      </c>
    </row>
    <row r="44">
      <c r="A44" s="42" t="inlineStr">
        <is>
          <t>spring_phab_xfc_nat|All streams (pooled)</t>
        </is>
      </c>
      <c r="B44" s="42" t="inlineStr">
        <is>
          <t>spring-phab-xfc-nat</t>
        </is>
      </c>
      <c r="C44" s="42" t="inlineStr">
        <is>
          <t>Natural fish cover</t>
        </is>
      </c>
      <c r="D44" s="42" t="inlineStr">
        <is>
          <t>All streams (pooled)</t>
        </is>
      </c>
      <c r="E44" s="42" t="n">
        <v>5</v>
      </c>
      <c r="F44" s="42" t="inlineStr">
        <is>
          <t>66 least-disturbed stations of this ecoregion</t>
        </is>
      </c>
      <c r="G44" s="42" t="n">
        <v>0</v>
      </c>
      <c r="H44" s="42" t="n">
        <v>0.1173701328890664</v>
      </c>
      <c r="I44" s="42" t="n">
        <v>0.2738636434078217</v>
      </c>
      <c r="J44" s="42" t="n">
        <v>0.6204545497894287</v>
      </c>
      <c r="K44" s="42" t="n">
        <v>0.7244318217039108</v>
      </c>
      <c r="L44" s="42" t="n">
        <v>0.7244318217039108</v>
      </c>
      <c r="M44" s="42" t="n">
        <v>0.7244318217039108</v>
      </c>
      <c r="N44" s="42" t="n">
        <v>0.7244318217039108</v>
      </c>
      <c r="O44" s="42" t="n">
        <v>0</v>
      </c>
      <c r="P44" s="42" t="n">
        <v>0.3</v>
      </c>
      <c r="Q44" s="42" t="n">
        <v>0.7</v>
      </c>
      <c r="R44" s="42" t="n">
        <v>1</v>
      </c>
      <c r="S44" s="42" t="n">
        <v>1</v>
      </c>
      <c r="T44" s="42" t="n">
        <v>1</v>
      </c>
      <c r="U44" s="42" t="n">
        <v>1</v>
      </c>
      <c r="V44" s="42" t="n">
        <v>1</v>
      </c>
    </row>
    <row r="45">
      <c r="A45" s="42" t="inlineStr">
        <is>
          <t>spring_phab_xfc_nat|Headwater (10 km2 and under)</t>
        </is>
      </c>
      <c r="B45" s="42" t="inlineStr">
        <is>
          <t>spring-phab-xfc-nat</t>
        </is>
      </c>
      <c r="C45" s="42" t="inlineStr">
        <is>
          <t>Natural fish cover</t>
        </is>
      </c>
      <c r="D45" s="42" t="inlineStr">
        <is>
          <t>Headwater (10 km2 and under)</t>
        </is>
      </c>
      <c r="E45" s="42" t="n">
        <v>5</v>
      </c>
      <c r="F45" s="42" t="inlineStr">
        <is>
          <t>66 least-disturbed stations of this ecoregion</t>
        </is>
      </c>
      <c r="G45" s="42" t="n">
        <v>0</v>
      </c>
      <c r="H45" s="42" t="n">
        <v>0.1258928552269936</v>
      </c>
      <c r="I45" s="42" t="n">
        <v>0.2937499955296516</v>
      </c>
      <c r="J45" s="42" t="n">
        <v>0.6068181991577148</v>
      </c>
      <c r="K45" s="42" t="n">
        <v>0.7007386602461338</v>
      </c>
      <c r="L45" s="42" t="n">
        <v>0.7007386602461338</v>
      </c>
      <c r="M45" s="42" t="n">
        <v>0.7007386602461338</v>
      </c>
      <c r="N45" s="42" t="n">
        <v>0.7007386602461338</v>
      </c>
      <c r="O45" s="42" t="n">
        <v>0</v>
      </c>
      <c r="P45" s="42" t="n">
        <v>0.3</v>
      </c>
      <c r="Q45" s="42" t="n">
        <v>0.7</v>
      </c>
      <c r="R45" s="42" t="n">
        <v>1</v>
      </c>
      <c r="S45" s="42" t="n">
        <v>1</v>
      </c>
      <c r="T45" s="42" t="n">
        <v>1</v>
      </c>
      <c r="U45" s="42" t="n">
        <v>1</v>
      </c>
      <c r="V45" s="42" t="n">
        <v>1</v>
      </c>
    </row>
    <row r="46">
      <c r="A46" s="42" t="inlineStr">
        <is>
          <t>spring_phab_xfc_nat|Small stream (10 to 100 km2)</t>
        </is>
      </c>
      <c r="B46" s="42" t="inlineStr">
        <is>
          <t>spring-phab-xfc-nat</t>
        </is>
      </c>
      <c r="C46" s="42" t="inlineStr">
        <is>
          <t>Natural fish cover</t>
        </is>
      </c>
      <c r="D46" s="42" t="inlineStr">
        <is>
          <t>Small stream (10 to 100 km2)</t>
        </is>
      </c>
      <c r="E46" s="42" t="n">
        <v>5</v>
      </c>
      <c r="F46" s="42" t="inlineStr">
        <is>
          <t>66 least-disturbed stations of this ecoregion</t>
        </is>
      </c>
      <c r="G46" s="42" t="n">
        <v>0</v>
      </c>
      <c r="H46" s="42" t="n">
        <v>0.1562824717589787</v>
      </c>
      <c r="I46" s="42" t="n">
        <v>0.3646591007709503</v>
      </c>
      <c r="J46" s="42" t="n">
        <v>0.6732954531908035</v>
      </c>
      <c r="K46" s="42" t="n">
        <v>0.7658863589167595</v>
      </c>
      <c r="L46" s="42" t="n">
        <v>0.7658863589167595</v>
      </c>
      <c r="M46" s="42" t="n">
        <v>0.7658863589167595</v>
      </c>
      <c r="N46" s="42" t="n">
        <v>0.7658863589167595</v>
      </c>
      <c r="O46" s="42" t="n">
        <v>0</v>
      </c>
      <c r="P46" s="42" t="n">
        <v>0.3</v>
      </c>
      <c r="Q46" s="42" t="n">
        <v>0.7</v>
      </c>
      <c r="R46" s="42" t="n">
        <v>1</v>
      </c>
      <c r="S46" s="42" t="n">
        <v>1</v>
      </c>
      <c r="T46" s="42" t="n">
        <v>1</v>
      </c>
      <c r="U46" s="42" t="n">
        <v>1</v>
      </c>
      <c r="V46" s="42" t="n">
        <v>1</v>
      </c>
    </row>
    <row r="47">
      <c r="A47" s="42" t="inlineStr">
        <is>
          <t>spring_fish_nat_totlntax|All streams (pooled)</t>
        </is>
      </c>
      <c r="B47" s="42" t="inlineStr">
        <is>
          <t>spring-fish-nat-totlntax</t>
        </is>
      </c>
      <c r="C47" s="42" t="inlineStr">
        <is>
          <t>Native fish taxa richness</t>
        </is>
      </c>
      <c r="D47" s="42" t="inlineStr">
        <is>
          <t>All streams (pooled)</t>
        </is>
      </c>
      <c r="E47" s="42" t="n">
        <v>5</v>
      </c>
      <c r="F47" s="42" t="inlineStr">
        <is>
          <t>64 least-disturbed stations of this ecoregion</t>
        </is>
      </c>
      <c r="G47" s="42" t="n">
        <v>0</v>
      </c>
      <c r="H47" s="42" t="n">
        <v>0.4285714285714285</v>
      </c>
      <c r="I47" s="42" t="n">
        <v>1</v>
      </c>
      <c r="J47" s="42" t="n">
        <v>5.25</v>
      </c>
      <c r="K47" s="42" t="n">
        <v>6.525</v>
      </c>
      <c r="L47" s="42" t="n">
        <v>6.525</v>
      </c>
      <c r="M47" s="42" t="n">
        <v>6.525</v>
      </c>
      <c r="N47" s="42" t="n">
        <v>6.525</v>
      </c>
      <c r="O47" s="42" t="n">
        <v>0</v>
      </c>
      <c r="P47" s="42" t="n">
        <v>0.3</v>
      </c>
      <c r="Q47" s="42" t="n">
        <v>0.7</v>
      </c>
      <c r="R47" s="42" t="n">
        <v>1</v>
      </c>
      <c r="S47" s="42" t="n">
        <v>1</v>
      </c>
      <c r="T47" s="42" t="n">
        <v>1</v>
      </c>
      <c r="U47" s="42" t="n">
        <v>1</v>
      </c>
      <c r="V47" s="42" t="n">
        <v>1</v>
      </c>
    </row>
    <row r="48">
      <c r="A48" s="42" t="inlineStr">
        <is>
          <t>spring_fish_nat_totlntax|Moderate gradient (0.5 to 2 percent)</t>
        </is>
      </c>
      <c r="B48" s="42" t="inlineStr">
        <is>
          <t>spring-fish-nat-totlntax</t>
        </is>
      </c>
      <c r="C48" s="42" t="inlineStr">
        <is>
          <t>Native fish taxa richness</t>
        </is>
      </c>
      <c r="D48" s="42" t="inlineStr">
        <is>
          <t>Moderate gradient (0.5 to 2 percent)</t>
        </is>
      </c>
      <c r="E48" s="42" t="n">
        <v>5</v>
      </c>
      <c r="F48" s="42" t="inlineStr">
        <is>
          <t>64 least-disturbed stations of this ecoregion</t>
        </is>
      </c>
      <c r="G48" s="42" t="n">
        <v>0</v>
      </c>
      <c r="H48" s="42" t="n">
        <v>1.285714285714286</v>
      </c>
      <c r="I48" s="42" t="n">
        <v>3</v>
      </c>
      <c r="J48" s="42" t="n">
        <v>6.5</v>
      </c>
      <c r="K48" s="42" t="n">
        <v>7.55</v>
      </c>
      <c r="L48" s="42" t="n">
        <v>7.55</v>
      </c>
      <c r="M48" s="42" t="n">
        <v>7.55</v>
      </c>
      <c r="N48" s="42" t="n">
        <v>7.55</v>
      </c>
      <c r="O48" s="42" t="n">
        <v>0</v>
      </c>
      <c r="P48" s="42" t="n">
        <v>0.3</v>
      </c>
      <c r="Q48" s="42" t="n">
        <v>0.7</v>
      </c>
      <c r="R48" s="42" t="n">
        <v>1</v>
      </c>
      <c r="S48" s="42" t="n">
        <v>1</v>
      </c>
      <c r="T48" s="42" t="n">
        <v>1</v>
      </c>
      <c r="U48" s="42" t="n">
        <v>1</v>
      </c>
      <c r="V48" s="42" t="n">
        <v>1</v>
      </c>
    </row>
    <row r="49">
      <c r="A49" s="42" t="inlineStr">
        <is>
          <t>spring_fish_nat_totlntax|Steep (2 percent and above)</t>
        </is>
      </c>
      <c r="B49" s="42" t="inlineStr">
        <is>
          <t>spring-fish-nat-totlntax</t>
        </is>
      </c>
      <c r="C49" s="42" t="inlineStr">
        <is>
          <t>Native fish taxa richness</t>
        </is>
      </c>
      <c r="D49" s="42" t="inlineStr">
        <is>
          <t>Steep (2 percent and above)</t>
        </is>
      </c>
      <c r="E49" s="42" t="n">
        <v>5</v>
      </c>
      <c r="F49" s="42" t="inlineStr">
        <is>
          <t>64 least-disturbed stations of this ecoregion</t>
        </is>
      </c>
      <c r="G49" s="42" t="n">
        <v>0</v>
      </c>
      <c r="H49" s="42" t="n">
        <v>0.4285714285714285</v>
      </c>
      <c r="I49" s="42" t="n">
        <v>1</v>
      </c>
      <c r="J49" s="42" t="n">
        <v>3</v>
      </c>
      <c r="K49" s="42" t="n">
        <v>3.6</v>
      </c>
      <c r="L49" s="42" t="n">
        <v>3.6</v>
      </c>
      <c r="M49" s="42" t="n">
        <v>3.6</v>
      </c>
      <c r="N49" s="42" t="n">
        <v>3.6</v>
      </c>
      <c r="O49" s="42" t="n">
        <v>0</v>
      </c>
      <c r="P49" s="42" t="n">
        <v>0.3</v>
      </c>
      <c r="Q49" s="42" t="n">
        <v>0.7</v>
      </c>
      <c r="R49" s="42" t="n">
        <v>1</v>
      </c>
      <c r="S49" s="42" t="n">
        <v>1</v>
      </c>
      <c r="T49" s="42" t="n">
        <v>1</v>
      </c>
      <c r="U49" s="42" t="n">
        <v>1</v>
      </c>
      <c r="V49" s="42" t="n">
        <v>1</v>
      </c>
    </row>
    <row r="50">
      <c r="A50" s="42" t="inlineStr">
        <is>
          <t>spring_bent_ept_ntax|</t>
        </is>
      </c>
      <c r="B50" s="42" t="inlineStr">
        <is>
          <t>spring-bent-ept-ntax</t>
        </is>
      </c>
      <c r="C50" s="42" t="inlineStr">
        <is>
          <t>EPT taxa richness</t>
        </is>
      </c>
      <c r="D50" s="42" t="inlineStr"/>
      <c r="E50" s="42" t="n">
        <v>5</v>
      </c>
      <c r="F50" s="42" t="inlineStr">
        <is>
          <t>65 least-disturbed stations of this ecoregion</t>
        </is>
      </c>
      <c r="G50" s="42" t="n">
        <v>0</v>
      </c>
      <c r="H50" s="42" t="n">
        <v>4.714285714285714</v>
      </c>
      <c r="I50" s="42" t="n">
        <v>11</v>
      </c>
      <c r="J50" s="42" t="n">
        <v>21</v>
      </c>
      <c r="K50" s="42" t="n">
        <v>24</v>
      </c>
      <c r="L50" s="42" t="n">
        <v>24</v>
      </c>
      <c r="M50" s="42" t="n">
        <v>24</v>
      </c>
      <c r="N50" s="42" t="n">
        <v>24</v>
      </c>
      <c r="O50" s="42" t="n">
        <v>0</v>
      </c>
      <c r="P50" s="42" t="n">
        <v>0.3</v>
      </c>
      <c r="Q50" s="42" t="n">
        <v>0.7</v>
      </c>
      <c r="R50" s="42" t="n">
        <v>1</v>
      </c>
      <c r="S50" s="42" t="n">
        <v>1</v>
      </c>
      <c r="T50" s="42" t="n">
        <v>1</v>
      </c>
      <c r="U50" s="42" t="n">
        <v>1</v>
      </c>
      <c r="V50" s="42" t="n">
        <v>1</v>
      </c>
    </row>
    <row r="51">
      <c r="A51" s="42" t="inlineStr">
        <is>
          <t>spring_bent_hprime|</t>
        </is>
      </c>
      <c r="B51" s="42" t="inlineStr">
        <is>
          <t>spring-bent-hprime</t>
        </is>
      </c>
      <c r="C51" s="42" t="inlineStr">
        <is>
          <t>Shannon diversity (H')</t>
        </is>
      </c>
      <c r="D51" s="42" t="inlineStr"/>
      <c r="E51" s="42" t="n">
        <v>5</v>
      </c>
      <c r="F51" s="42" t="inlineStr">
        <is>
          <t>65 least-disturbed stations of this ecoregion</t>
        </is>
      </c>
      <c r="G51" s="42" t="n">
        <v>0</v>
      </c>
      <c r="H51" s="42" t="n">
        <v>1.152857167380197</v>
      </c>
      <c r="I51" s="42" t="n">
        <v>2.690000057220459</v>
      </c>
      <c r="J51" s="42" t="n">
        <v>3.130000114440918</v>
      </c>
      <c r="K51" s="42" t="n">
        <v>3.262000131607055</v>
      </c>
      <c r="L51" s="42" t="n">
        <v>3.262000131607055</v>
      </c>
      <c r="M51" s="42" t="n">
        <v>3.262000131607055</v>
      </c>
      <c r="N51" s="42" t="n">
        <v>3.262000131607055</v>
      </c>
      <c r="O51" s="42" t="n">
        <v>0</v>
      </c>
      <c r="P51" s="42" t="n">
        <v>0.3</v>
      </c>
      <c r="Q51" s="42" t="n">
        <v>0.7</v>
      </c>
      <c r="R51" s="42" t="n">
        <v>1</v>
      </c>
      <c r="S51" s="42" t="n">
        <v>1</v>
      </c>
      <c r="T51" s="42" t="n">
        <v>1</v>
      </c>
      <c r="U51" s="42" t="n">
        <v>1</v>
      </c>
      <c r="V51" s="42" t="n">
        <v>1</v>
      </c>
    </row>
    <row r="52">
      <c r="A52" s="42" t="inlineStr">
        <is>
          <t>spring_nid_dams_1mi|</t>
        </is>
      </c>
      <c r="B52" s="42" t="inlineStr">
        <is>
          <t>spring-nid-dams-1mi</t>
        </is>
      </c>
      <c r="C52" s="42" t="inlineStr">
        <is>
          <t>Mapped dams within one mile</t>
        </is>
      </c>
      <c r="D52" s="42" t="inlineStr"/>
      <c r="E52" s="42" t="n">
        <v>4</v>
      </c>
      <c r="F52" s="42" t="inlineStr">
        <is>
          <t>Fixed criteria, the same in every region</t>
        </is>
      </c>
      <c r="G52" s="42" t="n">
        <v>0</v>
      </c>
      <c r="H52" s="42" t="n">
        <v>1</v>
      </c>
      <c r="I52" s="42" t="n">
        <v>2</v>
      </c>
      <c r="J52" s="42" t="n">
        <v>3</v>
      </c>
      <c r="K52" s="42" t="n">
        <v>3</v>
      </c>
      <c r="L52" s="42" t="n">
        <v>3</v>
      </c>
      <c r="M52" s="42" t="n">
        <v>3</v>
      </c>
      <c r="N52" s="42" t="n">
        <v>3</v>
      </c>
      <c r="O52" s="42" t="n">
        <v>1</v>
      </c>
      <c r="P52" s="42" t="n">
        <v>0.545</v>
      </c>
      <c r="Q52" s="42" t="n">
        <v>0.195</v>
      </c>
      <c r="R52" s="42" t="n">
        <v>0</v>
      </c>
      <c r="S52" s="42" t="n">
        <v>0</v>
      </c>
      <c r="T52" s="42" t="n">
        <v>0</v>
      </c>
      <c r="U52" s="42" t="n">
        <v>0</v>
      </c>
      <c r="V52" s="42" t="n">
        <v>0</v>
      </c>
    </row>
    <row r="55">
      <c r="A55" s="66" t="inlineStr">
        <is>
          <t>Curve sets by metric</t>
        </is>
      </c>
    </row>
    <row r="56">
      <c r="A56" s="42" t="inlineStr">
        <is>
          <t>All streams (pooled)</t>
        </is>
      </c>
      <c r="B56" s="5" t="inlineStr">
        <is>
          <t>Wetland</t>
        </is>
      </c>
    </row>
    <row r="57">
      <c r="A57" s="42" t="inlineStr">
        <is>
          <t>Moderate gradient (0.5 to 2 percent)</t>
        </is>
      </c>
      <c r="B57" s="5" t="inlineStr">
        <is>
          <t>Wetland</t>
        </is>
      </c>
    </row>
    <row r="58">
      <c r="A58" s="42" t="inlineStr">
        <is>
          <t>Steep (2 percent and above)</t>
        </is>
      </c>
      <c r="B58" s="5" t="inlineStr">
        <is>
          <t>Wetland</t>
        </is>
      </c>
    </row>
    <row r="59">
      <c r="A59" s="42" t="inlineStr">
        <is>
          <t>All streams (pooled)</t>
        </is>
      </c>
      <c r="B59" s="5" t="inlineStr">
        <is>
          <t>Bankfull width:depth ratio</t>
        </is>
      </c>
    </row>
    <row r="60">
      <c r="A60" s="42" t="inlineStr">
        <is>
          <t>Headwater (10 km2 and under)</t>
        </is>
      </c>
      <c r="B60" s="5" t="inlineStr">
        <is>
          <t>Bankfull width:depth ratio</t>
        </is>
      </c>
    </row>
    <row r="61">
      <c r="A61" s="42" t="inlineStr">
        <is>
          <t>Small stream (10 to 100 km2)</t>
        </is>
      </c>
      <c r="B61" s="5" t="inlineStr">
        <is>
          <t>Bankfull width:depth ratio</t>
        </is>
      </c>
    </row>
    <row r="62">
      <c r="A62" s="42" t="inlineStr">
        <is>
          <t>All streams (pooled)</t>
        </is>
      </c>
      <c r="B62" s="5" t="inlineStr">
        <is>
          <t>Residual pool depth</t>
        </is>
      </c>
    </row>
    <row r="63">
      <c r="A63" s="42" t="inlineStr">
        <is>
          <t>Moderate gradient (0.5 to 2 percent)</t>
        </is>
      </c>
      <c r="B63" s="5" t="inlineStr">
        <is>
          <t>Residual pool depth</t>
        </is>
      </c>
    </row>
    <row r="64">
      <c r="A64" s="42" t="inlineStr">
        <is>
          <t>Steep (2 percent and above)</t>
        </is>
      </c>
      <c r="B64" s="5" t="inlineStr">
        <is>
          <t>Residual pool depth</t>
        </is>
      </c>
    </row>
    <row r="65">
      <c r="A65" s="42" t="inlineStr">
        <is>
          <t>All streams (pooled)</t>
        </is>
      </c>
      <c r="B65" s="5" t="inlineStr">
        <is>
          <t>Bankfull height above channel</t>
        </is>
      </c>
    </row>
    <row r="66">
      <c r="A66" s="42" t="inlineStr">
        <is>
          <t>Headwater (10 km2 and under)</t>
        </is>
      </c>
      <c r="B66" s="5" t="inlineStr">
        <is>
          <t>Bankfull height above channel</t>
        </is>
      </c>
    </row>
    <row r="67">
      <c r="A67" s="42" t="inlineStr">
        <is>
          <t>Small stream (10 to 100 km2)</t>
        </is>
      </c>
      <c r="B67" s="5" t="inlineStr">
        <is>
          <t>Bankfull height above channel</t>
        </is>
      </c>
    </row>
    <row r="68">
      <c r="A68" s="42" t="inlineStr">
        <is>
          <t>All streams (pooled)</t>
        </is>
      </c>
      <c r="B68" s="5" t="inlineStr">
        <is>
          <t>Relative bed stability</t>
        </is>
      </c>
    </row>
    <row r="69">
      <c r="A69" s="42" t="inlineStr">
        <is>
          <t>Headwater (10 km2 and under)</t>
        </is>
      </c>
      <c r="B69" s="5" t="inlineStr">
        <is>
          <t>Relative bed stability</t>
        </is>
      </c>
    </row>
    <row r="70">
      <c r="A70" s="42" t="inlineStr">
        <is>
          <t>Small stream (10 to 100 km2)</t>
        </is>
      </c>
      <c r="B70" s="5" t="inlineStr">
        <is>
          <t>Relative bed stability</t>
        </is>
      </c>
    </row>
    <row r="71">
      <c r="A71" s="42" t="inlineStr">
        <is>
          <t>All streams (pooled)</t>
        </is>
      </c>
      <c r="B71" s="5" t="inlineStr">
        <is>
          <t>Canopy density, mid-channel</t>
        </is>
      </c>
    </row>
    <row r="72">
      <c r="A72" s="42" t="inlineStr">
        <is>
          <t>Headwater (10 km2 and under)</t>
        </is>
      </c>
      <c r="B72" s="5" t="inlineStr">
        <is>
          <t>Canopy density, mid-channel</t>
        </is>
      </c>
    </row>
    <row r="73">
      <c r="A73" s="42" t="inlineStr">
        <is>
          <t>Small stream (10 to 100 km2)</t>
        </is>
      </c>
      <c r="B73" s="5" t="inlineStr">
        <is>
          <t>Canopy density, mid-channel</t>
        </is>
      </c>
    </row>
    <row r="74">
      <c r="A74" s="42" t="inlineStr">
        <is>
          <t>All streams (pooled)</t>
        </is>
      </c>
      <c r="B74" s="5" t="inlineStr">
        <is>
          <t>Fast-water / riffle habitat</t>
        </is>
      </c>
    </row>
    <row r="75">
      <c r="A75" s="42" t="inlineStr">
        <is>
          <t>Moderate gradient (0.5 to 2 percent)</t>
        </is>
      </c>
      <c r="B75" s="5" t="inlineStr">
        <is>
          <t>Fast-water / riffle habitat</t>
        </is>
      </c>
    </row>
    <row r="76">
      <c r="A76" s="42" t="inlineStr">
        <is>
          <t>Steep (2 percent and above)</t>
        </is>
      </c>
      <c r="B76" s="5" t="inlineStr">
        <is>
          <t>Fast-water / riffle habitat</t>
        </is>
      </c>
    </row>
    <row r="77">
      <c r="A77" s="42" t="inlineStr">
        <is>
          <t>All streams (pooled)</t>
        </is>
      </c>
      <c r="B77" s="5" t="inlineStr">
        <is>
          <t>Natural fish cover</t>
        </is>
      </c>
    </row>
    <row r="78">
      <c r="A78" s="42" t="inlineStr">
        <is>
          <t>Headwater (10 km2 and under)</t>
        </is>
      </c>
      <c r="B78" s="5" t="inlineStr">
        <is>
          <t>Natural fish cover</t>
        </is>
      </c>
    </row>
    <row r="79">
      <c r="A79" s="42" t="inlineStr">
        <is>
          <t>Small stream (10 to 100 km2)</t>
        </is>
      </c>
      <c r="B79" s="5" t="inlineStr">
        <is>
          <t>Natural fish cover</t>
        </is>
      </c>
    </row>
    <row r="80">
      <c r="A80" s="42" t="inlineStr">
        <is>
          <t>All streams (pooled)</t>
        </is>
      </c>
      <c r="B80" s="5" t="inlineStr">
        <is>
          <t>Native fish taxa richness</t>
        </is>
      </c>
    </row>
    <row r="81">
      <c r="A81" s="42" t="inlineStr">
        <is>
          <t>Moderate gradient (0.5 to 2 percent)</t>
        </is>
      </c>
      <c r="B81" s="5" t="inlineStr">
        <is>
          <t>Native fish taxa richness</t>
        </is>
      </c>
    </row>
    <row r="82">
      <c r="A82" s="42" t="inlineStr">
        <is>
          <t>Steep (2 percent and above)</t>
        </is>
      </c>
      <c r="B82" s="5" t="inlineStr">
        <is>
          <t>Native fish taxa richness</t>
        </is>
      </c>
    </row>
    <row r="85">
      <c r="A85" s="66" t="inlineStr">
        <is>
          <t>Condition classes</t>
        </is>
      </c>
    </row>
    <row r="86">
      <c r="A86" t="inlineStr">
        <is>
          <t>Metric index: at or below 0.39 Non-Functioning, at or below 0.69 Functioning At-Risk, above Functioning.</t>
        </is>
      </c>
    </row>
    <row r="87">
      <c r="A87" t="inlineStr">
        <is>
          <t>Function score (0 to 15): at or below 5 Non-Functioning, at or below 10 Functioning At-Risk, above Functioning.</t>
        </is>
      </c>
    </row>
    <row r="88">
      <c r="A88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6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2" t="inlineStr">
        <is>
          <t>Assessment id</t>
        </is>
      </c>
      <c r="B4" s="42" t="inlineStr">
        <is>
          <t>northeastern-highlands</t>
        </is>
      </c>
    </row>
    <row r="5">
      <c r="A5" s="42" t="inlineStr">
        <is>
          <t>Assessment name</t>
        </is>
      </c>
      <c r="B5" s="42" t="inlineStr">
        <is>
          <t>Northeastern Highlands reference assessment</t>
        </is>
      </c>
    </row>
    <row r="6">
      <c r="A6" s="42" t="inlineStr">
        <is>
          <t>Version</t>
        </is>
      </c>
      <c r="B6" s="42" t="n">
        <v>8</v>
      </c>
    </row>
    <row r="7">
      <c r="A7" s="42" t="inlineStr">
        <is>
          <t>Lifecycle status</t>
        </is>
      </c>
      <c r="B7" s="42" t="inlineStr">
        <is>
          <t>Preliminary</t>
        </is>
      </c>
    </row>
    <row r="8">
      <c r="A8" s="42" t="inlineStr">
        <is>
          <t>Content digest</t>
        </is>
      </c>
      <c r="B8" s="42" t="inlineStr">
        <is>
          <t>sha256:8b00cfe9b148157bdf3491a42e11723d98422db39c5d71a647b68eda88ece4a6</t>
        </is>
      </c>
    </row>
    <row r="9">
      <c r="A9" s="42" t="inlineStr">
        <is>
          <t>Region</t>
        </is>
      </c>
      <c r="B9" s="42" t="inlineStr">
        <is>
          <t>ecoregion 58 Northeastern Highlands</t>
        </is>
      </c>
    </row>
    <row r="10">
      <c r="A10" s="42" t="inlineStr">
        <is>
          <t>Source</t>
        </is>
      </c>
      <c r="B10" s="42" t="inlineStr">
        <is>
          <t>USEPA NRSA 2013-24 (L3 ecoregion 58), StreamCurves regional analysis, methodology 0.13-provisional</t>
        </is>
      </c>
    </row>
    <row r="11">
      <c r="A11" s="42" t="inlineStr">
        <is>
          <t>Reference method</t>
        </is>
      </c>
      <c r="B11" s="42" t="inlineStr">
        <is>
          <t>pressure-screen</t>
        </is>
      </c>
    </row>
    <row r="12">
      <c r="A12" s="42" t="inlineStr">
        <is>
          <t>Reference screen</t>
        </is>
      </c>
      <c r="B12" s="42" t="inlineStr">
        <is>
          <t>least-disturbed-v1 (strict), wadeable non-canal frame</t>
        </is>
      </c>
    </row>
    <row r="13">
      <c r="A13" s="42" t="inlineStr">
        <is>
          <t>Scoring method</t>
        </is>
      </c>
      <c r="B13" s="42" t="inlineStr">
        <is>
          <t>iqr-seed-v2</t>
        </is>
      </c>
    </row>
    <row r="14">
      <c r="A14" s="42" t="inlineStr">
        <is>
          <t>Functions scored</t>
        </is>
      </c>
      <c r="B14" s="42" t="n">
        <v>20</v>
      </c>
    </row>
    <row r="15">
      <c r="A15" s="42" t="inlineStr">
        <is>
          <t>Metrics</t>
        </is>
      </c>
      <c r="B15" s="42" t="n">
        <v>30</v>
      </c>
    </row>
    <row r="16">
      <c r="A16" s="42" t="inlineStr">
        <is>
          <t>Function coverage</t>
        </is>
      </c>
      <c r="B16" s="42" t="inlineStr">
        <is>
          <t>This assessment covers 20 of 20 STAF functions.</t>
        </is>
      </c>
    </row>
    <row r="17">
      <c r="A17" s="42" t="inlineStr">
        <is>
          <t>Generator</t>
        </is>
      </c>
      <c r="B17" s="42" t="inlineStr">
        <is>
          <t>streamcurves.deep_calculator</t>
        </is>
      </c>
    </row>
    <row r="18">
      <c r="A18" s="42" t="inlineStr">
        <is>
          <t>Generator version</t>
        </is>
      </c>
      <c r="B18" s="42" t="inlineStr">
        <is>
          <t>1.1</t>
        </is>
      </c>
    </row>
    <row r="19">
      <c r="A19" s="42" t="inlineStr">
        <is>
          <t>Formula vocabulary</t>
        </is>
      </c>
      <c r="B19" s="42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66" t="inlineStr">
        <is>
          <t>Function</t>
        </is>
      </c>
      <c r="B2" s="66" t="inlineStr">
        <is>
          <t>Score</t>
        </is>
      </c>
      <c r="C2" s="66" t="inlineStr">
        <is>
          <t>Non-Functioning (0-5)</t>
        </is>
      </c>
      <c r="D2" s="66" t="inlineStr">
        <is>
          <t>Functioning At-Risk (6-10)</t>
        </is>
      </c>
      <c r="E2" s="66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9">
        <f>IF(ISNUMBER('ChartData'!$B$3),IF('ChartData'!$B$3&lt;=5,'ChartData'!$B$3,NA()),NA())</f>
        <v/>
      </c>
      <c r="D3" s="79">
        <f>IF(ISNUMBER('ChartData'!$B$3),IF(AND('ChartData'!$B$3&gt;5,'ChartData'!$B$3&lt;=10),'ChartData'!$B$3,NA()),NA())</f>
        <v/>
      </c>
      <c r="E3" s="79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9">
        <f>IF(ISNUMBER('ChartData'!$B$4),IF('ChartData'!$B$4&lt;=5,'ChartData'!$B$4,NA()),NA())</f>
        <v/>
      </c>
      <c r="D4" s="79">
        <f>IF(ISNUMBER('ChartData'!$B$4),IF(AND('ChartData'!$B$4&gt;5,'ChartData'!$B$4&lt;=10),'ChartData'!$B$4,NA()),NA())</f>
        <v/>
      </c>
      <c r="E4" s="79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9">
        <f>IF(ISNUMBER('ChartData'!$B$5),IF('ChartData'!$B$5&lt;=5,'ChartData'!$B$5,NA()),NA())</f>
        <v/>
      </c>
      <c r="D5" s="79">
        <f>IF(ISNUMBER('ChartData'!$B$5),IF(AND('ChartData'!$B$5&gt;5,'ChartData'!$B$5&lt;=10),'ChartData'!$B$5,NA()),NA())</f>
        <v/>
      </c>
      <c r="E5" s="79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9">
        <f>IF(ISNUMBER('ChartData'!$B$6),IF('ChartData'!$B$6&lt;=5,'ChartData'!$B$6,NA()),NA())</f>
        <v/>
      </c>
      <c r="D6" s="79">
        <f>IF(ISNUMBER('ChartData'!$B$6),IF(AND('ChartData'!$B$6&gt;5,'ChartData'!$B$6&lt;=10),'ChartData'!$B$6,NA()),NA())</f>
        <v/>
      </c>
      <c r="E6" s="79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9">
        <f>IF(ISNUMBER('ChartData'!$B$7),IF('ChartData'!$B$7&lt;=5,'ChartData'!$B$7,NA()),NA())</f>
        <v/>
      </c>
      <c r="D7" s="79">
        <f>IF(ISNUMBER('ChartData'!$B$7),IF(AND('ChartData'!$B$7&gt;5,'ChartData'!$B$7&lt;=10),'ChartData'!$B$7,NA()),NA())</f>
        <v/>
      </c>
      <c r="E7" s="79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9">
        <f>IF(ISNUMBER('ChartData'!$B$8),IF('ChartData'!$B$8&lt;=5,'ChartData'!$B$8,NA()),NA())</f>
        <v/>
      </c>
      <c r="D8" s="79">
        <f>IF(ISNUMBER('ChartData'!$B$8),IF(AND('ChartData'!$B$8&gt;5,'ChartData'!$B$8&lt;=10),'ChartData'!$B$8,NA()),NA())</f>
        <v/>
      </c>
      <c r="E8" s="79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9">
        <f>IF(ISNUMBER('ChartData'!$B$9),IF('ChartData'!$B$9&lt;=5,'ChartData'!$B$9,NA()),NA())</f>
        <v/>
      </c>
      <c r="D9" s="79">
        <f>IF(ISNUMBER('ChartData'!$B$9),IF(AND('ChartData'!$B$9&gt;5,'ChartData'!$B$9&lt;=10),'ChartData'!$B$9,NA()),NA())</f>
        <v/>
      </c>
      <c r="E9" s="79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9">
        <f>IF(ISNUMBER('ChartData'!$B$10),IF('ChartData'!$B$10&lt;=5,'ChartData'!$B$10,NA()),NA())</f>
        <v/>
      </c>
      <c r="D10" s="79">
        <f>IF(ISNUMBER('ChartData'!$B$10),IF(AND('ChartData'!$B$10&gt;5,'ChartData'!$B$10&lt;=10),'ChartData'!$B$10,NA()),NA())</f>
        <v/>
      </c>
      <c r="E10" s="79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9">
        <f>IF(ISNUMBER('ChartData'!$B$11),IF('ChartData'!$B$11&lt;=5,'ChartData'!$B$11,NA()),NA())</f>
        <v/>
      </c>
      <c r="D11" s="79">
        <f>IF(ISNUMBER('ChartData'!$B$11),IF(AND('ChartData'!$B$11&gt;5,'ChartData'!$B$11&lt;=10),'ChartData'!$B$11,NA()),NA())</f>
        <v/>
      </c>
      <c r="E11" s="79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9">
        <f>IF(ISNUMBER('ChartData'!$B$12),IF('ChartData'!$B$12&lt;=5,'ChartData'!$B$12,NA()),NA())</f>
        <v/>
      </c>
      <c r="D12" s="79">
        <f>IF(ISNUMBER('ChartData'!$B$12),IF(AND('ChartData'!$B$12&gt;5,'ChartData'!$B$12&lt;=10),'ChartData'!$B$12,NA()),NA())</f>
        <v/>
      </c>
      <c r="E12" s="79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9">
        <f>IF(ISNUMBER('ChartData'!$B$13),IF('ChartData'!$B$13&lt;=5,'ChartData'!$B$13,NA()),NA())</f>
        <v/>
      </c>
      <c r="D13" s="79">
        <f>IF(ISNUMBER('ChartData'!$B$13),IF(AND('ChartData'!$B$13&gt;5,'ChartData'!$B$13&lt;=10),'ChartData'!$B$13,NA()),NA())</f>
        <v/>
      </c>
      <c r="E13" s="79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9">
        <f>IF(ISNUMBER('ChartData'!$B$14),IF('ChartData'!$B$14&lt;=5,'ChartData'!$B$14,NA()),NA())</f>
        <v/>
      </c>
      <c r="D14" s="79">
        <f>IF(ISNUMBER('ChartData'!$B$14),IF(AND('ChartData'!$B$14&gt;5,'ChartData'!$B$14&lt;=10),'ChartData'!$B$14,NA()),NA())</f>
        <v/>
      </c>
      <c r="E14" s="79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9">
        <f>IF(ISNUMBER('ChartData'!$B$15),IF('ChartData'!$B$15&lt;=5,'ChartData'!$B$15,NA()),NA())</f>
        <v/>
      </c>
      <c r="D15" s="79">
        <f>IF(ISNUMBER('ChartData'!$B$15),IF(AND('ChartData'!$B$15&gt;5,'ChartData'!$B$15&lt;=10),'ChartData'!$B$15,NA()),NA())</f>
        <v/>
      </c>
      <c r="E15" s="79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9">
        <f>IF(ISNUMBER('ChartData'!$B$16),IF('ChartData'!$B$16&lt;=5,'ChartData'!$B$16,NA()),NA())</f>
        <v/>
      </c>
      <c r="D16" s="79">
        <f>IF(ISNUMBER('ChartData'!$B$16),IF(AND('ChartData'!$B$16&gt;5,'ChartData'!$B$16&lt;=10),'ChartData'!$B$16,NA()),NA())</f>
        <v/>
      </c>
      <c r="E16" s="79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9">
        <f>IF(ISNUMBER('ChartData'!$B$17),IF('ChartData'!$B$17&lt;=5,'ChartData'!$B$17,NA()),NA())</f>
        <v/>
      </c>
      <c r="D17" s="79">
        <f>IF(ISNUMBER('ChartData'!$B$17),IF(AND('ChartData'!$B$17&gt;5,'ChartData'!$B$17&lt;=10),'ChartData'!$B$17,NA()),NA())</f>
        <v/>
      </c>
      <c r="E17" s="79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9">
        <f>IF(ISNUMBER('ChartData'!$B$18),IF('ChartData'!$B$18&lt;=5,'ChartData'!$B$18,NA()),NA())</f>
        <v/>
      </c>
      <c r="D18" s="79">
        <f>IF(ISNUMBER('ChartData'!$B$18),IF(AND('ChartData'!$B$18&gt;5,'ChartData'!$B$18&lt;=10),'ChartData'!$B$18,NA()),NA())</f>
        <v/>
      </c>
      <c r="E18" s="79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9">
        <f>IF(ISNUMBER('ChartData'!$B$19),IF('ChartData'!$B$19&lt;=5,'ChartData'!$B$19,NA()),NA())</f>
        <v/>
      </c>
      <c r="D19" s="79">
        <f>IF(ISNUMBER('ChartData'!$B$19),IF(AND('ChartData'!$B$19&gt;5,'ChartData'!$B$19&lt;=10),'ChartData'!$B$19,NA()),NA())</f>
        <v/>
      </c>
      <c r="E19" s="79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9">
        <f>IF(ISNUMBER('ChartData'!$B$20),IF('ChartData'!$B$20&lt;=5,'ChartData'!$B$20,NA()),NA())</f>
        <v/>
      </c>
      <c r="D20" s="79">
        <f>IF(ISNUMBER('ChartData'!$B$20),IF(AND('ChartData'!$B$20&gt;5,'ChartData'!$B$20&lt;=10),'ChartData'!$B$20,NA()),NA())</f>
        <v/>
      </c>
      <c r="E20" s="79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9">
        <f>IF(ISNUMBER('ChartData'!$B$21),IF('ChartData'!$B$21&lt;=5,'ChartData'!$B$21,NA()),NA())</f>
        <v/>
      </c>
      <c r="D21" s="79">
        <f>IF(ISNUMBER('ChartData'!$B$21),IF(AND('ChartData'!$B$21&gt;5,'ChartData'!$B$21&lt;=10),'ChartData'!$B$21,NA()),NA())</f>
        <v/>
      </c>
      <c r="E21" s="79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9">
        <f>IF(ISNUMBER('ChartData'!$B$22),IF('ChartData'!$B$22&lt;=5,'ChartData'!$B$22,NA()),NA())</f>
        <v/>
      </c>
      <c r="D22" s="79">
        <f>IF(ISNUMBER('ChartData'!$B$22),IF(AND('ChartData'!$B$22&gt;5,'ChartData'!$B$22&lt;=10),'ChartData'!$B$22,NA()),NA())</f>
        <v/>
      </c>
      <c r="E22" s="79">
        <f>IF(ISNUMBER('ChartData'!$B$22),IF('ChartData'!$B$22&gt;10,'ChartData'!$B$22,NA()),NA())</f>
        <v/>
      </c>
    </row>
    <row r="24">
      <c r="A24" s="66" t="inlineStr">
        <is>
          <t>Outcome</t>
        </is>
      </c>
      <c r="B24" s="66" t="inlineStr">
        <is>
          <t>Score</t>
        </is>
      </c>
      <c r="C24" s="66" t="inlineStr">
        <is>
          <t>Non-Functioning (0.00-0.39)</t>
        </is>
      </c>
      <c r="D24" s="66" t="inlineStr">
        <is>
          <t>Functioning At-Risk (0.40-0.69)</t>
        </is>
      </c>
      <c r="E24" s="66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80">
        <f>IF('ChartData'!$B$25&lt;=0.39,'ChartData'!$B$25,NA())</f>
        <v/>
      </c>
      <c r="D25" s="80">
        <f>IF(AND('ChartData'!$B$25&gt;0.39,'ChartData'!$B$25&lt;=0.69),'ChartData'!$B$25,NA())</f>
        <v/>
      </c>
      <c r="E25" s="80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80">
        <f>IF('ChartData'!$B$26&lt;=0.39,'ChartData'!$B$26,NA())</f>
        <v/>
      </c>
      <c r="D26" s="80">
        <f>IF(AND('ChartData'!$B$26&gt;0.39,'ChartData'!$B$26&lt;=0.69),'ChartData'!$B$26,NA())</f>
        <v/>
      </c>
      <c r="E26" s="80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80">
        <f>IF('ChartData'!$B$27&lt;=0.39,'ChartData'!$B$27,NA())</f>
        <v/>
      </c>
      <c r="D27" s="80">
        <f>IF(AND('ChartData'!$B$27&gt;0.39,'ChartData'!$B$27&lt;=0.69),'ChartData'!$B$27,NA())</f>
        <v/>
      </c>
      <c r="E27" s="80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</dc:subject>
  <dcterms:created xmlns:dcterms="http://purl.org/dc/terms/" xmlns:xsi="http://www.w3.org/2001/XMLSchema-instance" xsi:type="dcterms:W3CDTF">2026-09-21T07:23:37Z</dcterms:created>
  <dcterms:modified xmlns:dcterms="http://purl.org/dc/terms/" xmlns:xsi="http://www.w3.org/2001/XMLSchema-instance" xsi:type="dcterms:W3CDTF">2026-09-21T07:23:37Z</dcterms:modified>
  <cp:lastModifiedBy>DEEP</cp:lastModifiedBy>
  <cp:contentStatus>Preliminary</cp:contentStatus>
</cp:coreProperties>
</file>