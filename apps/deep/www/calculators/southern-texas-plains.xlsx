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'Reference'!$A$5:$A$34</definedName>
    <definedName name="curve_x1">'Reference'!$G$5:$G$34</definedName>
    <definedName name="curve_y1">'Reference'!$O$5:$O$34</definedName>
    <definedName name="curve_x2">'Reference'!$H$5:$H$34</definedName>
    <definedName name="curve_y2">'Reference'!$P$5:$P$34</definedName>
    <definedName name="curve_x3">'Reference'!$I$5:$I$34</definedName>
    <definedName name="curve_y3">'Reference'!$Q$5:$Q$34</definedName>
    <definedName name="curve_x4">'Reference'!$J$5:$J$34</definedName>
    <definedName name="curve_y4">'Reference'!$R$5:$R$34</definedName>
    <definedName name="curve_x5">'Reference'!$K$5:$K$34</definedName>
    <definedName name="curve_y5">'Reference'!$S$5:$S$34</definedName>
    <definedName name="curve_x6">'Reference'!$L$5:$L$34</definedName>
    <definedName name="curve_y6">'Reference'!$T$5:$T$34</definedName>
    <definedName name="curve_x7">'Reference'!$M$5:$M$34</definedName>
    <definedName name="curve_y7">'Reference'!$U$5:$U$34</definedName>
    <definedName name="curve_x8">'Reference'!$N$5:$N$34</definedName>
    <definedName name="curve_y8">'Reference'!$V$5:$V$34</definedName>
    <definedName name="strata_spring_phab_xfc_nat">'Reference'!$A$38:$A$40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xbkf_h">'Metrics'!$V$12</definedName>
    <definedName name="idx_spring_phab_bfwd_rat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turb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fish_nat_ntolp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xbkf_h">'DEEP Score'!$E$21</definedName>
    <definedName name="in_spring_phab_bfwd_rat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Score'!$E$30</definedName>
    <definedName name="in_spring_phab_lsub_dmm">'DEEP Score'!$E$31</definedName>
    <definedName name="in_spring_chem_chla">'DEEP Score'!$E$33</definedName>
    <definedName name="in_spring_phab_xcmgw">'DEEP Score'!$E$34</definedName>
    <definedName name="in_spring_chem_ntl">'DEEP Score'!$E$35</definedName>
    <definedName name="in_spring_chem_ptl">'DEEP Score'!$E$36</definedName>
    <definedName name="in_spring_chem_turb">'DEEP Score'!$E$37</definedName>
    <definedName name="in_spring_chem_cond">'DEEP Score'!$E$38</definedName>
    <definedName name="in_spring_phab_pct_fast">'DEEP Score'!$E$39</definedName>
    <definedName name="in_spring_phab_xfc_nat">'DEEP Score'!$E$40</definedName>
    <definedName name="st_spring_phab_xfc_nat">'DEEP Score'!$F$40</definedName>
    <definedName name="in_spring_fish_nat_ntolptax">'DEEP Score'!$E$41</definedName>
    <definedName name="in_spring_fish_mmi_fish">'DEEP Score'!$E$42</definedName>
    <definedName name="in_spring_bent_ept_ntax">'DEEP Score'!$E$43</definedName>
    <definedName name="in_spring_bent_mmi_bent">'DEEP Score'!$E$44</definedName>
    <definedName name="in_spring_nid_dams_1mi">'DEEP Score'!$E$45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Texas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4" t="inlineStr">
        <is>
          <t>Reference condition. Reference condition is set by a fixed landscape-pressure screen, never by a score. 19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18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Texas Plains reference assessment</t>
        </is>
      </c>
    </row>
    <row r="3">
      <c r="A3" s="5" t="inlineStr">
        <is>
          <t>Version 1 | Draft | USEPA NRSA 2013-24 (L3 ecoregion 31),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height above channel</t>
        </is>
      </c>
      <c r="D21" s="14" t="inlineStr">
        <is>
          <t>m</t>
        </is>
      </c>
      <c r="E21" s="15" t="n"/>
      <c r="F21" s="16" t="inlineStr"/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width:depth ratio</t>
        </is>
      </c>
      <c r="D22" s="23" t="inlineStr"/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3" t="inlineStr">
        <is>
          <t>Geomorphology</t>
        </is>
      </c>
      <c r="B25" s="12" t="inlineStr">
        <is>
          <t>Channel evolution</t>
        </is>
      </c>
      <c r="C25" s="13" t="inlineStr">
        <is>
          <t>Bankfull height above channel</t>
        </is>
      </c>
      <c r="D25" s="14" t="inlineStr">
        <is>
          <t>m</t>
        </is>
      </c>
      <c r="E25" s="38">
        <f>IF('DEEP Score'!$E$21="","",'DEEP Score'!$E$21)</f>
        <v/>
      </c>
      <c r="F25" s="39" t="inlineStr"/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width:depth ratio</t>
        </is>
      </c>
      <c r="D26" s="23" t="inlineStr"/>
      <c r="E26" s="44">
        <f>IF('DEEP Score'!$E$22="","",'DEEP Score'!$E$22)</f>
        <v/>
      </c>
      <c r="F26" s="45" t="inlineStr"/>
      <c r="G26" s="26">
        <f>IF('Metrics'!$V$13="","",'Metrics'!$V$13)</f>
        <v/>
      </c>
      <c r="H26" s="21" t="n"/>
      <c r="I26" s="27" t="n"/>
    </row>
    <row r="27">
      <c r="A27" s="43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3" t="inlineStr">
        <is>
          <t>Geomorphology</t>
        </is>
      </c>
      <c r="B29" s="12" t="inlineStr">
        <is>
          <t>Sediment continuity</t>
        </is>
      </c>
      <c r="C29" s="13" t="inlineStr">
        <is>
          <t>Sand + fines</t>
        </is>
      </c>
      <c r="D29" s="14" t="inlineStr">
        <is>
          <t>%</t>
        </is>
      </c>
      <c r="E29" s="38">
        <f>IF('DEEP Score'!$E$23="","",'DEEP Score'!$E$23)</f>
        <v/>
      </c>
      <c r="F29" s="39" t="inlineStr"/>
      <c r="G29" s="17">
        <f>IF('Metrics'!$V$14="","",'Metrics'!$V$14)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Relative bed stability</t>
        </is>
      </c>
      <c r="D30" s="23" t="inlineStr">
        <is>
          <t>log</t>
        </is>
      </c>
      <c r="E30" s="24" t="n"/>
      <c r="F30" s="25" t="inlineStr"/>
      <c r="G30" s="26">
        <f>IF('Metrics'!$V$18="","",'Metrics'!$V$18)</f>
        <v/>
      </c>
      <c r="H30" s="21" t="n"/>
      <c r="I30" s="27" t="n"/>
    </row>
    <row r="31">
      <c r="A31" s="43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4">
        <f>IF('DEEP Score'!$E$24="","",'DEEP Score'!$E$24)</f>
        <v/>
      </c>
      <c r="F32" s="45" t="inlineStr"/>
      <c r="G32" s="26">
        <f>IF('Metrics'!$V$15="","",'Metrics'!$V$15)</f>
        <v/>
      </c>
      <c r="H32" s="21" t="n"/>
      <c r="I32" s="27" t="n"/>
    </row>
    <row r="33">
      <c r="A33" s="46" t="inlineStr">
        <is>
          <t>Physicochemistry</t>
        </is>
      </c>
      <c r="B33" s="29" t="inlineStr">
        <is>
          <t>Light &amp; thermal regime</t>
        </is>
      </c>
      <c r="C33" s="30" t="inlineStr">
        <is>
          <t>Chlorophyll a</t>
        </is>
      </c>
      <c r="D33" s="31" t="inlineStr">
        <is>
          <t>ug/L</t>
        </is>
      </c>
      <c r="E33" s="32" t="n"/>
      <c r="F33" s="33" t="inlineStr"/>
      <c r="G33" s="34">
        <f>IF('Metrics'!$V$20="","",'Metrics'!$V$20)</f>
        <v/>
      </c>
      <c r="H33" s="35">
        <f>IF('Results'!$B$16="","",'Results'!$B$16)</f>
        <v/>
      </c>
      <c r="I33" s="36">
        <f>IF('DEEP Score'!$H$33="","",IF('DEEP Score'!$H$33&lt;=5,"Non-Functioning",IF('DEEP Score'!$H$33&lt;=10,"Functioning At-Risk","Functioning")))</f>
        <v/>
      </c>
    </row>
    <row r="34">
      <c r="A34" s="46" t="inlineStr">
        <is>
          <t>Physicochemistry</t>
        </is>
      </c>
      <c r="B34" s="29" t="inlineStr">
        <is>
          <t>Carbon processing</t>
        </is>
      </c>
      <c r="C34" s="30" t="inlineStr">
        <is>
          <t>Riparian veg cover, woody</t>
        </is>
      </c>
      <c r="D34" s="31" t="inlineStr">
        <is>
          <t>frac</t>
        </is>
      </c>
      <c r="E34" s="32" t="n"/>
      <c r="F34" s="33" t="inlineStr"/>
      <c r="G34" s="34">
        <f>IF('Metrics'!$V$21="","",'Metrics'!$V$21)</f>
        <v/>
      </c>
      <c r="H34" s="35">
        <f>IF('Results'!$B$17="","",'Results'!$B$17)</f>
        <v/>
      </c>
      <c r="I34" s="36">
        <f>IF('DEEP Score'!$H$34="","",IF('DEEP Score'!$H$34&lt;=5,"Non-Functioning",IF('DEEP Score'!$H$34&lt;=10,"Functioning At-Risk","Functioning")))</f>
        <v/>
      </c>
    </row>
    <row r="35">
      <c r="A35" s="47" t="inlineStr">
        <is>
          <t>Physicochemistry</t>
        </is>
      </c>
      <c r="B35" s="12" t="inlineStr">
        <is>
          <t>Nutrient cycling</t>
        </is>
      </c>
      <c r="C35" s="13" t="inlineStr">
        <is>
          <t>Total nitrogen</t>
        </is>
      </c>
      <c r="D35" s="14" t="inlineStr">
        <is>
          <t>mg N/L</t>
        </is>
      </c>
      <c r="E35" s="15" t="n"/>
      <c r="F35" s="16" t="inlineStr"/>
      <c r="G35" s="17">
        <f>IF('Metrics'!$V$22="","",'Metrics'!$V$22)</f>
        <v/>
      </c>
      <c r="H35" s="18">
        <f>IF('Results'!$B$18="","",'Results'!$B$18)</f>
        <v/>
      </c>
      <c r="I35" s="19">
        <f>IF('DEEP Score'!$H$35="","",IF('DEEP Score'!$H$35&lt;=5,"Non-Functioning",IF('DEEP Score'!$H$35&lt;=10,"Functioning At-Risk","Functioning")))</f>
        <v/>
      </c>
    </row>
    <row r="36">
      <c r="A36" s="20" t="n"/>
      <c r="B36" s="21" t="n"/>
      <c r="C36" s="22" t="inlineStr">
        <is>
          <t>Total phosphorus</t>
        </is>
      </c>
      <c r="D36" s="23" t="inlineStr">
        <is>
          <t>ug/L</t>
        </is>
      </c>
      <c r="E36" s="24" t="n"/>
      <c r="F36" s="25" t="inlineStr"/>
      <c r="G36" s="26">
        <f>IF('Metrics'!$V$23="","",'Metrics'!$V$23)</f>
        <v/>
      </c>
      <c r="H36" s="21" t="n"/>
      <c r="I36" s="27" t="n"/>
    </row>
    <row r="37">
      <c r="A37" s="47" t="inlineStr">
        <is>
          <t>Physicochemistry</t>
        </is>
      </c>
      <c r="B37" s="12" t="inlineStr">
        <is>
          <t>Water &amp; soil quality</t>
        </is>
      </c>
      <c r="C37" s="13" t="inlineStr">
        <is>
          <t>Turbidity</t>
        </is>
      </c>
      <c r="D37" s="14" t="inlineStr">
        <is>
          <t>NTU</t>
        </is>
      </c>
      <c r="E37" s="15" t="n"/>
      <c r="F37" s="16" t="inlineStr"/>
      <c r="G37" s="17">
        <f>IF('Metrics'!$V$24="","",'Metrics'!$V$24)</f>
        <v/>
      </c>
      <c r="H37" s="18">
        <f>IF('Results'!$B$19="","",'Results'!$B$19)</f>
        <v/>
      </c>
      <c r="I37" s="19">
        <f>IF('DEEP Score'!$H$37="","",IF('DEEP Score'!$H$37&lt;=5,"Non-Functioning",IF('DEEP Score'!$H$37&lt;=10,"Functioning At-Risk","Functioning")))</f>
        <v/>
      </c>
    </row>
    <row r="38">
      <c r="A38" s="20" t="n"/>
      <c r="B38" s="21" t="n"/>
      <c r="C38" s="22" t="inlineStr">
        <is>
          <t>Specific conductivity</t>
        </is>
      </c>
      <c r="D38" s="23" t="inlineStr">
        <is>
          <t>uS/cm</t>
        </is>
      </c>
      <c r="E38" s="24" t="n"/>
      <c r="F38" s="25" t="inlineStr"/>
      <c r="G38" s="26">
        <f>IF('Metrics'!$V$25="","",'Metrics'!$V$25)</f>
        <v/>
      </c>
      <c r="H38" s="21" t="n"/>
      <c r="I38" s="27" t="n"/>
    </row>
    <row r="39">
      <c r="A39" s="48" t="inlineStr">
        <is>
          <t>Biology</t>
        </is>
      </c>
      <c r="B39" s="12" t="inlineStr">
        <is>
          <t>Habitat provision</t>
        </is>
      </c>
      <c r="C39" s="13" t="inlineStr">
        <is>
          <t>Fast-water / riffle habitat</t>
        </is>
      </c>
      <c r="D39" s="14" t="inlineStr">
        <is>
          <t>%</t>
        </is>
      </c>
      <c r="E39" s="15" t="n"/>
      <c r="F39" s="16" t="inlineStr"/>
      <c r="G39" s="17">
        <f>IF('Metrics'!$V$26="","",'Metrics'!$V$26)</f>
        <v/>
      </c>
      <c r="H39" s="18">
        <f>IF('Results'!$B$20="","",'Results'!$B$20)</f>
        <v/>
      </c>
      <c r="I39" s="19">
        <f>IF('DEEP Score'!$H$39="","",IF('DEEP Score'!$H$39&lt;=5,"Non-Functioning",IF('DEEP Score'!$H$39&lt;=10,"Functioning At-Risk","Functioning")))</f>
        <v/>
      </c>
    </row>
    <row r="40">
      <c r="A40" s="20" t="n"/>
      <c r="B40" s="21" t="n"/>
      <c r="C40" s="22" t="inlineStr">
        <is>
          <t>Natural fish cover</t>
        </is>
      </c>
      <c r="D40" s="23" t="inlineStr">
        <is>
          <t>frac</t>
        </is>
      </c>
      <c r="E40" s="24" t="n"/>
      <c r="F40" s="49" t="inlineStr">
        <is>
          <t>All streams (pooled)</t>
        </is>
      </c>
      <c r="G40" s="26">
        <f>IF('Metrics'!$V$27="","",'Metrics'!$V$27)</f>
        <v/>
      </c>
      <c r="H40" s="21" t="n"/>
      <c r="I40" s="27" t="n"/>
    </row>
    <row r="41">
      <c r="A41" s="48" t="inlineStr">
        <is>
          <t>Biology</t>
        </is>
      </c>
      <c r="B41" s="12" t="inlineStr">
        <is>
          <t>Population support</t>
        </is>
      </c>
      <c r="C41" s="13" t="inlineStr">
        <is>
          <t>Native non-tolerant fish taxa</t>
        </is>
      </c>
      <c r="D41" s="14" t="inlineStr">
        <is>
          <t>%</t>
        </is>
      </c>
      <c r="E41" s="15" t="n"/>
      <c r="F41" s="16" t="inlineStr"/>
      <c r="G41" s="17">
        <f>IF('Metrics'!$V$28="","",'Metrics'!$V$28)</f>
        <v/>
      </c>
      <c r="H41" s="18">
        <f>IF('Results'!$B$21="","",'Results'!$B$21)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Fish MMI</t>
        </is>
      </c>
      <c r="D42" s="23" t="inlineStr">
        <is>
          <t>MMI points</t>
        </is>
      </c>
      <c r="E42" s="24" t="n"/>
      <c r="F42" s="25" t="inlineStr"/>
      <c r="G42" s="26">
        <f>IF('Metrics'!$V$29="","",'Metrics'!$V$29)</f>
        <v/>
      </c>
      <c r="H42" s="21" t="n"/>
      <c r="I42" s="27" t="n"/>
    </row>
    <row r="43">
      <c r="A43" s="48" t="inlineStr">
        <is>
          <t>Biology</t>
        </is>
      </c>
      <c r="B43" s="12" t="inlineStr">
        <is>
          <t>Community dynamics</t>
        </is>
      </c>
      <c r="C43" s="13" t="inlineStr">
        <is>
          <t>EPT taxa richness</t>
        </is>
      </c>
      <c r="D43" s="14" t="inlineStr"/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Benthic macroinvertebrate MMI</t>
        </is>
      </c>
      <c r="D44" s="23" t="inlineStr">
        <is>
          <t>MMI points</t>
        </is>
      </c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0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3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1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2" t="inlineStr">
        <is>
          <t>Physical</t>
        </is>
      </c>
      <c r="B49" s="53">
        <f>'Results'!$B$26</f>
        <v/>
      </c>
      <c r="C49" s="54">
        <f>IF('DEEP Score'!$B$49&lt;=0.39,"Non-Functioning",IF('DEEP Score'!$B$49&lt;=0.69,"Functioning At-Risk","Functioning"))</f>
        <v/>
      </c>
    </row>
    <row r="50">
      <c r="A50" s="52" t="inlineStr">
        <is>
          <t>Chemical</t>
        </is>
      </c>
      <c r="B50" s="53">
        <f>'Results'!$B$27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Biological</t>
        </is>
      </c>
      <c r="B51" s="53">
        <f>'Results'!$B$28</f>
        <v/>
      </c>
      <c r="C51" s="54">
        <f>IF('DEEP Score'!$B$51&lt;=0.39,"Non-Functioning",IF('DEEP Score'!$B$51&lt;=0.69,"Functioning At-Risk","Functioning"))</f>
        <v/>
      </c>
    </row>
    <row r="52" ht="30" customHeight="1">
      <c r="A52" s="55" t="inlineStr">
        <is>
          <t>Ecosystem Condition Index</t>
        </is>
      </c>
      <c r="B52" s="56">
        <f>'Results'!$B$29</f>
        <v/>
      </c>
      <c r="C52" s="54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7" t="inlineStr">
        <is>
          <t>Withheld for insufficient reference support (not scored)</t>
        </is>
      </c>
    </row>
    <row r="57">
      <c r="A57" t="inlineStr">
        <is>
          <t>pH</t>
        </is>
      </c>
      <c r="C57" s="5" t="inlineStr">
        <is>
          <t>Water and soil quality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59">
      <c r="A59" t="inlineStr">
        <is>
          <t>Large wood volume</t>
        </is>
      </c>
      <c r="C59" s="5" t="inlineStr">
        <is>
          <t>Bed composition and bedform dynamics</t>
        </is>
      </c>
    </row>
    <row r="60">
      <c r="A60" t="inlineStr">
        <is>
          <t>Canopy density, mid-channel</t>
        </is>
      </c>
      <c r="C60" s="5" t="inlineStr">
        <is>
          <t>Light and thermal regime</t>
        </is>
      </c>
    </row>
    <row r="62">
      <c r="A62" s="6" t="inlineStr">
        <is>
          <t>Notes</t>
        </is>
      </c>
    </row>
    <row r="63">
      <c r="A63" s="58" t="n"/>
      <c r="B63" s="59" t="n"/>
      <c r="C63" s="59" t="n"/>
      <c r="D63" s="59" t="n"/>
      <c r="E63" s="59" t="n"/>
      <c r="F63" s="59" t="n"/>
      <c r="G63" s="59" t="n"/>
      <c r="H63" s="59" t="n"/>
      <c r="I63" s="60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1" t="n"/>
      <c r="B66" s="62" t="n"/>
      <c r="C66" s="62" t="n"/>
      <c r="D66" s="62" t="n"/>
      <c r="E66" s="62" t="n"/>
      <c r="F66" s="62" t="n"/>
      <c r="G66" s="62" t="n"/>
      <c r="H66" s="62" t="n"/>
      <c r="I66" s="63" t="n"/>
    </row>
    <row r="67">
      <c r="A67" s="61" t="n"/>
      <c r="B67" s="62" t="n"/>
      <c r="C67" s="62" t="n"/>
      <c r="D67" s="62" t="n"/>
      <c r="E67" s="62" t="n"/>
      <c r="F67" s="62" t="n"/>
      <c r="G67" s="62" t="n"/>
      <c r="H67" s="62" t="n"/>
      <c r="I67" s="63" t="n"/>
    </row>
    <row r="68">
      <c r="A68" s="64" t="n"/>
      <c r="B68" s="65" t="n"/>
      <c r="C68" s="65" t="n"/>
      <c r="D68" s="65" t="n"/>
      <c r="E68" s="65" t="n"/>
      <c r="F68" s="65" t="n"/>
      <c r="G68" s="65" t="n"/>
      <c r="H68" s="65" t="n"/>
      <c r="I68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B8:D8"/>
    <mergeCell ref="I16:I17"/>
    <mergeCell ref="A41:A42"/>
    <mergeCell ref="H41:H42"/>
    <mergeCell ref="A16:A17"/>
    <mergeCell ref="H21:H22"/>
    <mergeCell ref="I41:I42"/>
    <mergeCell ref="H31:H32"/>
    <mergeCell ref="B29:B30"/>
    <mergeCell ref="B23:B24"/>
    <mergeCell ref="B39:B40"/>
    <mergeCell ref="A27:A28"/>
    <mergeCell ref="H39:H40"/>
    <mergeCell ref="A63:I68"/>
    <mergeCell ref="I18:I19"/>
    <mergeCell ref="I25:I26"/>
    <mergeCell ref="A12:A13"/>
    <mergeCell ref="A25:A26"/>
    <mergeCell ref="I12:I13"/>
    <mergeCell ref="B9:D9"/>
    <mergeCell ref="I21:I22"/>
    <mergeCell ref="A37:A38"/>
    <mergeCell ref="I37:I38"/>
    <mergeCell ref="A18:A19"/>
    <mergeCell ref="B6:D6"/>
    <mergeCell ref="B37:B38"/>
    <mergeCell ref="I43:I44"/>
    <mergeCell ref="A21:A22"/>
    <mergeCell ref="A4:I4"/>
    <mergeCell ref="B5:D5"/>
    <mergeCell ref="I39:I40"/>
    <mergeCell ref="H27:H28"/>
    <mergeCell ref="H16:H17"/>
    <mergeCell ref="H12:H13"/>
    <mergeCell ref="A29:A30"/>
    <mergeCell ref="A23:A24"/>
    <mergeCell ref="I29:I30"/>
    <mergeCell ref="I23:I24"/>
    <mergeCell ref="H37:H38"/>
    <mergeCell ref="B7:D7"/>
    <mergeCell ref="H18:H19"/>
    <mergeCell ref="I35:I36"/>
    <mergeCell ref="A35:A36"/>
    <mergeCell ref="A43:A44"/>
    <mergeCell ref="I31:I32"/>
    <mergeCell ref="A39:A40"/>
    <mergeCell ref="B25:B26"/>
    <mergeCell ref="B41:B42"/>
    <mergeCell ref="B16:B17"/>
    <mergeCell ref="H23:H24"/>
    <mergeCell ref="A31:A32"/>
    <mergeCell ref="H25:H26"/>
    <mergeCell ref="B21:B22"/>
    <mergeCell ref="I27:I28"/>
    <mergeCell ref="B35:B36"/>
    <mergeCell ref="H35:H36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40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Score'!$E$19="","",'DEEP Score'!$E$19)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Score'!$E$21="","",'DEEP Score'!$E$21)</f>
        <v/>
      </c>
      <c r="C12" s="69">
        <f>""</f>
        <v/>
      </c>
      <c r="D12" s="69">
        <f>"spring_phab_xbkf_h|"&amp;'Metrics'!$C$12</f>
        <v/>
      </c>
      <c r="E12" s="69">
        <f>IFERROR(MATCH('Metrics'!$D$12,curve_key,0),MATCH("spring_phab_xbkf_h|",curve_key,0))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width:depth ratio</t>
        </is>
      </c>
      <c r="B13" s="69">
        <f>IF('DEEP Score'!$E$22="","",'DEEP Score'!$E$22)</f>
        <v/>
      </c>
      <c r="C13" s="69">
        <f>""</f>
        <v/>
      </c>
      <c r="D13" s="69">
        <f>"spring_phab_bfwd_rat|"&amp;'Metrics'!$C$13</f>
        <v/>
      </c>
      <c r="E13" s="69">
        <f>IFERROR(MATCH('Metrics'!$D$13,curve_key,0),MATCH("spring_phab_bfwd_rat|",curve_key,0))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Score'!$E$30="","",'DEEP Score'!$E$30)</f>
        <v/>
      </c>
      <c r="C18" s="69">
        <f>""</f>
        <v/>
      </c>
      <c r="D18" s="69">
        <f>"spring_phab_lrbs_use|"&amp;'Metrics'!$C$18</f>
        <v/>
      </c>
      <c r="E18" s="69">
        <f>IFERROR(MATCH('Metrics'!$D$18,curve_key,0),MATCH("spring_phab_lrbs_use|",curve_key,0))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Substrate size</t>
        </is>
      </c>
      <c r="B19" s="69">
        <f>IF('DEEP Score'!$E$31="","",'DEEP Score'!$E$31)</f>
        <v/>
      </c>
      <c r="C19" s="69">
        <f>""</f>
        <v/>
      </c>
      <c r="D19" s="69">
        <f>"spring_phab_lsub_dmm|"&amp;'Metrics'!$C$19</f>
        <v/>
      </c>
      <c r="E19" s="69">
        <f>IFERROR(MATCH('Metrics'!$D$19,curve_key,0),MATCH("spring_phab_lsub_dmm|",curve_key,0))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Score'!$E$34="","",'DEEP Score'!$E$34)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Score'!$E$35="","",'DEEP Score'!$E$35)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Score'!$E$36="","",'DEEP Score'!$E$36)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Turbidity</t>
        </is>
      </c>
      <c r="B24" s="69">
        <f>IF('DEEP Score'!$E$37="","",'DEEP Score'!$E$37)</f>
        <v/>
      </c>
      <c r="C24" s="69">
        <f>""</f>
        <v/>
      </c>
      <c r="D24" s="69">
        <f>"spring_chem_turb|"&amp;'Metrics'!$C$24</f>
        <v/>
      </c>
      <c r="E24" s="69">
        <f>IFERROR(MATCH('Metrics'!$D$24,curve_key,0),MATCH("spring_chem_turb|",curve_key,0))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Score'!$E$38="","",'DEEP Score'!$E$38)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Score'!$E$39="","",'DEEP Score'!$E$39)</f>
        <v/>
      </c>
      <c r="C26" s="69">
        <f>""</f>
        <v/>
      </c>
      <c r="D26" s="69">
        <f>"spring_phab_pct_fast|"&amp;'Metrics'!$C$26</f>
        <v/>
      </c>
      <c r="E26" s="69">
        <f>IFERROR(MATCH('Metrics'!$D$26,curve_key,0),MATCH("spring_phab_pct_fast|",curve_key,0))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Score'!$E$40="","",'DEEP Score'!$E$40)</f>
        <v/>
      </c>
      <c r="C27" s="69">
        <f>IF('DEEP Score'!$F$40="","All streams (pooled)",'DEEP Score'!$F$40)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Native non-tolerant fish taxa</t>
        </is>
      </c>
      <c r="B28" s="69">
        <f>IF('DEEP Score'!$E$41="","",'DEEP Score'!$E$41)</f>
        <v/>
      </c>
      <c r="C28" s="69">
        <f>""</f>
        <v/>
      </c>
      <c r="D28" s="69">
        <f>"spring_fish_nat_ntolptax|"&amp;'Metrics'!$C$28</f>
        <v/>
      </c>
      <c r="E28" s="69">
        <f>IFERROR(MATCH('Metrics'!$D$28,curve_key,0),MATCH("spring_fish_nat_ntolptax|",curve_key,0))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Fish MMI</t>
        </is>
      </c>
      <c r="B29" s="69">
        <f>IF('DEEP Score'!$E$42="","",'DEEP Score'!$E$42)</f>
        <v/>
      </c>
      <c r="C29" s="69">
        <f>""</f>
        <v/>
      </c>
      <c r="D29" s="69">
        <f>"spring_fish_mmi_fish|"&amp;'Metrics'!$C$29</f>
        <v/>
      </c>
      <c r="E29" s="69">
        <f>IFERROR(MATCH('Metrics'!$D$29,curve_key,0),MATCH("spring_fish_mmi_fish|",curve_key,0))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EPT taxa richness</t>
        </is>
      </c>
      <c r="B30" s="69">
        <f>IF('DEEP Score'!$E$43="","",'DEEP Score'!$E$43)</f>
        <v/>
      </c>
      <c r="C30" s="69">
        <f>""</f>
        <v/>
      </c>
      <c r="D30" s="69">
        <f>"spring_bent_ept_ntax|"&amp;'Metrics'!$C$30</f>
        <v/>
      </c>
      <c r="E30" s="69">
        <f>IFERROR(MATCH('Metrics'!$D$30,curve_key,0),MATCH("spring_bent_ept_ntax|",curve_key,0))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Benthic macroinvertebrate MMI</t>
        </is>
      </c>
      <c r="B31" s="69">
        <f>IF('DEEP Score'!$E$44="","",'DEEP Score'!$E$44)</f>
        <v/>
      </c>
      <c r="C31" s="69">
        <f>""</f>
        <v/>
      </c>
      <c r="D31" s="69">
        <f>"spring_bent_mmi_bent|"&amp;'Metrics'!$C$31</f>
        <v/>
      </c>
      <c r="E31" s="69">
        <f>IFERROR(MATCH('Metrics'!$D$31,curve_key,0),MATCH("spring_bent_mmi_bent|",curve_key,0))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Mapped dams within one mile</t>
        </is>
      </c>
      <c r="B32" s="69">
        <f>IF('DEEP Score'!$E$45="","",'DEEP Score'!$E$45)</f>
        <v/>
      </c>
      <c r="C32" s="69">
        <f>""</f>
        <v/>
      </c>
      <c r="D32" s="69">
        <f>"spring_nid_dams_1mi|"&amp;'Metrics'!$C$32</f>
        <v/>
      </c>
      <c r="E32" s="69">
        <f>IFERROR(MATCH('Metrics'!$D$32,curve_key,0),MATCH("spring_nid_dams_1mi|",curve_key,0))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Score'!G33:G33)=0,"",SUM('DEEP Score'!G33:G33)/COUNT('DEEP Score'!G33:G33)*15)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Score'!G34:G34)=0,"",SUM('DEEP Score'!G34:G34)/COUNT('DEEP Score'!G34:G34)*15)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Score'!G35:G36)=0,"",SUM('DEEP Score'!G35:G36)/COUNT('DEEP Score'!G35:G36)*15)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Score'!G37:G38)=0,"",SUM('DEEP Score'!G37:G38)/COUNT('DEEP Score'!G37:G38)*15)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Score'!G39:G40)=0,"",SUM('DEEP Score'!G39:G40)/COUNT('DEEP Score'!G39:G40)*15)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Score'!G41:G42)=0,"",SUM('DEEP Score'!G41:G42)/COUNT('DEEP Score'!G41:G42)*15)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Score'!G43:G44)=0,"",SUM('DEEP Score'!G43:G44)/COUNT('DEEP Score'!G43:G44)*15)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Score'!G45:G45)=0,"",SUM('DEEP Score'!G45:G45)/COUNT('DEEP Score'!G45:G45)*15)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28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8" t="n">
        <v>0</v>
      </c>
      <c r="H9" s="68" t="n">
        <v>14.30184642857143</v>
      </c>
      <c r="I9" s="68" t="n">
        <v>33.370975</v>
      </c>
      <c r="J9" s="68" t="n">
        <v>63.26535</v>
      </c>
      <c r="K9" s="68" t="n">
        <v>78.2125375</v>
      </c>
      <c r="L9" s="68" t="n">
        <v>78.2125375</v>
      </c>
      <c r="M9" s="68" t="n">
        <v>78.2125375</v>
      </c>
      <c r="N9" s="68" t="n">
        <v>78.2125375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66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11" s="68" t="n">
        <v>0</v>
      </c>
      <c r="H11" s="68" t="n">
        <v>5.314162628991263</v>
      </c>
      <c r="I11" s="68" t="n">
        <v>12.39971280097961</v>
      </c>
      <c r="J11" s="68" t="n">
        <v>40.1558895111084</v>
      </c>
      <c r="K11" s="68" t="n">
        <v>54.03397786617279</v>
      </c>
      <c r="L11" s="68" t="n">
        <v>54.03397786617279</v>
      </c>
      <c r="M11" s="68" t="n">
        <v>54.03397786617279</v>
      </c>
      <c r="N11" s="68" t="n">
        <v>54.03397786617279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spring_phab_xbkf_h|</t>
        </is>
      </c>
      <c r="B12" s="68" t="inlineStr">
        <is>
          <t>spring-phab-xbkf-h</t>
        </is>
      </c>
      <c r="C12" s="68" t="inlineStr">
        <is>
          <t>Bankfull height above channel</t>
        </is>
      </c>
      <c r="D12" s="68" t="inlineStr"/>
      <c r="E12" s="68" t="n">
        <v>7</v>
      </c>
      <c r="F12" s="68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2" s="68" t="n">
        <v>0</v>
      </c>
      <c r="H12" s="68" t="n">
        <v>0.1406818144023418</v>
      </c>
      <c r="I12" s="68" t="n">
        <v>0.3299999982118607</v>
      </c>
      <c r="J12" s="68" t="n">
        <v>0.8709090948104858</v>
      </c>
      <c r="K12" s="68" t="n">
        <v>1.060227278620005</v>
      </c>
      <c r="L12" s="68" t="n">
        <v>1.411818191409111</v>
      </c>
      <c r="M12" s="68" t="n">
        <v>1.952727288007736</v>
      </c>
      <c r="N12" s="68" t="n">
        <v>1.952727288007736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/>
      <c r="E13" s="68" t="n">
        <v>7</v>
      </c>
      <c r="F13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0.63 of evaluation regions; two thirds required; net optimism +0.09, at most 0.05 allowed); confidence capped at 39.</t>
        </is>
      </c>
      <c r="G13" s="68" t="n">
        <v>0</v>
      </c>
      <c r="H13" s="68" t="n">
        <v>7.974148130416871</v>
      </c>
      <c r="I13" s="68" t="n">
        <v>13.39350414276123</v>
      </c>
      <c r="J13" s="68" t="n">
        <v>28.87737846374512</v>
      </c>
      <c r="K13" s="68" t="n">
        <v>34.29673447608948</v>
      </c>
      <c r="L13" s="68" t="n">
        <v>44.361252784729</v>
      </c>
      <c r="M13" s="68" t="n">
        <v>59.84512710571289</v>
      </c>
      <c r="N13" s="68" t="n">
        <v>59.84512710571289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spring_phab_pct_safn|</t>
        </is>
      </c>
      <c r="B14" s="68" t="inlineStr">
        <is>
          <t>spring-phab-pct-safn</t>
        </is>
      </c>
      <c r="C14" s="68" t="inlineStr">
        <is>
          <t>Sand + fines</t>
        </is>
      </c>
      <c r="D14" s="68" t="inlineStr"/>
      <c r="E14" s="68" t="n">
        <v>4</v>
      </c>
      <c r="F14" s="68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4" s="68" t="n">
        <v>7.857141494750977</v>
      </c>
      <c r="H14" s="68" t="n">
        <v>30.9523811340332</v>
      </c>
      <c r="I14" s="68" t="n">
        <v>77.14286041259766</v>
      </c>
      <c r="J14" s="68" t="n">
        <v>100</v>
      </c>
      <c r="K14" s="68" t="n">
        <v>100</v>
      </c>
      <c r="L14" s="68" t="n">
        <v>100</v>
      </c>
      <c r="M14" s="68" t="n">
        <v>100</v>
      </c>
      <c r="N14" s="68" t="n">
        <v>100</v>
      </c>
      <c r="O14" s="68" t="n">
        <v>1</v>
      </c>
      <c r="P14" s="68" t="n">
        <v>1</v>
      </c>
      <c r="Q14" s="68" t="n">
        <v>0.7</v>
      </c>
      <c r="R14" s="68" t="n">
        <v>0</v>
      </c>
      <c r="S14" s="68" t="n">
        <v>0</v>
      </c>
      <c r="T14" s="68" t="n">
        <v>0</v>
      </c>
      <c r="U14" s="68" t="n">
        <v>0</v>
      </c>
      <c r="V14" s="68" t="n">
        <v>0</v>
      </c>
    </row>
    <row r="15">
      <c r="A15" s="68" t="inlineStr">
        <is>
          <t>spring_phab_xembed|</t>
        </is>
      </c>
      <c r="B15" s="68" t="inlineStr">
        <is>
          <t>spring-phab-xembed</t>
        </is>
      </c>
      <c r="C15" s="68" t="inlineStr">
        <is>
          <t>Embeddedness</t>
        </is>
      </c>
      <c r="D15" s="68" t="inlineStr"/>
      <c r="E15" s="68" t="n">
        <v>4</v>
      </c>
      <c r="F15" s="68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5" s="68" t="n">
        <v>46.90209627151489</v>
      </c>
      <c r="H15" s="68" t="n">
        <v>61.192307472229</v>
      </c>
      <c r="I15" s="68" t="n">
        <v>89.77272987365723</v>
      </c>
      <c r="J15" s="68" t="n">
        <v>100</v>
      </c>
      <c r="K15" s="68" t="n">
        <v>100</v>
      </c>
      <c r="L15" s="68" t="n">
        <v>100</v>
      </c>
      <c r="M15" s="68" t="n">
        <v>100</v>
      </c>
      <c r="N15" s="68" t="n">
        <v>100</v>
      </c>
      <c r="O15" s="68" t="n">
        <v>1</v>
      </c>
      <c r="P15" s="68" t="n">
        <v>1</v>
      </c>
      <c r="Q15" s="68" t="n">
        <v>0.7</v>
      </c>
      <c r="R15" s="68" t="n">
        <v>0</v>
      </c>
      <c r="S15" s="68" t="n">
        <v>0</v>
      </c>
      <c r="T15" s="68" t="n">
        <v>0</v>
      </c>
      <c r="U15" s="68" t="n">
        <v>0</v>
      </c>
      <c r="V15" s="68" t="n">
        <v>0</v>
      </c>
    </row>
    <row r="16">
      <c r="A16" s="68" t="inlineStr">
        <is>
          <t>spring_phab_sinu|</t>
        </is>
      </c>
      <c r="B16" s="68" t="inlineStr">
        <is>
          <t>spring-phab-sinu</t>
        </is>
      </c>
      <c r="C16" s="68" t="inlineStr">
        <is>
          <t>Sinuosity</t>
        </is>
      </c>
      <c r="D16" s="68" t="inlineStr"/>
      <c r="E16" s="68" t="n">
        <v>4</v>
      </c>
      <c r="F16" s="68" t="inlineStr">
        <is>
          <t>56 least-disturbed stations borrowed from Level I ecoregion 9 (Great Plains) under the regional screen (agriculture at most 25 percent), transfer risk high</t>
        </is>
      </c>
      <c r="G16" s="68" t="n">
        <v>1</v>
      </c>
      <c r="H16" s="68" t="n">
        <v>1.094875484704971</v>
      </c>
      <c r="I16" s="68" t="n">
        <v>1.530973732471466</v>
      </c>
      <c r="J16" s="68" t="n">
        <v>1.749022856354713</v>
      </c>
      <c r="K16" s="68" t="n">
        <v>1.749022856354713</v>
      </c>
      <c r="L16" s="68" t="n">
        <v>1.749022856354713</v>
      </c>
      <c r="M16" s="68" t="n">
        <v>1.749022856354713</v>
      </c>
      <c r="N16" s="68" t="n">
        <v>1.749022856354713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1</v>
      </c>
      <c r="T16" s="68" t="n">
        <v>1</v>
      </c>
      <c r="U16" s="68" t="n">
        <v>1</v>
      </c>
      <c r="V16" s="68" t="n">
        <v>1</v>
      </c>
    </row>
    <row r="17">
      <c r="A17" s="68" t="inlineStr">
        <is>
          <t>spring_phab_xbka|</t>
        </is>
      </c>
      <c r="B17" s="68" t="inlineStr">
        <is>
          <t>spring-phab-xbka</t>
        </is>
      </c>
      <c r="C17" s="68" t="inlineStr">
        <is>
          <t>Bank angle</t>
        </is>
      </c>
      <c r="D17" s="68" t="inlineStr"/>
      <c r="E17" s="68" t="n">
        <v>7</v>
      </c>
      <c r="F17" s="68" t="inlineStr">
        <is>
          <t>31 least-disturbed stations borrowed from NARS-9 region SPL under the regional screen (agriculture at most 25 percent), transfer risk moderate</t>
        </is>
      </c>
      <c r="G17" s="68" t="n">
        <v>0</v>
      </c>
      <c r="H17" s="68" t="n">
        <v>18.63522715568542</v>
      </c>
      <c r="I17" s="68" t="n">
        <v>23.59090900421143</v>
      </c>
      <c r="J17" s="68" t="n">
        <v>37.75</v>
      </c>
      <c r="K17" s="68" t="n">
        <v>42.705681848526</v>
      </c>
      <c r="L17" s="68" t="n">
        <v>51.90909099578857</v>
      </c>
      <c r="M17" s="68" t="n">
        <v>66.06818199157715</v>
      </c>
      <c r="N17" s="68" t="n">
        <v>66.06818199157715</v>
      </c>
      <c r="O17" s="68" t="n">
        <v>0.7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spring_phab_lrbs_use|</t>
        </is>
      </c>
      <c r="B18" s="68" t="inlineStr">
        <is>
          <t>spring-phab-lrbs-use</t>
        </is>
      </c>
      <c r="C18" s="68" t="inlineStr">
        <is>
          <t>Relative bed stability</t>
        </is>
      </c>
      <c r="D18" s="68" t="inlineStr"/>
      <c r="E18" s="68" t="n">
        <v>8</v>
      </c>
      <c r="F18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0.53 of evaluation regions; two thirds required); confidence capped at 39.</t>
        </is>
      </c>
      <c r="G18" s="68" t="n">
        <v>-3.793136447668076</v>
      </c>
      <c r="H18" s="68" t="n">
        <v>-2.263059735298157</v>
      </c>
      <c r="I18" s="68" t="n">
        <v>-1.26850987225771</v>
      </c>
      <c r="J18" s="68" t="n">
        <v>-0.7329830229282379</v>
      </c>
      <c r="K18" s="68" t="n">
        <v>0.7970936894416809</v>
      </c>
      <c r="L18" s="68" t="n">
        <v>1.332620538771152</v>
      </c>
      <c r="M18" s="68" t="n">
        <v>2.3271704018116</v>
      </c>
      <c r="N18" s="68" t="n">
        <v>3.857247114181519</v>
      </c>
      <c r="O18" s="68" t="n">
        <v>0</v>
      </c>
      <c r="P18" s="68" t="n">
        <v>0.3</v>
      </c>
      <c r="Q18" s="68" t="n">
        <v>0.7</v>
      </c>
      <c r="R18" s="68" t="n">
        <v>1</v>
      </c>
      <c r="S18" s="68" t="n">
        <v>1</v>
      </c>
      <c r="T18" s="68" t="n">
        <v>0.7</v>
      </c>
      <c r="U18" s="68" t="n">
        <v>0.3</v>
      </c>
      <c r="V18" s="68" t="n">
        <v>0</v>
      </c>
    </row>
    <row r="19">
      <c r="A19" s="68" t="inlineStr">
        <is>
          <t>spring_phab_lsub_dmm|</t>
        </is>
      </c>
      <c r="B19" s="68" t="inlineStr">
        <is>
          <t>spring-phab-lsub-dmm</t>
        </is>
      </c>
      <c r="C19" s="68" t="inlineStr">
        <is>
          <t>Substrate size</t>
        </is>
      </c>
      <c r="D19" s="68" t="inlineStr"/>
      <c r="E19" s="68" t="n">
        <v>5</v>
      </c>
      <c r="F19" s="68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19" s="68" t="n">
        <v>-6.836915761232376</v>
      </c>
      <c r="H19" s="68" t="n">
        <v>-4.612361401319504</v>
      </c>
      <c r="I19" s="68" t="n">
        <v>-1.275529861450195</v>
      </c>
      <c r="J19" s="68" t="n">
        <v>0.949024498462677</v>
      </c>
      <c r="K19" s="68" t="n">
        <v>2.061301678419113</v>
      </c>
      <c r="L19" s="68" t="n">
        <v>2.061301678419113</v>
      </c>
      <c r="M19" s="68" t="n">
        <v>2.061301678419113</v>
      </c>
      <c r="N19" s="68" t="n">
        <v>2.061301678419113</v>
      </c>
      <c r="O19" s="68" t="n">
        <v>0</v>
      </c>
      <c r="P19" s="68" t="n">
        <v>0.3</v>
      </c>
      <c r="Q19" s="68" t="n">
        <v>0.7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spring_chem_chla|</t>
        </is>
      </c>
      <c r="B20" s="68" t="inlineStr">
        <is>
          <t>spring-chem-chla</t>
        </is>
      </c>
      <c r="C20" s="68" t="inlineStr">
        <is>
          <t>Chlorophyll a</t>
        </is>
      </c>
      <c r="D20" s="68" t="inlineStr"/>
      <c r="E20" s="68" t="n">
        <v>5</v>
      </c>
      <c r="F20" s="68" t="inlineStr">
        <is>
          <t>34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0" s="68" t="n">
        <v>0</v>
      </c>
      <c r="H20" s="68" t="n">
        <v>1.347500026226044</v>
      </c>
      <c r="I20" s="68" t="n">
        <v>7.529999971389771</v>
      </c>
      <c r="J20" s="68" t="n">
        <v>16.80374988913536</v>
      </c>
      <c r="K20" s="68" t="n">
        <v>22.98624983429909</v>
      </c>
      <c r="L20" s="68" t="n">
        <v>22.98624983429909</v>
      </c>
      <c r="M20" s="68" t="n">
        <v>22.98624983429909</v>
      </c>
      <c r="N20" s="68" t="n">
        <v>22.98624983429909</v>
      </c>
      <c r="O20" s="68" t="n">
        <v>1</v>
      </c>
      <c r="P20" s="68" t="n">
        <v>1</v>
      </c>
      <c r="Q20" s="68" t="n">
        <v>0.7</v>
      </c>
      <c r="R20" s="68" t="n">
        <v>0.3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spring_phab_xcmgw|</t>
        </is>
      </c>
      <c r="B21" s="68" t="inlineStr">
        <is>
          <t>spring-phab-xcmgw</t>
        </is>
      </c>
      <c r="C21" s="68" t="inlineStr">
        <is>
          <t>Riparian veg cover, woody</t>
        </is>
      </c>
      <c r="D21" s="68" t="inlineStr"/>
      <c r="E21" s="68" t="n">
        <v>5</v>
      </c>
      <c r="F21" s="68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1" s="68" t="n">
        <v>0</v>
      </c>
      <c r="H21" s="68" t="n">
        <v>0.1034902568374361</v>
      </c>
      <c r="I21" s="68" t="n">
        <v>0.2414772659540176</v>
      </c>
      <c r="J21" s="68" t="n">
        <v>0.7319274544715881</v>
      </c>
      <c r="K21" s="68" t="n">
        <v>0.9771525487303734</v>
      </c>
      <c r="L21" s="68" t="n">
        <v>0.9771525487303734</v>
      </c>
      <c r="M21" s="68" t="n">
        <v>0.9771525487303734</v>
      </c>
      <c r="N21" s="68" t="n">
        <v>0.9771525487303734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spring_chem_ntl|</t>
        </is>
      </c>
      <c r="B22" s="68" t="inlineStr">
        <is>
          <t>spring-chem-ntl</t>
        </is>
      </c>
      <c r="C22" s="68" t="inlineStr">
        <is>
          <t>Total nitrogen</t>
        </is>
      </c>
      <c r="D22" s="68" t="inlineStr"/>
      <c r="E22" s="68" t="n">
        <v>4</v>
      </c>
      <c r="F22" s="68" t="inlineStr">
        <is>
          <t>Scored against a published criterion rather than against stations from this ecoregion. The criterion carries its own definition of reference, which need not match this assessment's.</t>
        </is>
      </c>
      <c r="G22" s="68" t="n">
        <v>0</v>
      </c>
      <c r="H22" s="68" t="n">
        <v>0.5815</v>
      </c>
      <c r="I22" s="68" t="n">
        <v>1.069</v>
      </c>
      <c r="J22" s="68" t="n">
        <v>1.70275</v>
      </c>
      <c r="K22" s="68" t="n">
        <v>1.70275</v>
      </c>
      <c r="L22" s="68" t="n">
        <v>1.70275</v>
      </c>
      <c r="M22" s="68" t="n">
        <v>1.70275</v>
      </c>
      <c r="N22" s="68" t="n">
        <v>1.70275</v>
      </c>
      <c r="O22" s="68" t="n">
        <v>1</v>
      </c>
      <c r="P22" s="68" t="n">
        <v>0.6899999999999999</v>
      </c>
      <c r="Q22" s="68" t="n">
        <v>0.39</v>
      </c>
      <c r="R22" s="68" t="n">
        <v>0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spring_chem_ptl|</t>
        </is>
      </c>
      <c r="B23" s="68" t="inlineStr">
        <is>
          <t>spring-chem-ptl</t>
        </is>
      </c>
      <c r="C23" s="68" t="inlineStr">
        <is>
          <t>Total phosphorus</t>
        </is>
      </c>
      <c r="D23" s="68" t="inlineStr"/>
      <c r="E23" s="68" t="n">
        <v>4</v>
      </c>
      <c r="F23" s="68" t="inlineStr">
        <is>
          <t>Scored against a published criterion rather than against stations from this ecoregion. The criterion carries its own definition of reference, which need not match this assessment's.</t>
        </is>
      </c>
      <c r="G23" s="68" t="n">
        <v>0</v>
      </c>
      <c r="H23" s="68" t="n">
        <v>55.85</v>
      </c>
      <c r="I23" s="68" t="n">
        <v>127</v>
      </c>
      <c r="J23" s="68" t="n">
        <v>219.495</v>
      </c>
      <c r="K23" s="68" t="n">
        <v>219.495</v>
      </c>
      <c r="L23" s="68" t="n">
        <v>219.495</v>
      </c>
      <c r="M23" s="68" t="n">
        <v>219.495</v>
      </c>
      <c r="N23" s="68" t="n">
        <v>219.495</v>
      </c>
      <c r="O23" s="68" t="n">
        <v>1</v>
      </c>
      <c r="P23" s="68" t="n">
        <v>0.6899999999999999</v>
      </c>
      <c r="Q23" s="68" t="n">
        <v>0.39</v>
      </c>
      <c r="R23" s="68" t="n">
        <v>0</v>
      </c>
      <c r="S23" s="68" t="n">
        <v>0</v>
      </c>
      <c r="T23" s="68" t="n">
        <v>0</v>
      </c>
      <c r="U23" s="68" t="n">
        <v>0</v>
      </c>
      <c r="V23" s="68" t="n">
        <v>0</v>
      </c>
    </row>
    <row r="24">
      <c r="A24" s="68" t="inlineStr">
        <is>
          <t>spring_chem_turb|</t>
        </is>
      </c>
      <c r="B24" s="68" t="inlineStr">
        <is>
          <t>spring-chem-turb</t>
        </is>
      </c>
      <c r="C24" s="68" t="inlineStr">
        <is>
          <t>Turbidity</t>
        </is>
      </c>
      <c r="D24" s="68" t="inlineStr"/>
      <c r="E24" s="68" t="n">
        <v>5</v>
      </c>
      <c r="F24" s="68" t="inlineStr">
        <is>
          <t>35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required); confidence capped at 39.</t>
        </is>
      </c>
      <c r="G24" s="68" t="n">
        <v>0</v>
      </c>
      <c r="H24" s="68" t="n">
        <v>1.710000038146973</v>
      </c>
      <c r="I24" s="68" t="n">
        <v>15.57999992370605</v>
      </c>
      <c r="J24" s="68" t="n">
        <v>36.38499975204468</v>
      </c>
      <c r="K24" s="68" t="n">
        <v>50.25499963760376</v>
      </c>
      <c r="L24" s="68" t="n">
        <v>50.25499963760376</v>
      </c>
      <c r="M24" s="68" t="n">
        <v>50.25499963760376</v>
      </c>
      <c r="N24" s="68" t="n">
        <v>50.25499963760376</v>
      </c>
      <c r="O24" s="68" t="n">
        <v>1</v>
      </c>
      <c r="P24" s="68" t="n">
        <v>1</v>
      </c>
      <c r="Q24" s="68" t="n">
        <v>0.7</v>
      </c>
      <c r="R24" s="68" t="n">
        <v>0.3</v>
      </c>
      <c r="S24" s="68" t="n">
        <v>0</v>
      </c>
      <c r="T24" s="68" t="n">
        <v>0</v>
      </c>
      <c r="U24" s="68" t="n">
        <v>0</v>
      </c>
      <c r="V24" s="68" t="n">
        <v>0</v>
      </c>
    </row>
    <row r="25">
      <c r="A25" s="68" t="inlineStr">
        <is>
          <t>spring_chem_cond|</t>
        </is>
      </c>
      <c r="B25" s="68" t="inlineStr">
        <is>
          <t>spring-chem-cond</t>
        </is>
      </c>
      <c r="C25" s="68" t="inlineStr">
        <is>
          <t>Specific conductivity</t>
        </is>
      </c>
      <c r="D25" s="68" t="inlineStr"/>
      <c r="E25" s="68" t="n">
        <v>4</v>
      </c>
      <c r="F25" s="68" t="inlineStr">
        <is>
          <t>Scored against a published criterion rather than against stations from this ecoregion. The criterion carries its own definition of reference, which need not match this assessment's.</t>
        </is>
      </c>
      <c r="G25" s="68" t="n">
        <v>0</v>
      </c>
      <c r="H25" s="68" t="n">
        <v>1000.05</v>
      </c>
      <c r="I25" s="68" t="n">
        <v>2000.05</v>
      </c>
      <c r="J25" s="68" t="n">
        <v>3300.05</v>
      </c>
      <c r="K25" s="68" t="n">
        <v>3300.05</v>
      </c>
      <c r="L25" s="68" t="n">
        <v>3300.05</v>
      </c>
      <c r="M25" s="68" t="n">
        <v>3300.05</v>
      </c>
      <c r="N25" s="68" t="n">
        <v>3300.05</v>
      </c>
      <c r="O25" s="68" t="n">
        <v>1</v>
      </c>
      <c r="P25" s="68" t="n">
        <v>0.6899999999999999</v>
      </c>
      <c r="Q25" s="68" t="n">
        <v>0.39</v>
      </c>
      <c r="R25" s="68" t="n">
        <v>0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spring_phab_pct_fast|</t>
        </is>
      </c>
      <c r="B26" s="68" t="inlineStr">
        <is>
          <t>spring-phab-pct-fast</t>
        </is>
      </c>
      <c r="C26" s="68" t="inlineStr">
        <is>
          <t>Fast-water / riffle habitat</t>
        </is>
      </c>
      <c r="D26" s="68" t="inlineStr"/>
      <c r="E26" s="68" t="n">
        <v>5</v>
      </c>
      <c r="F26" s="68" t="inlineStr">
        <is>
          <t>67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26" s="68" t="n">
        <v>0</v>
      </c>
      <c r="H26" s="68" t="n">
        <v>0.4183673475469862</v>
      </c>
      <c r="I26" s="68" t="n">
        <v>0.9761904776096344</v>
      </c>
      <c r="J26" s="68" t="n">
        <v>20.04421806335449</v>
      </c>
      <c r="K26" s="68" t="n">
        <v>29.57823185622692</v>
      </c>
      <c r="L26" s="68" t="n">
        <v>29.57823185622692</v>
      </c>
      <c r="M26" s="68" t="n">
        <v>29.57823185622692</v>
      </c>
      <c r="N26" s="68" t="n">
        <v>29.57823185622692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spring_phab_xfc_nat|All streams (pooled)</t>
        </is>
      </c>
      <c r="B27" s="68" t="inlineStr">
        <is>
          <t>spring-phab-xfc-nat</t>
        </is>
      </c>
      <c r="C27" s="68" t="inlineStr">
        <is>
          <t>Natural fish cover</t>
        </is>
      </c>
      <c r="D27" s="68" t="inlineStr">
        <is>
          <t>All streams (pooled)</t>
        </is>
      </c>
      <c r="E27" s="68" t="n">
        <v>5</v>
      </c>
      <c r="F27" s="68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7" s="68" t="n">
        <v>0</v>
      </c>
      <c r="H27" s="68" t="n">
        <v>0.06745129823684692</v>
      </c>
      <c r="I27" s="68" t="n">
        <v>0.1573863625526428</v>
      </c>
      <c r="J27" s="68" t="n">
        <v>0.3528846204280853</v>
      </c>
      <c r="K27" s="68" t="n">
        <v>0.4506337493658066</v>
      </c>
      <c r="L27" s="68" t="n">
        <v>0.4506337493658066</v>
      </c>
      <c r="M27" s="68" t="n">
        <v>0.4506337493658066</v>
      </c>
      <c r="N27" s="68" t="n">
        <v>0.4506337493658066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spring_phab_xfc_nat|Small stream (10 to 100 km2)</t>
        </is>
      </c>
      <c r="B28" s="68" t="inlineStr">
        <is>
          <t>spring-phab-xfc-nat</t>
        </is>
      </c>
      <c r="C28" s="68" t="inlineStr">
        <is>
          <t>Natural fish cover</t>
        </is>
      </c>
      <c r="D28" s="68" t="inlineStr">
        <is>
          <t>Small stream (10 to 100 km2)</t>
        </is>
      </c>
      <c r="E28" s="68" t="n">
        <v>5</v>
      </c>
      <c r="F28" s="68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8" s="68" t="n">
        <v>0</v>
      </c>
      <c r="H28" s="68" t="n">
        <v>0.06793831075940814</v>
      </c>
      <c r="I28" s="68" t="n">
        <v>0.1585227251052856</v>
      </c>
      <c r="J28" s="68" t="n">
        <v>0.532954528927803</v>
      </c>
      <c r="K28" s="68" t="n">
        <v>0.7201704308390617</v>
      </c>
      <c r="L28" s="68" t="n">
        <v>0.7201704308390617</v>
      </c>
      <c r="M28" s="68" t="n">
        <v>0.7201704308390617</v>
      </c>
      <c r="N28" s="68" t="n">
        <v>0.7201704308390617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spring_phab_xfc_nat|Large stream (over 100 km2)</t>
        </is>
      </c>
      <c r="B29" s="68" t="inlineStr">
        <is>
          <t>spring-phab-xfc-nat</t>
        </is>
      </c>
      <c r="C29" s="68" t="inlineStr">
        <is>
          <t>Natural fish cover</t>
        </is>
      </c>
      <c r="D29" s="68" t="inlineStr">
        <is>
          <t>Large stream (over 100 km2)</t>
        </is>
      </c>
      <c r="E29" s="68" t="n">
        <v>5</v>
      </c>
      <c r="F29" s="68" t="inlineStr">
        <is>
          <t>58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29" s="68" t="n">
        <v>0</v>
      </c>
      <c r="H29" s="68" t="n">
        <v>0.06428571205054011</v>
      </c>
      <c r="I29" s="68" t="n">
        <v>0.1499999947845936</v>
      </c>
      <c r="J29" s="68" t="n">
        <v>0.3193181678652763</v>
      </c>
      <c r="K29" s="68" t="n">
        <v>0.4039772544056177</v>
      </c>
      <c r="L29" s="68" t="n">
        <v>0.4039772544056177</v>
      </c>
      <c r="M29" s="68" t="n">
        <v>0.4039772544056177</v>
      </c>
      <c r="N29" s="68" t="n">
        <v>0.4039772544056177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spring_fish_nat_ntolptax|</t>
        </is>
      </c>
      <c r="B30" s="68" t="inlineStr">
        <is>
          <t>spring-fish-nat-ntolptax</t>
        </is>
      </c>
      <c r="C30" s="68" t="inlineStr">
        <is>
          <t>Native non-tolerant fish taxa</t>
        </is>
      </c>
      <c r="D30" s="68" t="inlineStr"/>
      <c r="E30" s="68" t="n">
        <v>5</v>
      </c>
      <c r="F30" s="68" t="inlineStr">
        <is>
          <t>12 least-disturbed stations borrowed from NARS-9 region SPL under the regional screen (agriculture at most 25 percent), transfer risk high</t>
        </is>
      </c>
      <c r="G30" s="68" t="n">
        <v>0</v>
      </c>
      <c r="H30" s="68" t="n">
        <v>13.7742862701416</v>
      </c>
      <c r="I30" s="68" t="n">
        <v>32.14000129699707</v>
      </c>
      <c r="J30" s="68" t="n">
        <v>43.50750064849854</v>
      </c>
      <c r="K30" s="68" t="n">
        <v>49.19125032424927</v>
      </c>
      <c r="L30" s="68" t="n">
        <v>49.19125032424927</v>
      </c>
      <c r="M30" s="68" t="n">
        <v>49.19125032424927</v>
      </c>
      <c r="N30" s="68" t="n">
        <v>49.19125032424927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spring_fish_mmi_fish|</t>
        </is>
      </c>
      <c r="B31" s="68" t="inlineStr">
        <is>
          <t>spring-fish-mmi-fish</t>
        </is>
      </c>
      <c r="C31" s="68" t="inlineStr">
        <is>
          <t>Fish MMI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26.045</v>
      </c>
      <c r="H31" s="68" t="n">
        <v>39.695</v>
      </c>
      <c r="I31" s="68" t="n">
        <v>50.195</v>
      </c>
      <c r="J31" s="68" t="n">
        <v>61.045</v>
      </c>
      <c r="K31" s="68" t="n">
        <v>61.045</v>
      </c>
      <c r="L31" s="68" t="n">
        <v>61.045</v>
      </c>
      <c r="M31" s="68" t="n">
        <v>61.045</v>
      </c>
      <c r="N31" s="68" t="n">
        <v>61.045</v>
      </c>
      <c r="O31" s="68" t="n">
        <v>0</v>
      </c>
      <c r="P31" s="68" t="n">
        <v>0.39</v>
      </c>
      <c r="Q31" s="68" t="n">
        <v>0.6899999999999999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spring_bent_ept_ntax|</t>
        </is>
      </c>
      <c r="B32" s="68" t="inlineStr">
        <is>
          <t>spring-bent-ept-ntax</t>
        </is>
      </c>
      <c r="C32" s="68" t="inlineStr">
        <is>
          <t>EPT taxa richness</t>
        </is>
      </c>
      <c r="D32" s="68" t="inlineStr"/>
      <c r="E32" s="68" t="n">
        <v>5</v>
      </c>
      <c r="F32" s="68" t="inlineStr">
        <is>
          <t>14 least-disturbed stations borrowed from Level I ecoregion 9 (Great Plains)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32" s="68" t="n">
        <v>0</v>
      </c>
      <c r="H32" s="68" t="n">
        <v>1.392857142857143</v>
      </c>
      <c r="I32" s="68" t="n">
        <v>3.25</v>
      </c>
      <c r="J32" s="68" t="n">
        <v>8.75</v>
      </c>
      <c r="K32" s="68" t="n">
        <v>11.5</v>
      </c>
      <c r="L32" s="68" t="n">
        <v>11.5</v>
      </c>
      <c r="M32" s="68" t="n">
        <v>11.5</v>
      </c>
      <c r="N32" s="68" t="n">
        <v>11.5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spring_bent_mmi_bent|</t>
        </is>
      </c>
      <c r="B33" s="68" t="inlineStr">
        <is>
          <t>spring-bent-mmi-bent</t>
        </is>
      </c>
      <c r="C33" s="68" t="inlineStr">
        <is>
          <t>Benthic macroinvertebrate MMI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2.835</v>
      </c>
      <c r="H33" s="68" t="n">
        <v>21.295</v>
      </c>
      <c r="I33" s="68" t="n">
        <v>35.495</v>
      </c>
      <c r="J33" s="68" t="n">
        <v>50.168333</v>
      </c>
      <c r="K33" s="68" t="n">
        <v>50.168333</v>
      </c>
      <c r="L33" s="68" t="n">
        <v>50.168333</v>
      </c>
      <c r="M33" s="68" t="n">
        <v>50.168333</v>
      </c>
      <c r="N33" s="68" t="n">
        <v>50.168333</v>
      </c>
      <c r="O33" s="68" t="n">
        <v>0</v>
      </c>
      <c r="P33" s="68" t="n">
        <v>0.39</v>
      </c>
      <c r="Q33" s="68" t="n">
        <v>0.6899999999999999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spring_nid_dams_1mi|</t>
        </is>
      </c>
      <c r="B34" s="68" t="inlineStr">
        <is>
          <t>spring-nid-dams-1mi</t>
        </is>
      </c>
      <c r="C34" s="68" t="inlineStr">
        <is>
          <t>Mapped dams within one mile</t>
        </is>
      </c>
      <c r="D34" s="68" t="inlineStr"/>
      <c r="E34" s="68" t="n">
        <v>4</v>
      </c>
      <c r="F34" s="68" t="inlineStr">
        <is>
          <t>Fixed criteria, the same in every region</t>
        </is>
      </c>
      <c r="G34" s="68" t="n">
        <v>0</v>
      </c>
      <c r="H34" s="68" t="n">
        <v>1</v>
      </c>
      <c r="I34" s="68" t="n">
        <v>2</v>
      </c>
      <c r="J34" s="68" t="n">
        <v>3</v>
      </c>
      <c r="K34" s="68" t="n">
        <v>3</v>
      </c>
      <c r="L34" s="68" t="n">
        <v>3</v>
      </c>
      <c r="M34" s="68" t="n">
        <v>3</v>
      </c>
      <c r="N34" s="68" t="n">
        <v>3</v>
      </c>
      <c r="O34" s="68" t="n">
        <v>1</v>
      </c>
      <c r="P34" s="68" t="n">
        <v>0.545</v>
      </c>
      <c r="Q34" s="68" t="n">
        <v>0.195</v>
      </c>
      <c r="R34" s="68" t="n">
        <v>0</v>
      </c>
      <c r="S34" s="68" t="n">
        <v>0</v>
      </c>
      <c r="T34" s="68" t="n">
        <v>0</v>
      </c>
      <c r="U34" s="68" t="n">
        <v>0</v>
      </c>
      <c r="V34" s="68" t="n">
        <v>0</v>
      </c>
    </row>
    <row r="37">
      <c r="A37" s="57" t="inlineStr">
        <is>
          <t>Curve sets by metric</t>
        </is>
      </c>
    </row>
    <row r="38">
      <c r="A38" s="68" t="inlineStr">
        <is>
          <t>All streams (pooled)</t>
        </is>
      </c>
      <c r="B38" s="5" t="inlineStr">
        <is>
          <t>Natural fish cover</t>
        </is>
      </c>
    </row>
    <row r="39">
      <c r="A39" s="68" t="inlineStr">
        <is>
          <t>Small stream (10 to 100 km2)</t>
        </is>
      </c>
      <c r="B39" s="5" t="inlineStr">
        <is>
          <t>Natural fish cover</t>
        </is>
      </c>
    </row>
    <row r="40">
      <c r="A40" s="68" t="inlineStr">
        <is>
          <t>Large stream (over 100 km2)</t>
        </is>
      </c>
      <c r="B40" s="5" t="inlineStr">
        <is>
          <t>Natural fish cover</t>
        </is>
      </c>
    </row>
    <row r="43">
      <c r="A43" s="57" t="inlineStr">
        <is>
          <t>Condition classes</t>
        </is>
      </c>
    </row>
    <row r="44">
      <c r="A44" t="inlineStr">
        <is>
          <t>Metric index: at or below 0.39 Non-Functioning, at or below 0.69 Functioning At-Risk, above Functioning.</t>
        </is>
      </c>
    </row>
    <row r="45">
      <c r="A45" t="inlineStr">
        <is>
          <t>Function score (0 to 15): at or below 5 Non-Functioning, at or below 10 Functioning At-Risk, above Functioning.</t>
        </is>
      </c>
    </row>
    <row r="46">
      <c r="A4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southern-texas-plains</t>
        </is>
      </c>
    </row>
    <row r="5">
      <c r="A5" s="68" t="inlineStr">
        <is>
          <t>Assessment name</t>
        </is>
      </c>
      <c r="B5" s="68" t="inlineStr">
        <is>
          <t>Southern Texas Plains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sha256:02f7c5121deb91a8f91feb1585915e517f99487fcc250e88c36dea740d9e242c</t>
        </is>
      </c>
    </row>
    <row r="9">
      <c r="A9" s="68" t="inlineStr">
        <is>
          <t>Region</t>
        </is>
      </c>
      <c r="B9" s="68" t="inlineStr">
        <is>
          <t>ecoregion 31 Southern Texas Plains</t>
        </is>
      </c>
    </row>
    <row r="10">
      <c r="A10" s="68" t="inlineStr">
        <is>
          <t>Source</t>
        </is>
      </c>
      <c r="B10" s="68" t="inlineStr">
        <is>
          <t>USEPA NRSA 2013-24 (L3 ecoregion 31),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28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2026-09-30T07:05:32Z</dcterms:created>
  <dcterms:modified xmlns:dcterms="http://purl.org/dc/terms/" xmlns:xsi="http://www.w3.org/2001/XMLSchema-instance" xsi:type="dcterms:W3CDTF">2026-09-30T07:05:32Z</dcterms:modified>
  <cp:lastModifiedBy>DEEP</cp:lastModifiedBy>
  <cp:contentStatus>Draft</cp:contentStatus>
</cp:coreProperties>
</file>