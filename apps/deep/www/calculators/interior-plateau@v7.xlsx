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'Reference'!$A$5:$A$46</definedName>
    <definedName name="curve_x1">'Reference'!$G$5:$G$46</definedName>
    <definedName name="curve_y1">'Reference'!$O$5:$O$46</definedName>
    <definedName name="curve_x2">'Reference'!$H$5:$H$46</definedName>
    <definedName name="curve_y2">'Reference'!$P$5:$P$46</definedName>
    <definedName name="curve_x3">'Reference'!$I$5:$I$46</definedName>
    <definedName name="curve_y3">'Reference'!$Q$5:$Q$46</definedName>
    <definedName name="curve_x4">'Reference'!$J$5:$J$46</definedName>
    <definedName name="curve_y4">'Reference'!$R$5:$R$46</definedName>
    <definedName name="curve_x5">'Reference'!$K$5:$K$46</definedName>
    <definedName name="curve_y5">'Reference'!$S$5:$S$46</definedName>
    <definedName name="curve_x6">'Reference'!$L$5:$L$46</definedName>
    <definedName name="curve_y6">'Reference'!$T$5:$T$46</definedName>
    <definedName name="curve_x7">'Reference'!$M$5:$M$46</definedName>
    <definedName name="curve_y7">'Reference'!$U$5:$U$46</definedName>
    <definedName name="curve_x8">'Reference'!$N$5:$N$46</definedName>
    <definedName name="curve_y8">'Reference'!$V$5:$V$46</definedName>
    <definedName name="strata_spring_phab_rp100_cm">'Reference'!$A$50:$A$52</definedName>
    <definedName name="strata_spring_phab_xbkf_h">'Reference'!$A$53:$A$56</definedName>
    <definedName name="strata_spring_phab_lrbs_use">'Reference'!$A$57:$A$60</definedName>
    <definedName name="strata_spring_phab_xcdenmid">'Reference'!$A$61:$A$64</definedName>
    <definedName name="strata_spring_phab_pct_fast">'Reference'!$A$65:$A$67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xbka">'Metrics'!$V$16</definedName>
    <definedName name="idx_spring_phab_sinu">'Metrics'!$V$17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pct_fast">'Metrics'!$V$27</definedName>
    <definedName name="idx_spring_phab_xfc_nat">'Metrics'!$V$28</definedName>
    <definedName name="idx_spring_bent_totlntax">'Metrics'!$V$29</definedName>
    <definedName name="idx_spring_fish_na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Score'!$E$18</definedName>
    <definedName name="in_spring_phab_rp100_cm">'DEEP Score'!$E$19</definedName>
    <definedName name="st_spring_phab_rp100_cm">'DEEP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xbka">'DEEP Score'!$E$27</definedName>
    <definedName name="in_spring_phab_sinu">'DEEP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in_spring_bent_totlntax">'DEEP Score'!$E$42</definedName>
    <definedName name="in_spring_fish_nat_totlntax">'DEEP Score'!$E$43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Interior Plateau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25" customHeight="1">
      <c r="A5" s="4" t="inlineStr">
        <is>
          <t>Reference condition. Reference condition is set by a fixed landscape-pressure screen, never by a score. 3 curves are fitted to this ecoregion's own streams under the documented regional screen, which relaxes agriculture only. 19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Interior Plateau reference assessment</t>
        </is>
      </c>
    </row>
    <row r="3">
      <c r="A3" s="5" t="inlineStr">
        <is>
          <t>Version 7 | Draft | USEPA NRSA 2013-24 (L3 ecoregion 71),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Bankfull width:depth ratio</t>
        </is>
      </c>
      <c r="D18" s="14" t="inlineStr"/>
      <c r="E18" s="15" t="n"/>
      <c r="F18" s="16" t="inlineStr"/>
      <c r="G18" s="17">
        <f>IF('Metrics'!$V$11="","",'Metrics'!$V$11)</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38" t="inlineStr">
        <is>
          <t>All streams (pooled)</t>
        </is>
      </c>
      <c r="G19" s="26">
        <f>IF('Metrics'!$V$12="","",'Metrics'!$V$12)</f>
        <v/>
      </c>
      <c r="H19" s="21" t="n"/>
      <c r="I19" s="27" t="n"/>
    </row>
    <row r="20">
      <c r="A20" s="39" t="inlineStr">
        <is>
          <t>Hydraulics</t>
        </is>
      </c>
      <c r="B20" s="29" t="inlineStr">
        <is>
          <t>High flow dynamics</t>
        </is>
      </c>
      <c r="C20" s="30" t="inlineStr">
        <is>
          <t>Impervious surface</t>
        </is>
      </c>
      <c r="D20" s="31" t="inlineStr">
        <is>
          <t>%</t>
        </is>
      </c>
      <c r="E20" s="40">
        <f>IF('DEEP Score'!$E$12="","",'DEEP Score'!$E$12)</f>
        <v/>
      </c>
      <c r="F20" s="41"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42">
        <f>IF('DEEP Score'!$E$18="","",'DEEP Score'!$E$18)</f>
        <v/>
      </c>
      <c r="F21" s="43"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38" t="inlineStr">
        <is>
          <t>All streams (pooled)</t>
        </is>
      </c>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4" t="inlineStr">
        <is>
          <t>Geomorphology</t>
        </is>
      </c>
      <c r="B25" s="12" t="inlineStr">
        <is>
          <t>Channel evolution</t>
        </is>
      </c>
      <c r="C25" s="13" t="inlineStr">
        <is>
          <t>Bankfull width:depth ratio</t>
        </is>
      </c>
      <c r="D25" s="14" t="inlineStr"/>
      <c r="E25" s="42">
        <f>IF('DEEP Score'!$E$18="","",'DEEP Score'!$E$18)</f>
        <v/>
      </c>
      <c r="F25" s="43"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IF('Metrics'!$V$13="","",'Metrics'!$V$13)</f>
        <v/>
      </c>
      <c r="H26" s="21" t="n"/>
      <c r="I26" s="27" t="n"/>
    </row>
    <row r="27">
      <c r="A27" s="44" t="inlineStr">
        <is>
          <t>Geomorphology</t>
        </is>
      </c>
      <c r="B27" s="12" t="inlineStr">
        <is>
          <t>Channel and floodplain dynamics</t>
        </is>
      </c>
      <c r="C27" s="13" t="inlineStr">
        <is>
          <t>Bank angle</t>
        </is>
      </c>
      <c r="D27" s="14" t="inlineStr">
        <is>
          <t>degrees</t>
        </is>
      </c>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Sinuosity</t>
        </is>
      </c>
      <c r="D28" s="23" t="inlineStr"/>
      <c r="E28" s="24" t="n"/>
      <c r="F28" s="25" t="inlineStr"/>
      <c r="G28" s="26">
        <f>IF('Metrics'!$V$17="","",'Metrics'!$V$17)</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IF('Metrics'!$V$14="","",'Metrics'!$V$14)</f>
        <v/>
      </c>
      <c r="H30" s="21" t="n"/>
      <c r="I30" s="27" t="n"/>
    </row>
    <row r="31">
      <c r="A31" s="44" t="inlineStr">
        <is>
          <t>Geomorphology</t>
        </is>
      </c>
      <c r="B31" s="12" t="inlineStr">
        <is>
          <t>Bed composition and bedform dynamics</t>
        </is>
      </c>
      <c r="C31" s="13" t="inlineStr">
        <is>
          <t>Embeddedness</t>
        </is>
      </c>
      <c r="D31" s="14" t="inlineStr">
        <is>
          <t>%</t>
        </is>
      </c>
      <c r="E31" s="42">
        <f>IF('DEEP Score'!$E$24="","",'DEEP Score'!$E$24)</f>
        <v/>
      </c>
      <c r="F31" s="43"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38" t="inlineStr">
        <is>
          <t>All streams (pooled)</t>
        </is>
      </c>
      <c r="G34" s="26">
        <f>IF('Metrics'!$V$21="","",'Metrics'!$V$21)</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50" t="inlineStr">
        <is>
          <t>Biology</t>
        </is>
      </c>
      <c r="B40" s="12" t="inlineStr">
        <is>
          <t>Habitat provision</t>
        </is>
      </c>
      <c r="C40" s="13" t="inlineStr">
        <is>
          <t>Fast-water / riffle habitat</t>
        </is>
      </c>
      <c r="D40" s="14" t="inlineStr">
        <is>
          <t>%</t>
        </is>
      </c>
      <c r="E40" s="15" t="n"/>
      <c r="F40" s="47" t="inlineStr">
        <is>
          <t>All streams (pooled)</t>
        </is>
      </c>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IF('Metrics'!$V$28="","",'Metrics'!$V$28)</f>
        <v/>
      </c>
      <c r="H41" s="21" t="n"/>
      <c r="I41" s="27" t="n"/>
    </row>
    <row r="42">
      <c r="A42" s="50" t="inlineStr">
        <is>
          <t>Biology</t>
        </is>
      </c>
      <c r="B42" s="12" t="inlineStr">
        <is>
          <t>Population support</t>
        </is>
      </c>
      <c r="C42" s="13" t="inlineStr">
        <is>
          <t>Benthic total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Native fish taxa richness</t>
        </is>
      </c>
      <c r="D43" s="23" t="inlineStr"/>
      <c r="E43" s="24" t="n"/>
      <c r="F43" s="25" t="inlineStr"/>
      <c r="G43" s="26">
        <f>IF('Metrics'!$V$30="","",'Metrics'!$V$30)</f>
        <v/>
      </c>
      <c r="H43" s="21" t="n"/>
      <c r="I43" s="27" t="n"/>
    </row>
    <row r="44">
      <c r="A44" s="50"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=strata_spring_phab_rp100_cm</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 cover of the watershed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Score'!$E$18="","",'DEEP Score'!$E$18)</f>
        <v/>
      </c>
      <c r="C11" s="69">
        <f>""</f>
        <v/>
      </c>
      <c r="D11" s="69">
        <f>"spring_phab_bfwd_rat|"&amp;'Metrics'!$C$11</f>
        <v/>
      </c>
      <c r="E11" s="69">
        <f>IFERROR(MATCH('Metrics'!$D$11,curve_key,0),MATCH("spring_phab_bfwd_rat|",curve_key,0))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Residual pool depth</t>
        </is>
      </c>
      <c r="B12" s="69">
        <f>IF('DEEP Score'!$E$19="","",'DEEP Score'!$E$19)</f>
        <v/>
      </c>
      <c r="C12" s="69">
        <f>IF('DEEP Score'!$F$19="","All streams (pooled)",'DEEP Score'!$F$19)</f>
        <v/>
      </c>
      <c r="D12" s="69">
        <f>"spring_phab_rp100_cm|"&amp;'Metrics'!$C$12</f>
        <v/>
      </c>
      <c r="E12" s="69">
        <f>IFERROR(MATCH('Metrics'!$D$12,curve_key,0),MATCH("spring_phab_rp100_cm|All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IF('DEEP Score'!$F$22="","All streams (pooled)",'DEEP Score'!$F$22)</f>
        <v/>
      </c>
      <c r="D13" s="69">
        <f>"spring_phab_xbkf_h|"&amp;'Metrics'!$C$13</f>
        <v/>
      </c>
      <c r="E13" s="69">
        <f>IFERROR(MATCH('Metrics'!$D$13,curve_key,0),MATCH("spring_phab_xbkf_h|All streams (pooled)",curve_key,0))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Score'!$E$27="","",'DEEP Score'!$E$27)</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Sinuosity</t>
        </is>
      </c>
      <c r="B17" s="69">
        <f>IF('DEEP Score'!$E$28="","",'DEEP Score'!$E$28)</f>
        <v/>
      </c>
      <c r="C17" s="69">
        <f>""</f>
        <v/>
      </c>
      <c r="D17" s="69">
        <f>"spring_phab_sinu|"&amp;'Metrics'!$C$17</f>
        <v/>
      </c>
      <c r="E17" s="69">
        <f>IFERROR(MATCH('Metrics'!$D$17,curve_key,0),MATCH("spring_phab_sinu|",curve_key,0))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Large wood volume</t>
        </is>
      </c>
      <c r="B19" s="69">
        <f>IF('DEEP Score'!$E$32="","",'DEEP Score'!$E$32)</f>
        <v/>
      </c>
      <c r="C19" s="69">
        <f>""</f>
        <v/>
      </c>
      <c r="D19" s="69">
        <f>"spring_phab_lwdeqvolm100|"&amp;'Metrics'!$C$19</f>
        <v/>
      </c>
      <c r="E19" s="69">
        <f>IFERROR(MATCH('Metrics'!$D$19,curve_key,0),MATCH("spring_phab_lwdeqvolm100|",curve_key,0))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IF('DEEP Score'!$F$34="","All streams (pooled)",'DEEP Score'!$F$34)</f>
        <v/>
      </c>
      <c r="D21" s="69">
        <f>"spring_phab_xcdenmid|"&amp;'Metrics'!$C$21</f>
        <v/>
      </c>
      <c r="E21" s="69">
        <f>IFERROR(MATCH('Metrics'!$D$21,curve_key,0),MATCH("spring_phab_xcdenmid|All streams (pooled)",curve_key,0))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pH</t>
        </is>
      </c>
      <c r="B25" s="69">
        <f>IF('DEEP Score'!$E$38="","",'DEEP Score'!$E$38)</f>
        <v/>
      </c>
      <c r="C25" s="69">
        <f>""</f>
        <v/>
      </c>
      <c r="D25" s="69">
        <f>"spring_chem_ph|"&amp;'Metrics'!$C$25</f>
        <v/>
      </c>
      <c r="E25" s="69">
        <f>IFERROR(MATCH('Metrics'!$D$25,curve_key,0),MATCH("spring_chem_ph|",curve_key,0))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Score'!$E$39="","",'DEEP Score'!$E$39)</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IF('DEEP Score'!$F$40="","All streams (pooled)",'DEEP Score'!$F$40)</f>
        <v/>
      </c>
      <c r="D27" s="69">
        <f>"spring_phab_pct_fast|"&amp;'Metrics'!$C$27</f>
        <v/>
      </c>
      <c r="E27" s="69">
        <f>IFERROR(MATCH('Metrics'!$D$27,curve_key,0),MATCH("spring_phab_pct_fast|All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f>
        <v/>
      </c>
      <c r="D28" s="69">
        <f>"spring_phab_xfc_nat|"&amp;'Metrics'!$C$28</f>
        <v/>
      </c>
      <c r="E28" s="69">
        <f>IFERROR(MATCH('Metrics'!$D$28,curve_key,0),MATCH("spring_phab_xfc_nat|",curve_key,0))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Score'!$E$42="","",'DEEP Score'!$E$42)</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Native fish taxa richness</t>
        </is>
      </c>
      <c r="B30" s="69">
        <f>IF('DEEP Score'!$E$43="","",'DEEP Score'!$E$43)</f>
        <v/>
      </c>
      <c r="C30" s="69">
        <f>""</f>
        <v/>
      </c>
      <c r="D30" s="69">
        <f>"spring_fish_nat_totlntax|"&amp;'Metrics'!$C$30</f>
        <v/>
      </c>
      <c r="E30" s="69">
        <f>IFERROR(MATCH('Metrics'!$D$30,curve_key,0),MATCH("spring_fish_nat_totlntax|",curve_key,0))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Shannon diversity (H')</t>
        </is>
      </c>
      <c r="B32" s="69">
        <f>IF('DEEP Score'!$E$45="","",'DEEP Score'!$E$45)</f>
        <v/>
      </c>
      <c r="C32" s="69">
        <f>""</f>
        <v/>
      </c>
      <c r="D32" s="69">
        <f>"spring_bent_hprime|"&amp;'Metrics'!$C$32</f>
        <v/>
      </c>
      <c r="E32" s="69">
        <f>IFERROR(MATCH('Metrics'!$D$32,curve_key,0),MATCH("spring_bent_hprime|",curve_key,0))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 cover of the watershed</t>
        </is>
      </c>
      <c r="D7" s="68" t="inlineStr"/>
      <c r="E7" s="68" t="n">
        <v>4</v>
      </c>
      <c r="F7" s="68" t="inlineStr">
        <is>
          <t>Adopted from EASI's national screening method (provisional)</t>
        </is>
      </c>
      <c r="G7" s="68" t="n">
        <v>0</v>
      </c>
      <c r="H7" s="68" t="n">
        <v>0.995</v>
      </c>
      <c r="I7" s="68" t="n">
        <v>5</v>
      </c>
      <c r="J7" s="68" t="n">
        <v>9.138500000000001</v>
      </c>
      <c r="K7" s="68" t="n">
        <v>9.138500000000001</v>
      </c>
      <c r="L7" s="68" t="n">
        <v>9.138500000000001</v>
      </c>
      <c r="M7" s="68" t="n">
        <v>9.138500000000001</v>
      </c>
      <c r="N7" s="68" t="n">
        <v>9.138500000000001</v>
      </c>
      <c r="O7" s="68" t="n">
        <v>0.315468</v>
      </c>
      <c r="P7" s="68" t="n">
        <v>0.39</v>
      </c>
      <c r="Q7" s="68" t="n">
        <v>0.6899999999999999</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0.37 of evaluation regions; two thirds required; net optimism +0.11, at most 0.05 allowed); confidence capped at 39.</t>
        </is>
      </c>
      <c r="G9" s="68" t="n">
        <v>0</v>
      </c>
      <c r="H9" s="68" t="n">
        <v>18.85645714285714</v>
      </c>
      <c r="I9" s="68" t="n">
        <v>43.9984</v>
      </c>
      <c r="J9" s="68" t="n">
        <v>62.30255</v>
      </c>
      <c r="K9" s="68" t="n">
        <v>71.45462499999999</v>
      </c>
      <c r="L9" s="68" t="n">
        <v>71.45462499999999</v>
      </c>
      <c r="M9" s="68" t="n">
        <v>71.45462499999999</v>
      </c>
      <c r="N9" s="68" t="n">
        <v>71.45462499999999</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t>
        </is>
      </c>
      <c r="B11" s="68" t="inlineStr">
        <is>
          <t>spring-phab-bfwd-rat</t>
        </is>
      </c>
      <c r="C11" s="68" t="inlineStr">
        <is>
          <t>Bankfull width:depth ratio</t>
        </is>
      </c>
      <c r="D11" s="68" t="inlineStr"/>
      <c r="E11" s="68" t="n">
        <v>7</v>
      </c>
      <c r="F11" s="68" t="inlineStr">
        <is>
          <t>26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3.160771441459656</v>
      </c>
      <c r="I11" s="68" t="n">
        <v>6.963296890258789</v>
      </c>
      <c r="J11" s="68" t="n">
        <v>17.82765531539917</v>
      </c>
      <c r="K11" s="68" t="n">
        <v>21.6301807641983</v>
      </c>
      <c r="L11" s="68" t="n">
        <v>28.69201374053955</v>
      </c>
      <c r="M11" s="68" t="n">
        <v>39.55637216567993</v>
      </c>
      <c r="N11" s="68" t="n">
        <v>39.55637216567993</v>
      </c>
      <c r="O11" s="68" t="n">
        <v>0</v>
      </c>
      <c r="P11" s="68" t="n">
        <v>0.7</v>
      </c>
      <c r="Q11" s="68" t="n">
        <v>1</v>
      </c>
      <c r="R11" s="68" t="n">
        <v>1</v>
      </c>
      <c r="S11" s="68" t="n">
        <v>0.7</v>
      </c>
      <c r="T11" s="68" t="n">
        <v>0.3</v>
      </c>
      <c r="U11" s="68" t="n">
        <v>0</v>
      </c>
      <c r="V11" s="68" t="n">
        <v>0</v>
      </c>
    </row>
    <row r="12">
      <c r="A12" s="68" t="inlineStr">
        <is>
          <t>spring_phab_rp100_cm|All streams (pooled)</t>
        </is>
      </c>
      <c r="B12" s="68" t="inlineStr">
        <is>
          <t>spring-phab-rp100-cm</t>
        </is>
      </c>
      <c r="C12" s="68" t="inlineStr">
        <is>
          <t>Residual pool depth</t>
        </is>
      </c>
      <c r="D12" s="68" t="inlineStr">
        <is>
          <t>All streams (pooled)</t>
        </is>
      </c>
      <c r="E12" s="68" t="n">
        <v>5</v>
      </c>
      <c r="F12"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12" s="68" t="n">
        <v>0</v>
      </c>
      <c r="H12" s="68" t="n">
        <v>4.250946521759033</v>
      </c>
      <c r="I12" s="68" t="n">
        <v>9.918875217437744</v>
      </c>
      <c r="J12" s="68" t="n">
        <v>36.89387512207031</v>
      </c>
      <c r="K12" s="68" t="n">
        <v>50.3813750743866</v>
      </c>
      <c r="L12" s="68" t="n">
        <v>50.3813750743866</v>
      </c>
      <c r="M12" s="68" t="n">
        <v>50.3813750743866</v>
      </c>
      <c r="N12" s="68" t="n">
        <v>50.3813750743866</v>
      </c>
      <c r="O12" s="68" t="n">
        <v>0</v>
      </c>
      <c r="P12" s="68" t="n">
        <v>0.3</v>
      </c>
      <c r="Q12" s="68" t="n">
        <v>0.7</v>
      </c>
      <c r="R12" s="68" t="n">
        <v>1</v>
      </c>
      <c r="S12" s="68" t="n">
        <v>1</v>
      </c>
      <c r="T12" s="68" t="n">
        <v>1</v>
      </c>
      <c r="U12" s="68" t="n">
        <v>1</v>
      </c>
      <c r="V12" s="68" t="n">
        <v>1</v>
      </c>
    </row>
    <row r="13">
      <c r="A13" s="68" t="inlineStr">
        <is>
          <t>spring_phab_rp100_cm|Low gradient (under 0.5 percent)</t>
        </is>
      </c>
      <c r="B13" s="68" t="inlineStr">
        <is>
          <t>spring-phab-rp100-cm</t>
        </is>
      </c>
      <c r="C13" s="68" t="inlineStr">
        <is>
          <t>Residual pool depth</t>
        </is>
      </c>
      <c r="D13" s="68" t="inlineStr">
        <is>
          <t>Low gradient (under 0.5 percent)</t>
        </is>
      </c>
      <c r="E13" s="68" t="n">
        <v>5</v>
      </c>
      <c r="F13"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13" s="68" t="n">
        <v>0</v>
      </c>
      <c r="H13" s="68" t="n">
        <v>7.797849042075021</v>
      </c>
      <c r="I13" s="68" t="n">
        <v>18.19498109817505</v>
      </c>
      <c r="J13" s="68" t="n">
        <v>55.02053642272949</v>
      </c>
      <c r="K13" s="68" t="n">
        <v>73.43331408500671</v>
      </c>
      <c r="L13" s="68" t="n">
        <v>73.43331408500671</v>
      </c>
      <c r="M13" s="68" t="n">
        <v>73.43331408500671</v>
      </c>
      <c r="N13" s="68" t="n">
        <v>73.43331408500671</v>
      </c>
      <c r="O13" s="68" t="n">
        <v>0</v>
      </c>
      <c r="P13" s="68" t="n">
        <v>0.3</v>
      </c>
      <c r="Q13" s="68" t="n">
        <v>0.7</v>
      </c>
      <c r="R13" s="68" t="n">
        <v>1</v>
      </c>
      <c r="S13" s="68" t="n">
        <v>1</v>
      </c>
      <c r="T13" s="68" t="n">
        <v>1</v>
      </c>
      <c r="U13" s="68" t="n">
        <v>1</v>
      </c>
      <c r="V13" s="68" t="n">
        <v>1</v>
      </c>
    </row>
    <row r="14">
      <c r="A14" s="68" t="inlineStr">
        <is>
          <t>spring_phab_rp100_cm|Moderate gradient (0.5 to 2 percent)</t>
        </is>
      </c>
      <c r="B14" s="68" t="inlineStr">
        <is>
          <t>spring-phab-rp100-cm</t>
        </is>
      </c>
      <c r="C14" s="68" t="inlineStr">
        <is>
          <t>Residual pool depth</t>
        </is>
      </c>
      <c r="D14" s="68" t="inlineStr">
        <is>
          <t>Moderate gradient (0.5 to 2 percent)</t>
        </is>
      </c>
      <c r="E14" s="68" t="n">
        <v>5</v>
      </c>
      <c r="F14"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14" s="68" t="n">
        <v>0</v>
      </c>
      <c r="H14" s="68" t="n">
        <v>1.9306486589568</v>
      </c>
      <c r="I14" s="68" t="n">
        <v>4.5048468708992</v>
      </c>
      <c r="J14" s="68" t="n">
        <v>14.74026894569397</v>
      </c>
      <c r="K14" s="68" t="n">
        <v>19.85797998309135</v>
      </c>
      <c r="L14" s="68" t="n">
        <v>19.85797998309135</v>
      </c>
      <c r="M14" s="68" t="n">
        <v>19.85797998309135</v>
      </c>
      <c r="N14" s="68" t="n">
        <v>19.85797998309135</v>
      </c>
      <c r="O14" s="68" t="n">
        <v>0</v>
      </c>
      <c r="P14" s="68" t="n">
        <v>0.3</v>
      </c>
      <c r="Q14" s="68" t="n">
        <v>0.7</v>
      </c>
      <c r="R14" s="68" t="n">
        <v>1</v>
      </c>
      <c r="S14" s="68" t="n">
        <v>1</v>
      </c>
      <c r="T14" s="68" t="n">
        <v>1</v>
      </c>
      <c r="U14" s="68" t="n">
        <v>1</v>
      </c>
      <c r="V14" s="68" t="n">
        <v>1</v>
      </c>
    </row>
    <row r="15">
      <c r="A15" s="68" t="inlineStr">
        <is>
          <t>spring_phab_xbkf_h|All streams (pooled)</t>
        </is>
      </c>
      <c r="B15" s="68" t="inlineStr">
        <is>
          <t>spring-phab-xbkf-h</t>
        </is>
      </c>
      <c r="C15" s="68" t="inlineStr">
        <is>
          <t>Bankfull height above channel</t>
        </is>
      </c>
      <c r="D15" s="68" t="inlineStr">
        <is>
          <t>All streams (pooled)</t>
        </is>
      </c>
      <c r="E15" s="68" t="n">
        <v>7</v>
      </c>
      <c r="F15"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0.148590898513794</v>
      </c>
      <c r="I15" s="68" t="n">
        <v>0.3149999976158142</v>
      </c>
      <c r="J15" s="68" t="n">
        <v>0.7904545664787292</v>
      </c>
      <c r="K15" s="68" t="n">
        <v>0.9568636655807495</v>
      </c>
      <c r="L15" s="68" t="n">
        <v>1.265909135341644</v>
      </c>
      <c r="M15" s="68" t="n">
        <v>1.741363704204559</v>
      </c>
      <c r="N15" s="68" t="n">
        <v>1.741363704204559</v>
      </c>
      <c r="O15" s="68" t="n">
        <v>0</v>
      </c>
      <c r="P15" s="68" t="n">
        <v>0.7</v>
      </c>
      <c r="Q15" s="68" t="n">
        <v>1</v>
      </c>
      <c r="R15" s="68" t="n">
        <v>1</v>
      </c>
      <c r="S15" s="68" t="n">
        <v>0.7</v>
      </c>
      <c r="T15" s="68" t="n">
        <v>0.3</v>
      </c>
      <c r="U15" s="68" t="n">
        <v>0</v>
      </c>
      <c r="V15" s="68" t="n">
        <v>0</v>
      </c>
    </row>
    <row r="16">
      <c r="A16" s="68" t="inlineStr">
        <is>
          <t>spring_phab_xbkf_h|Headwater (10 km2 and under)</t>
        </is>
      </c>
      <c r="B16" s="68" t="inlineStr">
        <is>
          <t>spring-phab-xbkf-h</t>
        </is>
      </c>
      <c r="C16" s="68" t="inlineStr">
        <is>
          <t>Bankfull height above channel</t>
        </is>
      </c>
      <c r="D16" s="68" t="inlineStr">
        <is>
          <t>Headwater (10 km2 and under)</t>
        </is>
      </c>
      <c r="E16" s="68" t="n">
        <v>7</v>
      </c>
      <c r="F16"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0.1435750063508749</v>
      </c>
      <c r="I16" s="68" t="n">
        <v>0.2295000031590462</v>
      </c>
      <c r="J16" s="68" t="n">
        <v>0.4749999940395355</v>
      </c>
      <c r="K16" s="68" t="n">
        <v>0.5609249908477068</v>
      </c>
      <c r="L16" s="68" t="n">
        <v>0.7204999849200249</v>
      </c>
      <c r="M16" s="68" t="n">
        <v>0.9659999758005142</v>
      </c>
      <c r="N16" s="68" t="n">
        <v>0.9659999758005142</v>
      </c>
      <c r="O16" s="68" t="n">
        <v>0</v>
      </c>
      <c r="P16" s="68" t="n">
        <v>0.7</v>
      </c>
      <c r="Q16" s="68" t="n">
        <v>1</v>
      </c>
      <c r="R16" s="68" t="n">
        <v>1</v>
      </c>
      <c r="S16" s="68" t="n">
        <v>0.7</v>
      </c>
      <c r="T16" s="68" t="n">
        <v>0.3</v>
      </c>
      <c r="U16" s="68" t="n">
        <v>0</v>
      </c>
      <c r="V16" s="68" t="n">
        <v>0</v>
      </c>
    </row>
    <row r="17">
      <c r="A17" s="68" t="inlineStr">
        <is>
          <t>spring_phab_xbkf_h|Small stream (10 to 100 km2)</t>
        </is>
      </c>
      <c r="B17" s="68" t="inlineStr">
        <is>
          <t>spring-phab-xbkf-h</t>
        </is>
      </c>
      <c r="C17" s="68" t="inlineStr">
        <is>
          <t>Bankfull height above channel</t>
        </is>
      </c>
      <c r="D17" s="68" t="inlineStr">
        <is>
          <t>Small stream (10 to 100 km2)</t>
        </is>
      </c>
      <c r="E17" s="68" t="n">
        <v>7</v>
      </c>
      <c r="F17"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7" s="68" t="n">
        <v>0</v>
      </c>
      <c r="H17" s="68" t="n">
        <v>0.1457386393100023</v>
      </c>
      <c r="I17" s="68" t="n">
        <v>0.2988636419177055</v>
      </c>
      <c r="J17" s="68" t="n">
        <v>0.7363636493682861</v>
      </c>
      <c r="K17" s="68" t="n">
        <v>0.8894886519759894</v>
      </c>
      <c r="L17" s="68" t="n">
        <v>1.173863656818867</v>
      </c>
      <c r="M17" s="68" t="n">
        <v>1.611363664269447</v>
      </c>
      <c r="N17" s="68" t="n">
        <v>1.611363664269447</v>
      </c>
      <c r="O17" s="68" t="n">
        <v>0</v>
      </c>
      <c r="P17" s="68" t="n">
        <v>0.7</v>
      </c>
      <c r="Q17" s="68" t="n">
        <v>1</v>
      </c>
      <c r="R17" s="68" t="n">
        <v>1</v>
      </c>
      <c r="S17" s="68" t="n">
        <v>0.7</v>
      </c>
      <c r="T17" s="68" t="n">
        <v>0.3</v>
      </c>
      <c r="U17" s="68" t="n">
        <v>0</v>
      </c>
      <c r="V17" s="68" t="n">
        <v>0</v>
      </c>
    </row>
    <row r="18">
      <c r="A18" s="68" t="inlineStr">
        <is>
          <t>spring_phab_xbkf_h|Large stream (over 100 km2)</t>
        </is>
      </c>
      <c r="B18" s="68" t="inlineStr">
        <is>
          <t>spring-phab-xbkf-h</t>
        </is>
      </c>
      <c r="C18" s="68" t="inlineStr">
        <is>
          <t>Bankfull height above channel</t>
        </is>
      </c>
      <c r="D18" s="68" t="inlineStr">
        <is>
          <t>Large stream (over 100 km2)</t>
        </is>
      </c>
      <c r="E18" s="68" t="n">
        <v>7</v>
      </c>
      <c r="F18"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8" s="68" t="n">
        <v>0</v>
      </c>
      <c r="H18" s="68" t="n">
        <v>0.1677272915840149</v>
      </c>
      <c r="I18" s="68" t="n">
        <v>0.4000000059604645</v>
      </c>
      <c r="J18" s="68" t="n">
        <v>1.06363633275032</v>
      </c>
      <c r="K18" s="68" t="n">
        <v>1.29590904712677</v>
      </c>
      <c r="L18" s="68" t="n">
        <v>1.727272659540176</v>
      </c>
      <c r="M18" s="68" t="n">
        <v>2.390908986330032</v>
      </c>
      <c r="N18" s="68" t="n">
        <v>2.390908986330032</v>
      </c>
      <c r="O18" s="68" t="n">
        <v>0</v>
      </c>
      <c r="P18" s="68" t="n">
        <v>0.7</v>
      </c>
      <c r="Q18" s="68" t="n">
        <v>1</v>
      </c>
      <c r="R18" s="68" t="n">
        <v>1</v>
      </c>
      <c r="S18" s="68" t="n">
        <v>0.7</v>
      </c>
      <c r="T18" s="68" t="n">
        <v>0.3</v>
      </c>
      <c r="U18" s="68" t="n">
        <v>0</v>
      </c>
      <c r="V18" s="68" t="n">
        <v>0</v>
      </c>
    </row>
    <row r="19">
      <c r="A19" s="68" t="inlineStr">
        <is>
          <t>spring_phab_pct_safn|</t>
        </is>
      </c>
      <c r="B19" s="68" t="inlineStr">
        <is>
          <t>spring-phab-pct-safn</t>
        </is>
      </c>
      <c r="C19" s="68" t="inlineStr">
        <is>
          <t>Sand + fines</t>
        </is>
      </c>
      <c r="D19" s="68" t="inlineStr"/>
      <c r="E19" s="68" t="n">
        <v>4</v>
      </c>
      <c r="F19" s="68" t="inlineStr">
        <is>
          <t>26 least-disturbed stations borrowed from Level II ecoregion 8.3 (Southeastern Usa Plains) under the regional screen (agriculture at most 37.8 percent), transfer risk low</t>
        </is>
      </c>
      <c r="G19" s="68" t="n">
        <v>1.904763460159302</v>
      </c>
      <c r="H19" s="68" t="n">
        <v>25.23809576034546</v>
      </c>
      <c r="I19" s="68" t="n">
        <v>71.90476036071777</v>
      </c>
      <c r="J19" s="68" t="n">
        <v>100</v>
      </c>
      <c r="K19" s="68" t="n">
        <v>100</v>
      </c>
      <c r="L19" s="68" t="n">
        <v>100</v>
      </c>
      <c r="M19" s="68" t="n">
        <v>100</v>
      </c>
      <c r="N19" s="68" t="n">
        <v>100</v>
      </c>
      <c r="O19" s="68" t="n">
        <v>1</v>
      </c>
      <c r="P19" s="68" t="n">
        <v>1</v>
      </c>
      <c r="Q19" s="68" t="n">
        <v>0.7</v>
      </c>
      <c r="R19" s="68" t="n">
        <v>0</v>
      </c>
      <c r="S19" s="68" t="n">
        <v>0</v>
      </c>
      <c r="T19" s="68" t="n">
        <v>0</v>
      </c>
      <c r="U19" s="68" t="n">
        <v>0</v>
      </c>
      <c r="V19" s="68" t="n">
        <v>0</v>
      </c>
    </row>
    <row r="20">
      <c r="A20" s="68" t="inlineStr">
        <is>
          <t>spring_phab_xembed|</t>
        </is>
      </c>
      <c r="B20" s="68" t="inlineStr">
        <is>
          <t>spring-phab-xembed</t>
        </is>
      </c>
      <c r="C20" s="68" t="inlineStr">
        <is>
          <t>Embeddedness</t>
        </is>
      </c>
      <c r="D20" s="68" t="inlineStr"/>
      <c r="E20" s="68" t="n">
        <v>4</v>
      </c>
      <c r="F20" s="68" t="inlineStr">
        <is>
          <t>78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+0.07, at most 0.05 allowed); confidence capped at 39.</t>
        </is>
      </c>
      <c r="G20" s="68" t="n">
        <v>14.06363654136658</v>
      </c>
      <c r="H20" s="68" t="n">
        <v>32.47727251052856</v>
      </c>
      <c r="I20" s="68" t="n">
        <v>69.30454444885254</v>
      </c>
      <c r="J20" s="68" t="n">
        <v>100</v>
      </c>
      <c r="K20" s="68" t="n">
        <v>100</v>
      </c>
      <c r="L20" s="68" t="n">
        <v>100</v>
      </c>
      <c r="M20" s="68" t="n">
        <v>100</v>
      </c>
      <c r="N20" s="68" t="n">
        <v>100</v>
      </c>
      <c r="O20" s="68" t="n">
        <v>1</v>
      </c>
      <c r="P20" s="68" t="n">
        <v>1</v>
      </c>
      <c r="Q20" s="68" t="n">
        <v>0.7</v>
      </c>
      <c r="R20" s="68" t="n">
        <v>0</v>
      </c>
      <c r="S20" s="68" t="n">
        <v>0</v>
      </c>
      <c r="T20" s="68" t="n">
        <v>0</v>
      </c>
      <c r="U20" s="68" t="n">
        <v>0</v>
      </c>
      <c r="V20" s="68" t="n">
        <v>0</v>
      </c>
    </row>
    <row r="21">
      <c r="A21" s="68" t="inlineStr">
        <is>
          <t>spring_phab_xbka|</t>
        </is>
      </c>
      <c r="B21" s="68" t="inlineStr">
        <is>
          <t>spring-phab-xbka</t>
        </is>
      </c>
      <c r="C21" s="68" t="inlineStr">
        <is>
          <t>Bank angle</t>
        </is>
      </c>
      <c r="D21" s="68" t="inlineStr"/>
      <c r="E21" s="68" t="n">
        <v>7</v>
      </c>
      <c r="F21" s="68" t="inlineStr">
        <is>
          <t>12 least-disturbed streams of this ecoregion under the regional screen (agriculture at most 37.8 percent)</t>
        </is>
      </c>
      <c r="G21" s="68" t="n">
        <v>4.227273941040039</v>
      </c>
      <c r="H21" s="68" t="n">
        <v>19.97727308273316</v>
      </c>
      <c r="I21" s="68" t="n">
        <v>23.31818199157715</v>
      </c>
      <c r="J21" s="68" t="n">
        <v>32.8636360168457</v>
      </c>
      <c r="K21" s="68" t="n">
        <v>36.2045449256897</v>
      </c>
      <c r="L21" s="68" t="n">
        <v>42.40909004211426</v>
      </c>
      <c r="M21" s="68" t="n">
        <v>51.95454406738281</v>
      </c>
      <c r="N21" s="68" t="n">
        <v>51.95454406738281</v>
      </c>
      <c r="O21" s="68" t="n">
        <v>0.7</v>
      </c>
      <c r="P21" s="68" t="n">
        <v>0.7</v>
      </c>
      <c r="Q21" s="68" t="n">
        <v>1</v>
      </c>
      <c r="R21" s="68" t="n">
        <v>1</v>
      </c>
      <c r="S21" s="68" t="n">
        <v>0.7</v>
      </c>
      <c r="T21" s="68" t="n">
        <v>0.3</v>
      </c>
      <c r="U21" s="68" t="n">
        <v>0</v>
      </c>
      <c r="V21" s="68" t="n">
        <v>0</v>
      </c>
    </row>
    <row r="22">
      <c r="A22" s="68" t="inlineStr">
        <is>
          <t>spring_phab_sinu|</t>
        </is>
      </c>
      <c r="B22" s="68" t="inlineStr">
        <is>
          <t>spring-phab-sinu</t>
        </is>
      </c>
      <c r="C22" s="68" t="inlineStr">
        <is>
          <t>Sinuosity</t>
        </is>
      </c>
      <c r="D22" s="68" t="inlineStr"/>
      <c r="E22" s="68" t="n">
        <v>4</v>
      </c>
      <c r="F22" s="68" t="inlineStr">
        <is>
          <t>Reference curve fitted to comparable least-disturbed stations drawn from the national pool, because this ecoregion and its parents hold too few of their own.</t>
        </is>
      </c>
      <c r="G22" s="68" t="n">
        <v>1</v>
      </c>
      <c r="H22" s="68" t="n">
        <v>1.079162359237671</v>
      </c>
      <c r="I22" s="68" t="n">
        <v>1.377684712409973</v>
      </c>
      <c r="J22" s="68" t="n">
        <v>1.526945888996124</v>
      </c>
      <c r="K22" s="68" t="n">
        <v>1.526945888996124</v>
      </c>
      <c r="L22" s="68" t="n">
        <v>1.526945888996124</v>
      </c>
      <c r="M22" s="68" t="n">
        <v>1.526945888996124</v>
      </c>
      <c r="N22" s="68" t="n">
        <v>1.526945888996124</v>
      </c>
      <c r="O22" s="68" t="n">
        <v>0</v>
      </c>
      <c r="P22" s="68" t="n">
        <v>0.7</v>
      </c>
      <c r="Q22" s="68" t="n">
        <v>1</v>
      </c>
      <c r="R22" s="68" t="n">
        <v>1</v>
      </c>
      <c r="S22" s="68" t="n">
        <v>1</v>
      </c>
      <c r="T22" s="68" t="n">
        <v>1</v>
      </c>
      <c r="U22" s="68" t="n">
        <v>1</v>
      </c>
      <c r="V22" s="68" t="n">
        <v>1</v>
      </c>
    </row>
    <row r="23">
      <c r="A23" s="68" t="inlineStr">
        <is>
          <t>spring_phab_lrbs_use|All streams (pooled)</t>
        </is>
      </c>
      <c r="B23" s="68" t="inlineStr">
        <is>
          <t>spring-phab-lrbs-use</t>
        </is>
      </c>
      <c r="C23" s="68" t="inlineStr">
        <is>
          <t>Relative bed stability</t>
        </is>
      </c>
      <c r="D23" s="68" t="inlineStr">
        <is>
          <t>All streams (pooled)</t>
        </is>
      </c>
      <c r="E23" s="68" t="n">
        <v>8</v>
      </c>
      <c r="F23" s="68" t="inlineStr">
        <is>
          <t>99 least-disturbed stations borrowed from Level I ecoregion 8 (Eastern Temperate Forests) under the regional screen (agriculture at most 37.8 percent), transfer risk high</t>
        </is>
      </c>
      <c r="G23" s="68" t="n">
        <v>-3.82398185133934</v>
      </c>
      <c r="H23" s="68" t="n">
        <v>-2.335940450429916</v>
      </c>
      <c r="I23" s="68" t="n">
        <v>-1.368713539838791</v>
      </c>
      <c r="J23" s="68" t="n">
        <v>-0.8478990495204926</v>
      </c>
      <c r="K23" s="68" t="n">
        <v>0.6401423513889313</v>
      </c>
      <c r="L23" s="68" t="n">
        <v>1.16095684170723</v>
      </c>
      <c r="M23" s="68" t="n">
        <v>2.128183752298355</v>
      </c>
      <c r="N23" s="68" t="n">
        <v>3.616225153207779</v>
      </c>
      <c r="O23" s="68" t="n">
        <v>0</v>
      </c>
      <c r="P23" s="68" t="n">
        <v>0.3</v>
      </c>
      <c r="Q23" s="68" t="n">
        <v>0.7</v>
      </c>
      <c r="R23" s="68" t="n">
        <v>1</v>
      </c>
      <c r="S23" s="68" t="n">
        <v>1</v>
      </c>
      <c r="T23" s="68" t="n">
        <v>0.7</v>
      </c>
      <c r="U23" s="68" t="n">
        <v>0.3</v>
      </c>
      <c r="V23" s="68" t="n">
        <v>0</v>
      </c>
    </row>
    <row r="24">
      <c r="A24" s="68" t="inlineStr">
        <is>
          <t>spring_phab_lrbs_use|Headwater (10 km2 and under)</t>
        </is>
      </c>
      <c r="B24" s="68" t="inlineStr">
        <is>
          <t>spring-phab-lrbs-use</t>
        </is>
      </c>
      <c r="C24" s="68" t="inlineStr">
        <is>
          <t>Relative bed stability</t>
        </is>
      </c>
      <c r="D24" s="68" t="inlineStr">
        <is>
          <t>Headwater (10 km2 and under)</t>
        </is>
      </c>
      <c r="E24" s="68" t="n">
        <v>8</v>
      </c>
      <c r="F24" s="68" t="inlineStr">
        <is>
          <t>99 least-disturbed stations borrowed from Level I ecoregion 8 (Eastern Temperate Forests) under the regional screen (agriculture at most 37.8 percent), transfer risk high</t>
        </is>
      </c>
      <c r="G24" s="68" t="n">
        <v>-3.938944253517548</v>
      </c>
      <c r="H24" s="68" t="n">
        <v>-2.6292889581091</v>
      </c>
      <c r="I24" s="68" t="n">
        <v>-1.77801301609361</v>
      </c>
      <c r="J24" s="68" t="n">
        <v>-1.319633662700653</v>
      </c>
      <c r="K24" s="68" t="n">
        <v>-0.009978367292205803</v>
      </c>
      <c r="L24" s="68" t="n">
        <v>0.4484009861007507</v>
      </c>
      <c r="M24" s="68" t="n">
        <v>1.299676928116241</v>
      </c>
      <c r="N24" s="68" t="n">
        <v>2.609332223524689</v>
      </c>
      <c r="O24" s="68" t="n">
        <v>0</v>
      </c>
      <c r="P24" s="68" t="n">
        <v>0.3</v>
      </c>
      <c r="Q24" s="68" t="n">
        <v>0.7</v>
      </c>
      <c r="R24" s="68" t="n">
        <v>1</v>
      </c>
      <c r="S24" s="68" t="n">
        <v>1</v>
      </c>
      <c r="T24" s="68" t="n">
        <v>0.7</v>
      </c>
      <c r="U24" s="68" t="n">
        <v>0.3</v>
      </c>
      <c r="V24" s="68" t="n">
        <v>0</v>
      </c>
    </row>
    <row r="25">
      <c r="A25" s="68" t="inlineStr">
        <is>
          <t>spring_phab_lrbs_use|Small stream (10 to 100 km2)</t>
        </is>
      </c>
      <c r="B25" s="68" t="inlineStr">
        <is>
          <t>spring-phab-lrbs-use</t>
        </is>
      </c>
      <c r="C25" s="68" t="inlineStr">
        <is>
          <t>Relative bed stability</t>
        </is>
      </c>
      <c r="D25" s="68" t="inlineStr">
        <is>
          <t>Small stream (10 to 100 km2)</t>
        </is>
      </c>
      <c r="E25" s="68" t="n">
        <v>8</v>
      </c>
      <c r="F25" s="68" t="inlineStr">
        <is>
          <t>99 least-disturbed stations borrowed from Level I ecoregion 8 (Eastern Temperate Forests) under the regional screen (agriculture at most 37.8 percent), transfer risk high</t>
        </is>
      </c>
      <c r="G25" s="68" t="n">
        <v>-3.097307592630386</v>
      </c>
      <c r="H25" s="68" t="n">
        <v>-1.990898862481117</v>
      </c>
      <c r="I25" s="68" t="n">
        <v>-1.271733187884092</v>
      </c>
      <c r="J25" s="68" t="n">
        <v>-0.8844901323318481</v>
      </c>
      <c r="K25" s="68" t="n">
        <v>0.221918597817421</v>
      </c>
      <c r="L25" s="68" t="n">
        <v>0.6091616533696651</v>
      </c>
      <c r="M25" s="68" t="n">
        <v>1.32832732796669</v>
      </c>
      <c r="N25" s="68" t="n">
        <v>2.434736058115959</v>
      </c>
      <c r="O25" s="68" t="n">
        <v>0</v>
      </c>
      <c r="P25" s="68" t="n">
        <v>0.3</v>
      </c>
      <c r="Q25" s="68" t="n">
        <v>0.7</v>
      </c>
      <c r="R25" s="68" t="n">
        <v>1</v>
      </c>
      <c r="S25" s="68" t="n">
        <v>1</v>
      </c>
      <c r="T25" s="68" t="n">
        <v>0.7</v>
      </c>
      <c r="U25" s="68" t="n">
        <v>0.3</v>
      </c>
      <c r="V25" s="68" t="n">
        <v>0</v>
      </c>
    </row>
    <row r="26">
      <c r="A26" s="68" t="inlineStr">
        <is>
          <t>spring_phab_lrbs_use|Large stream (over 100 km2)</t>
        </is>
      </c>
      <c r="B26" s="68" t="inlineStr">
        <is>
          <t>spring-phab-lrbs-use</t>
        </is>
      </c>
      <c r="C26" s="68" t="inlineStr">
        <is>
          <t>Relative bed stability</t>
        </is>
      </c>
      <c r="D26" s="68" t="inlineStr">
        <is>
          <t>Large stream (over 100 km2)</t>
        </is>
      </c>
      <c r="E26" s="68" t="n">
        <v>8</v>
      </c>
      <c r="F26" s="68" t="inlineStr">
        <is>
          <t>99 least-disturbed stations borrowed from Level I ecoregion 8 (Eastern Temperate Forests) under the regional screen (agriculture at most 37.8 percent), transfer risk high</t>
        </is>
      </c>
      <c r="G26" s="68" t="n">
        <v>-3.24961157143116</v>
      </c>
      <c r="H26" s="68" t="n">
        <v>-1.892132923007011</v>
      </c>
      <c r="I26" s="68" t="n">
        <v>-1.009771801531315</v>
      </c>
      <c r="J26" s="68" t="n">
        <v>-0.5346542745828629</v>
      </c>
      <c r="K26" s="68" t="n">
        <v>0.8228243738412857</v>
      </c>
      <c r="L26" s="68" t="n">
        <v>1.297941900789738</v>
      </c>
      <c r="M26" s="68" t="n">
        <v>2.180303022265434</v>
      </c>
      <c r="N26" s="68" t="n">
        <v>3.537781670689583</v>
      </c>
      <c r="O26" s="68" t="n">
        <v>0</v>
      </c>
      <c r="P26" s="68" t="n">
        <v>0.3</v>
      </c>
      <c r="Q26" s="68" t="n">
        <v>0.7</v>
      </c>
      <c r="R26" s="68" t="n">
        <v>1</v>
      </c>
      <c r="S26" s="68" t="n">
        <v>1</v>
      </c>
      <c r="T26" s="68" t="n">
        <v>0.7</v>
      </c>
      <c r="U26" s="68" t="n">
        <v>0.3</v>
      </c>
      <c r="V26" s="68" t="n">
        <v>0</v>
      </c>
    </row>
    <row r="27">
      <c r="A27" s="68" t="inlineStr">
        <is>
          <t>spring_phab_lwdeqvolm100|</t>
        </is>
      </c>
      <c r="B27" s="68" t="inlineStr">
        <is>
          <t>spring-phab-lwdeqvolm100</t>
        </is>
      </c>
      <c r="C27" s="68" t="inlineStr">
        <is>
          <t>Large wood volume</t>
        </is>
      </c>
      <c r="D27" s="68" t="inlineStr"/>
      <c r="E27" s="68" t="n">
        <v>5</v>
      </c>
      <c r="F27" s="68" t="inlineStr">
        <is>
          <t>Reference curve fitted to comparable least-disturbed stations drawn from the national pool, because this ecoregion and its parents hold too few of their own.</t>
        </is>
      </c>
      <c r="G27" s="68" t="n">
        <v>0</v>
      </c>
      <c r="H27" s="68" t="n">
        <v>0.1085604429244995</v>
      </c>
      <c r="I27" s="68" t="n">
        <v>0.2533077001571655</v>
      </c>
      <c r="J27" s="68" t="n">
        <v>4.916562557220459</v>
      </c>
      <c r="K27" s="68" t="n">
        <v>7.248189985752106</v>
      </c>
      <c r="L27" s="68" t="n">
        <v>7.248189985752106</v>
      </c>
      <c r="M27" s="68" t="n">
        <v>7.248189985752106</v>
      </c>
      <c r="N27" s="68" t="n">
        <v>7.248189985752106</v>
      </c>
      <c r="O27" s="68" t="n">
        <v>0</v>
      </c>
      <c r="P27" s="68" t="n">
        <v>0.3</v>
      </c>
      <c r="Q27" s="68" t="n">
        <v>0.7</v>
      </c>
      <c r="R27" s="68" t="n">
        <v>1</v>
      </c>
      <c r="S27" s="68" t="n">
        <v>1</v>
      </c>
      <c r="T27" s="68" t="n">
        <v>1</v>
      </c>
      <c r="U27" s="68" t="n">
        <v>1</v>
      </c>
      <c r="V27" s="68" t="n">
        <v>1</v>
      </c>
    </row>
    <row r="28">
      <c r="A28" s="68" t="inlineStr">
        <is>
          <t>spring_chem_chla|</t>
        </is>
      </c>
      <c r="B28" s="68" t="inlineStr">
        <is>
          <t>spring-chem-chla</t>
        </is>
      </c>
      <c r="C28" s="68" t="inlineStr">
        <is>
          <t>Chlorophyll a</t>
        </is>
      </c>
      <c r="D28" s="68" t="inlineStr"/>
      <c r="E28" s="68" t="n">
        <v>5</v>
      </c>
      <c r="F28" s="68" t="inlineStr">
        <is>
          <t>21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8" s="68" t="n">
        <v>0</v>
      </c>
      <c r="H28" s="68" t="n">
        <v>0.9480000138282776</v>
      </c>
      <c r="I28" s="68" t="n">
        <v>6.480000019073486</v>
      </c>
      <c r="J28" s="68" t="n">
        <v>14.7780000269413</v>
      </c>
      <c r="K28" s="68" t="n">
        <v>20.31000003218651</v>
      </c>
      <c r="L28" s="68" t="n">
        <v>20.31000003218651</v>
      </c>
      <c r="M28" s="68" t="n">
        <v>20.31000003218651</v>
      </c>
      <c r="N28" s="68" t="n">
        <v>20.31000003218651</v>
      </c>
      <c r="O28" s="68" t="n">
        <v>1</v>
      </c>
      <c r="P28" s="68" t="n">
        <v>1</v>
      </c>
      <c r="Q28" s="68" t="n">
        <v>0.7</v>
      </c>
      <c r="R28" s="68" t="n">
        <v>0.3</v>
      </c>
      <c r="S28" s="68" t="n">
        <v>0</v>
      </c>
      <c r="T28" s="68" t="n">
        <v>0</v>
      </c>
      <c r="U28" s="68" t="n">
        <v>0</v>
      </c>
      <c r="V28" s="68" t="n">
        <v>0</v>
      </c>
    </row>
    <row r="29">
      <c r="A29" s="68" t="inlineStr">
        <is>
          <t>spring_phab_xcdenmid|All streams (pooled)</t>
        </is>
      </c>
      <c r="B29" s="68" t="inlineStr">
        <is>
          <t>spring-phab-xcdenmid</t>
        </is>
      </c>
      <c r="C29" s="68" t="inlineStr">
        <is>
          <t>Canopy density, mid-channel</t>
        </is>
      </c>
      <c r="D29" s="68" t="inlineStr">
        <is>
          <t>All streams (pooled)</t>
        </is>
      </c>
      <c r="E29" s="68" t="n">
        <v>5</v>
      </c>
      <c r="F29" s="68" t="inlineStr">
        <is>
          <t>107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8" t="n">
        <v>0</v>
      </c>
      <c r="H29" s="68" t="n">
        <v>34.23414884294782</v>
      </c>
      <c r="I29" s="68" t="n">
        <v>79.87968063354492</v>
      </c>
      <c r="J29" s="68" t="n">
        <v>96.92513275146484</v>
      </c>
      <c r="K29" s="68" t="n">
        <v>100</v>
      </c>
      <c r="L29" s="68" t="n">
        <v>100</v>
      </c>
      <c r="M29" s="68" t="n">
        <v>100</v>
      </c>
      <c r="N29" s="68" t="n">
        <v>100</v>
      </c>
      <c r="O29" s="68" t="n">
        <v>0</v>
      </c>
      <c r="P29" s="68" t="n">
        <v>0.3</v>
      </c>
      <c r="Q29" s="68" t="n">
        <v>0.7</v>
      </c>
      <c r="R29" s="68" t="n">
        <v>1</v>
      </c>
      <c r="S29" s="68" t="n">
        <v>1</v>
      </c>
      <c r="T29" s="68" t="n">
        <v>1</v>
      </c>
      <c r="U29" s="68" t="n">
        <v>1</v>
      </c>
      <c r="V29" s="68" t="n">
        <v>1</v>
      </c>
    </row>
    <row r="30">
      <c r="A30" s="68" t="inlineStr">
        <is>
          <t>spring_phab_xcdenmid|Headwater (10 km2 and under)</t>
        </is>
      </c>
      <c r="B30" s="68" t="inlineStr">
        <is>
          <t>spring-phab-xcdenmid</t>
        </is>
      </c>
      <c r="C30" s="68" t="inlineStr">
        <is>
          <t>Canopy density, mid-channel</t>
        </is>
      </c>
      <c r="D30" s="68" t="inlineStr">
        <is>
          <t>Headwater (10 km2 and under)</t>
        </is>
      </c>
      <c r="E30" s="68" t="n">
        <v>5</v>
      </c>
      <c r="F30" s="68" t="inlineStr">
        <is>
          <t>107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8" t="n">
        <v>0</v>
      </c>
      <c r="H30" s="68" t="n">
        <v>37.92971583775112</v>
      </c>
      <c r="I30" s="68" t="n">
        <v>88.50267028808594</v>
      </c>
      <c r="J30" s="68" t="n">
        <v>98.26203155517578</v>
      </c>
      <c r="K30" s="68" t="n">
        <v>100</v>
      </c>
      <c r="L30" s="68" t="n">
        <v>100</v>
      </c>
      <c r="M30" s="68" t="n">
        <v>100</v>
      </c>
      <c r="N30" s="68" t="n">
        <v>100</v>
      </c>
      <c r="O30" s="68" t="n">
        <v>0</v>
      </c>
      <c r="P30" s="68" t="n">
        <v>0.3</v>
      </c>
      <c r="Q30" s="68" t="n">
        <v>0.7</v>
      </c>
      <c r="R30" s="68" t="n">
        <v>1</v>
      </c>
      <c r="S30" s="68" t="n">
        <v>1</v>
      </c>
      <c r="T30" s="68" t="n">
        <v>1</v>
      </c>
      <c r="U30" s="68" t="n">
        <v>1</v>
      </c>
      <c r="V30" s="68" t="n">
        <v>1</v>
      </c>
    </row>
    <row r="31">
      <c r="A31" s="68" t="inlineStr">
        <is>
          <t>spring_phab_xcdenmid|Small stream (10 to 100 km2)</t>
        </is>
      </c>
      <c r="B31" s="68" t="inlineStr">
        <is>
          <t>spring-phab-xcdenmid</t>
        </is>
      </c>
      <c r="C31" s="68" t="inlineStr">
        <is>
          <t>Canopy density, mid-channel</t>
        </is>
      </c>
      <c r="D31" s="68" t="inlineStr">
        <is>
          <t>Small stream (10 to 100 km2)</t>
        </is>
      </c>
      <c r="E31" s="68" t="n">
        <v>5</v>
      </c>
      <c r="F31" s="68" t="inlineStr">
        <is>
          <t>107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8" t="n">
        <v>0</v>
      </c>
      <c r="H31" s="68" t="n">
        <v>33.40336172921317</v>
      </c>
      <c r="I31" s="68" t="n">
        <v>77.94117736816406</v>
      </c>
      <c r="J31" s="68" t="n">
        <v>95.98930358886719</v>
      </c>
      <c r="K31" s="68" t="n">
        <v>100</v>
      </c>
      <c r="L31" s="68" t="n">
        <v>100</v>
      </c>
      <c r="M31" s="68" t="n">
        <v>100</v>
      </c>
      <c r="N31" s="68" t="n">
        <v>100</v>
      </c>
      <c r="O31" s="68" t="n">
        <v>0</v>
      </c>
      <c r="P31" s="68" t="n">
        <v>0.3</v>
      </c>
      <c r="Q31" s="68" t="n">
        <v>0.7</v>
      </c>
      <c r="R31" s="68" t="n">
        <v>1</v>
      </c>
      <c r="S31" s="68" t="n">
        <v>1</v>
      </c>
      <c r="T31" s="68" t="n">
        <v>1</v>
      </c>
      <c r="U31" s="68" t="n">
        <v>1</v>
      </c>
      <c r="V31" s="68" t="n">
        <v>1</v>
      </c>
    </row>
    <row r="32">
      <c r="A32" s="68" t="inlineStr">
        <is>
          <t>spring_phab_xcdenmid|Large stream (over 100 km2)</t>
        </is>
      </c>
      <c r="B32" s="68" t="inlineStr">
        <is>
          <t>spring-phab-xcdenmid</t>
        </is>
      </c>
      <c r="C32" s="68" t="inlineStr">
        <is>
          <t>Canopy density, mid-channel</t>
        </is>
      </c>
      <c r="D32" s="68" t="inlineStr">
        <is>
          <t>Large stream (over 100 km2)</t>
        </is>
      </c>
      <c r="E32" s="68" t="n">
        <v>5</v>
      </c>
      <c r="F32" s="68" t="inlineStr">
        <is>
          <t>107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2" s="68" t="n">
        <v>0</v>
      </c>
      <c r="H32" s="68" t="n">
        <v>27.60575866699219</v>
      </c>
      <c r="I32" s="68" t="n">
        <v>64.41343688964844</v>
      </c>
      <c r="J32" s="68" t="n">
        <v>87.16577339172363</v>
      </c>
      <c r="K32" s="68" t="n">
        <v>98.54194164276123</v>
      </c>
      <c r="L32" s="68" t="n">
        <v>98.54194164276123</v>
      </c>
      <c r="M32" s="68" t="n">
        <v>98.54194164276123</v>
      </c>
      <c r="N32" s="68" t="n">
        <v>98.54194164276123</v>
      </c>
      <c r="O32" s="68" t="n">
        <v>0</v>
      </c>
      <c r="P32" s="68" t="n">
        <v>0.3</v>
      </c>
      <c r="Q32" s="68" t="n">
        <v>0.7</v>
      </c>
      <c r="R32" s="68" t="n">
        <v>1</v>
      </c>
      <c r="S32" s="68" t="n">
        <v>1</v>
      </c>
      <c r="T32" s="68" t="n">
        <v>1</v>
      </c>
      <c r="U32" s="68" t="n">
        <v>1</v>
      </c>
      <c r="V32" s="68" t="n">
        <v>1</v>
      </c>
    </row>
    <row r="33">
      <c r="A33" s="68" t="inlineStr">
        <is>
          <t>spring_phab_xcmgw|</t>
        </is>
      </c>
      <c r="B33" s="68" t="inlineStr">
        <is>
          <t>spring-phab-xcmgw</t>
        </is>
      </c>
      <c r="C33" s="68" t="inlineStr">
        <is>
          <t>Riparian veg cover, woody</t>
        </is>
      </c>
      <c r="D33" s="68" t="inlineStr"/>
      <c r="E33" s="68" t="n">
        <v>5</v>
      </c>
      <c r="F33" s="68" t="inlineStr">
        <is>
          <t>115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3" s="68" t="n">
        <v>0</v>
      </c>
      <c r="H33" s="68" t="n">
        <v>0.3540584359850202</v>
      </c>
      <c r="I33" s="68" t="n">
        <v>0.8261363506317139</v>
      </c>
      <c r="J33" s="68" t="n">
        <v>1.359659075737</v>
      </c>
      <c r="K33" s="68" t="n">
        <v>1.626420438289642</v>
      </c>
      <c r="L33" s="68" t="n">
        <v>1.626420438289642</v>
      </c>
      <c r="M33" s="68" t="n">
        <v>1.626420438289642</v>
      </c>
      <c r="N33" s="68" t="n">
        <v>1.626420438289642</v>
      </c>
      <c r="O33" s="68" t="n">
        <v>0</v>
      </c>
      <c r="P33" s="68" t="n">
        <v>0.3</v>
      </c>
      <c r="Q33" s="68" t="n">
        <v>0.7</v>
      </c>
      <c r="R33" s="68" t="n">
        <v>1</v>
      </c>
      <c r="S33" s="68" t="n">
        <v>1</v>
      </c>
      <c r="T33" s="68" t="n">
        <v>1</v>
      </c>
      <c r="U33" s="68" t="n">
        <v>1</v>
      </c>
      <c r="V33" s="68" t="n">
        <v>1</v>
      </c>
    </row>
    <row r="34">
      <c r="A34" s="68" t="inlineStr">
        <is>
          <t>spring_chem_ntl|</t>
        </is>
      </c>
      <c r="B34" s="68" t="inlineStr">
        <is>
          <t>spring-chem-ntl</t>
        </is>
      </c>
      <c r="C34" s="68" t="inlineStr">
        <is>
          <t>Total nitrogen</t>
        </is>
      </c>
      <c r="D34" s="68" t="inlineStr"/>
      <c r="E34" s="68" t="n">
        <v>4</v>
      </c>
      <c r="F34" s="68" t="inlineStr">
        <is>
          <t>Scored against a published criterion rather than against stations from this ecoregion. The criterion carries its own definition of reference, which need not match this assessment's.</t>
        </is>
      </c>
      <c r="G34" s="68" t="n">
        <v>0</v>
      </c>
      <c r="H34" s="68" t="n">
        <v>0.2405</v>
      </c>
      <c r="I34" s="68" t="n">
        <v>0.456</v>
      </c>
      <c r="J34" s="68" t="n">
        <v>0.73615</v>
      </c>
      <c r="K34" s="68" t="n">
        <v>0.73615</v>
      </c>
      <c r="L34" s="68" t="n">
        <v>0.73615</v>
      </c>
      <c r="M34" s="68" t="n">
        <v>0.73615</v>
      </c>
      <c r="N34" s="68" t="n">
        <v>0.73615</v>
      </c>
      <c r="O34" s="68" t="n">
        <v>1</v>
      </c>
      <c r="P34" s="68" t="n">
        <v>0.6899999999999999</v>
      </c>
      <c r="Q34" s="68" t="n">
        <v>0.39</v>
      </c>
      <c r="R34" s="68" t="n">
        <v>0</v>
      </c>
      <c r="S34" s="68" t="n">
        <v>0</v>
      </c>
      <c r="T34" s="68" t="n">
        <v>0</v>
      </c>
      <c r="U34" s="68" t="n">
        <v>0</v>
      </c>
      <c r="V34" s="68" t="n">
        <v>0</v>
      </c>
    </row>
    <row r="35">
      <c r="A35" s="68" t="inlineStr">
        <is>
          <t>spring_chem_ptl|</t>
        </is>
      </c>
      <c r="B35" s="68" t="inlineStr">
        <is>
          <t>spring-chem-ptl</t>
        </is>
      </c>
      <c r="C35" s="68" t="inlineStr">
        <is>
          <t>Total phosphorus</t>
        </is>
      </c>
      <c r="D35" s="68" t="inlineStr"/>
      <c r="E35" s="68" t="n">
        <v>4</v>
      </c>
      <c r="F35" s="68" t="inlineStr">
        <is>
          <t>Scored against a published criterion rather than against stations from this ecoregion. The criterion carries its own definition of reference, which need not match this assessment's.</t>
        </is>
      </c>
      <c r="G35" s="68" t="n">
        <v>0</v>
      </c>
      <c r="H35" s="68" t="n">
        <v>14.85</v>
      </c>
      <c r="I35" s="68" t="n">
        <v>24.4</v>
      </c>
      <c r="J35" s="68" t="n">
        <v>36.815</v>
      </c>
      <c r="K35" s="68" t="n">
        <v>36.815</v>
      </c>
      <c r="L35" s="68" t="n">
        <v>36.815</v>
      </c>
      <c r="M35" s="68" t="n">
        <v>36.815</v>
      </c>
      <c r="N35" s="68" t="n">
        <v>36.815</v>
      </c>
      <c r="O35" s="68" t="n">
        <v>1</v>
      </c>
      <c r="P35" s="68" t="n">
        <v>0.6899999999999999</v>
      </c>
      <c r="Q35" s="68" t="n">
        <v>0.39</v>
      </c>
      <c r="R35" s="68" t="n">
        <v>0</v>
      </c>
      <c r="S35" s="68" t="n">
        <v>0</v>
      </c>
      <c r="T35" s="68" t="n">
        <v>0</v>
      </c>
      <c r="U35" s="68" t="n">
        <v>0</v>
      </c>
      <c r="V35" s="68" t="n">
        <v>0</v>
      </c>
    </row>
    <row r="36">
      <c r="A36" s="68" t="inlineStr">
        <is>
          <t>spring_chem_ph|</t>
        </is>
      </c>
      <c r="B36" s="68" t="inlineStr">
        <is>
          <t>spring-chem-ph</t>
        </is>
      </c>
      <c r="C36" s="68" t="inlineStr">
        <is>
          <t>pH</t>
        </is>
      </c>
      <c r="D36" s="68" t="inlineStr"/>
      <c r="E36" s="68" t="n">
        <v>8</v>
      </c>
      <c r="F36" s="68" t="inlineStr">
        <is>
          <t>77 least-disturbed stations borrowed from Level I ecoregion 8 (Eastern Temperate Forests) under the regional screen (agriculture at most 37.8 percent), transfer risk moderate</t>
        </is>
      </c>
      <c r="G36" s="68" t="n">
        <v>5.439998626708984</v>
      </c>
      <c r="H36" s="68" t="n">
        <v>6.339999198913574</v>
      </c>
      <c r="I36" s="68" t="n">
        <v>6.924999570846557</v>
      </c>
      <c r="J36" s="68" t="n">
        <v>7.239999771118164</v>
      </c>
      <c r="K36" s="68" t="n">
        <v>8.140000343322754</v>
      </c>
      <c r="L36" s="68" t="n">
        <v>8.455000543594361</v>
      </c>
      <c r="M36" s="68" t="n">
        <v>9.040000915527344</v>
      </c>
      <c r="N36" s="68" t="n">
        <v>9.940001487731934</v>
      </c>
      <c r="O36" s="68" t="n">
        <v>0</v>
      </c>
      <c r="P36" s="68" t="n">
        <v>0.3</v>
      </c>
      <c r="Q36" s="68" t="n">
        <v>0.7</v>
      </c>
      <c r="R36" s="68" t="n">
        <v>1</v>
      </c>
      <c r="S36" s="68" t="n">
        <v>1</v>
      </c>
      <c r="T36" s="68" t="n">
        <v>0.7</v>
      </c>
      <c r="U36" s="68" t="n">
        <v>0.3</v>
      </c>
      <c r="V36" s="68" t="n">
        <v>0</v>
      </c>
    </row>
    <row r="37">
      <c r="A37" s="68" t="inlineStr">
        <is>
          <t>spring_chem_turb|</t>
        </is>
      </c>
      <c r="B37" s="68" t="inlineStr">
        <is>
          <t>spring-chem-turb</t>
        </is>
      </c>
      <c r="C37" s="68" t="inlineStr">
        <is>
          <t>Turbidity</t>
        </is>
      </c>
      <c r="D37" s="68" t="inlineStr"/>
      <c r="E37" s="68" t="n">
        <v>5</v>
      </c>
      <c r="F37" s="68" t="inlineStr">
        <is>
          <t>Reference curve from a modeled expectation. The response to landscape pressure is estimated nationally and this ecoregion's own level is added, because the ecoregion holds too few streams clean enough to observe reference condition directly.</t>
        </is>
      </c>
      <c r="G37" s="68" t="n">
        <v>0</v>
      </c>
      <c r="H37" s="68" t="n">
        <v>1.717571743850253</v>
      </c>
      <c r="I37" s="68" t="n">
        <v>7.339232371270294</v>
      </c>
      <c r="J37" s="68" t="n">
        <v>15.77172331240035</v>
      </c>
      <c r="K37" s="68" t="n">
        <v>21.3933839398204</v>
      </c>
      <c r="L37" s="68" t="n">
        <v>21.3933839398204</v>
      </c>
      <c r="M37" s="68" t="n">
        <v>21.3933839398204</v>
      </c>
      <c r="N37" s="68" t="n">
        <v>21.3933839398204</v>
      </c>
      <c r="O37" s="68" t="n">
        <v>1</v>
      </c>
      <c r="P37" s="68" t="n">
        <v>1</v>
      </c>
      <c r="Q37" s="68" t="n">
        <v>0.7</v>
      </c>
      <c r="R37" s="68" t="n">
        <v>0.3</v>
      </c>
      <c r="S37" s="68" t="n">
        <v>0</v>
      </c>
      <c r="T37" s="68" t="n">
        <v>0</v>
      </c>
      <c r="U37" s="68" t="n">
        <v>0</v>
      </c>
      <c r="V37" s="68" t="n">
        <v>0</v>
      </c>
    </row>
    <row r="38">
      <c r="A38" s="68" t="inlineStr">
        <is>
          <t>spring_phab_pct_fast|All streams (pooled)</t>
        </is>
      </c>
      <c r="B38" s="68" t="inlineStr">
        <is>
          <t>spring-phab-pct-fast</t>
        </is>
      </c>
      <c r="C38" s="68" t="inlineStr">
        <is>
          <t>Fast-water / riffle habitat</t>
        </is>
      </c>
      <c r="D38" s="68" t="inlineStr">
        <is>
          <t>All streams (pooled)</t>
        </is>
      </c>
      <c r="E38" s="68" t="n">
        <v>5</v>
      </c>
      <c r="F38"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38" s="68" t="n">
        <v>0</v>
      </c>
      <c r="H38" s="68" t="n">
        <v>2.240552289145334</v>
      </c>
      <c r="I38" s="68" t="n">
        <v>5.227955341339111</v>
      </c>
      <c r="J38" s="68" t="n">
        <v>30</v>
      </c>
      <c r="K38" s="68" t="n">
        <v>42.38602232933044</v>
      </c>
      <c r="L38" s="68" t="n">
        <v>42.38602232933044</v>
      </c>
      <c r="M38" s="68" t="n">
        <v>42.38602232933044</v>
      </c>
      <c r="N38" s="68" t="n">
        <v>42.38602232933044</v>
      </c>
      <c r="O38" s="68" t="n">
        <v>0</v>
      </c>
      <c r="P38" s="68" t="n">
        <v>0.3</v>
      </c>
      <c r="Q38" s="68" t="n">
        <v>0.7</v>
      </c>
      <c r="R38" s="68" t="n">
        <v>1</v>
      </c>
      <c r="S38" s="68" t="n">
        <v>1</v>
      </c>
      <c r="T38" s="68" t="n">
        <v>1</v>
      </c>
      <c r="U38" s="68" t="n">
        <v>1</v>
      </c>
      <c r="V38" s="68" t="n">
        <v>1</v>
      </c>
    </row>
    <row r="39">
      <c r="A39" s="68" t="inlineStr">
        <is>
          <t>spring_phab_pct_fast|Low gradient (under 0.5 percent)</t>
        </is>
      </c>
      <c r="B39" s="68" t="inlineStr">
        <is>
          <t>spring-phab-pct-fast</t>
        </is>
      </c>
      <c r="C39" s="68" t="inlineStr">
        <is>
          <t>Fast-water / riffle habitat</t>
        </is>
      </c>
      <c r="D39" s="68" t="inlineStr">
        <is>
          <t>Low gradient (under 0.5 percent)</t>
        </is>
      </c>
      <c r="E39" s="68" t="n">
        <v>5</v>
      </c>
      <c r="F39"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39" s="68" t="n">
        <v>0</v>
      </c>
      <c r="H39" s="68" t="n">
        <v>2.148268410137721</v>
      </c>
      <c r="I39" s="68" t="n">
        <v>5.01262629032135</v>
      </c>
      <c r="J39" s="68" t="n">
        <v>24.75</v>
      </c>
      <c r="K39" s="68" t="n">
        <v>34.61868685483932</v>
      </c>
      <c r="L39" s="68" t="n">
        <v>34.61868685483932</v>
      </c>
      <c r="M39" s="68" t="n">
        <v>34.61868685483932</v>
      </c>
      <c r="N39" s="68" t="n">
        <v>34.61868685483932</v>
      </c>
      <c r="O39" s="68" t="n">
        <v>0</v>
      </c>
      <c r="P39" s="68" t="n">
        <v>0.3</v>
      </c>
      <c r="Q39" s="68" t="n">
        <v>0.7</v>
      </c>
      <c r="R39" s="68" t="n">
        <v>1</v>
      </c>
      <c r="S39" s="68" t="n">
        <v>1</v>
      </c>
      <c r="T39" s="68" t="n">
        <v>1</v>
      </c>
      <c r="U39" s="68" t="n">
        <v>1</v>
      </c>
      <c r="V39" s="68" t="n">
        <v>1</v>
      </c>
    </row>
    <row r="40">
      <c r="A40" s="68" t="inlineStr">
        <is>
          <t>spring_phab_pct_fast|Moderate gradient (0.5 to 2 percent)</t>
        </is>
      </c>
      <c r="B40" s="68" t="inlineStr">
        <is>
          <t>spring-phab-pct-fast</t>
        </is>
      </c>
      <c r="C40" s="68" t="inlineStr">
        <is>
          <t>Fast-water / riffle habitat</t>
        </is>
      </c>
      <c r="D40" s="68" t="inlineStr">
        <is>
          <t>Moderate gradient (0.5 to 2 percent)</t>
        </is>
      </c>
      <c r="E40" s="68" t="n">
        <v>5</v>
      </c>
      <c r="F40" s="68"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+0.06, at most 0.05 allowed); confidence capped at 39.</t>
        </is>
      </c>
      <c r="G40" s="68" t="n">
        <v>0</v>
      </c>
      <c r="H40" s="68" t="n">
        <v>3.779220751353673</v>
      </c>
      <c r="I40" s="68" t="n">
        <v>8.818181753158569</v>
      </c>
      <c r="J40" s="68" t="n">
        <v>60</v>
      </c>
      <c r="K40" s="68" t="n">
        <v>85.59090912342072</v>
      </c>
      <c r="L40" s="68" t="n">
        <v>85.59090912342072</v>
      </c>
      <c r="M40" s="68" t="n">
        <v>85.59090912342072</v>
      </c>
      <c r="N40" s="68" t="n">
        <v>85.59090912342072</v>
      </c>
      <c r="O40" s="68" t="n">
        <v>0</v>
      </c>
      <c r="P40" s="68" t="n">
        <v>0.3</v>
      </c>
      <c r="Q40" s="68" t="n">
        <v>0.7</v>
      </c>
      <c r="R40" s="68" t="n">
        <v>1</v>
      </c>
      <c r="S40" s="68" t="n">
        <v>1</v>
      </c>
      <c r="T40" s="68" t="n">
        <v>1</v>
      </c>
      <c r="U40" s="68" t="n">
        <v>1</v>
      </c>
      <c r="V40" s="68" t="n">
        <v>1</v>
      </c>
    </row>
    <row r="41">
      <c r="A41" s="68" t="inlineStr">
        <is>
          <t>spring_phab_xfc_nat|</t>
        </is>
      </c>
      <c r="B41" s="68" t="inlineStr">
        <is>
          <t>spring-phab-xfc-nat</t>
        </is>
      </c>
      <c r="C41" s="68" t="inlineStr">
        <is>
          <t>Natural fish cover</t>
        </is>
      </c>
      <c r="D41" s="68" t="inlineStr"/>
      <c r="E41" s="68" t="n">
        <v>5</v>
      </c>
      <c r="F41" s="68" t="inlineStr">
        <is>
          <t>14 least-disturbed streams of this ecoregion under the regional screen (agriculture at most 37.8 percent)</t>
        </is>
      </c>
      <c r="G41" s="68" t="n">
        <v>0</v>
      </c>
      <c r="H41" s="68" t="n">
        <v>0.06988636244620595</v>
      </c>
      <c r="I41" s="68" t="n">
        <v>0.1630681790411472</v>
      </c>
      <c r="J41" s="68" t="n">
        <v>0.4204545542597771</v>
      </c>
      <c r="K41" s="68" t="n">
        <v>0.549147741869092</v>
      </c>
      <c r="L41" s="68" t="n">
        <v>0.549147741869092</v>
      </c>
      <c r="M41" s="68" t="n">
        <v>0.549147741869092</v>
      </c>
      <c r="N41" s="68" t="n">
        <v>0.549147741869092</v>
      </c>
      <c r="O41" s="68" t="n">
        <v>0</v>
      </c>
      <c r="P41" s="68" t="n">
        <v>0.3</v>
      </c>
      <c r="Q41" s="68" t="n">
        <v>0.7</v>
      </c>
      <c r="R41" s="68" t="n">
        <v>1</v>
      </c>
      <c r="S41" s="68" t="n">
        <v>1</v>
      </c>
      <c r="T41" s="68" t="n">
        <v>1</v>
      </c>
      <c r="U41" s="68" t="n">
        <v>1</v>
      </c>
      <c r="V41" s="68" t="n">
        <v>1</v>
      </c>
    </row>
    <row r="42">
      <c r="A42" s="68" t="inlineStr">
        <is>
          <t>spring_bent_totlntax|</t>
        </is>
      </c>
      <c r="B42" s="68" t="inlineStr">
        <is>
          <t>spring-bent-totlntax</t>
        </is>
      </c>
      <c r="C42" s="68" t="inlineStr">
        <is>
          <t>Benthic total taxa richness</t>
        </is>
      </c>
      <c r="D42" s="68" t="inlineStr"/>
      <c r="E42" s="68" t="n">
        <v>5</v>
      </c>
      <c r="F42" s="68" t="inlineStr">
        <is>
          <t>24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42" s="68" t="n">
        <v>0</v>
      </c>
      <c r="H42" s="68" t="n">
        <v>8.571428571428571</v>
      </c>
      <c r="I42" s="68" t="n">
        <v>20</v>
      </c>
      <c r="J42" s="68" t="n">
        <v>40.5</v>
      </c>
      <c r="K42" s="68" t="n">
        <v>50.75</v>
      </c>
      <c r="L42" s="68" t="n">
        <v>50.75</v>
      </c>
      <c r="M42" s="68" t="n">
        <v>50.75</v>
      </c>
      <c r="N42" s="68" t="n">
        <v>50.75</v>
      </c>
      <c r="O42" s="68" t="n">
        <v>0</v>
      </c>
      <c r="P42" s="68" t="n">
        <v>0.3</v>
      </c>
      <c r="Q42" s="68" t="n">
        <v>0.7</v>
      </c>
      <c r="R42" s="68" t="n">
        <v>1</v>
      </c>
      <c r="S42" s="68" t="n">
        <v>1</v>
      </c>
      <c r="T42" s="68" t="n">
        <v>1</v>
      </c>
      <c r="U42" s="68" t="n">
        <v>1</v>
      </c>
      <c r="V42" s="68" t="n">
        <v>1</v>
      </c>
    </row>
    <row r="43">
      <c r="A43" s="68" t="inlineStr">
        <is>
          <t>spring_fish_nat_totlntax|</t>
        </is>
      </c>
      <c r="B43" s="68" t="inlineStr">
        <is>
          <t>spring-fish-nat-totlntax</t>
        </is>
      </c>
      <c r="C43" s="68" t="inlineStr">
        <is>
          <t>Native fish taxa richness</t>
        </is>
      </c>
      <c r="D43" s="68" t="inlineStr"/>
      <c r="E43" s="68" t="n">
        <v>5</v>
      </c>
      <c r="F43" s="68" t="inlineStr">
        <is>
          <t>25 least-disturbed stations borrowed from NARS-9 region SAP under the regional screen (agriculture at most 37.8 percent), transfer risk moderate</t>
        </is>
      </c>
      <c r="G43" s="68" t="n">
        <v>0</v>
      </c>
      <c r="H43" s="68" t="n">
        <v>3.857142857142857</v>
      </c>
      <c r="I43" s="68" t="n">
        <v>9</v>
      </c>
      <c r="J43" s="68" t="n">
        <v>24</v>
      </c>
      <c r="K43" s="68" t="n">
        <v>31.5</v>
      </c>
      <c r="L43" s="68" t="n">
        <v>31.5</v>
      </c>
      <c r="M43" s="68" t="n">
        <v>31.5</v>
      </c>
      <c r="N43" s="68" t="n">
        <v>31.5</v>
      </c>
      <c r="O43" s="68" t="n">
        <v>0</v>
      </c>
      <c r="P43" s="68" t="n">
        <v>0.3</v>
      </c>
      <c r="Q43" s="68" t="n">
        <v>0.7</v>
      </c>
      <c r="R43" s="68" t="n">
        <v>1</v>
      </c>
      <c r="S43" s="68" t="n">
        <v>1</v>
      </c>
      <c r="T43" s="68" t="n">
        <v>1</v>
      </c>
      <c r="U43" s="68" t="n">
        <v>1</v>
      </c>
      <c r="V43" s="68" t="n">
        <v>1</v>
      </c>
    </row>
    <row r="44">
      <c r="A44" s="68" t="inlineStr">
        <is>
          <t>spring_bent_ept_ntax|</t>
        </is>
      </c>
      <c r="B44" s="68" t="inlineStr">
        <is>
          <t>spring-bent-ept-ntax</t>
        </is>
      </c>
      <c r="C44" s="68" t="inlineStr">
        <is>
          <t>EPT taxa richness</t>
        </is>
      </c>
      <c r="D44" s="68" t="inlineStr"/>
      <c r="E44" s="68" t="n">
        <v>5</v>
      </c>
      <c r="F44" s="68" t="inlineStr">
        <is>
          <t>24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confidence capped at 39.</t>
        </is>
      </c>
      <c r="G44" s="68" t="n">
        <v>0</v>
      </c>
      <c r="H44" s="68" t="n">
        <v>0.8571428571428571</v>
      </c>
      <c r="I44" s="68" t="n">
        <v>2</v>
      </c>
      <c r="J44" s="68" t="n">
        <v>10</v>
      </c>
      <c r="K44" s="68" t="n">
        <v>14</v>
      </c>
      <c r="L44" s="68" t="n">
        <v>14</v>
      </c>
      <c r="M44" s="68" t="n">
        <v>14</v>
      </c>
      <c r="N44" s="68" t="n">
        <v>14</v>
      </c>
      <c r="O44" s="68" t="n">
        <v>0</v>
      </c>
      <c r="P44" s="68" t="n">
        <v>0.3</v>
      </c>
      <c r="Q44" s="68" t="n">
        <v>0.7</v>
      </c>
      <c r="R44" s="68" t="n">
        <v>1</v>
      </c>
      <c r="S44" s="68" t="n">
        <v>1</v>
      </c>
      <c r="T44" s="68" t="n">
        <v>1</v>
      </c>
      <c r="U44" s="68" t="n">
        <v>1</v>
      </c>
      <c r="V44" s="68" t="n">
        <v>1</v>
      </c>
    </row>
    <row r="45">
      <c r="A45" s="68" t="inlineStr">
        <is>
          <t>spring_bent_hprime|</t>
        </is>
      </c>
      <c r="B45" s="68" t="inlineStr">
        <is>
          <t>spring-bent-hprime</t>
        </is>
      </c>
      <c r="C45" s="68" t="inlineStr">
        <is>
          <t>Shannon diversity (H')</t>
        </is>
      </c>
      <c r="D45" s="68" t="inlineStr"/>
      <c r="E45" s="68" t="n">
        <v>5</v>
      </c>
      <c r="F45" s="68" t="inlineStr">
        <is>
          <t>14 least-disturbed streams of this ecoregion under the regional screen (agriculture at most 37.8 percent)</t>
        </is>
      </c>
      <c r="G45" s="68" t="n">
        <v>0</v>
      </c>
      <c r="H45" s="68" t="n">
        <v>1.093928549970899</v>
      </c>
      <c r="I45" s="68" t="n">
        <v>2.552499949932098</v>
      </c>
      <c r="J45" s="68" t="n">
        <v>2.802499949932098</v>
      </c>
      <c r="K45" s="68" t="n">
        <v>2.927499949932098</v>
      </c>
      <c r="L45" s="68" t="n">
        <v>2.927499949932098</v>
      </c>
      <c r="M45" s="68" t="n">
        <v>2.927499949932098</v>
      </c>
      <c r="N45" s="68" t="n">
        <v>2.927499949932098</v>
      </c>
      <c r="O45" s="68" t="n">
        <v>0</v>
      </c>
      <c r="P45" s="68" t="n">
        <v>0.3</v>
      </c>
      <c r="Q45" s="68" t="n">
        <v>0.7</v>
      </c>
      <c r="R45" s="68" t="n">
        <v>1</v>
      </c>
      <c r="S45" s="68" t="n">
        <v>1</v>
      </c>
      <c r="T45" s="68" t="n">
        <v>1</v>
      </c>
      <c r="U45" s="68" t="n">
        <v>1</v>
      </c>
      <c r="V45" s="68" t="n">
        <v>1</v>
      </c>
    </row>
    <row r="46">
      <c r="A46" s="68" t="inlineStr">
        <is>
          <t>spring_nid_dams_1mi|</t>
        </is>
      </c>
      <c r="B46" s="68" t="inlineStr">
        <is>
          <t>spring-nid-dams-1mi</t>
        </is>
      </c>
      <c r="C46" s="68" t="inlineStr">
        <is>
          <t>Mapped dams within one mile</t>
        </is>
      </c>
      <c r="D46" s="68" t="inlineStr"/>
      <c r="E46" s="68" t="n">
        <v>4</v>
      </c>
      <c r="F46" s="68" t="inlineStr">
        <is>
          <t>Fixed criteria, the same in every region</t>
        </is>
      </c>
      <c r="G46" s="68" t="n">
        <v>0</v>
      </c>
      <c r="H46" s="68" t="n">
        <v>1</v>
      </c>
      <c r="I46" s="68" t="n">
        <v>2</v>
      </c>
      <c r="J46" s="68" t="n">
        <v>3</v>
      </c>
      <c r="K46" s="68" t="n">
        <v>3</v>
      </c>
      <c r="L46" s="68" t="n">
        <v>3</v>
      </c>
      <c r="M46" s="68" t="n">
        <v>3</v>
      </c>
      <c r="N46" s="68" t="n">
        <v>3</v>
      </c>
      <c r="O46" s="68" t="n">
        <v>1</v>
      </c>
      <c r="P46" s="68" t="n">
        <v>0.545</v>
      </c>
      <c r="Q46" s="68" t="n">
        <v>0.195</v>
      </c>
      <c r="R46" s="68" t="n">
        <v>0</v>
      </c>
      <c r="S46" s="68" t="n">
        <v>0</v>
      </c>
      <c r="T46" s="68" t="n">
        <v>0</v>
      </c>
      <c r="U46" s="68" t="n">
        <v>0</v>
      </c>
      <c r="V46" s="68" t="n">
        <v>0</v>
      </c>
    </row>
    <row r="49">
      <c r="A49" s="71" t="inlineStr">
        <is>
          <t>Curve sets by metric</t>
        </is>
      </c>
    </row>
    <row r="50">
      <c r="A50" s="68" t="inlineStr">
        <is>
          <t>All streams (pooled)</t>
        </is>
      </c>
      <c r="B50" s="5" t="inlineStr">
        <is>
          <t>Residual pool depth</t>
        </is>
      </c>
    </row>
    <row r="51">
      <c r="A51" s="68" t="inlineStr">
        <is>
          <t>Low gradient (under 0.5 percent)</t>
        </is>
      </c>
      <c r="B51" s="5" t="inlineStr">
        <is>
          <t>Residual pool depth</t>
        </is>
      </c>
    </row>
    <row r="52">
      <c r="A52" s="68" t="inlineStr">
        <is>
          <t>Moderate gradient (0.5 to 2 percent)</t>
        </is>
      </c>
      <c r="B52" s="5" t="inlineStr">
        <is>
          <t>Residual pool depth</t>
        </is>
      </c>
    </row>
    <row r="53">
      <c r="A53" s="68" t="inlineStr">
        <is>
          <t>All streams (pooled)</t>
        </is>
      </c>
      <c r="B53" s="5" t="inlineStr">
        <is>
          <t>Bankfull height above channel</t>
        </is>
      </c>
    </row>
    <row r="54">
      <c r="A54" s="68" t="inlineStr">
        <is>
          <t>Headwater (10 km2 and under)</t>
        </is>
      </c>
      <c r="B54" s="5" t="inlineStr">
        <is>
          <t>Bankfull height above channel</t>
        </is>
      </c>
    </row>
    <row r="55">
      <c r="A55" s="68" t="inlineStr">
        <is>
          <t>Small stream (10 to 100 km2)</t>
        </is>
      </c>
      <c r="B55" s="5" t="inlineStr">
        <is>
          <t>Bankfull height above channel</t>
        </is>
      </c>
    </row>
    <row r="56">
      <c r="A56" s="68" t="inlineStr">
        <is>
          <t>Large stream (over 100 km2)</t>
        </is>
      </c>
      <c r="B56" s="5" t="inlineStr">
        <is>
          <t>Bankfull height above channel</t>
        </is>
      </c>
    </row>
    <row r="57">
      <c r="A57" s="68" t="inlineStr">
        <is>
          <t>All streams (pooled)</t>
        </is>
      </c>
      <c r="B57" s="5" t="inlineStr">
        <is>
          <t>Relative bed stability</t>
        </is>
      </c>
    </row>
    <row r="58">
      <c r="A58" s="68" t="inlineStr">
        <is>
          <t>Headwater (10 km2 and under)</t>
        </is>
      </c>
      <c r="B58" s="5" t="inlineStr">
        <is>
          <t>Relative bed stability</t>
        </is>
      </c>
    </row>
    <row r="59">
      <c r="A59" s="68" t="inlineStr">
        <is>
          <t>Small stream (10 to 100 km2)</t>
        </is>
      </c>
      <c r="B59" s="5" t="inlineStr">
        <is>
          <t>Relative bed stability</t>
        </is>
      </c>
    </row>
    <row r="60">
      <c r="A60" s="68" t="inlineStr">
        <is>
          <t>Large stream (over 100 km2)</t>
        </is>
      </c>
      <c r="B60" s="5" t="inlineStr">
        <is>
          <t>Relative bed stability</t>
        </is>
      </c>
    </row>
    <row r="61">
      <c r="A61" s="68" t="inlineStr">
        <is>
          <t>All streams (pooled)</t>
        </is>
      </c>
      <c r="B61" s="5" t="inlineStr">
        <is>
          <t>Canopy density, mid-channel</t>
        </is>
      </c>
    </row>
    <row r="62">
      <c r="A62" s="68" t="inlineStr">
        <is>
          <t>Headwater (10 km2 and under)</t>
        </is>
      </c>
      <c r="B62" s="5" t="inlineStr">
        <is>
          <t>Canopy density, mid-channel</t>
        </is>
      </c>
    </row>
    <row r="63">
      <c r="A63" s="68" t="inlineStr">
        <is>
          <t>Small stream (10 to 100 km2)</t>
        </is>
      </c>
      <c r="B63" s="5" t="inlineStr">
        <is>
          <t>Canopy density, mid-channel</t>
        </is>
      </c>
    </row>
    <row r="64">
      <c r="A64" s="68" t="inlineStr">
        <is>
          <t>Large stream (over 100 km2)</t>
        </is>
      </c>
      <c r="B64" s="5" t="inlineStr">
        <is>
          <t>Canopy density, mid-channel</t>
        </is>
      </c>
    </row>
    <row r="65">
      <c r="A65" s="68" t="inlineStr">
        <is>
          <t>All streams (pooled)</t>
        </is>
      </c>
      <c r="B65" s="5" t="inlineStr">
        <is>
          <t>Fast-water / riffle habitat</t>
        </is>
      </c>
    </row>
    <row r="66">
      <c r="A66" s="68" t="inlineStr">
        <is>
          <t>Low gradient (under 0.5 percent)</t>
        </is>
      </c>
      <c r="B66" s="5" t="inlineStr">
        <is>
          <t>Fast-water / riffle habitat</t>
        </is>
      </c>
    </row>
    <row r="67">
      <c r="A67" s="68" t="inlineStr">
        <is>
          <t>Moderate gradient (0.5 to 2 percent)</t>
        </is>
      </c>
      <c r="B67" s="5" t="inlineStr">
        <is>
          <t>Fast-water / riffle habitat</t>
        </is>
      </c>
    </row>
    <row r="70">
      <c r="A70" s="71" t="inlineStr">
        <is>
          <t>Condition classes</t>
        </is>
      </c>
    </row>
    <row r="71">
      <c r="A71" t="inlineStr">
        <is>
          <t>Metric index: at or below 0.39 Non-Functioning, at or below 0.69 Functioning At-Risk, above Functioning.</t>
        </is>
      </c>
    </row>
    <row r="72">
      <c r="A72" t="inlineStr">
        <is>
          <t>Function score (0 to 15): at or below 5 Non-Functioning, at or below 10 Functioning At-Risk, above Functioning.</t>
        </is>
      </c>
    </row>
    <row r="73">
      <c r="A7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interior-plateau</t>
        </is>
      </c>
    </row>
    <row r="5">
      <c r="A5" s="68" t="inlineStr">
        <is>
          <t>Assessment name</t>
        </is>
      </c>
      <c r="B5" s="68" t="inlineStr">
        <is>
          <t>Interior Plateau reference assessment</t>
        </is>
      </c>
    </row>
    <row r="6">
      <c r="A6" s="68" t="inlineStr">
        <is>
          <t>Version</t>
        </is>
      </c>
      <c r="B6" s="68" t="n">
        <v>7</v>
      </c>
    </row>
    <row r="7">
      <c r="A7" s="68" t="inlineStr">
        <is>
          <t>Lifecycle status</t>
        </is>
      </c>
      <c r="B7" s="68" t="inlineStr">
        <is>
          <t>Draft</t>
        </is>
      </c>
    </row>
    <row r="8">
      <c r="A8" s="68" t="inlineStr">
        <is>
          <t>Content digest</t>
        </is>
      </c>
      <c r="B8" s="68" t="inlineStr">
        <is>
          <t>sha256:3dfc705427d34238acf676460286484e2d45c1661e24944b32fa3eec61e60b9e</t>
        </is>
      </c>
    </row>
    <row r="9">
      <c r="A9" s="68" t="inlineStr">
        <is>
          <t>Region</t>
        </is>
      </c>
      <c r="B9" s="68" t="inlineStr">
        <is>
          <t>ecoregion 71 Interior Plateau</t>
        </is>
      </c>
    </row>
    <row r="10">
      <c r="A10" s="68" t="inlineStr">
        <is>
          <t>Source</t>
        </is>
      </c>
      <c r="B10" s="68" t="inlineStr">
        <is>
          <t>USEPA NRSA 2013-24 (L3 ecoregion 71),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2026-09-30T07:07:43Z</dcterms:created>
  <dcterms:modified xmlns:dcterms="http://purl.org/dc/terms/" xmlns:xsi="http://www.w3.org/2001/XMLSchema-instance" xsi:type="dcterms:W3CDTF">2026-09-30T07:07:43Z</dcterms:modified>
  <cp:lastModifiedBy>DEEP</cp:lastModifiedBy>
  <cp:contentStatus>Draft</cp:contentStatus>
</cp:coreProperties>
</file>