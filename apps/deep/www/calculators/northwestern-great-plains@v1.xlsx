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'Reference'!$A$5:$A$41</definedName>
    <definedName name="curve_x1">'Reference'!$G$5:$G$41</definedName>
    <definedName name="curve_y1">'Reference'!$O$5:$O$41</definedName>
    <definedName name="curve_x2">'Reference'!$H$5:$H$41</definedName>
    <definedName name="curve_y2">'Reference'!$P$5:$P$41</definedName>
    <definedName name="curve_x3">'Reference'!$I$5:$I$41</definedName>
    <definedName name="curve_y3">'Reference'!$Q$5:$Q$41</definedName>
    <definedName name="curve_x4">'Reference'!$J$5:$J$41</definedName>
    <definedName name="curve_y4">'Reference'!$R$5:$R$41</definedName>
    <definedName name="curve_x5">'Reference'!$K$5:$K$41</definedName>
    <definedName name="curve_y5">'Reference'!$S$5:$S$41</definedName>
    <definedName name="curve_x6">'Reference'!$L$5:$L$41</definedName>
    <definedName name="curve_y6">'Reference'!$T$5:$T$41</definedName>
    <definedName name="curve_x7">'Reference'!$M$5:$M$41</definedName>
    <definedName name="curve_y7">'Reference'!$U$5:$U$41</definedName>
    <definedName name="curve_x8">'Reference'!$N$5:$N$41</definedName>
    <definedName name="curve_y8">'Reference'!$V$5:$V$41</definedName>
    <definedName name="strata_spring_phab_rp100_cm">'Reference'!$A$45:$A$47</definedName>
    <definedName name="strata_spring_phab_bfwd_rat">'Reference'!$A$48:$A$50</definedName>
    <definedName name="strata_spring_phab_lrbs_use">'Reference'!$A$51:$A$53</definedName>
    <definedName name="strata_spring_fish_nat_totlntax">'Reference'!$A$54:$A$56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cond">'Metrics'!$V$25</definedName>
    <definedName name="idx_spring_chem_turb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ept_ntax">'Metrics'!$V$31</definedName>
    <definedName name="idx_spring_bent_tolrpind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st_spring_phab_rp100_cm">'DEEP Score'!$F$19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turb">'DEEP Score'!$E$39</definedName>
    <definedName name="in_spring_phab_pct_fast">'DEEP Score'!$E$40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st_spring_fish_nat_totlntax">'DEEP Score'!$F$43</definedName>
    <definedName name="in_spring_bent_ept_ntax">'DEEP Score'!$E$44</definedName>
    <definedName name="in_spring_bent_tolrpind">'DEEP Score'!$E$45</definedName>
    <definedName name="in_spring_nid_dams_1mi">'DEEP Score'!$E$46</definedName>
    <definedName name="site_notes">'DEEP Score'!$A$62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Northwestern Great Plains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17 curves are fitted to least-disturbed stations of this ecoregion. 7 curves are fitted to this ecoregion's own streams under the documented regional screen, which relaxes agriculture only. 5 borrow comparable least-disturbed stations from a wider region, stating the region and the transfer risk. 1 carries the national reference label: reference curve fitted to comparable least-disturbed stations drawn from the national pool, because this ecoregion and its parents hold too few of their own. 1 carries the published benchmark label: scored against a published criterion rather than against stations from this ecoregion. The criterion carries its own definition of reference, which need not match this assessment's. 5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7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Northwestern Great Plains reference assessment</t>
        </is>
      </c>
    </row>
    <row r="3">
      <c r="A3" s="5" t="inlineStr">
        <is>
          <t>Version 1 | Draft | USEPA NRSA 2013-24 (L3 ecoregion 43),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44" t="inlineStr">
        <is>
          <t>All streams (pooled)</t>
        </is>
      </c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25" t="inlineStr"/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>
        <f>IF('DEEP Score'!$F$21="","",'DEEP Score'!$F$21)</f>
        <v/>
      </c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 t="inlineStr"/>
      <c r="G26" s="26">
        <f>IF('Metrics'!$V$13="","",'Metrics'!$V$13)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4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IF('Metrics'!$V$14="","",'Metrics'!$V$14)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6">
        <f>IF('DEEP Score'!$E$24="","",'DEEP Score'!$E$24)</f>
        <v/>
      </c>
      <c r="F32" s="47" t="inlineStr"/>
      <c r="G32" s="26">
        <f>IF('Metrics'!$V$15="","",'Metrics'!$V$15)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Specific conductivity</t>
        </is>
      </c>
      <c r="D38" s="14" t="inlineStr">
        <is>
          <t>uS/cm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40" t="inlineStr">
        <is>
          <t>All streams (pooled)</t>
        </is>
      </c>
      <c r="G43" s="26">
        <f>IF('Metrics'!$V$30="","",'Metrics'!$V$30)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Tolerant individuals (%) ~ HBI</t>
        </is>
      </c>
      <c r="D45" s="23" t="inlineStr"/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pH</t>
        </is>
      </c>
      <c r="C58" s="5" t="inlineStr">
        <is>
          <t>Water and soil quality</t>
        </is>
      </c>
    </row>
    <row r="59">
      <c r="A59" t="inlineStr">
        <is>
          <t>Large wood volume</t>
        </is>
      </c>
      <c r="C59" s="5" t="inlineStr">
        <is>
          <t>Bed composition and bedform dynamics</t>
        </is>
      </c>
    </row>
    <row r="61">
      <c r="A61" s="6" t="inlineStr">
        <is>
          <t>Notes</t>
        </is>
      </c>
    </row>
    <row r="62">
      <c r="A62" s="59" t="n"/>
      <c r="B62" s="60" t="n"/>
      <c r="C62" s="60" t="n"/>
      <c r="D62" s="60" t="n"/>
      <c r="E62" s="60" t="n"/>
      <c r="F62" s="60" t="n"/>
      <c r="G62" s="60" t="n"/>
      <c r="H62" s="60" t="n"/>
      <c r="I62" s="61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5" t="n"/>
      <c r="B67" s="66" t="n"/>
      <c r="C67" s="66" t="n"/>
      <c r="D67" s="66" t="n"/>
      <c r="E67" s="66" t="n"/>
      <c r="F67" s="66" t="n"/>
      <c r="G67" s="66" t="n"/>
      <c r="H67" s="66" t="n"/>
      <c r="I67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A62:I67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4"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3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Residual pool depth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"spring_phab_rp100_cm|"&amp;'Metrics'!$C$11</f>
        <v/>
      </c>
      <c r="E11" s="70">
        <f>IFERROR(MATCH('Metrics'!$D$11,curve_key,0),MATCH("spring_phab_rp100_cm|All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width:depth ratio</t>
        </is>
      </c>
      <c r="B12" s="70">
        <f>IF('DEEP Score'!$E$21="","",'DEEP Score'!$E$21)</f>
        <v/>
      </c>
      <c r="C12" s="70">
        <f>IF('DEEP Score'!$F$21="","All streams (pooled)",'DEEP Score'!$F$21)</f>
        <v/>
      </c>
      <c r="D12" s="70">
        <f>"spring_phab_bfwd_rat|"&amp;'Metrics'!$C$12</f>
        <v/>
      </c>
      <c r="E12" s="70">
        <f>IFERROR(MATCH('Metrics'!$D$12,curve_key,0),MATCH("spring_phab_bfwd_rat|All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Bankfull height above channel</t>
        </is>
      </c>
      <c r="B13" s="70">
        <f>IF('DEEP Score'!$E$22="","",'DEEP Score'!$E$22)</f>
        <v/>
      </c>
      <c r="C13" s="70">
        <f>""</f>
        <v/>
      </c>
      <c r="D13" s="70">
        <f>"spring_phab_xbkf_h|"&amp;'Metrics'!$C$13</f>
        <v/>
      </c>
      <c r="E13" s="70">
        <f>IFERROR(MATCH('Metrics'!$D$13,curve_key,0),MATCH("spring_phab_xbkf_h|",curve_key,0))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Sand + fines</t>
        </is>
      </c>
      <c r="B14" s="70">
        <f>IF('DEEP Score'!$E$23="","",'DEEP Score'!$E$23)</f>
        <v/>
      </c>
      <c r="C14" s="70">
        <f>""</f>
        <v/>
      </c>
      <c r="D14" s="70">
        <f>"spring_phab_pct_safn|"&amp;'Metrics'!$C$14</f>
        <v/>
      </c>
      <c r="E14" s="70">
        <f>IFERROR(MATCH('Metrics'!$D$14,curve_key,0),MATCH("spring_phab_pct_safn|",curve_key,0))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Embeddedness</t>
        </is>
      </c>
      <c r="B15" s="70">
        <f>IF('DEEP Score'!$E$24="","",'DEEP Score'!$E$24)</f>
        <v/>
      </c>
      <c r="C15" s="70">
        <f>""</f>
        <v/>
      </c>
      <c r="D15" s="70">
        <f>"spring_phab_xembed|"&amp;'Metrics'!$C$15</f>
        <v/>
      </c>
      <c r="E15" s="70">
        <f>IFERROR(MATCH('Metrics'!$D$15,curve_key,0),MATCH("spring_phab_xembed|",curve_key,0))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Sinuosity</t>
        </is>
      </c>
      <c r="B16" s="70">
        <f>IF('DEEP Score'!$E$27="","",'DEEP Score'!$E$27)</f>
        <v/>
      </c>
      <c r="C16" s="70">
        <f>""</f>
        <v/>
      </c>
      <c r="D16" s="70">
        <f>"spring_phab_sinu|"&amp;'Metrics'!$C$16</f>
        <v/>
      </c>
      <c r="E16" s="70">
        <f>IFERROR(MATCH('Metrics'!$D$16,curve_key,0),MATCH("spring_phab_sinu|",curve_key,0))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Bank angle</t>
        </is>
      </c>
      <c r="B17" s="70">
        <f>IF('DEEP Score'!$E$28="","",'DEEP Score'!$E$28)</f>
        <v/>
      </c>
      <c r="C17" s="70">
        <f>""</f>
        <v/>
      </c>
      <c r="D17" s="70">
        <f>"spring_phab_xbka|"&amp;'Metrics'!$C$17</f>
        <v/>
      </c>
      <c r="E17" s="70">
        <f>IFERROR(MATCH('Metrics'!$D$17,curve_key,0),MATCH("spring_phab_xbka|",curve_key,0))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Relative bed stability</t>
        </is>
      </c>
      <c r="B18" s="70">
        <f>IF('DEEP Score'!$E$29="","",'DEEP Score'!$E$29)</f>
        <v/>
      </c>
      <c r="C18" s="70">
        <f>IF('DEEP Score'!$F$29="","All streams (pooled)",'DEEP Score'!$F$29)</f>
        <v/>
      </c>
      <c r="D18" s="70">
        <f>"spring_phab_lrbs_use|"&amp;'Metrics'!$C$18</f>
        <v/>
      </c>
      <c r="E18" s="70">
        <f>IFERROR(MATCH('Metrics'!$D$18,curve_key,0),MATCH("spring_phab_lrbs_use|All streams (pooled)",curve_key,0))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Substrate size</t>
        </is>
      </c>
      <c r="B19" s="70">
        <f>IF('DEEP Score'!$E$31="","",'DEEP Score'!$E$31)</f>
        <v/>
      </c>
      <c r="C19" s="70">
        <f>""</f>
        <v/>
      </c>
      <c r="D19" s="70">
        <f>"spring_phab_lsub_dmm|"&amp;'Metrics'!$C$19</f>
        <v/>
      </c>
      <c r="E19" s="70">
        <f>IFERROR(MATCH('Metrics'!$D$19,curve_key,0),MATCH("spring_phab_lsub_dmm|",curve_key,0))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Score'!$E$33="","",'DEEP Score'!$E$33)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Canopy density, mid-channel</t>
        </is>
      </c>
      <c r="B21" s="70">
        <f>IF('DEEP Score'!$E$34="","",'DEEP Score'!$E$34)</f>
        <v/>
      </c>
      <c r="C21" s="70">
        <f>""</f>
        <v/>
      </c>
      <c r="D21" s="70">
        <f>"spring_phab_xcdenmid|"&amp;'Metrics'!$C$21</f>
        <v/>
      </c>
      <c r="E21" s="70">
        <f>IFERROR(MATCH('Metrics'!$D$21,curve_key,0),MATCH("spring_phab_xcdenmid|",curve_key,0))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Riparian veg cover, woody</t>
        </is>
      </c>
      <c r="B22" s="70">
        <f>IF('DEEP Score'!$E$35="","",'DEEP Score'!$E$35)</f>
        <v/>
      </c>
      <c r="C22" s="70">
        <f>""</f>
        <v/>
      </c>
      <c r="D22" s="70">
        <f>"spring_phab_xcmgw|"&amp;'Metrics'!$C$22</f>
        <v/>
      </c>
      <c r="E22" s="70">
        <f>IFERROR(MATCH('Metrics'!$D$22,curve_key,0),MATCH("spring_phab_xcmgw|",curve_key,0))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nitrogen</t>
        </is>
      </c>
      <c r="B23" s="70">
        <f>IF('DEEP Score'!$E$36="","",'DEEP Score'!$E$36)</f>
        <v/>
      </c>
      <c r="C23" s="70">
        <f>""</f>
        <v/>
      </c>
      <c r="D23" s="70">
        <f>"spring_chem_ntl|"&amp;'Metrics'!$C$23</f>
        <v/>
      </c>
      <c r="E23" s="70">
        <f>IFERROR(MATCH('Metrics'!$D$23,curve_key,0),MATCH("spring_chem_ntl|",curve_key,0))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phosphorus</t>
        </is>
      </c>
      <c r="B24" s="70">
        <f>IF('DEEP Score'!$E$37="","",'DEEP Score'!$E$37)</f>
        <v/>
      </c>
      <c r="C24" s="70">
        <f>""</f>
        <v/>
      </c>
      <c r="D24" s="70">
        <f>"spring_chem_ptl|"&amp;'Metrics'!$C$24</f>
        <v/>
      </c>
      <c r="E24" s="70">
        <f>IFERROR(MATCH('Metrics'!$D$24,curve_key,0),MATCH("spring_chem_ptl|",curve_key,0))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Score'!$E$38="","",'DEEP Score'!$E$38)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Turbidity</t>
        </is>
      </c>
      <c r="B26" s="70">
        <f>IF('DEEP Score'!$E$39="","",'DEEP Score'!$E$39)</f>
        <v/>
      </c>
      <c r="C26" s="70">
        <f>""</f>
        <v/>
      </c>
      <c r="D26" s="70">
        <f>"spring_chem_turb|"&amp;'Metrics'!$C$26</f>
        <v/>
      </c>
      <c r="E26" s="70">
        <f>IFERROR(MATCH('Metrics'!$D$26,curve_key,0),MATCH("spring_chem_turb|",curve_key,0))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Fast-water / riffle habitat</t>
        </is>
      </c>
      <c r="B27" s="70">
        <f>IF('DEEP Score'!$E$40="","",'DEEP Score'!$E$40)</f>
        <v/>
      </c>
      <c r="C27" s="70">
        <f>""</f>
        <v/>
      </c>
      <c r="D27" s="70">
        <f>"spring_phab_pct_fast|"&amp;'Metrics'!$C$27</f>
        <v/>
      </c>
      <c r="E27" s="70">
        <f>IFERROR(MATCH('Metrics'!$D$27,curve_key,0),MATCH("spring_phab_pct_fast|",curve_key,0))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Natural fish cover</t>
        </is>
      </c>
      <c r="B28" s="70">
        <f>IF('DEEP Score'!$E$41="","",'DEEP Score'!$E$41)</f>
        <v/>
      </c>
      <c r="C28" s="70">
        <f>""</f>
        <v/>
      </c>
      <c r="D28" s="70">
        <f>"spring_phab_xfc_nat|"&amp;'Metrics'!$C$28</f>
        <v/>
      </c>
      <c r="E28" s="70">
        <f>IFERROR(MATCH('Metrics'!$D$28,curve_key,0),MATCH("spring_phab_xfc_nat|",curve_key,0))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Benthic total taxa richness</t>
        </is>
      </c>
      <c r="B29" s="70">
        <f>IF('DEEP Score'!$E$42="","",'DEEP Score'!$E$42)</f>
        <v/>
      </c>
      <c r="C29" s="70">
        <f>""</f>
        <v/>
      </c>
      <c r="D29" s="70">
        <f>"spring_bent_totlntax|"&amp;'Metrics'!$C$29</f>
        <v/>
      </c>
      <c r="E29" s="70">
        <f>IFERROR(MATCH('Metrics'!$D$29,curve_key,0),MATCH("spring_bent_totlntax|",curve_key,0))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Native fish taxa richness</t>
        </is>
      </c>
      <c r="B30" s="70">
        <f>IF('DEEP Score'!$E$43="","",'DEEP Score'!$E$43)</f>
        <v/>
      </c>
      <c r="C30" s="70">
        <f>IF('DEEP Score'!$F$43="","All streams (pooled)",'DEEP Score'!$F$43)</f>
        <v/>
      </c>
      <c r="D30" s="70">
        <f>"spring_fish_nat_totlntax|"&amp;'Metrics'!$C$30</f>
        <v/>
      </c>
      <c r="E30" s="70">
        <f>IFERROR(MATCH('Metrics'!$D$30,curve_key,0),MATCH("spring_fish_nat_totlntax|All streams (pooled)",curve_key,0))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EPT taxa richness</t>
        </is>
      </c>
      <c r="B31" s="70">
        <f>IF('DEEP Score'!$E$44="","",'DEEP Score'!$E$44)</f>
        <v/>
      </c>
      <c r="C31" s="70">
        <f>""</f>
        <v/>
      </c>
      <c r="D31" s="70">
        <f>"spring_bent_ept_ntax|"&amp;'Metrics'!$C$31</f>
        <v/>
      </c>
      <c r="E31" s="70">
        <f>IFERROR(MATCH('Metrics'!$D$31,curve_key,0),MATCH("spring_bent_ept_ntax|",curve_key,0))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Tolerant individuals (%) ~ HBI</t>
        </is>
      </c>
      <c r="B32" s="70">
        <f>IF('DEEP Score'!$E$45="","",'DEEP Score'!$E$45)</f>
        <v/>
      </c>
      <c r="C32" s="70">
        <f>""</f>
        <v/>
      </c>
      <c r="D32" s="70">
        <f>"spring_bent_tolrpind|"&amp;'Metrics'!$C$32</f>
        <v/>
      </c>
      <c r="E32" s="70">
        <f>IFERROR(MATCH('Metrics'!$D$32,curve_key,0),MATCH("spring_bent_tolrpind|",curve_key,0))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9" t="inlineStr">
        <is>
          <t>Mapped dams within one mile</t>
        </is>
      </c>
      <c r="B33" s="70">
        <f>IF('DEEP Score'!$E$46="","",'DEEP Score'!$E$46)</f>
        <v/>
      </c>
      <c r="C33" s="70">
        <f>""</f>
        <v/>
      </c>
      <c r="D33" s="70">
        <f>"spring_nid_dams_1mi|"&amp;'Metrics'!$C$33</f>
        <v/>
      </c>
      <c r="E33" s="70">
        <f>IFERROR(MATCH('Metrics'!$D$33,curve_key,0),MATCH("spring_nid_dams_1mi|",curve_key,0))</f>
        <v/>
      </c>
      <c r="F33" s="70">
        <f>INDEX(curve_x1,'Metrics'!$E$33)</f>
        <v/>
      </c>
      <c r="G33" s="70">
        <f>INDEX(curve_x2,'Metrics'!$E$33)</f>
        <v/>
      </c>
      <c r="H33" s="70">
        <f>INDEX(curve_x3,'Metrics'!$E$33)</f>
        <v/>
      </c>
      <c r="I33" s="70">
        <f>INDEX(curve_x4,'Metrics'!$E$33)</f>
        <v/>
      </c>
      <c r="J33" s="70">
        <f>INDEX(curve_x5,'Metrics'!$E$33)</f>
        <v/>
      </c>
      <c r="K33" s="70">
        <f>INDEX(curve_x6,'Metrics'!$E$33)</f>
        <v/>
      </c>
      <c r="L33" s="70">
        <f>INDEX(curve_x7,'Metrics'!$E$33)</f>
        <v/>
      </c>
      <c r="M33" s="70">
        <f>INDEX(curve_x8,'Metrics'!$E$33)</f>
        <v/>
      </c>
      <c r="N33" s="70">
        <f>INDEX(curve_y1,'Metrics'!$E$33)</f>
        <v/>
      </c>
      <c r="O33" s="70">
        <f>INDEX(curve_y2,'Metrics'!$E$33)</f>
        <v/>
      </c>
      <c r="P33" s="70">
        <f>INDEX(curve_y3,'Metrics'!$E$33)</f>
        <v/>
      </c>
      <c r="Q33" s="70">
        <f>INDEX(curve_y4,'Metrics'!$E$33)</f>
        <v/>
      </c>
      <c r="R33" s="70">
        <f>INDEX(curve_y5,'Metrics'!$E$33)</f>
        <v/>
      </c>
      <c r="S33" s="70">
        <f>INDEX(curve_y6,'Metrics'!$E$33)</f>
        <v/>
      </c>
      <c r="T33" s="70">
        <f>INDEX(curve_y7,'Metrics'!$E$33)</f>
        <v/>
      </c>
      <c r="U33" s="70">
        <f>INDEX(curve_y8,'Metrics'!$E$33)</f>
        <v/>
      </c>
      <c r="V33" s="71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6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/>
      <c r="E7" s="69" t="n">
        <v>5</v>
      </c>
      <c r="F7" s="69" t="inlineStr">
        <is>
          <t>48 least-disturbed streams of this ecoregion under the regional screen (agriculture at most 47.8 percent). Scored on a reference pool whose transfer to this ecoregion was not confirmed by the recovery test (class agreement 0.57 of evaluation regions; two thirds required); confidence capped at 39.</t>
        </is>
      </c>
      <c r="G7" s="69" t="n">
        <v>0</v>
      </c>
      <c r="H7" s="69" t="n">
        <v>0.12</v>
      </c>
      <c r="I7" s="69" t="n">
        <v>0.28</v>
      </c>
      <c r="J7" s="69" t="n">
        <v>1.5875</v>
      </c>
      <c r="K7" s="69" t="n">
        <v>2.24125</v>
      </c>
      <c r="L7" s="69" t="n">
        <v>2.24125</v>
      </c>
      <c r="M7" s="69" t="n">
        <v>2.24125</v>
      </c>
      <c r="N7" s="69" t="n">
        <v>2.24125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25 least-disturbed stations of this ecoregion</t>
        </is>
      </c>
      <c r="G9" s="69" t="n">
        <v>0</v>
      </c>
      <c r="H9" s="69" t="n">
        <v>25.38115714285714</v>
      </c>
      <c r="I9" s="69" t="n">
        <v>59.2227</v>
      </c>
      <c r="J9" s="69" t="n">
        <v>71</v>
      </c>
      <c r="K9" s="69" t="n">
        <v>76.88865</v>
      </c>
      <c r="L9" s="69" t="n">
        <v>76.88865</v>
      </c>
      <c r="M9" s="69" t="n">
        <v>76.88865</v>
      </c>
      <c r="N9" s="69" t="n">
        <v>76.88865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spring_phab_rp100_cm|All streams (pooled)</t>
        </is>
      </c>
      <c r="B11" s="69" t="inlineStr">
        <is>
          <t>spring-phab-rp100-cm</t>
        </is>
      </c>
      <c r="C11" s="69" t="inlineStr">
        <is>
          <t>Residual pool depth</t>
        </is>
      </c>
      <c r="D11" s="69" t="inlineStr">
        <is>
          <t>All streams (pooled)</t>
        </is>
      </c>
      <c r="E11" s="69" t="n">
        <v>5</v>
      </c>
      <c r="F11" s="69" t="inlineStr">
        <is>
          <t>95 least-disturbed stations borrowed from Level I ecoregion 9 (Great Plains) under the regional screen (agriculture at most 47.8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1" s="69" t="n">
        <v>0</v>
      </c>
      <c r="H11" s="69" t="n">
        <v>4.132028307233538</v>
      </c>
      <c r="I11" s="69" t="n">
        <v>9.641399383544922</v>
      </c>
      <c r="J11" s="69" t="n">
        <v>32.1681432723999</v>
      </c>
      <c r="K11" s="69" t="n">
        <v>43.43151521682739</v>
      </c>
      <c r="L11" s="69" t="n">
        <v>43.43151521682739</v>
      </c>
      <c r="M11" s="69" t="n">
        <v>43.43151521682739</v>
      </c>
      <c r="N11" s="69" t="n">
        <v>43.43151521682739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spring_phab_rp100_cm|Low gradient (under 0.5 percent)</t>
        </is>
      </c>
      <c r="B12" s="69" t="inlineStr">
        <is>
          <t>spring-phab-rp100-cm</t>
        </is>
      </c>
      <c r="C12" s="69" t="inlineStr">
        <is>
          <t>Residual pool depth</t>
        </is>
      </c>
      <c r="D12" s="69" t="inlineStr">
        <is>
          <t>Low gradient (under 0.5 percent)</t>
        </is>
      </c>
      <c r="E12" s="69" t="n">
        <v>5</v>
      </c>
      <c r="F12" s="69" t="inlineStr">
        <is>
          <t>95 least-disturbed stations borrowed from Level I ecoregion 9 (Great Plains) under the regional screen (agriculture at most 47.8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2" s="69" t="n">
        <v>0</v>
      </c>
      <c r="H12" s="69" t="n">
        <v>5.126230410167149</v>
      </c>
      <c r="I12" s="69" t="n">
        <v>11.96120429039001</v>
      </c>
      <c r="J12" s="69" t="n">
        <v>43.92206573486328</v>
      </c>
      <c r="K12" s="69" t="n">
        <v>59.90249645709991</v>
      </c>
      <c r="L12" s="69" t="n">
        <v>59.90249645709991</v>
      </c>
      <c r="M12" s="69" t="n">
        <v>59.90249645709991</v>
      </c>
      <c r="N12" s="69" t="n">
        <v>59.90249645709991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1</v>
      </c>
      <c r="U12" s="69" t="n">
        <v>1</v>
      </c>
      <c r="V12" s="69" t="n">
        <v>1</v>
      </c>
    </row>
    <row r="13">
      <c r="A13" s="69" t="inlineStr">
        <is>
          <t>spring_phab_rp100_cm|Moderate gradient (0.5 to 2 percent)</t>
        </is>
      </c>
      <c r="B13" s="69" t="inlineStr">
        <is>
          <t>spring-phab-rp100-cm</t>
        </is>
      </c>
      <c r="C13" s="69" t="inlineStr">
        <is>
          <t>Residual pool depth</t>
        </is>
      </c>
      <c r="D13" s="69" t="inlineStr">
        <is>
          <t>Moderate gradient (0.5 to 2 percent)</t>
        </is>
      </c>
      <c r="E13" s="69" t="n">
        <v>5</v>
      </c>
      <c r="F13" s="69" t="inlineStr">
        <is>
          <t>95 least-disturbed stations borrowed from Level I ecoregion 9 (Great Plains) under the regional screen (agriculture at most 47.8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3" s="69" t="n">
        <v>0</v>
      </c>
      <c r="H13" s="69" t="n">
        <v>4.892571176801409</v>
      </c>
      <c r="I13" s="69" t="n">
        <v>11.41599941253662</v>
      </c>
      <c r="J13" s="69" t="n">
        <v>22.94931888580322</v>
      </c>
      <c r="K13" s="69" t="n">
        <v>28.71597862243652</v>
      </c>
      <c r="L13" s="69" t="n">
        <v>28.71597862243652</v>
      </c>
      <c r="M13" s="69" t="n">
        <v>28.71597862243652</v>
      </c>
      <c r="N13" s="69" t="n">
        <v>28.71597862243652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1</v>
      </c>
      <c r="U13" s="69" t="n">
        <v>1</v>
      </c>
      <c r="V13" s="69" t="n">
        <v>1</v>
      </c>
    </row>
    <row r="14">
      <c r="A14" s="69" t="inlineStr">
        <is>
          <t>spring_phab_bfwd_rat|All streams (pooled)</t>
        </is>
      </c>
      <c r="B14" s="69" t="inlineStr">
        <is>
          <t>spring-phab-bfwd-rat</t>
        </is>
      </c>
      <c r="C14" s="69" t="inlineStr">
        <is>
          <t>Bankfull width:depth ratio</t>
        </is>
      </c>
      <c r="D14" s="69" t="inlineStr">
        <is>
          <t>All streams (pooled)</t>
        </is>
      </c>
      <c r="E14" s="69" t="n">
        <v>7</v>
      </c>
      <c r="F14" s="69" t="inlineStr">
        <is>
          <t>48 least-disturbed streams of this ecoregion under the regional screen (agriculture at most 47.8 percent). Scored on a reference pool whose transfer to this ecoregion was not confirmed by the recovery test (class agreement 0.57 of evaluation regions; two thirds required; net optimism +0.14, at most 0.05 allowed); confidence capped at 39.</t>
        </is>
      </c>
      <c r="G14" s="69" t="n">
        <v>0</v>
      </c>
      <c r="H14" s="69" t="n">
        <v>2.028213524818421</v>
      </c>
      <c r="I14" s="69" t="n">
        <v>4.183405876159668</v>
      </c>
      <c r="J14" s="69" t="n">
        <v>10.34109830856323</v>
      </c>
      <c r="K14" s="69" t="n">
        <v>12.49629065990448</v>
      </c>
      <c r="L14" s="69" t="n">
        <v>16.4987907409668</v>
      </c>
      <c r="M14" s="69" t="n">
        <v>22.65648317337036</v>
      </c>
      <c r="N14" s="69" t="n">
        <v>22.65648317337036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spring_phab_bfwd_rat|Small stream (10 to 100 km2)</t>
        </is>
      </c>
      <c r="B15" s="69" t="inlineStr">
        <is>
          <t>spring-phab-bfwd-rat</t>
        </is>
      </c>
      <c r="C15" s="69" t="inlineStr">
        <is>
          <t>Bankfull width:depth ratio</t>
        </is>
      </c>
      <c r="D15" s="69" t="inlineStr">
        <is>
          <t>Small stream (10 to 100 km2)</t>
        </is>
      </c>
      <c r="E15" s="69" t="n">
        <v>8</v>
      </c>
      <c r="F15" s="69" t="inlineStr">
        <is>
          <t>48 least-disturbed streams of this ecoregion under the regional screen (agriculture at most 47.8 percent). Scored on a reference pool whose transfer to this ecoregion was not confirmed by the recovery test (class agreement 0.57 of evaluation regions; two thirds required; net optimism +0.14, at most 0.05 allowed); confidence capped at 39.</t>
        </is>
      </c>
      <c r="G15" s="69" t="n">
        <v>0</v>
      </c>
      <c r="H15" s="69" t="n">
        <v>0.09790575504302979</v>
      </c>
      <c r="I15" s="69" t="n">
        <v>2.445497852563858</v>
      </c>
      <c r="J15" s="69" t="n">
        <v>3.709585905075073</v>
      </c>
      <c r="K15" s="69" t="n">
        <v>7.321266055107117</v>
      </c>
      <c r="L15" s="69" t="n">
        <v>8.585354107618333</v>
      </c>
      <c r="M15" s="69" t="n">
        <v>10.93294620513916</v>
      </c>
      <c r="N15" s="69" t="n">
        <v>14.5446263551712</v>
      </c>
      <c r="O15" s="69" t="n">
        <v>0</v>
      </c>
      <c r="P15" s="69" t="n">
        <v>0.3</v>
      </c>
      <c r="Q15" s="69" t="n">
        <v>0.7</v>
      </c>
      <c r="R15" s="69" t="n">
        <v>1</v>
      </c>
      <c r="S15" s="69" t="n">
        <v>1</v>
      </c>
      <c r="T15" s="69" t="n">
        <v>0.7</v>
      </c>
      <c r="U15" s="69" t="n">
        <v>0.3</v>
      </c>
      <c r="V15" s="69" t="n">
        <v>0</v>
      </c>
    </row>
    <row r="16">
      <c r="A16" s="69" t="inlineStr">
        <is>
          <t>spring_phab_bfwd_rat|Large stream (over 100 km2)</t>
        </is>
      </c>
      <c r="B16" s="69" t="inlineStr">
        <is>
          <t>spring-phab-bfwd-rat</t>
        </is>
      </c>
      <c r="C16" s="69" t="inlineStr">
        <is>
          <t>Bankfull width:depth ratio</t>
        </is>
      </c>
      <c r="D16" s="69" t="inlineStr">
        <is>
          <t>Large stream (over 100 km2)</t>
        </is>
      </c>
      <c r="E16" s="69" t="n">
        <v>7</v>
      </c>
      <c r="F16" s="69" t="inlineStr">
        <is>
          <t>48 least-disturbed streams of this ecoregion under the regional screen (agriculture at most 47.8 percent). Scored on a reference pool whose transfer to this ecoregion was not confirmed by the recovery test (class agreement 0.57 of evaluation regions; two thirds required; net optimism +0.14, at most 0.05 allowed); confidence capped at 39.</t>
        </is>
      </c>
      <c r="G16" s="69" t="n">
        <v>0</v>
      </c>
      <c r="H16" s="69" t="n">
        <v>1.478744053840638</v>
      </c>
      <c r="I16" s="69" t="n">
        <v>4.965645790100098</v>
      </c>
      <c r="J16" s="69" t="n">
        <v>14.92822217941284</v>
      </c>
      <c r="K16" s="69" t="n">
        <v>18.4151239156723</v>
      </c>
      <c r="L16" s="69" t="n">
        <v>24.89079856872559</v>
      </c>
      <c r="M16" s="69" t="n">
        <v>34.85337495803833</v>
      </c>
      <c r="N16" s="69" t="n">
        <v>34.85337495803833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spring_phab_xbkf_h|</t>
        </is>
      </c>
      <c r="B17" s="69" t="inlineStr">
        <is>
          <t>spring-phab-xbkf-h</t>
        </is>
      </c>
      <c r="C17" s="69" t="inlineStr">
        <is>
          <t>Bankfull height above channel</t>
        </is>
      </c>
      <c r="D17" s="69" t="inlineStr"/>
      <c r="E17" s="69" t="n">
        <v>8</v>
      </c>
      <c r="F17" s="69" t="inlineStr">
        <is>
          <t>25 least-disturbed stations of this ecoregion</t>
        </is>
      </c>
      <c r="G17" s="69" t="n">
        <v>0</v>
      </c>
      <c r="H17" s="69" t="n">
        <v>0.1545454561710358</v>
      </c>
      <c r="I17" s="69" t="n">
        <v>0.255000002682209</v>
      </c>
      <c r="J17" s="69" t="n">
        <v>0.3090909123420715</v>
      </c>
      <c r="K17" s="69" t="n">
        <v>0.4636363685131073</v>
      </c>
      <c r="L17" s="69" t="n">
        <v>0.5177272781729698</v>
      </c>
      <c r="M17" s="69" t="n">
        <v>0.6181818246841431</v>
      </c>
      <c r="N17" s="69" t="n">
        <v>0.7727272808551788</v>
      </c>
      <c r="O17" s="69" t="n">
        <v>0</v>
      </c>
      <c r="P17" s="69" t="n">
        <v>0.3</v>
      </c>
      <c r="Q17" s="69" t="n">
        <v>0.7</v>
      </c>
      <c r="R17" s="69" t="n">
        <v>1</v>
      </c>
      <c r="S17" s="69" t="n">
        <v>1</v>
      </c>
      <c r="T17" s="69" t="n">
        <v>0.7</v>
      </c>
      <c r="U17" s="69" t="n">
        <v>0.3</v>
      </c>
      <c r="V17" s="69" t="n">
        <v>0</v>
      </c>
    </row>
    <row r="18">
      <c r="A18" s="69" t="inlineStr">
        <is>
          <t>spring_phab_pct_safn|</t>
        </is>
      </c>
      <c r="B18" s="69" t="inlineStr">
        <is>
          <t>spring-phab-pct-safn</t>
        </is>
      </c>
      <c r="C18" s="69" t="inlineStr">
        <is>
          <t>Sand + fines</t>
        </is>
      </c>
      <c r="D18" s="69" t="inlineStr"/>
      <c r="E18" s="69" t="n">
        <v>4</v>
      </c>
      <c r="F18" s="69" t="inlineStr">
        <is>
          <t>57 least-disturbed stations borrowed from Level II ecoregion 9.3 (West-Central Semi-Arid Prairies) under the regional screen (agriculture at most 47.8 percent), transfer risk low</t>
        </is>
      </c>
      <c r="G18" s="69" t="n">
        <v>15.71428680419922</v>
      </c>
      <c r="H18" s="69" t="n">
        <v>38.09523773193359</v>
      </c>
      <c r="I18" s="69" t="n">
        <v>82.85713958740234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spring_phab_xembed|</t>
        </is>
      </c>
      <c r="B19" s="69" t="inlineStr">
        <is>
          <t>spring-phab-xembed</t>
        </is>
      </c>
      <c r="C19" s="69" t="inlineStr">
        <is>
          <t>Embeddedness</t>
        </is>
      </c>
      <c r="D19" s="69" t="inlineStr"/>
      <c r="E19" s="69" t="n">
        <v>4</v>
      </c>
      <c r="F19" s="69" t="inlineStr">
        <is>
          <t>25 least-disturbed stations of this ecoregion</t>
        </is>
      </c>
      <c r="G19" s="69" t="n">
        <v>32.40909194946289</v>
      </c>
      <c r="H19" s="69" t="n">
        <v>51</v>
      </c>
      <c r="I19" s="69" t="n">
        <v>88.18181610107422</v>
      </c>
      <c r="J19" s="69" t="n">
        <v>100</v>
      </c>
      <c r="K19" s="69" t="n">
        <v>100</v>
      </c>
      <c r="L19" s="69" t="n">
        <v>100</v>
      </c>
      <c r="M19" s="69" t="n">
        <v>100</v>
      </c>
      <c r="N19" s="69" t="n">
        <v>100</v>
      </c>
      <c r="O19" s="69" t="n">
        <v>1</v>
      </c>
      <c r="P19" s="69" t="n">
        <v>1</v>
      </c>
      <c r="Q19" s="69" t="n">
        <v>0.7</v>
      </c>
      <c r="R19" s="69" t="n">
        <v>0</v>
      </c>
      <c r="S19" s="69" t="n">
        <v>0</v>
      </c>
      <c r="T19" s="69" t="n">
        <v>0</v>
      </c>
      <c r="U19" s="69" t="n">
        <v>0</v>
      </c>
      <c r="V19" s="69" t="n">
        <v>0</v>
      </c>
    </row>
    <row r="20">
      <c r="A20" s="69" t="inlineStr">
        <is>
          <t>spring_phab_sinu|</t>
        </is>
      </c>
      <c r="B20" s="69" t="inlineStr">
        <is>
          <t>spring-phab-sinu</t>
        </is>
      </c>
      <c r="C20" s="69" t="inlineStr">
        <is>
          <t>Sinuosity</t>
        </is>
      </c>
      <c r="D20" s="69" t="inlineStr"/>
      <c r="E20" s="69" t="n">
        <v>4</v>
      </c>
      <c r="F20" s="69" t="inlineStr">
        <is>
          <t>25 least-disturbed stations of this ecoregion</t>
        </is>
      </c>
      <c r="G20" s="69" t="n">
        <v>1</v>
      </c>
      <c r="H20" s="69" t="n">
        <v>1.135791897773743</v>
      </c>
      <c r="I20" s="69" t="n">
        <v>1.854388475418091</v>
      </c>
      <c r="J20" s="69" t="n">
        <v>2.213686764240265</v>
      </c>
      <c r="K20" s="69" t="n">
        <v>2.213686764240265</v>
      </c>
      <c r="L20" s="69" t="n">
        <v>2.213686764240265</v>
      </c>
      <c r="M20" s="69" t="n">
        <v>2.213686764240265</v>
      </c>
      <c r="N20" s="69" t="n">
        <v>2.213686764240265</v>
      </c>
      <c r="O20" s="69" t="n">
        <v>0</v>
      </c>
      <c r="P20" s="69" t="n">
        <v>0.7</v>
      </c>
      <c r="Q20" s="69" t="n">
        <v>1</v>
      </c>
      <c r="R20" s="69" t="n">
        <v>1</v>
      </c>
      <c r="S20" s="69" t="n">
        <v>1</v>
      </c>
      <c r="T20" s="69" t="n">
        <v>1</v>
      </c>
      <c r="U20" s="69" t="n">
        <v>1</v>
      </c>
      <c r="V20" s="69" t="n">
        <v>1</v>
      </c>
    </row>
    <row r="21">
      <c r="A21" s="69" t="inlineStr">
        <is>
          <t>spring_phab_xbka|</t>
        </is>
      </c>
      <c r="B21" s="69" t="inlineStr">
        <is>
          <t>spring-phab-xbka</t>
        </is>
      </c>
      <c r="C21" s="69" t="inlineStr">
        <is>
          <t>Bank angle</t>
        </is>
      </c>
      <c r="D21" s="69" t="inlineStr"/>
      <c r="E21" s="69" t="n">
        <v>7</v>
      </c>
      <c r="F21" s="69" t="inlineStr">
        <is>
          <t>48 least-disturbed streams of this ecoregion under the regional screen (agriculture at most 47.8 percent)</t>
        </is>
      </c>
      <c r="G21" s="69" t="n">
        <v>0</v>
      </c>
      <c r="H21" s="69" t="n">
        <v>21.67886409759522</v>
      </c>
      <c r="I21" s="69" t="n">
        <v>29.74318218231201</v>
      </c>
      <c r="J21" s="69" t="n">
        <v>52.78409099578857</v>
      </c>
      <c r="K21" s="69" t="n">
        <v>60.84840908050537</v>
      </c>
      <c r="L21" s="69" t="n">
        <v>75.82499980926514</v>
      </c>
      <c r="M21" s="69" t="n">
        <v>98.8659086227417</v>
      </c>
      <c r="N21" s="69" t="n">
        <v>98.8659086227417</v>
      </c>
      <c r="O21" s="69" t="n">
        <v>0.7</v>
      </c>
      <c r="P21" s="69" t="n">
        <v>0.7</v>
      </c>
      <c r="Q21" s="69" t="n">
        <v>1</v>
      </c>
      <c r="R21" s="69" t="n">
        <v>1</v>
      </c>
      <c r="S21" s="69" t="n">
        <v>0.7</v>
      </c>
      <c r="T21" s="69" t="n">
        <v>0.3</v>
      </c>
      <c r="U21" s="69" t="n">
        <v>0</v>
      </c>
      <c r="V21" s="69" t="n">
        <v>0</v>
      </c>
    </row>
    <row r="22">
      <c r="A22" s="69" t="inlineStr">
        <is>
          <t>spring_phab_lrbs_use|All streams (pooled)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All streams (pooled)</t>
        </is>
      </c>
      <c r="E22" s="69" t="n">
        <v>8</v>
      </c>
      <c r="F22" s="69" t="inlineStr">
        <is>
          <t>48 least-disturbed streams of this ecoregion under the regional screen (agriculture at most 47.8 percent). Scored on a reference pool whose transfer to this ecoregion was not confirmed by the recovery test (class agreement 0.29 of evaluation regions; two thirds required); confidence capped at 39.</t>
        </is>
      </c>
      <c r="G22" s="69" t="n">
        <v>-5.041611582040787</v>
      </c>
      <c r="H22" s="69" t="n">
        <v>-3.732321128249168</v>
      </c>
      <c r="I22" s="69" t="n">
        <v>-2.881282333284616</v>
      </c>
      <c r="J22" s="69" t="n">
        <v>-2.42303067445755</v>
      </c>
      <c r="K22" s="69" t="n">
        <v>-1.113740220665932</v>
      </c>
      <c r="L22" s="69" t="n">
        <v>-0.6554885618388653</v>
      </c>
      <c r="M22" s="69" t="n">
        <v>0.1955502331256866</v>
      </c>
      <c r="N22" s="69" t="n">
        <v>1.504840686917305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spring_phab_lrbs_use|Small stream (10 to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Small stream (10 to 100 km2)</t>
        </is>
      </c>
      <c r="E23" s="69" t="n">
        <v>8</v>
      </c>
      <c r="F23" s="69" t="inlineStr">
        <is>
          <t>48 least-disturbed streams of this ecoregion under the regional screen (agriculture at most 47.8 percent). Scored on a reference pool whose transfer to this ecoregion was not confirmed by the recovery test (class agreement 0.29 of evaluation regions; two thirds required); confidence capped at 39.</t>
        </is>
      </c>
      <c r="G23" s="69" t="n">
        <v>-4.440690219402313</v>
      </c>
      <c r="H23" s="69" t="n">
        <v>-3.468689262866974</v>
      </c>
      <c r="I23" s="69" t="n">
        <v>-2.836888641119003</v>
      </c>
      <c r="J23" s="69" t="n">
        <v>-2.496688306331635</v>
      </c>
      <c r="K23" s="69" t="n">
        <v>-1.524687349796295</v>
      </c>
      <c r="L23" s="69" t="n">
        <v>-1.184487015008926</v>
      </c>
      <c r="M23" s="69" t="n">
        <v>-0.5526863932609558</v>
      </c>
      <c r="N23" s="69" t="n">
        <v>0.4193145632743835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spring_phab_lrbs_use|Large stream (over 100 km2)</t>
        </is>
      </c>
      <c r="B24" s="69" t="inlineStr">
        <is>
          <t>spring-phab-lrbs-use</t>
        </is>
      </c>
      <c r="C24" s="69" t="inlineStr">
        <is>
          <t>Relative bed stability</t>
        </is>
      </c>
      <c r="D24" s="69" t="inlineStr">
        <is>
          <t>Large stream (over 100 km2)</t>
        </is>
      </c>
      <c r="E24" s="69" t="n">
        <v>8</v>
      </c>
      <c r="F24" s="69" t="inlineStr">
        <is>
          <t>48 least-disturbed streams of this ecoregion under the regional screen (agriculture at most 47.8 percent). Scored on a reference pool whose transfer to this ecoregion was not confirmed by the recovery test (class agreement 0.29 of evaluation regions; two thirds required); confidence capped at 39.</t>
        </is>
      </c>
      <c r="G24" s="69" t="n">
        <v>-5.819549053907394</v>
      </c>
      <c r="H24" s="69" t="n">
        <v>-4.000111386179924</v>
      </c>
      <c r="I24" s="69" t="n">
        <v>-2.817476902157068</v>
      </c>
      <c r="J24" s="69" t="n">
        <v>-2.180673718452454</v>
      </c>
      <c r="K24" s="69" t="n">
        <v>-0.3612360507249832</v>
      </c>
      <c r="L24" s="69" t="n">
        <v>0.2755671329796314</v>
      </c>
      <c r="M24" s="69" t="n">
        <v>1.458201617002487</v>
      </c>
      <c r="N24" s="69" t="n">
        <v>3.277639284729958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0.7</v>
      </c>
      <c r="U24" s="69" t="n">
        <v>0.3</v>
      </c>
      <c r="V24" s="69" t="n">
        <v>0</v>
      </c>
    </row>
    <row r="25">
      <c r="A25" s="69" t="inlineStr">
        <is>
          <t>spring_phab_lsub_dmm|</t>
        </is>
      </c>
      <c r="B25" s="69" t="inlineStr">
        <is>
          <t>spring-phab-lsub-dmm</t>
        </is>
      </c>
      <c r="C25" s="69" t="inlineStr">
        <is>
          <t>Substrate size</t>
        </is>
      </c>
      <c r="D25" s="69" t="inlineStr"/>
      <c r="E25" s="69" t="n">
        <v>5</v>
      </c>
      <c r="F25" s="69" t="inlineStr">
        <is>
          <t>48 least-disturbed streams of this ecoregion under the regional screen (agriculture at most 47.8 percent)</t>
        </is>
      </c>
      <c r="G25" s="69" t="n">
        <v>-5.215317310765386</v>
      </c>
      <c r="H25" s="69" t="n">
        <v>-3.649565948173404</v>
      </c>
      <c r="I25" s="69" t="n">
        <v>-1.300938904285431</v>
      </c>
      <c r="J25" s="69" t="n">
        <v>0.264812458306551</v>
      </c>
      <c r="K25" s="69" t="n">
        <v>1.047688139602542</v>
      </c>
      <c r="L25" s="69" t="n">
        <v>1.047688139602542</v>
      </c>
      <c r="M25" s="69" t="n">
        <v>1.047688139602542</v>
      </c>
      <c r="N25" s="69" t="n">
        <v>1.047688139602542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1</v>
      </c>
      <c r="U25" s="69" t="n">
        <v>1</v>
      </c>
      <c r="V25" s="69" t="n">
        <v>1</v>
      </c>
    </row>
    <row r="26">
      <c r="A26" s="69" t="inlineStr">
        <is>
          <t>spring_chem_chla|</t>
        </is>
      </c>
      <c r="B26" s="69" t="inlineStr">
        <is>
          <t>spring-chem-chla</t>
        </is>
      </c>
      <c r="C26" s="69" t="inlineStr">
        <is>
          <t>Chlorophyll a</t>
        </is>
      </c>
      <c r="D26" s="69" t="inlineStr"/>
      <c r="E26" s="69" t="n">
        <v>5</v>
      </c>
      <c r="F26" s="69" t="inlineStr">
        <is>
          <t>48 least-disturbed streams of this ecoregion under the regional screen (agriculture at most 47.8 percent). Scored on a reference pool whose transfer to this ecoregion was not confirmed by the recovery test (class agreement 0.57 of evaluation regions; two thirds required; net optimism +0.24, at most 0.05 allowed); confidence capped at 39.</t>
        </is>
      </c>
      <c r="G26" s="69" t="n">
        <v>0</v>
      </c>
      <c r="H26" s="69" t="n">
        <v>1.092500030994415</v>
      </c>
      <c r="I26" s="69" t="n">
        <v>6.389500141143799</v>
      </c>
      <c r="J26" s="69" t="n">
        <v>14.33500030636787</v>
      </c>
      <c r="K26" s="69" t="n">
        <v>19.63200041651726</v>
      </c>
      <c r="L26" s="69" t="n">
        <v>19.63200041651726</v>
      </c>
      <c r="M26" s="69" t="n">
        <v>19.63200041651726</v>
      </c>
      <c r="N26" s="69" t="n">
        <v>19.63200041651726</v>
      </c>
      <c r="O26" s="69" t="n">
        <v>1</v>
      </c>
      <c r="P26" s="69" t="n">
        <v>1</v>
      </c>
      <c r="Q26" s="69" t="n">
        <v>0.7</v>
      </c>
      <c r="R26" s="69" t="n">
        <v>0.3</v>
      </c>
      <c r="S26" s="69" t="n">
        <v>0</v>
      </c>
      <c r="T26" s="69" t="n">
        <v>0</v>
      </c>
      <c r="U26" s="69" t="n">
        <v>0</v>
      </c>
      <c r="V26" s="69" t="n">
        <v>0</v>
      </c>
    </row>
    <row r="27">
      <c r="A27" s="69" t="inlineStr">
        <is>
          <t>spring_phab_xcdenmid|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/>
      <c r="E27" s="69" t="n">
        <v>5</v>
      </c>
      <c r="F27" s="69" t="inlineStr">
        <is>
          <t>25 least-disturbed stations of this ecoregion</t>
        </is>
      </c>
      <c r="G27" s="69" t="n">
        <v>0</v>
      </c>
      <c r="H27" s="69" t="n">
        <v>2.406417029244559</v>
      </c>
      <c r="I27" s="69" t="n">
        <v>5.614973068237305</v>
      </c>
      <c r="J27" s="69" t="n">
        <v>50.53475952148438</v>
      </c>
      <c r="K27" s="69" t="n">
        <v>72.99465274810791</v>
      </c>
      <c r="L27" s="69" t="n">
        <v>72.99465274810791</v>
      </c>
      <c r="M27" s="69" t="n">
        <v>72.99465274810791</v>
      </c>
      <c r="N27" s="69" t="n">
        <v>72.99465274810791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spring_phab_xcmgw|</t>
        </is>
      </c>
      <c r="B28" s="69" t="inlineStr">
        <is>
          <t>spring-phab-xcmgw</t>
        </is>
      </c>
      <c r="C28" s="69" t="inlineStr">
        <is>
          <t>Riparian veg cover, woody</t>
        </is>
      </c>
      <c r="D28" s="69" t="inlineStr"/>
      <c r="E28" s="69" t="n">
        <v>5</v>
      </c>
      <c r="F28" s="69" t="inlineStr">
        <is>
          <t>25 least-disturbed stations of this ecoregion</t>
        </is>
      </c>
      <c r="G28" s="69" t="n">
        <v>0</v>
      </c>
      <c r="H28" s="69" t="n">
        <v>0.06720779197556633</v>
      </c>
      <c r="I28" s="69" t="n">
        <v>0.1568181812763214</v>
      </c>
      <c r="J28" s="69" t="n">
        <v>0.800000011920929</v>
      </c>
      <c r="K28" s="69" t="n">
        <v>1.121590927243233</v>
      </c>
      <c r="L28" s="69" t="n">
        <v>1.121590927243233</v>
      </c>
      <c r="M28" s="69" t="n">
        <v>1.121590927243233</v>
      </c>
      <c r="N28" s="69" t="n">
        <v>1.121590927243233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spring_chem_ntl|</t>
        </is>
      </c>
      <c r="B29" s="69" t="inlineStr">
        <is>
          <t>spring-chem-ntl</t>
        </is>
      </c>
      <c r="C29" s="69" t="inlineStr">
        <is>
          <t>Total nitrogen</t>
        </is>
      </c>
      <c r="D29" s="69" t="inlineStr"/>
      <c r="E29" s="69" t="n">
        <v>5</v>
      </c>
      <c r="F29" s="69" t="inlineStr">
        <is>
          <t>25 least-disturbed stations of this ecoregion</t>
        </is>
      </c>
      <c r="G29" s="69" t="n">
        <v>0.07450000196695328</v>
      </c>
      <c r="H29" s="69" t="n">
        <v>0.1979999989271164</v>
      </c>
      <c r="I29" s="69" t="n">
        <v>0.4449999928474426</v>
      </c>
      <c r="J29" s="69" t="n">
        <v>0.815499983727932</v>
      </c>
      <c r="K29" s="69" t="n">
        <v>1.062499977648258</v>
      </c>
      <c r="L29" s="69" t="n">
        <v>1.062499977648258</v>
      </c>
      <c r="M29" s="69" t="n">
        <v>1.062499977648258</v>
      </c>
      <c r="N29" s="69" t="n">
        <v>1.062499977648258</v>
      </c>
      <c r="O29" s="69" t="n">
        <v>1</v>
      </c>
      <c r="P29" s="69" t="n">
        <v>1</v>
      </c>
      <c r="Q29" s="69" t="n">
        <v>0.7</v>
      </c>
      <c r="R29" s="69" t="n">
        <v>0.3</v>
      </c>
      <c r="S29" s="69" t="n">
        <v>0</v>
      </c>
      <c r="T29" s="69" t="n">
        <v>0</v>
      </c>
      <c r="U29" s="69" t="n">
        <v>0</v>
      </c>
      <c r="V29" s="69" t="n">
        <v>0</v>
      </c>
    </row>
    <row r="30">
      <c r="A30" s="69" t="inlineStr">
        <is>
          <t>spring_chem_ptl|</t>
        </is>
      </c>
      <c r="B30" s="69" t="inlineStr">
        <is>
          <t>spring-chem-ptl</t>
        </is>
      </c>
      <c r="C30" s="69" t="inlineStr">
        <is>
          <t>Total phosphorus</t>
        </is>
      </c>
      <c r="D30" s="69" t="inlineStr"/>
      <c r="E30" s="69" t="n">
        <v>5</v>
      </c>
      <c r="F30" s="69" t="inlineStr">
        <is>
          <t>25 least-disturbed stations of this ecoregion</t>
        </is>
      </c>
      <c r="G30" s="69" t="n">
        <v>0</v>
      </c>
      <c r="H30" s="69" t="n">
        <v>21.14500045776367</v>
      </c>
      <c r="I30" s="69" t="n">
        <v>67</v>
      </c>
      <c r="J30" s="69" t="n">
        <v>135.7824993133545</v>
      </c>
      <c r="K30" s="69" t="n">
        <v>181.6374988555908</v>
      </c>
      <c r="L30" s="69" t="n">
        <v>181.6374988555908</v>
      </c>
      <c r="M30" s="69" t="n">
        <v>181.6374988555908</v>
      </c>
      <c r="N30" s="69" t="n">
        <v>181.6374988555908</v>
      </c>
      <c r="O30" s="69" t="n">
        <v>1</v>
      </c>
      <c r="P30" s="69" t="n">
        <v>1</v>
      </c>
      <c r="Q30" s="69" t="n">
        <v>0.7</v>
      </c>
      <c r="R30" s="69" t="n">
        <v>0.3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spring_chem_cond|</t>
        </is>
      </c>
      <c r="B31" s="69" t="inlineStr">
        <is>
          <t>spring-chem-cond</t>
        </is>
      </c>
      <c r="C31" s="69" t="inlineStr">
        <is>
          <t>Specific conductivity</t>
        </is>
      </c>
      <c r="D31" s="69" t="inlineStr"/>
      <c r="E31" s="69" t="n">
        <v>5</v>
      </c>
      <c r="F31" s="69" t="inlineStr">
        <is>
          <t>25 least-disturbed stations of this ecoregion</t>
        </is>
      </c>
      <c r="G31" s="69" t="n">
        <v>215.3450164794922</v>
      </c>
      <c r="H31" s="69" t="n">
        <v>350.2300109863281</v>
      </c>
      <c r="I31" s="69" t="n">
        <v>620</v>
      </c>
      <c r="J31" s="69" t="n">
        <v>1024.654983520508</v>
      </c>
      <c r="K31" s="69" t="n">
        <v>1294.42497253418</v>
      </c>
      <c r="L31" s="69" t="n">
        <v>1294.42497253418</v>
      </c>
      <c r="M31" s="69" t="n">
        <v>1294.42497253418</v>
      </c>
      <c r="N31" s="69" t="n">
        <v>1294.42497253418</v>
      </c>
      <c r="O31" s="69" t="n">
        <v>1</v>
      </c>
      <c r="P31" s="69" t="n">
        <v>1</v>
      </c>
      <c r="Q31" s="69" t="n">
        <v>0.7</v>
      </c>
      <c r="R31" s="69" t="n">
        <v>0.3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spring_chem_turb|</t>
        </is>
      </c>
      <c r="B32" s="69" t="inlineStr">
        <is>
          <t>spring-chem-turb</t>
        </is>
      </c>
      <c r="C32" s="69" t="inlineStr">
        <is>
          <t>Turbidity</t>
        </is>
      </c>
      <c r="D32" s="69" t="inlineStr"/>
      <c r="E32" s="69" t="n">
        <v>5</v>
      </c>
      <c r="F32" s="69" t="inlineStr">
        <is>
          <t>25 least-disturbed stations of this ecoregion</t>
        </is>
      </c>
      <c r="G32" s="69" t="n">
        <v>0</v>
      </c>
      <c r="H32" s="69" t="n">
        <v>1.5</v>
      </c>
      <c r="I32" s="69" t="n">
        <v>9.199999809265137</v>
      </c>
      <c r="J32" s="69" t="n">
        <v>20.74999952316284</v>
      </c>
      <c r="K32" s="69" t="n">
        <v>28.44999933242798</v>
      </c>
      <c r="L32" s="69" t="n">
        <v>28.44999933242798</v>
      </c>
      <c r="M32" s="69" t="n">
        <v>28.44999933242798</v>
      </c>
      <c r="N32" s="69" t="n">
        <v>28.44999933242798</v>
      </c>
      <c r="O32" s="69" t="n">
        <v>1</v>
      </c>
      <c r="P32" s="69" t="n">
        <v>1</v>
      </c>
      <c r="Q32" s="69" t="n">
        <v>0.7</v>
      </c>
      <c r="R32" s="69" t="n">
        <v>0.3</v>
      </c>
      <c r="S32" s="69" t="n">
        <v>0</v>
      </c>
      <c r="T32" s="69" t="n">
        <v>0</v>
      </c>
      <c r="U32" s="69" t="n">
        <v>0</v>
      </c>
      <c r="V32" s="69" t="n">
        <v>0</v>
      </c>
    </row>
    <row r="33">
      <c r="A33" s="69" t="inlineStr">
        <is>
          <t>spring_phab_pct_fast|</t>
        </is>
      </c>
      <c r="B33" s="69" t="inlineStr">
        <is>
          <t>spring-phab-pct-fast</t>
        </is>
      </c>
      <c r="C33" s="69" t="inlineStr">
        <is>
          <t>Fast-water / riffle habitat</t>
        </is>
      </c>
      <c r="D33" s="69" t="inlineStr"/>
      <c r="E33" s="69" t="n">
        <v>5</v>
      </c>
      <c r="F33" s="69" t="inlineStr">
        <is>
          <t>25 least-disturbed stations of this ecoregion</t>
        </is>
      </c>
      <c r="G33" s="69" t="n">
        <v>0</v>
      </c>
      <c r="H33" s="69" t="n">
        <v>4.571428707667759</v>
      </c>
      <c r="I33" s="69" t="n">
        <v>10.66666698455811</v>
      </c>
      <c r="J33" s="69" t="n">
        <v>57</v>
      </c>
      <c r="K33" s="69" t="n">
        <v>80.16666650772095</v>
      </c>
      <c r="L33" s="69" t="n">
        <v>80.16666650772095</v>
      </c>
      <c r="M33" s="69" t="n">
        <v>80.16666650772095</v>
      </c>
      <c r="N33" s="69" t="n">
        <v>80.16666650772095</v>
      </c>
      <c r="O33" s="69" t="n">
        <v>0</v>
      </c>
      <c r="P33" s="69" t="n">
        <v>0.3</v>
      </c>
      <c r="Q33" s="69" t="n">
        <v>0.7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spring_phab_xfc_nat|</t>
        </is>
      </c>
      <c r="B34" s="69" t="inlineStr">
        <is>
          <t>spring-phab-xfc-nat</t>
        </is>
      </c>
      <c r="C34" s="69" t="inlineStr">
        <is>
          <t>Natural fish cover</t>
        </is>
      </c>
      <c r="D34" s="69" t="inlineStr"/>
      <c r="E34" s="69" t="n">
        <v>5</v>
      </c>
      <c r="F34" s="69" t="inlineStr">
        <is>
          <t>25 least-disturbed stations of this ecoregion</t>
        </is>
      </c>
      <c r="G34" s="69" t="n">
        <v>0</v>
      </c>
      <c r="H34" s="69" t="n">
        <v>0.08961038717201777</v>
      </c>
      <c r="I34" s="69" t="n">
        <v>0.2090909034013748</v>
      </c>
      <c r="J34" s="69" t="n">
        <v>0.425000011920929</v>
      </c>
      <c r="K34" s="69" t="n">
        <v>0.532954566180706</v>
      </c>
      <c r="L34" s="69" t="n">
        <v>0.532954566180706</v>
      </c>
      <c r="M34" s="69" t="n">
        <v>0.532954566180706</v>
      </c>
      <c r="N34" s="69" t="n">
        <v>0.532954566180706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spring_bent_totlntax|</t>
        </is>
      </c>
      <c r="B35" s="69" t="inlineStr">
        <is>
          <t>spring-bent-totlntax</t>
        </is>
      </c>
      <c r="C35" s="69" t="inlineStr">
        <is>
          <t>Benthic total taxa richness</t>
        </is>
      </c>
      <c r="D35" s="69" t="inlineStr"/>
      <c r="E35" s="69" t="n">
        <v>5</v>
      </c>
      <c r="F35" s="69" t="inlineStr">
        <is>
          <t>25 least-disturbed stations of this ecoregion</t>
        </is>
      </c>
      <c r="G35" s="69" t="n">
        <v>0</v>
      </c>
      <c r="H35" s="69" t="n">
        <v>12</v>
      </c>
      <c r="I35" s="69" t="n">
        <v>28</v>
      </c>
      <c r="J35" s="69" t="n">
        <v>41</v>
      </c>
      <c r="K35" s="69" t="n">
        <v>47.5</v>
      </c>
      <c r="L35" s="69" t="n">
        <v>47.5</v>
      </c>
      <c r="M35" s="69" t="n">
        <v>47.5</v>
      </c>
      <c r="N35" s="69" t="n">
        <v>47.5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spring_fish_nat_totlntax|All streams (pooled)</t>
        </is>
      </c>
      <c r="B36" s="69" t="inlineStr">
        <is>
          <t>spring-fish-nat-totlntax</t>
        </is>
      </c>
      <c r="C36" s="69" t="inlineStr">
        <is>
          <t>Native fish taxa richness</t>
        </is>
      </c>
      <c r="D36" s="69" t="inlineStr">
        <is>
          <t>All streams (pooled)</t>
        </is>
      </c>
      <c r="E36" s="69" t="n">
        <v>5</v>
      </c>
      <c r="F36" s="69" t="inlineStr">
        <is>
          <t>56 least-disturbed stations borrowed from NARS-9 region NPL under the regional screen (agriculture at most 47.8 percent), transfer risk moderate</t>
        </is>
      </c>
      <c r="G36" s="69" t="n">
        <v>0</v>
      </c>
      <c r="H36" s="69" t="n">
        <v>0.4285714285714285</v>
      </c>
      <c r="I36" s="69" t="n">
        <v>1</v>
      </c>
      <c r="J36" s="69" t="n">
        <v>4</v>
      </c>
      <c r="K36" s="69" t="n">
        <v>5.5</v>
      </c>
      <c r="L36" s="69" t="n">
        <v>5.5</v>
      </c>
      <c r="M36" s="69" t="n">
        <v>5.5</v>
      </c>
      <c r="N36" s="69" t="n">
        <v>5.5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spring_fish_nat_totlntax|Low gradient (under 0.5 percent)</t>
        </is>
      </c>
      <c r="B37" s="69" t="inlineStr">
        <is>
          <t>spring-fish-nat-totlntax</t>
        </is>
      </c>
      <c r="C37" s="69" t="inlineStr">
        <is>
          <t>Native fish taxa richness</t>
        </is>
      </c>
      <c r="D37" s="69" t="inlineStr">
        <is>
          <t>Low gradient (under 0.5 percent)</t>
        </is>
      </c>
      <c r="E37" s="69" t="n">
        <v>5</v>
      </c>
      <c r="F37" s="69" t="inlineStr">
        <is>
          <t>56 least-disturbed stations borrowed from NARS-9 region NPL under the regional screen (agriculture at most 47.8 percent), transfer risk moderate</t>
        </is>
      </c>
      <c r="G37" s="69" t="n">
        <v>0</v>
      </c>
      <c r="H37" s="69" t="n">
        <v>1.285714285714286</v>
      </c>
      <c r="I37" s="69" t="n">
        <v>3</v>
      </c>
      <c r="J37" s="69" t="n">
        <v>5</v>
      </c>
      <c r="K37" s="69" t="n">
        <v>6</v>
      </c>
      <c r="L37" s="69" t="n">
        <v>6</v>
      </c>
      <c r="M37" s="69" t="n">
        <v>6</v>
      </c>
      <c r="N37" s="69" t="n">
        <v>6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spring_fish_nat_totlntax|Moderate gradient (0.5 to 2 percent)</t>
        </is>
      </c>
      <c r="B38" s="69" t="inlineStr">
        <is>
          <t>spring-fish-nat-totlntax</t>
        </is>
      </c>
      <c r="C38" s="69" t="inlineStr">
        <is>
          <t>Native fish taxa richness</t>
        </is>
      </c>
      <c r="D38" s="69" t="inlineStr">
        <is>
          <t>Moderate gradient (0.5 to 2 percent)</t>
        </is>
      </c>
      <c r="E38" s="69" t="n">
        <v>5</v>
      </c>
      <c r="F38" s="69" t="inlineStr">
        <is>
          <t>56 least-disturbed stations borrowed from NARS-9 region NPL under the regional screen (agriculture at most 47.8 percent), transfer risk moderate</t>
        </is>
      </c>
      <c r="G38" s="69" t="n">
        <v>0</v>
      </c>
      <c r="H38" s="69" t="n">
        <v>0.4285714285714285</v>
      </c>
      <c r="I38" s="69" t="n">
        <v>1</v>
      </c>
      <c r="J38" s="69" t="n">
        <v>4</v>
      </c>
      <c r="K38" s="69" t="n">
        <v>5.5</v>
      </c>
      <c r="L38" s="69" t="n">
        <v>5.5</v>
      </c>
      <c r="M38" s="69" t="n">
        <v>5.5</v>
      </c>
      <c r="N38" s="69" t="n">
        <v>5.5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spring_bent_ept_ntax|</t>
        </is>
      </c>
      <c r="B39" s="69" t="inlineStr">
        <is>
          <t>spring-bent-ept-ntax</t>
        </is>
      </c>
      <c r="C39" s="69" t="inlineStr">
        <is>
          <t>EPT taxa richness</t>
        </is>
      </c>
      <c r="D39" s="69" t="inlineStr"/>
      <c r="E39" s="69" t="n">
        <v>5</v>
      </c>
      <c r="F39" s="69" t="inlineStr">
        <is>
          <t>25 least-disturbed stations of this ecoregion</t>
        </is>
      </c>
      <c r="G39" s="69" t="n">
        <v>0</v>
      </c>
      <c r="H39" s="69" t="n">
        <v>2.571428571428572</v>
      </c>
      <c r="I39" s="69" t="n">
        <v>6</v>
      </c>
      <c r="J39" s="69" t="n">
        <v>17</v>
      </c>
      <c r="K39" s="69" t="n">
        <v>22.5</v>
      </c>
      <c r="L39" s="69" t="n">
        <v>22.5</v>
      </c>
      <c r="M39" s="69" t="n">
        <v>22.5</v>
      </c>
      <c r="N39" s="69" t="n">
        <v>22.5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spring_bent_tolrpind|</t>
        </is>
      </c>
      <c r="B40" s="69" t="inlineStr">
        <is>
          <t>spring-bent-tolrpind</t>
        </is>
      </c>
      <c r="C40" s="69" t="inlineStr">
        <is>
          <t>Tolerant individuals (%) ~ HBI</t>
        </is>
      </c>
      <c r="D40" s="69" t="inlineStr"/>
      <c r="E40" s="69" t="n">
        <v>5</v>
      </c>
      <c r="F40" s="69" t="inlineStr">
        <is>
          <t>25 least-disturbed stations of this ecoregion</t>
        </is>
      </c>
      <c r="G40" s="69" t="n">
        <v>0</v>
      </c>
      <c r="H40" s="69" t="n">
        <v>6.670000076293945</v>
      </c>
      <c r="I40" s="69" t="n">
        <v>22</v>
      </c>
      <c r="J40" s="69" t="n">
        <v>44.99499988555908</v>
      </c>
      <c r="K40" s="69" t="n">
        <v>60.32499980926514</v>
      </c>
      <c r="L40" s="69" t="n">
        <v>60.32499980926514</v>
      </c>
      <c r="M40" s="69" t="n">
        <v>60.32499980926514</v>
      </c>
      <c r="N40" s="69" t="n">
        <v>60.32499980926514</v>
      </c>
      <c r="O40" s="69" t="n">
        <v>1</v>
      </c>
      <c r="P40" s="69" t="n">
        <v>1</v>
      </c>
      <c r="Q40" s="69" t="n">
        <v>0.7</v>
      </c>
      <c r="R40" s="69" t="n">
        <v>0.3</v>
      </c>
      <c r="S40" s="69" t="n">
        <v>0</v>
      </c>
      <c r="T40" s="69" t="n">
        <v>0</v>
      </c>
      <c r="U40" s="69" t="n">
        <v>0</v>
      </c>
      <c r="V40" s="69" t="n">
        <v>0</v>
      </c>
    </row>
    <row r="41">
      <c r="A41" s="69" t="inlineStr">
        <is>
          <t>spring_nid_dams_1mi|</t>
        </is>
      </c>
      <c r="B41" s="69" t="inlineStr">
        <is>
          <t>spring-nid-dams-1mi</t>
        </is>
      </c>
      <c r="C41" s="69" t="inlineStr">
        <is>
          <t>Mapped dams within one mile</t>
        </is>
      </c>
      <c r="D41" s="69" t="inlineStr"/>
      <c r="E41" s="69" t="n">
        <v>4</v>
      </c>
      <c r="F41" s="69" t="inlineStr">
        <is>
          <t>Fixed criteria, the same in every region</t>
        </is>
      </c>
      <c r="G41" s="69" t="n">
        <v>0</v>
      </c>
      <c r="H41" s="69" t="n">
        <v>1</v>
      </c>
      <c r="I41" s="69" t="n">
        <v>2</v>
      </c>
      <c r="J41" s="69" t="n">
        <v>3</v>
      </c>
      <c r="K41" s="69" t="n">
        <v>3</v>
      </c>
      <c r="L41" s="69" t="n">
        <v>3</v>
      </c>
      <c r="M41" s="69" t="n">
        <v>3</v>
      </c>
      <c r="N41" s="69" t="n">
        <v>3</v>
      </c>
      <c r="O41" s="69" t="n">
        <v>1</v>
      </c>
      <c r="P41" s="69" t="n">
        <v>0.545</v>
      </c>
      <c r="Q41" s="69" t="n">
        <v>0.195</v>
      </c>
      <c r="R41" s="69" t="n">
        <v>0</v>
      </c>
      <c r="S41" s="69" t="n">
        <v>0</v>
      </c>
      <c r="T41" s="69" t="n">
        <v>0</v>
      </c>
      <c r="U41" s="69" t="n">
        <v>0</v>
      </c>
      <c r="V41" s="69" t="n">
        <v>0</v>
      </c>
    </row>
    <row r="44">
      <c r="A44" s="58" t="inlineStr">
        <is>
          <t>Curve sets by metric</t>
        </is>
      </c>
    </row>
    <row r="45">
      <c r="A45" s="69" t="inlineStr">
        <is>
          <t>All streams (pooled)</t>
        </is>
      </c>
      <c r="B45" s="5" t="inlineStr">
        <is>
          <t>Residual pool depth</t>
        </is>
      </c>
    </row>
    <row r="46">
      <c r="A46" s="69" t="inlineStr">
        <is>
          <t>Low gradient (under 0.5 percent)</t>
        </is>
      </c>
      <c r="B46" s="5" t="inlineStr">
        <is>
          <t>Residual pool depth</t>
        </is>
      </c>
    </row>
    <row r="47">
      <c r="A47" s="69" t="inlineStr">
        <is>
          <t>Moderate gradient (0.5 to 2 percent)</t>
        </is>
      </c>
      <c r="B47" s="5" t="inlineStr">
        <is>
          <t>Residual pool depth</t>
        </is>
      </c>
    </row>
    <row r="48">
      <c r="A48" s="69" t="inlineStr">
        <is>
          <t>All streams (pooled)</t>
        </is>
      </c>
      <c r="B48" s="5" t="inlineStr">
        <is>
          <t>Bankfull width:depth ratio</t>
        </is>
      </c>
    </row>
    <row r="49">
      <c r="A49" s="69" t="inlineStr">
        <is>
          <t>Small stream (10 to 100 km2)</t>
        </is>
      </c>
      <c r="B49" s="5" t="inlineStr">
        <is>
          <t>Bankfull width:depth ratio</t>
        </is>
      </c>
    </row>
    <row r="50">
      <c r="A50" s="69" t="inlineStr">
        <is>
          <t>Large stream (over 100 km2)</t>
        </is>
      </c>
      <c r="B50" s="5" t="inlineStr">
        <is>
          <t>Bankfull width:depth ratio</t>
        </is>
      </c>
    </row>
    <row r="51">
      <c r="A51" s="69" t="inlineStr">
        <is>
          <t>All streams (pooled)</t>
        </is>
      </c>
      <c r="B51" s="5" t="inlineStr">
        <is>
          <t>Relative bed stability</t>
        </is>
      </c>
    </row>
    <row r="52">
      <c r="A52" s="69" t="inlineStr">
        <is>
          <t>Small stream (10 to 100 km2)</t>
        </is>
      </c>
      <c r="B52" s="5" t="inlineStr">
        <is>
          <t>Relative bed stability</t>
        </is>
      </c>
    </row>
    <row r="53">
      <c r="A53" s="69" t="inlineStr">
        <is>
          <t>Large stream (over 100 km2)</t>
        </is>
      </c>
      <c r="B53" s="5" t="inlineStr">
        <is>
          <t>Relative bed stability</t>
        </is>
      </c>
    </row>
    <row r="54">
      <c r="A54" s="69" t="inlineStr">
        <is>
          <t>All streams (pooled)</t>
        </is>
      </c>
      <c r="B54" s="5" t="inlineStr">
        <is>
          <t>Native fish taxa richness</t>
        </is>
      </c>
    </row>
    <row r="55">
      <c r="A55" s="69" t="inlineStr">
        <is>
          <t>Low gradient (under 0.5 percent)</t>
        </is>
      </c>
      <c r="B55" s="5" t="inlineStr">
        <is>
          <t>Native fish taxa richness</t>
        </is>
      </c>
    </row>
    <row r="56">
      <c r="A56" s="69" t="inlineStr">
        <is>
          <t>Moderate gradient (0.5 to 2 percent)</t>
        </is>
      </c>
      <c r="B56" s="5" t="inlineStr">
        <is>
          <t>Native fish taxa richness</t>
        </is>
      </c>
    </row>
    <row r="59">
      <c r="A59" s="58" t="inlineStr">
        <is>
          <t>Condition classes</t>
        </is>
      </c>
    </row>
    <row r="60">
      <c r="A60" t="inlineStr">
        <is>
          <t>Metric index: at or below 0.39 Non-Functioning, at or below 0.69 Functioning At-Risk, above Functioning.</t>
        </is>
      </c>
    </row>
    <row r="61">
      <c r="A61" t="inlineStr">
        <is>
          <t>Function score (0 to 15): at or below 5 Non-Functioning, at or below 10 Functioning At-Risk, above Functioning.</t>
        </is>
      </c>
    </row>
    <row r="62">
      <c r="A6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northwestern-great-plains</t>
        </is>
      </c>
    </row>
    <row r="5">
      <c r="A5" s="69" t="inlineStr">
        <is>
          <t>Assessment name</t>
        </is>
      </c>
      <c r="B5" s="69" t="inlineStr">
        <is>
          <t>Northwestern Great Plains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sha256:2ee7911c0fe28c2bbedb454948482840707ed71438e2a395efd4bd899b6f1d2d</t>
        </is>
      </c>
    </row>
    <row r="9">
      <c r="A9" s="69" t="inlineStr">
        <is>
          <t>Region</t>
        </is>
      </c>
      <c r="B9" s="69" t="inlineStr">
        <is>
          <t>ecoregion 43 Northwestern Great Plains</t>
        </is>
      </c>
    </row>
    <row r="10">
      <c r="A10" s="69" t="inlineStr">
        <is>
          <t>Source</t>
        </is>
      </c>
      <c r="B10" s="69" t="inlineStr">
        <is>
          <t>USEPA NRSA 2013-24 (L3 ecoregion 43),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29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2026-09-30T07:04:45Z</dcterms:created>
  <dcterms:modified xmlns:dcterms="http://purl.org/dc/terms/" xmlns:xsi="http://www.w3.org/2001/XMLSchema-instance" xsi:type="dcterms:W3CDTF">2026-09-30T07:04:45Z</dcterms:modified>
  <cp:lastModifiedBy>DEEP</cp:lastModifiedBy>
  <cp:contentStatus>Draft</cp:contentStatus>
</cp:coreProperties>
</file>