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'Reference'!$A$5:$A$43</definedName>
    <definedName name="curve_x1">'Reference'!$G$5:$G$43</definedName>
    <definedName name="curve_y1">'Reference'!$O$5:$O$43</definedName>
    <definedName name="curve_x2">'Reference'!$H$5:$H$43</definedName>
    <definedName name="curve_y2">'Reference'!$P$5:$P$43</definedName>
    <definedName name="curve_x3">'Reference'!$I$5:$I$43</definedName>
    <definedName name="curve_y3">'Reference'!$Q$5:$Q$43</definedName>
    <definedName name="curve_x4">'Reference'!$J$5:$J$43</definedName>
    <definedName name="curve_y4">'Reference'!$R$5:$R$43</definedName>
    <definedName name="curve_x5">'Reference'!$K$5:$K$43</definedName>
    <definedName name="curve_y5">'Reference'!$S$5:$S$43</definedName>
    <definedName name="curve_x6">'Reference'!$L$5:$L$43</definedName>
    <definedName name="curve_y6">'Reference'!$T$5:$T$43</definedName>
    <definedName name="curve_x7">'Reference'!$M$5:$M$43</definedName>
    <definedName name="curve_y7">'Reference'!$U$5:$U$43</definedName>
    <definedName name="curve_x8">'Reference'!$N$5:$N$43</definedName>
    <definedName name="curve_y8">'Reference'!$V$5:$V$43</definedName>
    <definedName name="strata_floodplain_connectivity_entrenchment_ratio_er">'Reference'!$A$47:$A$49</definedName>
    <definedName name="strata_bed_composition_and_large_wood_percent_fines_2mm">'Reference'!$A$50:$A$51</definedName>
    <definedName name="strata_carbon_processing_riparian_extent">'Reference'!$A$52:$A$53</definedName>
    <definedName name="strata_carbon_processing_vegetative_complexity">'Reference'!$A$54:$A$57</definedName>
    <definedName name="strata_habitat_provision_lwd_frequency">'Reference'!$A$58:$A$61</definedName>
    <definedName name="strata_habitat_provision_percent_riffle">'Reference'!$A$62:$A$63</definedName>
    <definedName name="strata_habitat_provision_pool_depth_ratio">'Reference'!$A$64:$A$65</definedName>
    <definedName name="strata_habitat_provision_pool_spacing_ratio">'Reference'!$A$66:$A$69</definedName>
    <definedName name="strata_community_dynamics_fish_species_richness">'Reference'!$A$70:$A$71</definedName>
    <definedName name="idx_catchment_hydrology_anthropogenic_land_cover">'Metrics'!$V$5</definedName>
    <definedName name="idx_catchment_hydrology_impervious_cover">'Metrics'!$V$6</definedName>
    <definedName name="idx_catchment_hydrology_land_use_coefficient">'Metrics'!$V$7</definedName>
    <definedName name="idx_reach_inflow_concentrated_flow_points_1_000_ft">'Metrics'!$V$8</definedName>
    <definedName name="idx_floodplain_connectivity_entrenchment_ratio_er">'Metrics'!$V$9</definedName>
    <definedName name="idx_channel_evolution_width_depth_ratio">'Metrics'!$V$10</definedName>
    <definedName name="idx_channel_and_floodplain_dynamics_bank_height_ratio_bhr">'Metrics'!$V$11</definedName>
    <definedName name="idx_channel_and_floodplain_dynamics_percent_streambank_armoring">'Metrics'!$V$12</definedName>
    <definedName name="idx_channel_and_floodplain_dynamics_percent_streambank_erosion">'Metrics'!$V$13</definedName>
    <definedName name="idx_bed_composition_and_large_wood_percent_fines_2mm">'Metrics'!$V$14</definedName>
    <definedName name="idx_light_and_thermal_regime_daily_maximum_temperature">'Metrics'!$V$15</definedName>
    <definedName name="idx_carbon_processing_percent_native_cover">'Metrics'!$V$16</definedName>
    <definedName name="idx_carbon_processing_riparian_extent">'Metrics'!$V$17</definedName>
    <definedName name="idx_carbon_processing_vegetative_complexity">'Metrics'!$V$18</definedName>
    <definedName name="idx_nutrient_cycling_diatom_index">'Metrics'!$V$19</definedName>
    <definedName name="idx_water_and_soil_quality_daily_average_turbidity">'Metrics'!$V$20</definedName>
    <definedName name="idx_habitat_provision_lwd_frequency">'Metrics'!$V$21</definedName>
    <definedName name="idx_habitat_provision_percent_riffle">'Metrics'!$V$22</definedName>
    <definedName name="idx_habitat_provision_pool_depth_ratio">'Metrics'!$V$23</definedName>
    <definedName name="idx_habitat_provision_pool_spacing_ratio">'Metrics'!$V$24</definedName>
    <definedName name="idx_population_support_alaskan_interior_mmi">'Metrics'!$V$25</definedName>
    <definedName name="idx_community_dynamics_fish_species_richness">'Metrics'!$V$26</definedName>
    <definedName name="idx_community_dynamics_relative_abundance_and_species_biomass_metrics">'Metrics'!$V$27</definedName>
    <definedName name="fs_catchment_hydrology">'Results'!$B$4</definedName>
    <definedName name="fs_reach_inflow">'Results'!$B$5</definedName>
    <definedName name="fs_floodplain_connectivity">'Results'!$B$6</definedName>
    <definedName name="fs_channel_evolution">'Results'!$B$7</definedName>
    <definedName name="fs_channel_floodplain_dynamics">'Results'!$B$8</definedName>
    <definedName name="fs_bed_composition_bedform_dynamics">'Results'!$B$9</definedName>
    <definedName name="fs_light_thermal_regime">'Results'!$B$10</definedName>
    <definedName name="fs_carbon_processing">'Results'!$B$11</definedName>
    <definedName name="fs_nutrient_cycling">'Results'!$B$12</definedName>
    <definedName name="fs_water_soil_quality">'Results'!$B$13</definedName>
    <definedName name="fs_habitat_provision">'Results'!$B$14</definedName>
    <definedName name="fs_population_support">'Results'!$B$15</definedName>
    <definedName name="fs_community_dynamics">'Results'!$B$16</definedName>
    <definedName name="sub_index_physical">'Results'!$B$19</definedName>
    <definedName name="sub_index_chemical">'Results'!$B$20</definedName>
    <definedName name="sub_index_biological">'Results'!$B$21</definedName>
    <definedName name="eci">'Results'!$B$22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anthropogenic_land_cover">'DEEP Score'!$E$12</definedName>
    <definedName name="in_catchment_hydrology_impervious_cover">'DEEP Score'!$E$13</definedName>
    <definedName name="in_catchment_hydrology_land_use_coefficient">'DEEP Score'!$E$14</definedName>
    <definedName name="in_reach_inflow_concentrated_flow_points_1_000_ft">'DEEP Score'!$E$15</definedName>
    <definedName name="in_floodplain_connectivity_entrenchment_ratio_er">'DEEP Score'!$E$16</definedName>
    <definedName name="st_floodplain_connectivity_entrenchment_ratio_er">'DEEP Score'!$F$16</definedName>
    <definedName name="in_channel_evolution_width_depth_ratio">'DEEP Score'!$E$17</definedName>
    <definedName name="in_channel_and_floodplain_dynamics_bank_height_ratio_bhr">'DEEP Score'!$E$18</definedName>
    <definedName name="in_channel_and_floodplain_dynamics_percent_streambank_armoring">'DEEP Score'!$E$19</definedName>
    <definedName name="in_channel_and_floodplain_dynamics_percent_streambank_erosion">'DEEP Score'!$E$20</definedName>
    <definedName name="in_bed_composition_and_large_wood_percent_fines_2mm">'DEEP Score'!$E$21</definedName>
    <definedName name="st_bed_composition_and_large_wood_percent_fines_2mm">'DEEP Score'!$F$21</definedName>
    <definedName name="in_light_and_thermal_regime_daily_maximum_temperature">'DEEP Score'!$E$22</definedName>
    <definedName name="in_carbon_processing_percent_native_cover">'DEEP Score'!$E$23</definedName>
    <definedName name="in_carbon_processing_riparian_extent">'DEEP Score'!$E$24</definedName>
    <definedName name="st_carbon_processing_riparian_extent">'DEEP Score'!$F$24</definedName>
    <definedName name="in_carbon_processing_vegetative_complexity">'DEEP Score'!$E$25</definedName>
    <definedName name="st_carbon_processing_vegetative_complexity">'DEEP Score'!$F$25</definedName>
    <definedName name="in_nutrient_cycling_diatom_index">'DEEP Score'!$E$26</definedName>
    <definedName name="in_water_and_soil_quality_daily_average_turbidity">'DEEP Score'!$E$27</definedName>
    <definedName name="in_habitat_provision_lwd_frequency">'DEEP Score'!$E$28</definedName>
    <definedName name="st_habitat_provision_lwd_frequency">'DEEP Score'!$F$28</definedName>
    <definedName name="in_habitat_provision_percent_riffle">'DEEP Score'!$E$29</definedName>
    <definedName name="st_habitat_provision_percent_riffle">'DEEP Score'!$F$29</definedName>
    <definedName name="in_habitat_provision_pool_depth_ratio">'DEEP Score'!$E$30</definedName>
    <definedName name="st_habitat_provision_pool_depth_ratio">'DEEP Score'!$F$30</definedName>
    <definedName name="in_habitat_provision_pool_spacing_ratio">'DEEP Score'!$E$31</definedName>
    <definedName name="st_habitat_provision_pool_spacing_ratio">'DEEP Score'!$F$31</definedName>
    <definedName name="in_population_support_alaskan_interior_mmi">'DEEP Score'!$E$32</definedName>
    <definedName name="in_community_dynamics_fish_species_richness">'DEEP Score'!$E$33</definedName>
    <definedName name="st_community_dynamics_fish_species_richness">'DEEP Score'!$F$33</definedName>
    <definedName name="in_community_dynamics_relative_abundance_and_species_biomass_metrics">'DEEP Score'!$E$34</definedName>
    <definedName name="site_notes">'DEEP Score'!$A$47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4" borderId="11" applyAlignment="1" applyProtection="1" pivotButton="0" quotePrefix="0" xfId="0">
      <alignment horizontal="center" vertical="center" wrapText="1"/>
      <protection locked="0" hidden="0"/>
    </xf>
    <xf numFmtId="0" fontId="0" fillId="2" borderId="11" pivotButton="0" quotePrefix="0" xfId="0"/>
    <xf numFmtId="2" fontId="0" fillId="3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5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166" fontId="3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3" fillId="6" borderId="13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3" fillId="7" borderId="13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8" borderId="13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0" fillId="4" borderId="11" applyAlignment="1" applyProtection="1" pivotButton="0" quotePrefix="0" xfId="0">
      <alignment horizontal="left" vertical="center" wrapText="1"/>
      <protection locked="0" hidden="0"/>
    </xf>
    <xf numFmtId="0" fontId="3" fillId="9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9" borderId="13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'ChartData'!$C$3:$C$15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'ChartData'!$D$3:$D$15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'ChartData'!$E$3:$E$15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'ChartData'!C17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'ChartData'!$C$18:$C$20</f>
            </numRef>
          </val>
        </ser>
        <ser>
          <idx val="1"/>
          <order val="1"/>
          <tx>
            <strRef>
              <f>'ChartData'!D17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'ChartData'!$D$18:$D$20</f>
            </numRef>
          </val>
        </ser>
        <ser>
          <idx val="2"/>
          <order val="2"/>
          <tx>
            <strRef>
              <f>'ChartData'!E17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'ChartData'!$E$18:$E$20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901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AK SQT Adapted</t>
        </is>
      </c>
    </row>
    <row r="3" ht="21" customHeight="1">
      <c r="A3" s="3" t="inlineStr">
        <is>
          <t>Assessment status: Preliminary. Reviewed and approved as Preliminary.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2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AK SQT Adapted</t>
        </is>
      </c>
    </row>
    <row r="3">
      <c r="A3" s="5" t="inlineStr">
        <is>
          <t>Version 2 | Preliminary | Alaska SQT</t>
        </is>
      </c>
    </row>
    <row r="4" ht="21" customHeight="1">
      <c r="A4" s="3" t="inlineStr">
        <is>
          <t>Assessment status: Preliminary. Reviewed and approved as Preliminary.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Anthropogenic Land Cover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Impervious Cover</t>
        </is>
      </c>
      <c r="D13" s="23" t="inlineStr"/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n"/>
      <c r="B14" s="29" t="n"/>
      <c r="C14" s="30" t="inlineStr">
        <is>
          <t>Land Use Coefficient</t>
        </is>
      </c>
      <c r="D14" s="31" t="inlineStr"/>
      <c r="E14" s="32" t="n"/>
      <c r="F14" s="33" t="inlineStr"/>
      <c r="G14" s="34">
        <f>IF('Metrics'!$V$7="","",'Metrics'!$V$7)</f>
        <v/>
      </c>
      <c r="H14" s="29" t="n"/>
      <c r="I14" s="35" t="n"/>
    </row>
    <row r="15">
      <c r="A15" s="36" t="inlineStr">
        <is>
          <t>Hydrology</t>
        </is>
      </c>
      <c r="B15" s="37" t="inlineStr">
        <is>
          <t>Reach inflow</t>
        </is>
      </c>
      <c r="C15" s="38" t="inlineStr">
        <is>
          <t>Concentrated Flow Points / 1,000 ft</t>
        </is>
      </c>
      <c r="D15" s="39" t="inlineStr"/>
      <c r="E15" s="40" t="n"/>
      <c r="F15" s="41" t="inlineStr"/>
      <c r="G15" s="42">
        <f>IF('Metrics'!$V$8="","",'Metrics'!$V$8)</f>
        <v/>
      </c>
      <c r="H15" s="43">
        <f>IF('Results'!$B$5="","",'Results'!$B$5)</f>
        <v/>
      </c>
      <c r="I15" s="44">
        <f>IF('DEEP Score'!$H$15="","",IF('DEEP Score'!$H$15&lt;=5,"Non-Functioning",IF('DEEP Score'!$H$15&lt;=10,"Functioning At-Risk","Functioning")))</f>
        <v/>
      </c>
    </row>
    <row r="16">
      <c r="A16" s="45" t="inlineStr">
        <is>
          <t>Hydraulics</t>
        </is>
      </c>
      <c r="B16" s="37" t="inlineStr">
        <is>
          <t>Floodplain connectivity</t>
        </is>
      </c>
      <c r="C16" s="38" t="inlineStr">
        <is>
          <t>Entrenchment Ratio (ER)</t>
        </is>
      </c>
      <c r="D16" s="39" t="inlineStr">
        <is>
          <t>ER</t>
        </is>
      </c>
      <c r="E16" s="40" t="n"/>
      <c r="F16" s="46" t="inlineStr">
        <is>
          <t>C Streams</t>
        </is>
      </c>
      <c r="G16" s="42">
        <f>IF('Metrics'!$V$9="","",'Metrics'!$V$9)</f>
        <v/>
      </c>
      <c r="H16" s="43">
        <f>IF('Results'!$B$6="","",'Results'!$B$6)</f>
        <v/>
      </c>
      <c r="I16" s="44">
        <f>IF('DEEP Score'!$H$16="","",IF('DEEP Score'!$H$16&lt;=5,"Non-Functioning",IF('DEEP Score'!$H$16&lt;=10,"Functioning At-Risk","Functioning")))</f>
        <v/>
      </c>
    </row>
    <row r="17">
      <c r="A17" s="47" t="inlineStr">
        <is>
          <t>Geomorphology</t>
        </is>
      </c>
      <c r="B17" s="37" t="inlineStr">
        <is>
          <t>Channel evolution</t>
        </is>
      </c>
      <c r="C17" s="38" t="inlineStr">
        <is>
          <t>Width/Depth Ratio</t>
        </is>
      </c>
      <c r="D17" s="39" t="inlineStr"/>
      <c r="E17" s="40" t="n"/>
      <c r="F17" s="41" t="inlineStr"/>
      <c r="G17" s="42">
        <f>IF('Metrics'!$V$10="","",'Metrics'!$V$10)</f>
        <v/>
      </c>
      <c r="H17" s="43">
        <f>IF('Results'!$B$7="","",'Results'!$B$7)</f>
        <v/>
      </c>
      <c r="I17" s="44">
        <f>IF('DEEP Score'!$H$17="","",IF('DEEP Score'!$H$17&lt;=5,"Non-Functioning",IF('DEEP Score'!$H$17&lt;=10,"Functioning At-Risk","Functioning")))</f>
        <v/>
      </c>
    </row>
    <row r="18">
      <c r="A18" s="48" t="inlineStr">
        <is>
          <t>Geomorphology</t>
        </is>
      </c>
      <c r="B18" s="12" t="inlineStr">
        <is>
          <t>Channel and floodplain dynamics</t>
        </is>
      </c>
      <c r="C18" s="13" t="inlineStr">
        <is>
          <t>Bank Height Ratio (BHR)</t>
        </is>
      </c>
      <c r="D18" s="14" t="inlineStr">
        <is>
          <t>BHR</t>
        </is>
      </c>
      <c r="E18" s="15" t="n"/>
      <c r="F18" s="16" t="inlineStr"/>
      <c r="G18" s="17">
        <f>IF('Metrics'!$V$11="","",'Metrics'!$V$11)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Percent Streambank Armoring</t>
        </is>
      </c>
      <c r="D19" s="23" t="inlineStr"/>
      <c r="E19" s="24" t="n"/>
      <c r="F19" s="25" t="inlineStr"/>
      <c r="G19" s="26">
        <f>IF('Metrics'!$V$12="","",'Metrics'!$V$12)</f>
        <v/>
      </c>
      <c r="H19" s="21" t="n"/>
      <c r="I19" s="27" t="n"/>
    </row>
    <row r="20">
      <c r="A20" s="28" t="n"/>
      <c r="B20" s="29" t="n"/>
      <c r="C20" s="30" t="inlineStr">
        <is>
          <t>Percent Streambank Erosion</t>
        </is>
      </c>
      <c r="D20" s="31" t="inlineStr"/>
      <c r="E20" s="32" t="n"/>
      <c r="F20" s="33" t="inlineStr"/>
      <c r="G20" s="34">
        <f>IF('Metrics'!$V$13="","",'Metrics'!$V$13)</f>
        <v/>
      </c>
      <c r="H20" s="29" t="n"/>
      <c r="I20" s="35" t="n"/>
    </row>
    <row r="21">
      <c r="A21" s="47" t="inlineStr">
        <is>
          <t>Geomorphology</t>
        </is>
      </c>
      <c r="B21" s="37" t="inlineStr">
        <is>
          <t>Bed composition and large wood</t>
        </is>
      </c>
      <c r="C21" s="38" t="inlineStr">
        <is>
          <t>Percent Fines &lt; 2mm</t>
        </is>
      </c>
      <c r="D21" s="39" t="inlineStr"/>
      <c r="E21" s="40" t="n"/>
      <c r="F21" s="46" t="inlineStr">
        <is>
          <t>Gravel Bed</t>
        </is>
      </c>
      <c r="G21" s="42">
        <f>IF('Metrics'!$V$14="","",'Metrics'!$V$14)</f>
        <v/>
      </c>
      <c r="H21" s="43">
        <f>IF('Results'!$B$9="","",'Results'!$B$9)</f>
        <v/>
      </c>
      <c r="I21" s="44">
        <f>IF('DEEP Score'!$H$21="","",IF('DEEP Score'!$H$21&lt;=5,"Non-Functioning",IF('DEEP Score'!$H$21&lt;=10,"Functioning At-Risk","Functioning")))</f>
        <v/>
      </c>
    </row>
    <row r="22">
      <c r="A22" s="49" t="inlineStr">
        <is>
          <t>Physicochemistry</t>
        </is>
      </c>
      <c r="B22" s="37" t="inlineStr">
        <is>
          <t>Light &amp; thermal regime</t>
        </is>
      </c>
      <c r="C22" s="38" t="inlineStr">
        <is>
          <t>Daily Maximum Temperature</t>
        </is>
      </c>
      <c r="D22" s="39" t="inlineStr"/>
      <c r="E22" s="40" t="n"/>
      <c r="F22" s="41" t="inlineStr"/>
      <c r="G22" s="42">
        <f>IF('Metrics'!$V$15="","",'Metrics'!$V$15)</f>
        <v/>
      </c>
      <c r="H22" s="43">
        <f>IF('Results'!$B$10="","",'Results'!$B$10)</f>
        <v/>
      </c>
      <c r="I22" s="44">
        <f>IF('DEEP Score'!$H$22="","",IF('DEEP Score'!$H$22&lt;=5,"Non-Functioning",IF('DEEP Score'!$H$22&lt;=10,"Functioning At-Risk","Functioning")))</f>
        <v/>
      </c>
    </row>
    <row r="23">
      <c r="A23" s="50" t="inlineStr">
        <is>
          <t>Physicochemistry</t>
        </is>
      </c>
      <c r="B23" s="12" t="inlineStr">
        <is>
          <t>Carbon processing</t>
        </is>
      </c>
      <c r="C23" s="13" t="inlineStr">
        <is>
          <t>Percent Native Cover</t>
        </is>
      </c>
      <c r="D23" s="14" t="inlineStr"/>
      <c r="E23" s="15" t="n"/>
      <c r="F23" s="16" t="inlineStr"/>
      <c r="G23" s="17">
        <f>IF('Metrics'!$V$16="","",'Metrics'!$V$16)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Riparian Extent</t>
        </is>
      </c>
      <c r="D24" s="23" t="inlineStr"/>
      <c r="E24" s="24" t="n"/>
      <c r="F24" s="7" t="inlineStr">
        <is>
          <t>Unconfined Alluvial Valleys</t>
        </is>
      </c>
      <c r="G24" s="26">
        <f>IF('Metrics'!$V$17="","",'Metrics'!$V$17)</f>
        <v/>
      </c>
      <c r="H24" s="21" t="n"/>
      <c r="I24" s="27" t="n"/>
    </row>
    <row r="25">
      <c r="A25" s="28" t="n"/>
      <c r="B25" s="29" t="n"/>
      <c r="C25" s="30" t="inlineStr">
        <is>
          <t>Vegetative Complexity</t>
        </is>
      </c>
      <c r="D25" s="31" t="inlineStr"/>
      <c r="E25" s="32" t="n"/>
      <c r="F25" s="51" t="inlineStr">
        <is>
          <t>Alaska &amp; Brooks Range</t>
        </is>
      </c>
      <c r="G25" s="34">
        <f>IF('Metrics'!$V$18="","",'Metrics'!$V$18)</f>
        <v/>
      </c>
      <c r="H25" s="29" t="n"/>
      <c r="I25" s="35" t="n"/>
    </row>
    <row r="26">
      <c r="A26" s="49" t="inlineStr">
        <is>
          <t>Physicochemistry</t>
        </is>
      </c>
      <c r="B26" s="37" t="inlineStr">
        <is>
          <t>Nutrient cycling</t>
        </is>
      </c>
      <c r="C26" s="38" t="inlineStr">
        <is>
          <t>Diatom Index</t>
        </is>
      </c>
      <c r="D26" s="39" t="inlineStr"/>
      <c r="E26" s="40" t="n"/>
      <c r="F26" s="41" t="inlineStr"/>
      <c r="G26" s="42">
        <f>IF('Metrics'!$V$19="","",'Metrics'!$V$19)</f>
        <v/>
      </c>
      <c r="H26" s="43">
        <f>IF('Results'!$B$12="","",'Results'!$B$12)</f>
        <v/>
      </c>
      <c r="I26" s="44">
        <f>IF('DEEP Score'!$H$26="","",IF('DEEP Score'!$H$26&lt;=5,"Non-Functioning",IF('DEEP Score'!$H$26&lt;=10,"Functioning At-Risk","Functioning")))</f>
        <v/>
      </c>
    </row>
    <row r="27">
      <c r="A27" s="49" t="inlineStr">
        <is>
          <t>Physicochemistry</t>
        </is>
      </c>
      <c r="B27" s="37" t="inlineStr">
        <is>
          <t>Water &amp; soil quality</t>
        </is>
      </c>
      <c r="C27" s="38" t="inlineStr">
        <is>
          <t>Daily Average Turbidity</t>
        </is>
      </c>
      <c r="D27" s="39" t="inlineStr"/>
      <c r="E27" s="40" t="n"/>
      <c r="F27" s="41" t="inlineStr"/>
      <c r="G27" s="42">
        <f>IF('Metrics'!$V$20="","",'Metrics'!$V$20)</f>
        <v/>
      </c>
      <c r="H27" s="43">
        <f>IF('Results'!$B$13="","",'Results'!$B$13)</f>
        <v/>
      </c>
      <c r="I27" s="44">
        <f>IF('DEEP Score'!$H$27="","",IF('DEEP Score'!$H$27&lt;=5,"Non-Functioning",IF('DEEP Score'!$H$27&lt;=10,"Functioning At-Risk","Functioning")))</f>
        <v/>
      </c>
    </row>
    <row r="28">
      <c r="A28" s="52" t="inlineStr">
        <is>
          <t>Biology</t>
        </is>
      </c>
      <c r="B28" s="12" t="inlineStr">
        <is>
          <t>Habitat provision</t>
        </is>
      </c>
      <c r="C28" s="13" t="inlineStr">
        <is>
          <t>LWD Frequency</t>
        </is>
      </c>
      <c r="D28" s="14" t="inlineStr"/>
      <c r="E28" s="15" t="n"/>
      <c r="F28" s="53" t="inlineStr">
        <is>
          <t>Alaska Range</t>
        </is>
      </c>
      <c r="G28" s="17">
        <f>IF('Metrics'!$V$21="","",'Metrics'!$V$21)</f>
        <v/>
      </c>
      <c r="H28" s="18">
        <f>IF('Results'!$B$14="","",'Results'!$B$14)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Percent Riffle</t>
        </is>
      </c>
      <c r="D29" s="23" t="inlineStr"/>
      <c r="E29" s="24" t="n"/>
      <c r="F29" s="7" t="inlineStr">
        <is>
          <t>Slopes &lt; 3%</t>
        </is>
      </c>
      <c r="G29" s="26">
        <f>IF('Metrics'!$V$22="","",'Metrics'!$V$22)</f>
        <v/>
      </c>
      <c r="H29" s="21" t="n"/>
      <c r="I29" s="27" t="n"/>
    </row>
    <row r="30">
      <c r="A30" s="20" t="n"/>
      <c r="B30" s="21" t="n"/>
      <c r="C30" s="22" t="inlineStr">
        <is>
          <t>Pool Depth Ratio</t>
        </is>
      </c>
      <c r="D30" s="23" t="inlineStr"/>
      <c r="E30" s="24" t="n"/>
      <c r="F30" s="7" t="inlineStr">
        <is>
          <t>B &amp; Ba Streams</t>
        </is>
      </c>
      <c r="G30" s="26">
        <f>IF('Metrics'!$V$23="","",'Metrics'!$V$23)</f>
        <v/>
      </c>
      <c r="H30" s="21" t="n"/>
      <c r="I30" s="27" t="n"/>
    </row>
    <row r="31">
      <c r="A31" s="28" t="n"/>
      <c r="B31" s="29" t="n"/>
      <c r="C31" s="30" t="inlineStr">
        <is>
          <t>Pool Spacing Ratio</t>
        </is>
      </c>
      <c r="D31" s="31" t="inlineStr"/>
      <c r="E31" s="32" t="n"/>
      <c r="F31" s="51" t="inlineStr">
        <is>
          <t>B and Ba Stream Types</t>
        </is>
      </c>
      <c r="G31" s="34">
        <f>IF('Metrics'!$V$24="","",'Metrics'!$V$24)</f>
        <v/>
      </c>
      <c r="H31" s="29" t="n"/>
      <c r="I31" s="35" t="n"/>
    </row>
    <row r="32">
      <c r="A32" s="54" t="inlineStr">
        <is>
          <t>Biology</t>
        </is>
      </c>
      <c r="B32" s="37" t="inlineStr">
        <is>
          <t>Population support</t>
        </is>
      </c>
      <c r="C32" s="38" t="inlineStr">
        <is>
          <t>Alaskan Interior MMI</t>
        </is>
      </c>
      <c r="D32" s="39" t="inlineStr"/>
      <c r="E32" s="40" t="n"/>
      <c r="F32" s="41" t="inlineStr"/>
      <c r="G32" s="42">
        <f>IF('Metrics'!$V$25="","",'Metrics'!$V$25)</f>
        <v/>
      </c>
      <c r="H32" s="43">
        <f>IF('Results'!$B$15="","",'Results'!$B$15)</f>
        <v/>
      </c>
      <c r="I32" s="44">
        <f>IF('DEEP Score'!$H$32="","",IF('DEEP Score'!$H$32&lt;=5,"Non-Functioning",IF('DEEP Score'!$H$32&lt;=10,"Functioning At-Risk","Functioning")))</f>
        <v/>
      </c>
    </row>
    <row r="33">
      <c r="A33" s="52" t="inlineStr">
        <is>
          <t>Biology</t>
        </is>
      </c>
      <c r="B33" s="12" t="inlineStr">
        <is>
          <t>Community dynamics</t>
        </is>
      </c>
      <c r="C33" s="13" t="inlineStr">
        <is>
          <t>Fish Species Richness</t>
        </is>
      </c>
      <c r="D33" s="14" t="inlineStr"/>
      <c r="E33" s="15" t="n"/>
      <c r="F33" s="53" t="inlineStr">
        <is>
          <t>Anadromous</t>
        </is>
      </c>
      <c r="G33" s="17">
        <f>IF('Metrics'!$V$26="","",'Metrics'!$V$26)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8" t="n"/>
      <c r="B34" s="29" t="n"/>
      <c r="C34" s="30" t="inlineStr">
        <is>
          <t>Relative Abundance and Species Biomass metrics</t>
        </is>
      </c>
      <c r="D34" s="31" t="inlineStr"/>
      <c r="E34" s="32" t="n"/>
      <c r="F34" s="33" t="inlineStr"/>
      <c r="G34" s="34">
        <f>IF('Metrics'!$V$27="","",'Metrics'!$V$27)</f>
        <v/>
      </c>
      <c r="H34" s="29" t="n"/>
      <c r="I34" s="35" t="n"/>
    </row>
    <row r="36">
      <c r="A36" s="55" t="inlineStr">
        <is>
          <t>Summary</t>
        </is>
      </c>
    </row>
    <row r="37">
      <c r="A37" s="10" t="inlineStr">
        <is>
          <t>Outcome</t>
        </is>
      </c>
      <c r="B37" s="10" t="inlineStr">
        <is>
          <t>Sub-index (0 to 1)</t>
        </is>
      </c>
      <c r="C37" s="10" t="inlineStr">
        <is>
          <t>Condition</t>
        </is>
      </c>
    </row>
    <row r="38">
      <c r="A38" s="56" t="inlineStr">
        <is>
          <t>Physical</t>
        </is>
      </c>
      <c r="B38" s="57">
        <f>'Results'!$B$19</f>
        <v/>
      </c>
      <c r="C38" s="23">
        <f>IF('DEEP Score'!$B$38&lt;=0.39,"Non-Functioning",IF('DEEP Score'!$B$38&lt;=0.69,"Functioning At-Risk","Functioning"))</f>
        <v/>
      </c>
    </row>
    <row r="39">
      <c r="A39" s="56" t="inlineStr">
        <is>
          <t>Chemical</t>
        </is>
      </c>
      <c r="B39" s="57">
        <f>'Results'!$B$20</f>
        <v/>
      </c>
      <c r="C39" s="23">
        <f>IF('DEEP Score'!$B$39&lt;=0.39,"Non-Functioning",IF('DEEP Score'!$B$39&lt;=0.69,"Functioning At-Risk","Functioning"))</f>
        <v/>
      </c>
    </row>
    <row r="40">
      <c r="A40" s="56" t="inlineStr">
        <is>
          <t>Biological</t>
        </is>
      </c>
      <c r="B40" s="57">
        <f>'Results'!$B$21</f>
        <v/>
      </c>
      <c r="C40" s="23">
        <f>IF('DEEP Score'!$B$40&lt;=0.39,"Non-Functioning",IF('DEEP Score'!$B$40&lt;=0.69,"Functioning At-Risk","Functioning"))</f>
        <v/>
      </c>
    </row>
    <row r="41" ht="30" customHeight="1">
      <c r="A41" s="58" t="inlineStr">
        <is>
          <t>Ecosystem Condition Index</t>
        </is>
      </c>
      <c r="B41" s="59">
        <f>'Results'!$B$22</f>
        <v/>
      </c>
      <c r="C41" s="23">
        <f>IF('DEEP Score'!$B$41&lt;=0.39,"Non-Functioning",IF('DEEP Score'!$B$41&lt;=0.69,"Functioning At-Risk","Functioning"))</f>
        <v/>
      </c>
    </row>
    <row r="42">
      <c r="A42" s="5" t="inlineStr">
        <is>
          <t>This index is computed over the 13 functions this assessment scores. 7 of the 20 STAF functions are not assessed, so it is not comparable with a full-framework index and no condition class is claimed for the assessment as a whole.</t>
        </is>
      </c>
    </row>
    <row r="43">
      <c r="A43" s="5" t="inlineStr">
        <is>
          <t xml:space="preserve">Functions with a score: </t>
        </is>
      </c>
      <c r="B43" s="5">
        <f>COUNT('Results'!$B$4:$B$16)&amp;" of 13"</f>
        <v/>
      </c>
    </row>
    <row r="44">
      <c r="A44" s="5" t="inlineStr">
        <is>
          <t>This assessment covers 13 of 20 STAF functions (7 documented exclusions).</t>
        </is>
      </c>
    </row>
    <row r="46">
      <c r="A46" s="6" t="inlineStr">
        <is>
          <t>Notes</t>
        </is>
      </c>
    </row>
    <row r="47">
      <c r="A47" s="60" t="n"/>
      <c r="B47" s="61" t="n"/>
      <c r="C47" s="61" t="n"/>
      <c r="D47" s="61" t="n"/>
      <c r="E47" s="61" t="n"/>
      <c r="F47" s="61" t="n"/>
      <c r="G47" s="61" t="n"/>
      <c r="H47" s="61" t="n"/>
      <c r="I47" s="62" t="n"/>
    </row>
    <row r="48">
      <c r="A48" s="63" t="n"/>
      <c r="B48" s="64" t="n"/>
      <c r="C48" s="64" t="n"/>
      <c r="D48" s="64" t="n"/>
      <c r="E48" s="64" t="n"/>
      <c r="F48" s="64" t="n"/>
      <c r="G48" s="64" t="n"/>
      <c r="H48" s="64" t="n"/>
      <c r="I48" s="65" t="n"/>
    </row>
    <row r="49">
      <c r="A49" s="63" t="n"/>
      <c r="B49" s="64" t="n"/>
      <c r="C49" s="64" t="n"/>
      <c r="D49" s="64" t="n"/>
      <c r="E49" s="64" t="n"/>
      <c r="F49" s="64" t="n"/>
      <c r="G49" s="64" t="n"/>
      <c r="H49" s="64" t="n"/>
      <c r="I49" s="65" t="n"/>
    </row>
    <row r="50">
      <c r="A50" s="63" t="n"/>
      <c r="B50" s="64" t="n"/>
      <c r="C50" s="64" t="n"/>
      <c r="D50" s="64" t="n"/>
      <c r="E50" s="64" t="n"/>
      <c r="F50" s="64" t="n"/>
      <c r="G50" s="64" t="n"/>
      <c r="H50" s="64" t="n"/>
      <c r="I50" s="65" t="n"/>
    </row>
    <row r="51">
      <c r="A51" s="63" t="n"/>
      <c r="B51" s="64" t="n"/>
      <c r="C51" s="64" t="n"/>
      <c r="D51" s="64" t="n"/>
      <c r="E51" s="64" t="n"/>
      <c r="F51" s="64" t="n"/>
      <c r="G51" s="64" t="n"/>
      <c r="H51" s="64" t="n"/>
      <c r="I51" s="65" t="n"/>
    </row>
    <row r="52">
      <c r="A52" s="66" t="n"/>
      <c r="B52" s="67" t="n"/>
      <c r="C52" s="67" t="n"/>
      <c r="D52" s="67" t="n"/>
      <c r="E52" s="67" t="n"/>
      <c r="F52" s="67" t="n"/>
      <c r="G52" s="67" t="n"/>
      <c r="H52" s="67" t="n"/>
      <c r="I52" s="6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28">
    <mergeCell ref="I18:I20"/>
    <mergeCell ref="A12:A14"/>
    <mergeCell ref="A47:I52"/>
    <mergeCell ref="B8:D8"/>
    <mergeCell ref="A23:A25"/>
    <mergeCell ref="I23:I25"/>
    <mergeCell ref="H12:H14"/>
    <mergeCell ref="H18:H20"/>
    <mergeCell ref="A42:C42"/>
    <mergeCell ref="I28:I31"/>
    <mergeCell ref="B9:D9"/>
    <mergeCell ref="H23:H25"/>
    <mergeCell ref="I33:I34"/>
    <mergeCell ref="B6:D6"/>
    <mergeCell ref="A4:I4"/>
    <mergeCell ref="B28:B31"/>
    <mergeCell ref="B5:D5"/>
    <mergeCell ref="B12:B14"/>
    <mergeCell ref="A33:A34"/>
    <mergeCell ref="B33:B34"/>
    <mergeCell ref="H28:H31"/>
    <mergeCell ref="B7:D7"/>
    <mergeCell ref="B18:B20"/>
    <mergeCell ref="B23:B25"/>
    <mergeCell ref="H33:H34"/>
    <mergeCell ref="I12:I14"/>
    <mergeCell ref="A28:A31"/>
    <mergeCell ref="A18:A20"/>
  </mergeCells>
  <conditionalFormatting sqref="G12:G34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4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4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9">
    <dataValidation sqref="F16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1" showDropDown="0" showInputMessage="0" showErrorMessage="1" allowBlank="1" errorTitle="Curve set" error="Choose a curve set from the list." type="list">
      <formula1>=strata_bed_composition_and_large_wood_percent_fines_2mm</formula1>
    </dataValidation>
    <dataValidation sqref="F24" showDropDown="0" showInputMessage="0" showErrorMessage="1" allowBlank="1" errorTitle="Curve set" error="Choose a curve set from the list." type="list">
      <formula1>=strata_carbon_processing_riparian_extent</formula1>
    </dataValidation>
    <dataValidation sqref="F25" showDropDown="0" showInputMessage="0" showErrorMessage="1" allowBlank="1" errorTitle="Curve set" error="Choose a curve set from the list." type="list">
      <formula1>=strata_carbon_processing_vegetative_complexity</formula1>
    </dataValidation>
    <dataValidation sqref="F28" showDropDown="0" showInputMessage="0" showErrorMessage="1" allowBlank="1" errorTitle="Curve set" error="Choose a curve set from the list." type="list">
      <formula1>=strata_habitat_provision_lwd_frequency</formula1>
    </dataValidation>
    <dataValidation sqref="F29" showDropDown="0" showInputMessage="0" showErrorMessage="1" allowBlank="1" errorTitle="Curve set" error="Choose a curve set from the list." type="list">
      <formula1>=strata_habitat_provision_percent_riffle</formula1>
    </dataValidation>
    <dataValidation sqref="F30" showDropDown="0" showInputMessage="0" showErrorMessage="1" allowBlank="1" errorTitle="Curve set" error="Choose a curve set from the list." type="list">
      <formula1>=strata_habitat_provision_pool_depth_ratio</formula1>
    </dataValidation>
    <dataValidation sqref="F31" showDropDown="0" showInputMessage="0" showErrorMessage="1" allowBlank="1" errorTitle="Curve set" error="Choose a curve set from the list." type="list">
      <formula1>=strata_habitat_provision_pool_spacing_ratio</formula1>
    </dataValidation>
    <dataValidation sqref="F33" showDropDown="0" showInputMessage="0" showErrorMessage="1" allowBlank="1" errorTitle="Curve set" error="Choose a curve set from the list." type="list">
      <formula1>=strata_community_dynamics_fish_species_richness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27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9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21" t="inlineStr">
        <is>
          <t>Anthropogenic Land Cover</t>
        </is>
      </c>
      <c r="B5" s="70">
        <f>IF('DEEP Score'!$E$12="","",'DEEP Score'!$E$12)</f>
        <v/>
      </c>
      <c r="C5" s="70">
        <f>""</f>
        <v/>
      </c>
      <c r="D5" s="70">
        <f>"catchment_hydrology_anthropogenic_land_cover|"&amp;'Metrics'!$C$5</f>
        <v/>
      </c>
      <c r="E5" s="70">
        <f>IFERROR(MATCH('Metrics'!$D$5,curve_key,0),MATCH("catchment_hydrology_anthropogenic_land_cover|",curve_key,0))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21" t="inlineStr">
        <is>
          <t>Impervious Cover</t>
        </is>
      </c>
      <c r="B6" s="70">
        <f>IF('DEEP Score'!$E$13="","",'DEEP Score'!$E$13)</f>
        <v/>
      </c>
      <c r="C6" s="70">
        <f>""</f>
        <v/>
      </c>
      <c r="D6" s="70">
        <f>"catchment_hydrology_impervious_cover|"&amp;'Metrics'!$C$6</f>
        <v/>
      </c>
      <c r="E6" s="70">
        <f>IFERROR(MATCH('Metrics'!$D$6,curve_key,0),MATCH("catchment_hydrology_impervious_cover|",curve_key,0))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21" t="inlineStr">
        <is>
          <t>Land Use Coefficient</t>
        </is>
      </c>
      <c r="B7" s="70">
        <f>IF('DEEP Score'!$E$14="","",'DEEP Score'!$E$14)</f>
        <v/>
      </c>
      <c r="C7" s="70">
        <f>""</f>
        <v/>
      </c>
      <c r="D7" s="70">
        <f>"catchment_hydrology_land_use_coefficient|"&amp;'Metrics'!$C$7</f>
        <v/>
      </c>
      <c r="E7" s="70">
        <f>IFERROR(MATCH('Metrics'!$D$7,curve_key,0),MATCH("catchment_hydrology_land_use_coefficient|",curve_key,0))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21" t="inlineStr">
        <is>
          <t>Concentrated Flow Points / 1,000 ft</t>
        </is>
      </c>
      <c r="B8" s="70">
        <f>IF('DEEP Score'!$E$15="","",'DEEP Score'!$E$15)</f>
        <v/>
      </c>
      <c r="C8" s="70">
        <f>""</f>
        <v/>
      </c>
      <c r="D8" s="70">
        <f>"reach_inflow_concentrated_flow_points_1_000_ft|"&amp;'Metrics'!$C$8</f>
        <v/>
      </c>
      <c r="E8" s="70">
        <f>IFERROR(MATCH('Metrics'!$D$8,curve_key,0),MATCH("reach_inflow_concentrated_flow_points_1_000_ft|",curve_key,0))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21" t="inlineStr">
        <is>
          <t>Entrenchment Ratio (ER)</t>
        </is>
      </c>
      <c r="B9" s="70">
        <f>IF('DEEP Score'!$E$16="","",'DEEP Score'!$E$16)</f>
        <v/>
      </c>
      <c r="C9" s="70">
        <f>IF('DEEP Score'!$F$16="","C Streams",'DEEP Score'!$F$16)</f>
        <v/>
      </c>
      <c r="D9" s="70">
        <f>"floodplain_connectivity_entrenchment_ratio_er|"&amp;'Metrics'!$C$9</f>
        <v/>
      </c>
      <c r="E9" s="70">
        <f>IFERROR(MATCH('Metrics'!$D$9,curve_key,0),MATCH("floodplain_connectivity_entrenchment_ratio_er|C Streams",curve_key,0))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21" t="inlineStr">
        <is>
          <t>Width/Depth Ratio</t>
        </is>
      </c>
      <c r="B10" s="70">
        <f>IF('DEEP Score'!$E$17="","",'DEEP Score'!$E$17)</f>
        <v/>
      </c>
      <c r="C10" s="70">
        <f>""</f>
        <v/>
      </c>
      <c r="D10" s="70">
        <f>"channel_evolution_width_depth_ratio|"&amp;'Metrics'!$C$10</f>
        <v/>
      </c>
      <c r="E10" s="70">
        <f>IFERROR(MATCH('Metrics'!$D$10,curve_key,0),MATCH("channel_evolution_width_depth_ratio|",curve_key,0))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21" t="inlineStr">
        <is>
          <t>Bank Height Ratio (BHR)</t>
        </is>
      </c>
      <c r="B11" s="70">
        <f>IF('DEEP Score'!$E$18="","",'DEEP Score'!$E$18)</f>
        <v/>
      </c>
      <c r="C11" s="70">
        <f>""</f>
        <v/>
      </c>
      <c r="D11" s="70">
        <f>"channel_and_floodplain_dynamics_bank_height_ratio_bhr|"&amp;'Metrics'!$C$11</f>
        <v/>
      </c>
      <c r="E11" s="70">
        <f>IFERROR(MATCH('Metrics'!$D$11,curve_key,0),MATCH("channel_and_floodplain_dynamics_bank_height_ratio_bhr|",curve_key,0))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21" t="inlineStr">
        <is>
          <t>Percent Streambank Armoring</t>
        </is>
      </c>
      <c r="B12" s="70">
        <f>IF('DEEP Score'!$E$19="","",'DEEP Score'!$E$19)</f>
        <v/>
      </c>
      <c r="C12" s="70">
        <f>""</f>
        <v/>
      </c>
      <c r="D12" s="70">
        <f>"channel_and_floodplain_dynamics_percent_streambank_armoring|"&amp;'Metrics'!$C$12</f>
        <v/>
      </c>
      <c r="E12" s="70">
        <f>IFERROR(MATCH('Metrics'!$D$12,curve_key,0),MATCH("channel_and_floodplain_dynamics_percent_streambank_armoring|",curve_key,0))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21" t="inlineStr">
        <is>
          <t>Percent Streambank Erosion</t>
        </is>
      </c>
      <c r="B13" s="70">
        <f>IF('DEEP Score'!$E$20="","",'DEEP Score'!$E$20)</f>
        <v/>
      </c>
      <c r="C13" s="70">
        <f>""</f>
        <v/>
      </c>
      <c r="D13" s="70">
        <f>"channel_and_floodplain_dynamics_percent_streambank_erosion|"&amp;'Metrics'!$C$13</f>
        <v/>
      </c>
      <c r="E13" s="70">
        <f>IFERROR(MATCH('Metrics'!$D$13,curve_key,0),MATCH("channel_and_floodplain_dynamics_percent_streambank_erosion|",curve_key,0))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21" t="inlineStr">
        <is>
          <t>Percent Fines &lt; 2mm</t>
        </is>
      </c>
      <c r="B14" s="70">
        <f>IF('DEEP Score'!$E$21="","",'DEEP Score'!$E$21)</f>
        <v/>
      </c>
      <c r="C14" s="70">
        <f>IF('DEEP Score'!$F$21="","Gravel Bed",'DEEP Score'!$F$21)</f>
        <v/>
      </c>
      <c r="D14" s="70">
        <f>"bed_composition_and_large_wood_percent_fines_2mm|"&amp;'Metrics'!$C$14</f>
        <v/>
      </c>
      <c r="E14" s="70">
        <f>IFERROR(MATCH('Metrics'!$D$14,curve_key,0),MATCH("bed_composition_and_large_wood_percent_fines_2mm|Gravel Bed",curve_key,0))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21" t="inlineStr">
        <is>
          <t>Daily Maximum Temperature</t>
        </is>
      </c>
      <c r="B15" s="70">
        <f>IF('DEEP Score'!$E$22="","",'DEEP Score'!$E$22)</f>
        <v/>
      </c>
      <c r="C15" s="70">
        <f>""</f>
        <v/>
      </c>
      <c r="D15" s="70">
        <f>"light_and_thermal_regime_daily_maximum_temperature|"&amp;'Metrics'!$C$15</f>
        <v/>
      </c>
      <c r="E15" s="70">
        <f>IFERROR(MATCH('Metrics'!$D$15,curve_key,0),MATCH("light_and_thermal_regime_daily_maximum_temperature|",curve_key,0))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21" t="inlineStr">
        <is>
          <t>Percent Native Cover</t>
        </is>
      </c>
      <c r="B16" s="70">
        <f>IF('DEEP Score'!$E$23="","",'DEEP Score'!$E$23)</f>
        <v/>
      </c>
      <c r="C16" s="70">
        <f>""</f>
        <v/>
      </c>
      <c r="D16" s="70">
        <f>"carbon_processing_percent_native_cover|"&amp;'Metrics'!$C$16</f>
        <v/>
      </c>
      <c r="E16" s="70">
        <f>IFERROR(MATCH('Metrics'!$D$16,curve_key,0),MATCH("carbon_processing_percent_native_cover|",curve_key,0))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21" t="inlineStr">
        <is>
          <t>Riparian Extent</t>
        </is>
      </c>
      <c r="B17" s="70">
        <f>IF('DEEP Score'!$E$24="","",'DEEP Score'!$E$24)</f>
        <v/>
      </c>
      <c r="C17" s="70">
        <f>IF('DEEP Score'!$F$24="","Unconfined Alluvial Valleys",'DEEP Score'!$F$24)</f>
        <v/>
      </c>
      <c r="D17" s="70">
        <f>"carbon_processing_riparian_extent|"&amp;'Metrics'!$C$17</f>
        <v/>
      </c>
      <c r="E17" s="70">
        <f>IFERROR(MATCH('Metrics'!$D$17,curve_key,0),MATCH("carbon_processing_riparian_extent|Unconfined Alluvial Valleys",curve_key,0))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21" t="inlineStr">
        <is>
          <t>Vegetative Complexity</t>
        </is>
      </c>
      <c r="B18" s="70">
        <f>IF('DEEP Score'!$E$25="","",'DEEP Score'!$E$25)</f>
        <v/>
      </c>
      <c r="C18" s="70">
        <f>IF('DEEP Score'!$F$25="","Alaska &amp; Brooks Range",'DEEP Score'!$F$25)</f>
        <v/>
      </c>
      <c r="D18" s="70">
        <f>"carbon_processing_vegetative_complexity|"&amp;'Metrics'!$C$18</f>
        <v/>
      </c>
      <c r="E18" s="70">
        <f>IFERROR(MATCH('Metrics'!$D$18,curve_key,0),MATCH("carbon_processing_vegetative_complexity|Alaska &amp; Brooks Range",curve_key,0))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21" t="inlineStr">
        <is>
          <t>Diatom Index</t>
        </is>
      </c>
      <c r="B19" s="70">
        <f>IF('DEEP Score'!$E$26="","",'DEEP Score'!$E$26)</f>
        <v/>
      </c>
      <c r="C19" s="70">
        <f>""</f>
        <v/>
      </c>
      <c r="D19" s="70">
        <f>"nutrient_cycling_diatom_index|"&amp;'Metrics'!$C$19</f>
        <v/>
      </c>
      <c r="E19" s="70">
        <f>IFERROR(MATCH('Metrics'!$D$19,curve_key,0),MATCH("nutrient_cycling_diatom_index|",curve_key,0))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21" t="inlineStr">
        <is>
          <t>Daily Average Turbidity</t>
        </is>
      </c>
      <c r="B20" s="70">
        <f>IF('DEEP Score'!$E$27="","",'DEEP Score'!$E$27)</f>
        <v/>
      </c>
      <c r="C20" s="70">
        <f>""</f>
        <v/>
      </c>
      <c r="D20" s="70">
        <f>"water_and_soil_quality_daily_average_turbidity|"&amp;'Metrics'!$C$20</f>
        <v/>
      </c>
      <c r="E20" s="70">
        <f>IFERROR(MATCH('Metrics'!$D$20,curve_key,0),MATCH("water_and_soil_quality_daily_average_turbidity|",curve_key,0))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21" t="inlineStr">
        <is>
          <t>LWD Frequency</t>
        </is>
      </c>
      <c r="B21" s="70">
        <f>IF('DEEP Score'!$E$28="","",'DEEP Score'!$E$28)</f>
        <v/>
      </c>
      <c r="C21" s="70">
        <f>IF('DEEP Score'!$F$28="","Alaska Range",'DEEP Score'!$F$28)</f>
        <v/>
      </c>
      <c r="D21" s="70">
        <f>"habitat_provision_lwd_frequency|"&amp;'Metrics'!$C$21</f>
        <v/>
      </c>
      <c r="E21" s="70">
        <f>IFERROR(MATCH('Metrics'!$D$21,curve_key,0),MATCH("habitat_provision_lwd_frequency|Alaska Range",curve_key,0))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21" t="inlineStr">
        <is>
          <t>Percent Riffle</t>
        </is>
      </c>
      <c r="B22" s="70">
        <f>IF('DEEP Score'!$E$29="","",'DEEP Score'!$E$29)</f>
        <v/>
      </c>
      <c r="C22" s="70">
        <f>IF('DEEP Score'!$F$29="","Slopes &lt; 3%",'DEEP Score'!$F$29)</f>
        <v/>
      </c>
      <c r="D22" s="70">
        <f>"habitat_provision_percent_riffle|"&amp;'Metrics'!$C$22</f>
        <v/>
      </c>
      <c r="E22" s="70">
        <f>IFERROR(MATCH('Metrics'!$D$22,curve_key,0),MATCH("habitat_provision_percent_riffle|Slopes &lt; 3%",curve_key,0))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21" t="inlineStr">
        <is>
          <t>Pool Depth Ratio</t>
        </is>
      </c>
      <c r="B23" s="70">
        <f>IF('DEEP Score'!$E$30="","",'DEEP Score'!$E$30)</f>
        <v/>
      </c>
      <c r="C23" s="70">
        <f>IF('DEEP Score'!$F$30="","B &amp; Ba Streams",'DEEP Score'!$F$30)</f>
        <v/>
      </c>
      <c r="D23" s="70">
        <f>"habitat_provision_pool_depth_ratio|"&amp;'Metrics'!$C$23</f>
        <v/>
      </c>
      <c r="E23" s="70">
        <f>IFERROR(MATCH('Metrics'!$D$23,curve_key,0),MATCH("habitat_provision_pool_depth_ratio|B &amp; Ba Streams",curve_key,0))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21" t="inlineStr">
        <is>
          <t>Pool Spacing Ratio</t>
        </is>
      </c>
      <c r="B24" s="70">
        <f>IF('DEEP Score'!$E$31="","",'DEEP Score'!$E$31)</f>
        <v/>
      </c>
      <c r="C24" s="70">
        <f>IF('DEEP Score'!$F$31="","B and Ba Stream Types",'DEEP Score'!$F$31)</f>
        <v/>
      </c>
      <c r="D24" s="70">
        <f>"habitat_provision_pool_spacing_ratio|"&amp;'Metrics'!$C$24</f>
        <v/>
      </c>
      <c r="E24" s="70">
        <f>IFERROR(MATCH('Metrics'!$D$24,curve_key,0),MATCH("habitat_provision_pool_spacing_ratio|B and Ba Stream Types",curve_key,0))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21" t="inlineStr">
        <is>
          <t>Alaskan Interior MMI</t>
        </is>
      </c>
      <c r="B25" s="70">
        <f>IF('DEEP Score'!$E$32="","",'DEEP Score'!$E$32)</f>
        <v/>
      </c>
      <c r="C25" s="70">
        <f>""</f>
        <v/>
      </c>
      <c r="D25" s="70">
        <f>"population_support_alaskan_interior_mmi|"&amp;'Metrics'!$C$25</f>
        <v/>
      </c>
      <c r="E25" s="70">
        <f>IFERROR(MATCH('Metrics'!$D$25,curve_key,0),MATCH("population_support_alaskan_interior_mmi|",curve_key,0))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21" t="inlineStr">
        <is>
          <t>Fish Species Richness</t>
        </is>
      </c>
      <c r="B26" s="70">
        <f>IF('DEEP Score'!$E$33="","",'DEEP Score'!$E$33)</f>
        <v/>
      </c>
      <c r="C26" s="70">
        <f>IF('DEEP Score'!$F$33="","Anadromous",'DEEP Score'!$F$33)</f>
        <v/>
      </c>
      <c r="D26" s="70">
        <f>"community_dynamics_fish_species_richness|"&amp;'Metrics'!$C$26</f>
        <v/>
      </c>
      <c r="E26" s="70">
        <f>IFERROR(MATCH('Metrics'!$D$26,curve_key,0),MATCH("community_dynamics_fish_species_richness|Anadromous",curve_key,0))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21" t="inlineStr">
        <is>
          <t>Relative Abundance and Species Biomass metrics</t>
        </is>
      </c>
      <c r="B27" s="70">
        <f>IF('DEEP Score'!$E$34="","",'DEEP Score'!$E$34)</f>
        <v/>
      </c>
      <c r="C27" s="70">
        <f>""</f>
        <v/>
      </c>
      <c r="D27" s="70">
        <f>"community_dynamics_relative_abundance_and_species_biomass_metrics|"&amp;'Metrics'!$C$27</f>
        <v/>
      </c>
      <c r="E27" s="70">
        <f>IFERROR(MATCH('Metrics'!$D$27,curve_key,0),MATCH("community_dynamics_relative_abundance_and_species_biomass_metrics|",curve_key,0))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2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9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21" t="inlineStr">
        <is>
          <t>Catchment hydrology</t>
        </is>
      </c>
      <c r="B4" s="70">
        <f>IF(COUNT('DEEP Score'!G12:G14)=0,"",SUM('DEEP Score'!G12:G14)/COUNT('DEEP Score'!G12:G14)*15)</f>
        <v/>
      </c>
      <c r="C4" s="21" t="n">
        <v>1</v>
      </c>
      <c r="D4" s="21" t="n">
        <v>0.1</v>
      </c>
      <c r="E4" s="21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21" t="inlineStr">
        <is>
          <t>Reach inflow</t>
        </is>
      </c>
      <c r="B5" s="70">
        <f>IF(COUNT('DEEP Score'!G15:G15)=0,"",SUM('DEEP Score'!G15:G15)/COUNT('DEEP Score'!G15:G15)*15)</f>
        <v/>
      </c>
      <c r="C5" s="21" t="n">
        <v>1</v>
      </c>
      <c r="D5" s="21" t="n">
        <v>0.1</v>
      </c>
      <c r="E5" s="21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21" t="inlineStr">
        <is>
          <t>Floodplain connectivity</t>
        </is>
      </c>
      <c r="B6" s="70">
        <f>IF(COUNT('DEEP Score'!G16:G16)=0,"",SUM('DEEP Score'!G16:G16)/COUNT('DEEP Score'!G16:G16)*15)</f>
        <v/>
      </c>
      <c r="C6" s="21" t="n">
        <v>1</v>
      </c>
      <c r="D6" s="21" t="n">
        <v>0.1</v>
      </c>
      <c r="E6" s="21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21" t="inlineStr">
        <is>
          <t>Channel evolution</t>
        </is>
      </c>
      <c r="B7" s="70">
        <f>IF(COUNT('DEEP Score'!G17:G17)=0,"",SUM('DEEP Score'!G17:G17)/COUNT('DEEP Score'!G17:G17)*15)</f>
        <v/>
      </c>
      <c r="C7" s="21" t="n">
        <v>1</v>
      </c>
      <c r="D7" s="21" t="n">
        <v>0.1</v>
      </c>
      <c r="E7" s="21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21" t="inlineStr">
        <is>
          <t>Channel and floodplain dynamics</t>
        </is>
      </c>
      <c r="B8" s="70">
        <f>IF(COUNT('DEEP Score'!G18:G20)=0,"",SUM('DEEP Score'!G18:G20)/COUNT('DEEP Score'!G18:G20)*15)</f>
        <v/>
      </c>
      <c r="C8" s="21" t="n">
        <v>1</v>
      </c>
      <c r="D8" s="21" t="n">
        <v>0.1</v>
      </c>
      <c r="E8" s="21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21" t="inlineStr">
        <is>
          <t>Bed composition and large wood</t>
        </is>
      </c>
      <c r="B9" s="70">
        <f>IF(COUNT('DEEP Score'!G21:G21)=0,"",SUM('DEEP Score'!G21:G21)/COUNT('DEEP Score'!G21:G21)*15)</f>
        <v/>
      </c>
      <c r="C9" s="21" t="n">
        <v>1</v>
      </c>
      <c r="D9" s="21" t="n">
        <v>0.1</v>
      </c>
      <c r="E9" s="21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21" t="inlineStr">
        <is>
          <t>Light &amp; thermal regime</t>
        </is>
      </c>
      <c r="B10" s="70">
        <f>IF(COUNT('DEEP Score'!G22:G22)=0,"",SUM('DEEP Score'!G22:G22)/COUNT('DEEP Score'!G22:G22)*15)</f>
        <v/>
      </c>
      <c r="C10" s="21" t="n">
        <v>0</v>
      </c>
      <c r="D10" s="21" t="n">
        <v>1</v>
      </c>
      <c r="E10" s="21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21" t="inlineStr">
        <is>
          <t>Carbon processing</t>
        </is>
      </c>
      <c r="B11" s="70">
        <f>IF(COUNT('DEEP Score'!G23:G25)=0,"",SUM('DEEP Score'!G23:G25)/COUNT('DEEP Score'!G23:G25)*15)</f>
        <v/>
      </c>
      <c r="C11" s="21" t="n">
        <v>0</v>
      </c>
      <c r="D11" s="21" t="n">
        <v>1</v>
      </c>
      <c r="E11" s="21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21" t="inlineStr">
        <is>
          <t>Nutrient cycling</t>
        </is>
      </c>
      <c r="B12" s="70">
        <f>IF(COUNT('DEEP Score'!G26:G26)=0,"",SUM('DEEP Score'!G26:G26)/COUNT('DEEP Score'!G26:G26)*15)</f>
        <v/>
      </c>
      <c r="C12" s="21" t="n">
        <v>0.1</v>
      </c>
      <c r="D12" s="21" t="n">
        <v>1</v>
      </c>
      <c r="E12" s="21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21" t="inlineStr">
        <is>
          <t>Water &amp; soil quality</t>
        </is>
      </c>
      <c r="B13" s="70">
        <f>IF(COUNT('DEEP Score'!G27:G27)=0,"",SUM('DEEP Score'!G27:G27)/COUNT('DEEP Score'!G27:G27)*15)</f>
        <v/>
      </c>
      <c r="C13" s="21" t="n">
        <v>0.1</v>
      </c>
      <c r="D13" s="21" t="n">
        <v>1</v>
      </c>
      <c r="E13" s="21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21" t="inlineStr">
        <is>
          <t>Habitat provision</t>
        </is>
      </c>
      <c r="B14" s="70">
        <f>IF(COUNT('DEEP Score'!G28:G31)=0,"",SUM('DEEP Score'!G28:G31)/COUNT('DEEP Score'!G28:G31)*15)</f>
        <v/>
      </c>
      <c r="C14" s="21" t="n">
        <v>0</v>
      </c>
      <c r="D14" s="21" t="n">
        <v>0</v>
      </c>
      <c r="E14" s="21" t="n">
        <v>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21" t="inlineStr">
        <is>
          <t>Population support</t>
        </is>
      </c>
      <c r="B15" s="70">
        <f>IF(COUNT('DEEP Score'!G32:G32)=0,"",SUM('DEEP Score'!G32:G32)/COUNT('DEEP Score'!G32:G32)*15)</f>
        <v/>
      </c>
      <c r="C15" s="21" t="n">
        <v>0.1</v>
      </c>
      <c r="D15" s="21" t="n">
        <v>0.1</v>
      </c>
      <c r="E15" s="21" t="n">
        <v>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21" t="inlineStr">
        <is>
          <t>Community dynamics</t>
        </is>
      </c>
      <c r="B16" s="70">
        <f>IF(COUNT('DEEP Score'!G33:G34)=0,"",SUM('DEEP Score'!G33:G34)/COUNT('DEEP Score'!G33:G34)*15)</f>
        <v/>
      </c>
      <c r="C16" s="21" t="n">
        <v>0.1</v>
      </c>
      <c r="D16" s="21" t="n">
        <v>0.1</v>
      </c>
      <c r="E16" s="21" t="n">
        <v>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8">
      <c r="A18" s="6" t="inlineStr">
        <is>
          <t>Outcome</t>
        </is>
      </c>
      <c r="B18" s="6" t="inlineStr">
        <is>
          <t>Sub-index</t>
        </is>
      </c>
    </row>
    <row r="19">
      <c r="A19" s="21" t="inlineStr">
        <is>
          <t>Physical</t>
        </is>
      </c>
      <c r="B19" s="70">
        <f>IF(SUM('Results'!$I$4:$I$16)=0,0,SUM('Results'!$F$4:$F$16)/SUM('Results'!$I$4:$I$16))</f>
        <v/>
      </c>
    </row>
    <row r="20">
      <c r="A20" s="21" t="inlineStr">
        <is>
          <t>Chemical</t>
        </is>
      </c>
      <c r="B20" s="70">
        <f>IF(SUM('Results'!$J$4:$J$16)=0,0,SUM('Results'!$G$4:$G$16)/SUM('Results'!$J$4:$J$16))</f>
        <v/>
      </c>
    </row>
    <row r="21">
      <c r="A21" s="21" t="inlineStr">
        <is>
          <t>Biological</t>
        </is>
      </c>
      <c r="B21" s="70">
        <f>IF(SUM('Results'!$K$4:$K$16)=0,0,SUM('Results'!$H$4:$H$16)/SUM('Results'!$K$4:$K$16))</f>
        <v/>
      </c>
    </row>
    <row r="22">
      <c r="A22" s="56" t="inlineStr">
        <is>
          <t>Ecosystem Condition Index</t>
        </is>
      </c>
      <c r="B22" s="70">
        <f>('Results'!$B$19+'Results'!$B$20+'Results'!$B$21)/3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77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9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21" t="inlineStr">
        <is>
          <t>catchment_hydrology_anthropogenic_land_cover|</t>
        </is>
      </c>
      <c r="B5" s="21" t="inlineStr">
        <is>
          <t>catchment-hydrology-anthropogenic-land-cover</t>
        </is>
      </c>
      <c r="C5" s="21" t="inlineStr">
        <is>
          <t>Anthropogenic Land Cover</t>
        </is>
      </c>
      <c r="D5" s="21" t="inlineStr"/>
      <c r="E5" s="21" t="n">
        <v>3</v>
      </c>
      <c r="F5" s="21" t="inlineStr"/>
      <c r="G5" s="21" t="n">
        <v>0</v>
      </c>
      <c r="H5" s="21" t="n">
        <v>35</v>
      </c>
      <c r="I5" s="21" t="n">
        <v>50</v>
      </c>
      <c r="J5" s="21" t="n">
        <v>50</v>
      </c>
      <c r="K5" s="21" t="n">
        <v>50</v>
      </c>
      <c r="L5" s="21" t="n">
        <v>50</v>
      </c>
      <c r="M5" s="21" t="n">
        <v>50</v>
      </c>
      <c r="N5" s="21" t="n">
        <v>50</v>
      </c>
      <c r="O5" s="21" t="n">
        <v>1</v>
      </c>
      <c r="P5" s="21" t="n">
        <v>0.7</v>
      </c>
      <c r="Q5" s="21" t="n">
        <v>0.3</v>
      </c>
      <c r="R5" s="21" t="n">
        <v>0.3</v>
      </c>
      <c r="S5" s="21" t="n">
        <v>0.3</v>
      </c>
      <c r="T5" s="21" t="n">
        <v>0.3</v>
      </c>
      <c r="U5" s="21" t="n">
        <v>0.3</v>
      </c>
      <c r="V5" s="21" t="n">
        <v>0.3</v>
      </c>
    </row>
    <row r="6">
      <c r="A6" s="21" t="inlineStr">
        <is>
          <t>catchment_hydrology_impervious_cover|</t>
        </is>
      </c>
      <c r="B6" s="21" t="inlineStr">
        <is>
          <t>catchment-hydrology-impervious-cover</t>
        </is>
      </c>
      <c r="C6" s="21" t="inlineStr">
        <is>
          <t>Impervious Cover</t>
        </is>
      </c>
      <c r="D6" s="21" t="inlineStr"/>
      <c r="E6" s="21" t="n">
        <v>2</v>
      </c>
      <c r="F6" s="21" t="inlineStr"/>
      <c r="G6" s="21" t="n">
        <v>0</v>
      </c>
      <c r="H6" s="21" t="n">
        <v>10</v>
      </c>
      <c r="I6" s="21" t="n">
        <v>10</v>
      </c>
      <c r="J6" s="21" t="n">
        <v>10</v>
      </c>
      <c r="K6" s="21" t="n">
        <v>10</v>
      </c>
      <c r="L6" s="21" t="n">
        <v>10</v>
      </c>
      <c r="M6" s="21" t="n">
        <v>10</v>
      </c>
      <c r="N6" s="21" t="n">
        <v>10</v>
      </c>
      <c r="O6" s="21" t="n">
        <v>1</v>
      </c>
      <c r="P6" s="21" t="n">
        <v>0.7</v>
      </c>
      <c r="Q6" s="21" t="n">
        <v>0.7</v>
      </c>
      <c r="R6" s="21" t="n">
        <v>0.7</v>
      </c>
      <c r="S6" s="21" t="n">
        <v>0.7</v>
      </c>
      <c r="T6" s="21" t="n">
        <v>0.7</v>
      </c>
      <c r="U6" s="21" t="n">
        <v>0.7</v>
      </c>
      <c r="V6" s="21" t="n">
        <v>0.7</v>
      </c>
    </row>
    <row r="7">
      <c r="A7" s="21" t="inlineStr">
        <is>
          <t>catchment_hydrology_land_use_coefficient|</t>
        </is>
      </c>
      <c r="B7" s="21" t="inlineStr">
        <is>
          <t>catchment-hydrology-land-use-coefficient</t>
        </is>
      </c>
      <c r="C7" s="21" t="inlineStr">
        <is>
          <t>Land Use Coefficient</t>
        </is>
      </c>
      <c r="D7" s="21" t="inlineStr"/>
      <c r="E7" s="21" t="n">
        <v>4</v>
      </c>
      <c r="F7" s="21" t="inlineStr"/>
      <c r="G7" s="21" t="n">
        <v>9</v>
      </c>
      <c r="H7" s="21" t="n">
        <v>16</v>
      </c>
      <c r="I7" s="21" t="n">
        <v>22</v>
      </c>
      <c r="J7" s="21" t="n">
        <v>86</v>
      </c>
      <c r="K7" s="21" t="n">
        <v>86</v>
      </c>
      <c r="L7" s="21" t="n">
        <v>86</v>
      </c>
      <c r="M7" s="21" t="n">
        <v>86</v>
      </c>
      <c r="N7" s="21" t="n">
        <v>86</v>
      </c>
      <c r="O7" s="21" t="n">
        <v>1</v>
      </c>
      <c r="P7" s="21" t="n">
        <v>0.7</v>
      </c>
      <c r="Q7" s="21" t="n">
        <v>0.3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</row>
    <row r="8">
      <c r="A8" s="21" t="inlineStr">
        <is>
          <t>reach_inflow_concentrated_flow_points_1_000_ft|</t>
        </is>
      </c>
      <c r="B8" s="21" t="inlineStr">
        <is>
          <t>reach-inflow-concentrated-flow-points-1-000-ft</t>
        </is>
      </c>
      <c r="C8" s="21" t="inlineStr">
        <is>
          <t>Concentrated Flow Points / 1,000 ft</t>
        </is>
      </c>
      <c r="D8" s="21" t="inlineStr"/>
      <c r="E8" s="21" t="n">
        <v>2</v>
      </c>
      <c r="F8" s="21" t="inlineStr"/>
      <c r="G8" s="21" t="n">
        <v>0</v>
      </c>
      <c r="H8" s="21" t="n">
        <v>1</v>
      </c>
      <c r="I8" s="21" t="n">
        <v>1</v>
      </c>
      <c r="J8" s="21" t="n">
        <v>1</v>
      </c>
      <c r="K8" s="21" t="n">
        <v>1</v>
      </c>
      <c r="L8" s="21" t="n">
        <v>1</v>
      </c>
      <c r="M8" s="21" t="n">
        <v>1</v>
      </c>
      <c r="N8" s="21" t="n">
        <v>1</v>
      </c>
      <c r="O8" s="21" t="n">
        <v>1</v>
      </c>
      <c r="P8" s="21" t="n">
        <v>0.7</v>
      </c>
      <c r="Q8" s="21" t="n">
        <v>0.7</v>
      </c>
      <c r="R8" s="21" t="n">
        <v>0.7</v>
      </c>
      <c r="S8" s="21" t="n">
        <v>0.7</v>
      </c>
      <c r="T8" s="21" t="n">
        <v>0.7</v>
      </c>
      <c r="U8" s="21" t="n">
        <v>0.7</v>
      </c>
      <c r="V8" s="21" t="n">
        <v>0.7</v>
      </c>
    </row>
    <row r="9">
      <c r="A9" s="21" t="inlineStr">
        <is>
          <t>floodplain_connectivity_entrenchment_ratio_er|C Streams</t>
        </is>
      </c>
      <c r="B9" s="21" t="inlineStr">
        <is>
          <t>floodplain-connectivity-entrenchment-ratio-er</t>
        </is>
      </c>
      <c r="C9" s="21" t="inlineStr">
        <is>
          <t>Entrenchment Ratio (ER)</t>
        </is>
      </c>
      <c r="D9" s="21" t="inlineStr">
        <is>
          <t>C Streams</t>
        </is>
      </c>
      <c r="E9" s="21" t="n">
        <v>3</v>
      </c>
      <c r="F9" s="21" t="inlineStr"/>
      <c r="G9" s="21" t="n">
        <v>2</v>
      </c>
      <c r="H9" s="21" t="n">
        <v>2.4</v>
      </c>
      <c r="I9" s="21" t="n">
        <v>4.4</v>
      </c>
      <c r="J9" s="21" t="n">
        <v>4.4</v>
      </c>
      <c r="K9" s="21" t="n">
        <v>4.4</v>
      </c>
      <c r="L9" s="21" t="n">
        <v>4.4</v>
      </c>
      <c r="M9" s="21" t="n">
        <v>4.4</v>
      </c>
      <c r="N9" s="21" t="n">
        <v>4.4</v>
      </c>
      <c r="O9" s="21" t="n">
        <v>0.3</v>
      </c>
      <c r="P9" s="21" t="n">
        <v>0.7</v>
      </c>
      <c r="Q9" s="21" t="n">
        <v>1</v>
      </c>
      <c r="R9" s="21" t="n">
        <v>1</v>
      </c>
      <c r="S9" s="21" t="n">
        <v>1</v>
      </c>
      <c r="T9" s="21" t="n">
        <v>1</v>
      </c>
      <c r="U9" s="21" t="n">
        <v>1</v>
      </c>
      <c r="V9" s="21" t="n">
        <v>1</v>
      </c>
    </row>
    <row r="10">
      <c r="A10" s="21" t="inlineStr">
        <is>
          <t>floodplain_connectivity_entrenchment_ratio_er|E Streams</t>
        </is>
      </c>
      <c r="B10" s="21" t="inlineStr">
        <is>
          <t>floodplain-connectivity-entrenchment-ratio-er</t>
        </is>
      </c>
      <c r="C10" s="21" t="inlineStr">
        <is>
          <t>Entrenchment Ratio (ER)</t>
        </is>
      </c>
      <c r="D10" s="21" t="inlineStr">
        <is>
          <t>E Streams</t>
        </is>
      </c>
      <c r="E10" s="21" t="n">
        <v>3</v>
      </c>
      <c r="F10" s="21" t="inlineStr"/>
      <c r="G10" s="21" t="n">
        <v>2</v>
      </c>
      <c r="H10" s="21" t="n">
        <v>2.4</v>
      </c>
      <c r="I10" s="21" t="n">
        <v>6.5</v>
      </c>
      <c r="J10" s="21" t="n">
        <v>6.5</v>
      </c>
      <c r="K10" s="21" t="n">
        <v>6.5</v>
      </c>
      <c r="L10" s="21" t="n">
        <v>6.5</v>
      </c>
      <c r="M10" s="21" t="n">
        <v>6.5</v>
      </c>
      <c r="N10" s="21" t="n">
        <v>6.5</v>
      </c>
      <c r="O10" s="21" t="n">
        <v>0.3</v>
      </c>
      <c r="P10" s="21" t="n">
        <v>0.7</v>
      </c>
      <c r="Q10" s="21" t="n">
        <v>1</v>
      </c>
      <c r="R10" s="21" t="n">
        <v>1</v>
      </c>
      <c r="S10" s="21" t="n">
        <v>1</v>
      </c>
      <c r="T10" s="21" t="n">
        <v>1</v>
      </c>
      <c r="U10" s="21" t="n">
        <v>1</v>
      </c>
      <c r="V10" s="21" t="n">
        <v>1</v>
      </c>
    </row>
    <row r="11">
      <c r="A11" s="21" t="inlineStr">
        <is>
          <t>floodplain_connectivity_entrenchment_ratio_er|B Stream Types</t>
        </is>
      </c>
      <c r="B11" s="21" t="inlineStr">
        <is>
          <t>floodplain-connectivity-entrenchment-ratio-er</t>
        </is>
      </c>
      <c r="C11" s="21" t="inlineStr">
        <is>
          <t>Entrenchment Ratio (ER)</t>
        </is>
      </c>
      <c r="D11" s="21" t="inlineStr">
        <is>
          <t>B Stream Types</t>
        </is>
      </c>
      <c r="E11" s="21" t="n">
        <v>3</v>
      </c>
      <c r="F11" s="21" t="inlineStr"/>
      <c r="G11" s="21" t="n">
        <v>1</v>
      </c>
      <c r="H11" s="21" t="n">
        <v>1.4</v>
      </c>
      <c r="I11" s="21" t="n">
        <v>2.2</v>
      </c>
      <c r="J11" s="21" t="n">
        <v>2.2</v>
      </c>
      <c r="K11" s="21" t="n">
        <v>2.2</v>
      </c>
      <c r="L11" s="21" t="n">
        <v>2.2</v>
      </c>
      <c r="M11" s="21" t="n">
        <v>2.2</v>
      </c>
      <c r="N11" s="21" t="n">
        <v>2.2</v>
      </c>
      <c r="O11" s="21" t="n">
        <v>0</v>
      </c>
      <c r="P11" s="21" t="n">
        <v>0.7</v>
      </c>
      <c r="Q11" s="21" t="n">
        <v>1</v>
      </c>
      <c r="R11" s="21" t="n">
        <v>1</v>
      </c>
      <c r="S11" s="21" t="n">
        <v>1</v>
      </c>
      <c r="T11" s="21" t="n">
        <v>1</v>
      </c>
      <c r="U11" s="21" t="n">
        <v>1</v>
      </c>
      <c r="V11" s="21" t="n">
        <v>1</v>
      </c>
    </row>
    <row r="12">
      <c r="A12" s="21" t="inlineStr">
        <is>
          <t>channel_evolution_width_depth_ratio|</t>
        </is>
      </c>
      <c r="B12" s="21" t="inlineStr">
        <is>
          <t>channel-evolution-width-depth-ratio</t>
        </is>
      </c>
      <c r="C12" s="21" t="inlineStr">
        <is>
          <t>Width/Depth Ratio</t>
        </is>
      </c>
      <c r="D12" s="21" t="inlineStr"/>
      <c r="E12" s="21" t="n">
        <v>2</v>
      </c>
      <c r="F12" s="21" t="inlineStr"/>
      <c r="G12" s="21" t="n">
        <v>20</v>
      </c>
      <c r="H12" s="21" t="n">
        <v>100</v>
      </c>
      <c r="I12" s="21" t="n">
        <v>100</v>
      </c>
      <c r="J12" s="21" t="n">
        <v>100</v>
      </c>
      <c r="K12" s="21" t="n">
        <v>100</v>
      </c>
      <c r="L12" s="21" t="n">
        <v>100</v>
      </c>
      <c r="M12" s="21" t="n">
        <v>100</v>
      </c>
      <c r="N12" s="21" t="n">
        <v>100</v>
      </c>
      <c r="O12" s="21" t="n">
        <v>0</v>
      </c>
      <c r="P12" s="21" t="n">
        <v>1</v>
      </c>
      <c r="Q12" s="21" t="n">
        <v>1</v>
      </c>
      <c r="R12" s="21" t="n">
        <v>1</v>
      </c>
      <c r="S12" s="21" t="n">
        <v>1</v>
      </c>
      <c r="T12" s="21" t="n">
        <v>1</v>
      </c>
      <c r="U12" s="21" t="n">
        <v>1</v>
      </c>
      <c r="V12" s="21" t="n">
        <v>1</v>
      </c>
    </row>
    <row r="13">
      <c r="A13" s="21" t="inlineStr">
        <is>
          <t>channel_and_floodplain_dynamics_bank_height_ratio_bhr|</t>
        </is>
      </c>
      <c r="B13" s="21" t="inlineStr">
        <is>
          <t>channel-and-floodplain-dynamics-bank-height-ratio-bhr</t>
        </is>
      </c>
      <c r="C13" s="21" t="inlineStr">
        <is>
          <t>Bank Height Ratio (BHR)</t>
        </is>
      </c>
      <c r="D13" s="21" t="inlineStr"/>
      <c r="E13" s="21" t="n">
        <v>2</v>
      </c>
      <c r="F13" s="21" t="inlineStr"/>
      <c r="G13" s="21" t="n">
        <v>1</v>
      </c>
      <c r="H13" s="21" t="n">
        <v>1.5</v>
      </c>
      <c r="I13" s="21" t="n">
        <v>1.5</v>
      </c>
      <c r="J13" s="21" t="n">
        <v>1.5</v>
      </c>
      <c r="K13" s="21" t="n">
        <v>1.5</v>
      </c>
      <c r="L13" s="21" t="n">
        <v>1.5</v>
      </c>
      <c r="M13" s="21" t="n">
        <v>1.5</v>
      </c>
      <c r="N13" s="21" t="n">
        <v>1.5</v>
      </c>
      <c r="O13" s="21" t="n">
        <v>1</v>
      </c>
      <c r="P13" s="21" t="n">
        <v>0.3</v>
      </c>
      <c r="Q13" s="21" t="n">
        <v>0.3</v>
      </c>
      <c r="R13" s="21" t="n">
        <v>0.3</v>
      </c>
      <c r="S13" s="21" t="n">
        <v>0.3</v>
      </c>
      <c r="T13" s="21" t="n">
        <v>0.3</v>
      </c>
      <c r="U13" s="21" t="n">
        <v>0.3</v>
      </c>
      <c r="V13" s="21" t="n">
        <v>0.3</v>
      </c>
    </row>
    <row r="14">
      <c r="A14" s="21" t="inlineStr">
        <is>
          <t>channel_and_floodplain_dynamics_percent_streambank_armoring|</t>
        </is>
      </c>
      <c r="B14" s="21" t="inlineStr">
        <is>
          <t>channel-and-floodplain-dynamics-percent-streambank-armoring</t>
        </is>
      </c>
      <c r="C14" s="21" t="inlineStr">
        <is>
          <t>Percent Streambank Armoring</t>
        </is>
      </c>
      <c r="D14" s="21" t="inlineStr"/>
      <c r="E14" s="21" t="n">
        <v>2</v>
      </c>
      <c r="F14" s="21" t="inlineStr"/>
      <c r="G14" s="21" t="n">
        <v>0</v>
      </c>
      <c r="H14" s="21" t="n">
        <v>30</v>
      </c>
      <c r="I14" s="21" t="n">
        <v>30</v>
      </c>
      <c r="J14" s="21" t="n">
        <v>30</v>
      </c>
      <c r="K14" s="21" t="n">
        <v>30</v>
      </c>
      <c r="L14" s="21" t="n">
        <v>30</v>
      </c>
      <c r="M14" s="21" t="n">
        <v>30</v>
      </c>
      <c r="N14" s="21" t="n">
        <v>30</v>
      </c>
      <c r="O14" s="21" t="n">
        <v>1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</row>
    <row r="15">
      <c r="A15" s="21" t="inlineStr">
        <is>
          <t>channel_and_floodplain_dynamics_percent_streambank_erosion|</t>
        </is>
      </c>
      <c r="B15" s="21" t="inlineStr">
        <is>
          <t>channel-and-floodplain-dynamics-percent-streambank-erosion</t>
        </is>
      </c>
      <c r="C15" s="21" t="inlineStr">
        <is>
          <t>Percent Streambank Erosion</t>
        </is>
      </c>
      <c r="D15" s="21" t="inlineStr"/>
      <c r="E15" s="21" t="n">
        <v>3</v>
      </c>
      <c r="F15" s="21" t="inlineStr"/>
      <c r="G15" s="21" t="n">
        <v>5</v>
      </c>
      <c r="H15" s="21" t="n">
        <v>10</v>
      </c>
      <c r="I15" s="21" t="n">
        <v>75</v>
      </c>
      <c r="J15" s="21" t="n">
        <v>75</v>
      </c>
      <c r="K15" s="21" t="n">
        <v>75</v>
      </c>
      <c r="L15" s="21" t="n">
        <v>75</v>
      </c>
      <c r="M15" s="21" t="n">
        <v>75</v>
      </c>
      <c r="N15" s="21" t="n">
        <v>75</v>
      </c>
      <c r="O15" s="21" t="n">
        <v>1</v>
      </c>
      <c r="P15" s="21" t="n">
        <v>0.7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</row>
    <row r="16">
      <c r="A16" s="21" t="inlineStr">
        <is>
          <t>bed_composition_and_large_wood_percent_fines_2mm|Gravel Bed</t>
        </is>
      </c>
      <c r="B16" s="21" t="inlineStr">
        <is>
          <t>bed-composition-and-large-wood-percent-fines-2mm</t>
        </is>
      </c>
      <c r="C16" s="21" t="inlineStr">
        <is>
          <t>Percent Fines &lt; 2mm</t>
        </is>
      </c>
      <c r="D16" s="21" t="inlineStr">
        <is>
          <t>Gravel Bed</t>
        </is>
      </c>
      <c r="E16" s="21" t="n">
        <v>3</v>
      </c>
      <c r="F16" s="21" t="inlineStr"/>
      <c r="G16" s="21" t="n">
        <v>3</v>
      </c>
      <c r="H16" s="21" t="n">
        <v>15</v>
      </c>
      <c r="I16" s="21" t="n">
        <v>37</v>
      </c>
      <c r="J16" s="21" t="n">
        <v>37</v>
      </c>
      <c r="K16" s="21" t="n">
        <v>37</v>
      </c>
      <c r="L16" s="21" t="n">
        <v>37</v>
      </c>
      <c r="M16" s="21" t="n">
        <v>37</v>
      </c>
      <c r="N16" s="21" t="n">
        <v>37</v>
      </c>
      <c r="O16" s="21" t="n">
        <v>1</v>
      </c>
      <c r="P16" s="21" t="n">
        <v>0.7</v>
      </c>
      <c r="Q16" s="21" t="n">
        <v>0.3</v>
      </c>
      <c r="R16" s="21" t="n">
        <v>0.3</v>
      </c>
      <c r="S16" s="21" t="n">
        <v>0.3</v>
      </c>
      <c r="T16" s="21" t="n">
        <v>0.3</v>
      </c>
      <c r="U16" s="21" t="n">
        <v>0.3</v>
      </c>
      <c r="V16" s="21" t="n">
        <v>0.3</v>
      </c>
    </row>
    <row r="17">
      <c r="A17" s="21" t="inlineStr">
        <is>
          <t>bed_composition_and_large_wood_percent_fines_2mm|Cobble, Boulders, Bedrock</t>
        </is>
      </c>
      <c r="B17" s="21" t="inlineStr">
        <is>
          <t>bed-composition-and-large-wood-percent-fines-2mm</t>
        </is>
      </c>
      <c r="C17" s="21" t="inlineStr">
        <is>
          <t>Percent Fines &lt; 2mm</t>
        </is>
      </c>
      <c r="D17" s="21" t="inlineStr">
        <is>
          <t>Cobble, Boulders, Bedrock</t>
        </is>
      </c>
      <c r="E17" s="21" t="n">
        <v>3</v>
      </c>
      <c r="F17" s="21" t="inlineStr"/>
      <c r="G17" s="21" t="n">
        <v>0</v>
      </c>
      <c r="H17" s="21" t="n">
        <v>5</v>
      </c>
      <c r="I17" s="21" t="n">
        <v>10</v>
      </c>
      <c r="J17" s="21" t="n">
        <v>10</v>
      </c>
      <c r="K17" s="21" t="n">
        <v>10</v>
      </c>
      <c r="L17" s="21" t="n">
        <v>10</v>
      </c>
      <c r="M17" s="21" t="n">
        <v>10</v>
      </c>
      <c r="N17" s="21" t="n">
        <v>10</v>
      </c>
      <c r="O17" s="21" t="n">
        <v>1</v>
      </c>
      <c r="P17" s="21" t="n">
        <v>0.7</v>
      </c>
      <c r="Q17" s="21" t="n">
        <v>0.3</v>
      </c>
      <c r="R17" s="21" t="n">
        <v>0.3</v>
      </c>
      <c r="S17" s="21" t="n">
        <v>0.3</v>
      </c>
      <c r="T17" s="21" t="n">
        <v>0.3</v>
      </c>
      <c r="U17" s="21" t="n">
        <v>0.3</v>
      </c>
      <c r="V17" s="21" t="n">
        <v>0.3</v>
      </c>
    </row>
    <row r="18">
      <c r="A18" s="21" t="inlineStr">
        <is>
          <t>light_and_thermal_regime_daily_maximum_temperature|</t>
        </is>
      </c>
      <c r="B18" s="21" t="inlineStr">
        <is>
          <t>light-and-thermal-regime-daily-maximum-temperature</t>
        </is>
      </c>
      <c r="C18" s="21" t="inlineStr">
        <is>
          <t>Daily Maximum Temperature</t>
        </is>
      </c>
      <c r="D18" s="21" t="inlineStr"/>
      <c r="E18" s="21" t="n">
        <v>2</v>
      </c>
      <c r="F18" s="21" t="inlineStr"/>
      <c r="G18" s="21" t="n">
        <v>1.1</v>
      </c>
      <c r="H18" s="21" t="n">
        <v>1.25</v>
      </c>
      <c r="I18" s="21" t="n">
        <v>1.25</v>
      </c>
      <c r="J18" s="21" t="n">
        <v>1.25</v>
      </c>
      <c r="K18" s="21" t="n">
        <v>1.25</v>
      </c>
      <c r="L18" s="21" t="n">
        <v>1.25</v>
      </c>
      <c r="M18" s="21" t="n">
        <v>1.25</v>
      </c>
      <c r="N18" s="21" t="n">
        <v>1.25</v>
      </c>
      <c r="O18" s="21" t="n">
        <v>1</v>
      </c>
      <c r="P18" s="21" t="n">
        <v>0.3</v>
      </c>
      <c r="Q18" s="21" t="n">
        <v>0.3</v>
      </c>
      <c r="R18" s="21" t="n">
        <v>0.3</v>
      </c>
      <c r="S18" s="21" t="n">
        <v>0.3</v>
      </c>
      <c r="T18" s="21" t="n">
        <v>0.3</v>
      </c>
      <c r="U18" s="21" t="n">
        <v>0.3</v>
      </c>
      <c r="V18" s="21" t="n">
        <v>0.3</v>
      </c>
    </row>
    <row r="19">
      <c r="A19" s="21" t="inlineStr">
        <is>
          <t>carbon_processing_percent_native_cover|</t>
        </is>
      </c>
      <c r="B19" s="21" t="inlineStr">
        <is>
          <t>carbon-processing-percent-native-cover</t>
        </is>
      </c>
      <c r="C19" s="21" t="inlineStr">
        <is>
          <t>Percent Native Cover</t>
        </is>
      </c>
      <c r="D19" s="21" t="inlineStr"/>
      <c r="E19" s="21" t="n">
        <v>2</v>
      </c>
      <c r="F19" s="21" t="inlineStr"/>
      <c r="G19" s="21" t="n">
        <v>95</v>
      </c>
      <c r="H19" s="21" t="n">
        <v>100</v>
      </c>
      <c r="I19" s="21" t="n">
        <v>100</v>
      </c>
      <c r="J19" s="21" t="n">
        <v>100</v>
      </c>
      <c r="K19" s="21" t="n">
        <v>100</v>
      </c>
      <c r="L19" s="21" t="n">
        <v>100</v>
      </c>
      <c r="M19" s="21" t="n">
        <v>100</v>
      </c>
      <c r="N19" s="21" t="n">
        <v>100</v>
      </c>
      <c r="O19" s="21" t="n">
        <v>0.7</v>
      </c>
      <c r="P19" s="21" t="n">
        <v>1</v>
      </c>
      <c r="Q19" s="21" t="n">
        <v>1</v>
      </c>
      <c r="R19" s="21" t="n">
        <v>1</v>
      </c>
      <c r="S19" s="21" t="n">
        <v>1</v>
      </c>
      <c r="T19" s="21" t="n">
        <v>1</v>
      </c>
      <c r="U19" s="21" t="n">
        <v>1</v>
      </c>
      <c r="V19" s="21" t="n">
        <v>1</v>
      </c>
    </row>
    <row r="20">
      <c r="A20" s="21" t="inlineStr">
        <is>
          <t>carbon_processing_riparian_extent|Unconfined Alluvial Valleys</t>
        </is>
      </c>
      <c r="B20" s="21" t="inlineStr">
        <is>
          <t>carbon-processing-riparian-extent</t>
        </is>
      </c>
      <c r="C20" s="21" t="inlineStr">
        <is>
          <t>Riparian Extent</t>
        </is>
      </c>
      <c r="D20" s="21" t="inlineStr">
        <is>
          <t>Unconfined Alluvial Valleys</t>
        </is>
      </c>
      <c r="E20" s="21" t="n">
        <v>2</v>
      </c>
      <c r="F20" s="21" t="inlineStr"/>
      <c r="G20" s="21" t="n">
        <v>0</v>
      </c>
      <c r="H20" s="21" t="n">
        <v>100</v>
      </c>
      <c r="I20" s="21" t="n">
        <v>100</v>
      </c>
      <c r="J20" s="21" t="n">
        <v>100</v>
      </c>
      <c r="K20" s="21" t="n">
        <v>100</v>
      </c>
      <c r="L20" s="21" t="n">
        <v>100</v>
      </c>
      <c r="M20" s="21" t="n">
        <v>100</v>
      </c>
      <c r="N20" s="21" t="n">
        <v>100</v>
      </c>
      <c r="O20" s="21" t="n">
        <v>0</v>
      </c>
      <c r="P20" s="21" t="n">
        <v>1</v>
      </c>
      <c r="Q20" s="21" t="n">
        <v>1</v>
      </c>
      <c r="R20" s="21" t="n">
        <v>1</v>
      </c>
      <c r="S20" s="21" t="n">
        <v>1</v>
      </c>
      <c r="T20" s="21" t="n">
        <v>1</v>
      </c>
      <c r="U20" s="21" t="n">
        <v>1</v>
      </c>
      <c r="V20" s="21" t="n">
        <v>1</v>
      </c>
    </row>
    <row r="21">
      <c r="A21" s="21" t="inlineStr">
        <is>
          <t>carbon_processing_riparian_extent|Confined Alluvial or Colluvial/V-Shaped Valleys</t>
        </is>
      </c>
      <c r="B21" s="21" t="inlineStr">
        <is>
          <t>carbon-processing-riparian-extent</t>
        </is>
      </c>
      <c r="C21" s="21" t="inlineStr">
        <is>
          <t>Riparian Extent</t>
        </is>
      </c>
      <c r="D21" s="21" t="inlineStr">
        <is>
          <t>Confined Alluvial or Colluvial/V-Shaped Valleys</t>
        </is>
      </c>
      <c r="E21" s="21" t="n">
        <v>3</v>
      </c>
      <c r="F21" s="21" t="inlineStr"/>
      <c r="G21" s="21" t="n">
        <v>0</v>
      </c>
      <c r="H21" s="21" t="n">
        <v>60</v>
      </c>
      <c r="I21" s="21" t="n">
        <v>100</v>
      </c>
      <c r="J21" s="21" t="n">
        <v>100</v>
      </c>
      <c r="K21" s="21" t="n">
        <v>100</v>
      </c>
      <c r="L21" s="21" t="n">
        <v>100</v>
      </c>
      <c r="M21" s="21" t="n">
        <v>100</v>
      </c>
      <c r="N21" s="21" t="n">
        <v>100</v>
      </c>
      <c r="O21" s="21" t="n">
        <v>0</v>
      </c>
      <c r="P21" s="21" t="n">
        <v>0.3</v>
      </c>
      <c r="Q21" s="21" t="n">
        <v>1</v>
      </c>
      <c r="R21" s="21" t="n">
        <v>1</v>
      </c>
      <c r="S21" s="21" t="n">
        <v>1</v>
      </c>
      <c r="T21" s="21" t="n">
        <v>1</v>
      </c>
      <c r="U21" s="21" t="n">
        <v>1</v>
      </c>
      <c r="V21" s="21" t="n">
        <v>1</v>
      </c>
    </row>
    <row r="22">
      <c r="A22" s="21" t="inlineStr">
        <is>
          <t>carbon_processing_vegetative_complexity|Alaska &amp; Brooks Range</t>
        </is>
      </c>
      <c r="B22" s="21" t="inlineStr">
        <is>
          <t>carbon-processing-vegetative-complexity</t>
        </is>
      </c>
      <c r="C22" s="21" t="inlineStr">
        <is>
          <t>Vegetative Complexity</t>
        </is>
      </c>
      <c r="D22" s="21" t="inlineStr">
        <is>
          <t>Alaska &amp; Brooks Range</t>
        </is>
      </c>
      <c r="E22" s="21" t="n">
        <v>4</v>
      </c>
      <c r="F22" s="21" t="inlineStr"/>
      <c r="G22" s="21" t="n">
        <v>0</v>
      </c>
      <c r="H22" s="21" t="n">
        <v>0.06</v>
      </c>
      <c r="I22" s="21" t="n">
        <v>0.83</v>
      </c>
      <c r="J22" s="21" t="n">
        <v>1.57</v>
      </c>
      <c r="K22" s="21" t="n">
        <v>1.57</v>
      </c>
      <c r="L22" s="21" t="n">
        <v>1.57</v>
      </c>
      <c r="M22" s="21" t="n">
        <v>1.57</v>
      </c>
      <c r="N22" s="21" t="n">
        <v>1.57</v>
      </c>
      <c r="O22" s="21" t="n">
        <v>0</v>
      </c>
      <c r="P22" s="21" t="n">
        <v>0.3</v>
      </c>
      <c r="Q22" s="21" t="n">
        <v>0.7</v>
      </c>
      <c r="R22" s="21" t="n">
        <v>1</v>
      </c>
      <c r="S22" s="21" t="n">
        <v>1</v>
      </c>
      <c r="T22" s="21" t="n">
        <v>1</v>
      </c>
      <c r="U22" s="21" t="n">
        <v>1</v>
      </c>
      <c r="V22" s="21" t="n">
        <v>1</v>
      </c>
    </row>
    <row r="23">
      <c r="A23" s="21" t="inlineStr">
        <is>
          <t>carbon_processing_vegetative_complexity|Interior Highlands</t>
        </is>
      </c>
      <c r="B23" s="21" t="inlineStr">
        <is>
          <t>carbon-processing-vegetative-complexity</t>
        </is>
      </c>
      <c r="C23" s="21" t="inlineStr">
        <is>
          <t>Vegetative Complexity</t>
        </is>
      </c>
      <c r="D23" s="21" t="inlineStr">
        <is>
          <t>Interior Highlands</t>
        </is>
      </c>
      <c r="E23" s="21" t="n">
        <v>4</v>
      </c>
      <c r="F23" s="21" t="inlineStr"/>
      <c r="G23" s="21" t="n">
        <v>0</v>
      </c>
      <c r="H23" s="21" t="n">
        <v>0.9399999999999999</v>
      </c>
      <c r="I23" s="21" t="n">
        <v>1.21</v>
      </c>
      <c r="J23" s="21" t="n">
        <v>1.67</v>
      </c>
      <c r="K23" s="21" t="n">
        <v>1.67</v>
      </c>
      <c r="L23" s="21" t="n">
        <v>1.67</v>
      </c>
      <c r="M23" s="21" t="n">
        <v>1.67</v>
      </c>
      <c r="N23" s="21" t="n">
        <v>1.67</v>
      </c>
      <c r="O23" s="21" t="n">
        <v>0</v>
      </c>
      <c r="P23" s="21" t="n">
        <v>0.3</v>
      </c>
      <c r="Q23" s="21" t="n">
        <v>0.7</v>
      </c>
      <c r="R23" s="21" t="n">
        <v>1</v>
      </c>
      <c r="S23" s="21" t="n">
        <v>1</v>
      </c>
      <c r="T23" s="21" t="n">
        <v>1</v>
      </c>
      <c r="U23" s="21" t="n">
        <v>1</v>
      </c>
      <c r="V23" s="21" t="n">
        <v>1</v>
      </c>
    </row>
    <row r="24">
      <c r="A24" s="21" t="inlineStr">
        <is>
          <t>carbon_processing_vegetative_complexity|Interior Bottomlands</t>
        </is>
      </c>
      <c r="B24" s="21" t="inlineStr">
        <is>
          <t>carbon-processing-vegetative-complexity</t>
        </is>
      </c>
      <c r="C24" s="21" t="inlineStr">
        <is>
          <t>Vegetative Complexity</t>
        </is>
      </c>
      <c r="D24" s="21" t="inlineStr">
        <is>
          <t>Interior Bottomlands</t>
        </is>
      </c>
      <c r="E24" s="21" t="n">
        <v>4</v>
      </c>
      <c r="F24" s="21" t="inlineStr"/>
      <c r="G24" s="21" t="n">
        <v>0</v>
      </c>
      <c r="H24" s="21" t="n">
        <v>1.19</v>
      </c>
      <c r="I24" s="21" t="n">
        <v>1.37</v>
      </c>
      <c r="J24" s="21" t="n">
        <v>1.82</v>
      </c>
      <c r="K24" s="21" t="n">
        <v>1.82</v>
      </c>
      <c r="L24" s="21" t="n">
        <v>1.82</v>
      </c>
      <c r="M24" s="21" t="n">
        <v>1.82</v>
      </c>
      <c r="N24" s="21" t="n">
        <v>1.82</v>
      </c>
      <c r="O24" s="21" t="n">
        <v>0</v>
      </c>
      <c r="P24" s="21" t="n">
        <v>0.3</v>
      </c>
      <c r="Q24" s="21" t="n">
        <v>0.7</v>
      </c>
      <c r="R24" s="21" t="n">
        <v>1</v>
      </c>
      <c r="S24" s="21" t="n">
        <v>1</v>
      </c>
      <c r="T24" s="21" t="n">
        <v>1</v>
      </c>
      <c r="U24" s="21" t="n">
        <v>1</v>
      </c>
      <c r="V24" s="21" t="n">
        <v>1</v>
      </c>
    </row>
    <row r="25">
      <c r="A25" s="21" t="inlineStr">
        <is>
          <t>carbon_processing_vegetative_complexity|Interior Forested Lowlands/Uplands</t>
        </is>
      </c>
      <c r="B25" s="21" t="inlineStr">
        <is>
          <t>carbon-processing-vegetative-complexity</t>
        </is>
      </c>
      <c r="C25" s="21" t="inlineStr">
        <is>
          <t>Vegetative Complexity</t>
        </is>
      </c>
      <c r="D25" s="21" t="inlineStr">
        <is>
          <t>Interior Forested Lowlands/Uplands</t>
        </is>
      </c>
      <c r="E25" s="21" t="n">
        <v>4</v>
      </c>
      <c r="F25" s="21" t="inlineStr"/>
      <c r="G25" s="21" t="n">
        <v>0</v>
      </c>
      <c r="H25" s="21" t="n">
        <v>1.24</v>
      </c>
      <c r="I25" s="21" t="n">
        <v>1.45</v>
      </c>
      <c r="J25" s="21" t="n">
        <v>1.87</v>
      </c>
      <c r="K25" s="21" t="n">
        <v>1.87</v>
      </c>
      <c r="L25" s="21" t="n">
        <v>1.87</v>
      </c>
      <c r="M25" s="21" t="n">
        <v>1.87</v>
      </c>
      <c r="N25" s="21" t="n">
        <v>1.87</v>
      </c>
      <c r="O25" s="21" t="n">
        <v>0</v>
      </c>
      <c r="P25" s="21" t="n">
        <v>0.3</v>
      </c>
      <c r="Q25" s="21" t="n">
        <v>0.7</v>
      </c>
      <c r="R25" s="21" t="n">
        <v>1</v>
      </c>
      <c r="S25" s="21" t="n">
        <v>1</v>
      </c>
      <c r="T25" s="21" t="n">
        <v>1</v>
      </c>
      <c r="U25" s="21" t="n">
        <v>1</v>
      </c>
      <c r="V25" s="21" t="n">
        <v>1</v>
      </c>
    </row>
    <row r="26">
      <c r="A26" s="21" t="inlineStr">
        <is>
          <t>nutrient_cycling_diatom_index|</t>
        </is>
      </c>
      <c r="B26" s="21" t="inlineStr">
        <is>
          <t>nutrient-cycling-diatom-index</t>
        </is>
      </c>
      <c r="C26" s="21" t="inlineStr">
        <is>
          <t>Diatom Index</t>
        </is>
      </c>
      <c r="D26" s="21" t="inlineStr"/>
      <c r="E26" s="21" t="n">
        <v>2</v>
      </c>
      <c r="F26" s="21" t="inlineStr"/>
      <c r="G26" s="21" t="n">
        <v>58</v>
      </c>
      <c r="H26" s="21" t="n">
        <v>75</v>
      </c>
      <c r="I26" s="21" t="n">
        <v>75</v>
      </c>
      <c r="J26" s="21" t="n">
        <v>75</v>
      </c>
      <c r="K26" s="21" t="n">
        <v>75</v>
      </c>
      <c r="L26" s="21" t="n">
        <v>75</v>
      </c>
      <c r="M26" s="21" t="n">
        <v>75</v>
      </c>
      <c r="N26" s="21" t="n">
        <v>75</v>
      </c>
      <c r="O26" s="21" t="n">
        <v>0.7</v>
      </c>
      <c r="P26" s="21" t="n">
        <v>1</v>
      </c>
      <c r="Q26" s="21" t="n">
        <v>1</v>
      </c>
      <c r="R26" s="21" t="n">
        <v>1</v>
      </c>
      <c r="S26" s="21" t="n">
        <v>1</v>
      </c>
      <c r="T26" s="21" t="n">
        <v>1</v>
      </c>
      <c r="U26" s="21" t="n">
        <v>1</v>
      </c>
      <c r="V26" s="21" t="n">
        <v>1</v>
      </c>
    </row>
    <row r="27">
      <c r="A27" s="21" t="inlineStr">
        <is>
          <t>water_and_soil_quality_daily_average_turbidity|</t>
        </is>
      </c>
      <c r="B27" s="21" t="inlineStr">
        <is>
          <t>water-and-soil-quality-daily-average-turbidity</t>
        </is>
      </c>
      <c r="C27" s="21" t="inlineStr">
        <is>
          <t>Daily Average Turbidity</t>
        </is>
      </c>
      <c r="D27" s="21" t="inlineStr"/>
      <c r="E27" s="21" t="n">
        <v>3</v>
      </c>
      <c r="F27" s="21" t="inlineStr"/>
      <c r="G27" s="21" t="n">
        <v>3</v>
      </c>
      <c r="H27" s="21" t="n">
        <v>10</v>
      </c>
      <c r="I27" s="21" t="n">
        <v>100</v>
      </c>
      <c r="J27" s="21" t="n">
        <v>100</v>
      </c>
      <c r="K27" s="21" t="n">
        <v>100</v>
      </c>
      <c r="L27" s="21" t="n">
        <v>100</v>
      </c>
      <c r="M27" s="21" t="n">
        <v>100</v>
      </c>
      <c r="N27" s="21" t="n">
        <v>100</v>
      </c>
      <c r="O27" s="21" t="n">
        <v>1</v>
      </c>
      <c r="P27" s="21" t="n">
        <v>0.7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</row>
    <row r="28">
      <c r="A28" s="21" t="inlineStr">
        <is>
          <t>habitat_provision_lwd_frequency|Alaska Range</t>
        </is>
      </c>
      <c r="B28" s="21" t="inlineStr">
        <is>
          <t>habitat-provision-lwd-frequency</t>
        </is>
      </c>
      <c r="C28" s="21" t="inlineStr">
        <is>
          <t>LWD Frequency</t>
        </is>
      </c>
      <c r="D28" s="21" t="inlineStr">
        <is>
          <t>Alaska Range</t>
        </is>
      </c>
      <c r="E28" s="21" t="n">
        <v>4</v>
      </c>
      <c r="F28" s="21" t="inlineStr"/>
      <c r="G28" s="21" t="n">
        <v>0</v>
      </c>
      <c r="H28" s="21" t="n">
        <v>0.8</v>
      </c>
      <c r="I28" s="21" t="n">
        <v>1.5</v>
      </c>
      <c r="J28" s="21" t="n">
        <v>6.3</v>
      </c>
      <c r="K28" s="21" t="n">
        <v>6.3</v>
      </c>
      <c r="L28" s="21" t="n">
        <v>6.3</v>
      </c>
      <c r="M28" s="21" t="n">
        <v>6.3</v>
      </c>
      <c r="N28" s="21" t="n">
        <v>6.3</v>
      </c>
      <c r="O28" s="21" t="n">
        <v>0</v>
      </c>
      <c r="P28" s="21" t="n">
        <v>0.3</v>
      </c>
      <c r="Q28" s="21" t="n">
        <v>0.7</v>
      </c>
      <c r="R28" s="21" t="n">
        <v>1</v>
      </c>
      <c r="S28" s="21" t="n">
        <v>1</v>
      </c>
      <c r="T28" s="21" t="n">
        <v>1</v>
      </c>
      <c r="U28" s="21" t="n">
        <v>1</v>
      </c>
      <c r="V28" s="21" t="n">
        <v>1</v>
      </c>
    </row>
    <row r="29">
      <c r="A29" s="21" t="inlineStr">
        <is>
          <t>habitat_provision_lwd_frequency|Brooks Range</t>
        </is>
      </c>
      <c r="B29" s="21" t="inlineStr">
        <is>
          <t>habitat-provision-lwd-frequency</t>
        </is>
      </c>
      <c r="C29" s="21" t="inlineStr">
        <is>
          <t>LWD Frequency</t>
        </is>
      </c>
      <c r="D29" s="21" t="inlineStr">
        <is>
          <t>Brooks Range</t>
        </is>
      </c>
      <c r="E29" s="21" t="n">
        <v>4</v>
      </c>
      <c r="F29" s="21" t="inlineStr"/>
      <c r="G29" s="21" t="n">
        <v>0</v>
      </c>
      <c r="H29" s="21" t="n">
        <v>0.62</v>
      </c>
      <c r="I29" s="21" t="n">
        <v>1.2</v>
      </c>
      <c r="J29" s="21" t="n">
        <v>4.2</v>
      </c>
      <c r="K29" s="21" t="n">
        <v>4.2</v>
      </c>
      <c r="L29" s="21" t="n">
        <v>4.2</v>
      </c>
      <c r="M29" s="21" t="n">
        <v>4.2</v>
      </c>
      <c r="N29" s="21" t="n">
        <v>4.2</v>
      </c>
      <c r="O29" s="21" t="n">
        <v>0</v>
      </c>
      <c r="P29" s="21" t="n">
        <v>0.3</v>
      </c>
      <c r="Q29" s="21" t="n">
        <v>0.7</v>
      </c>
      <c r="R29" s="21" t="n">
        <v>1</v>
      </c>
      <c r="S29" s="21" t="n">
        <v>1</v>
      </c>
      <c r="T29" s="21" t="n">
        <v>1</v>
      </c>
      <c r="U29" s="21" t="n">
        <v>1</v>
      </c>
      <c r="V29" s="21" t="n">
        <v>1</v>
      </c>
    </row>
    <row r="30">
      <c r="A30" s="21" t="inlineStr">
        <is>
          <t>habitat_provision_lwd_frequency|Interior Bottomlands</t>
        </is>
      </c>
      <c r="B30" s="21" t="inlineStr">
        <is>
          <t>habitat-provision-lwd-frequency</t>
        </is>
      </c>
      <c r="C30" s="21" t="inlineStr">
        <is>
          <t>LWD Frequency</t>
        </is>
      </c>
      <c r="D30" s="21" t="inlineStr">
        <is>
          <t>Interior Bottomlands</t>
        </is>
      </c>
      <c r="E30" s="21" t="n">
        <v>4</v>
      </c>
      <c r="F30" s="21" t="inlineStr"/>
      <c r="G30" s="21" t="n">
        <v>0</v>
      </c>
      <c r="H30" s="21" t="n">
        <v>3.7</v>
      </c>
      <c r="I30" s="21" t="n">
        <v>4.7</v>
      </c>
      <c r="J30" s="21" t="n">
        <v>54.5</v>
      </c>
      <c r="K30" s="21" t="n">
        <v>54.5</v>
      </c>
      <c r="L30" s="21" t="n">
        <v>54.5</v>
      </c>
      <c r="M30" s="21" t="n">
        <v>54.5</v>
      </c>
      <c r="N30" s="21" t="n">
        <v>54.5</v>
      </c>
      <c r="O30" s="21" t="n">
        <v>0</v>
      </c>
      <c r="P30" s="21" t="n">
        <v>0.3</v>
      </c>
      <c r="Q30" s="21" t="n">
        <v>0.7</v>
      </c>
      <c r="R30" s="21" t="n">
        <v>1</v>
      </c>
      <c r="S30" s="21" t="n">
        <v>1</v>
      </c>
      <c r="T30" s="21" t="n">
        <v>1</v>
      </c>
      <c r="U30" s="21" t="n">
        <v>1</v>
      </c>
      <c r="V30" s="21" t="n">
        <v>1</v>
      </c>
    </row>
    <row r="31">
      <c r="A31" s="21" t="inlineStr">
        <is>
          <t>habitat_provision_lwd_frequency|Interior Forested Lowlands/Uplands and Highlands</t>
        </is>
      </c>
      <c r="B31" s="21" t="inlineStr">
        <is>
          <t>habitat-provision-lwd-frequency</t>
        </is>
      </c>
      <c r="C31" s="21" t="inlineStr">
        <is>
          <t>LWD Frequency</t>
        </is>
      </c>
      <c r="D31" s="21" t="inlineStr">
        <is>
          <t>Interior Forested Lowlands/Uplands and Highlands</t>
        </is>
      </c>
      <c r="E31" s="21" t="n">
        <v>4</v>
      </c>
      <c r="F31" s="21" t="inlineStr"/>
      <c r="G31" s="21" t="n">
        <v>0</v>
      </c>
      <c r="H31" s="21" t="n">
        <v>0.6</v>
      </c>
      <c r="I31" s="21" t="n">
        <v>1.3</v>
      </c>
      <c r="J31" s="21" t="n">
        <v>24.1</v>
      </c>
      <c r="K31" s="21" t="n">
        <v>24.1</v>
      </c>
      <c r="L31" s="21" t="n">
        <v>24.1</v>
      </c>
      <c r="M31" s="21" t="n">
        <v>24.1</v>
      </c>
      <c r="N31" s="21" t="n">
        <v>24.1</v>
      </c>
      <c r="O31" s="21" t="n">
        <v>0</v>
      </c>
      <c r="P31" s="21" t="n">
        <v>0.3</v>
      </c>
      <c r="Q31" s="21" t="n">
        <v>0.7</v>
      </c>
      <c r="R31" s="21" t="n">
        <v>1</v>
      </c>
      <c r="S31" s="21" t="n">
        <v>1</v>
      </c>
      <c r="T31" s="21" t="n">
        <v>1</v>
      </c>
      <c r="U31" s="21" t="n">
        <v>1</v>
      </c>
      <c r="V31" s="21" t="n">
        <v>1</v>
      </c>
    </row>
    <row r="32">
      <c r="A32" s="21" t="inlineStr">
        <is>
          <t>habitat_provision_percent_riffle|Slopes &lt; 3%</t>
        </is>
      </c>
      <c r="B32" s="21" t="inlineStr">
        <is>
          <t>habitat-provision-percent-riffle</t>
        </is>
      </c>
      <c r="C32" s="21" t="inlineStr">
        <is>
          <t>Percent Riffle</t>
        </is>
      </c>
      <c r="D32" s="21" t="inlineStr">
        <is>
          <t>Slopes &lt; 3%</t>
        </is>
      </c>
      <c r="E32" s="21" t="n">
        <v>3</v>
      </c>
      <c r="F32" s="21" t="inlineStr"/>
      <c r="G32" s="21" t="n">
        <v>0</v>
      </c>
      <c r="H32" s="21" t="n">
        <v>62</v>
      </c>
      <c r="I32" s="21" t="n">
        <v>68</v>
      </c>
      <c r="J32" s="21" t="n">
        <v>68</v>
      </c>
      <c r="K32" s="21" t="n">
        <v>68</v>
      </c>
      <c r="L32" s="21" t="n">
        <v>68</v>
      </c>
      <c r="M32" s="21" t="n">
        <v>68</v>
      </c>
      <c r="N32" s="21" t="n">
        <v>68</v>
      </c>
      <c r="O32" s="21" t="n">
        <v>0</v>
      </c>
      <c r="P32" s="21" t="n">
        <v>0.7</v>
      </c>
      <c r="Q32" s="21" t="n">
        <v>1</v>
      </c>
      <c r="R32" s="21" t="n">
        <v>1</v>
      </c>
      <c r="S32" s="21" t="n">
        <v>1</v>
      </c>
      <c r="T32" s="21" t="n">
        <v>1</v>
      </c>
      <c r="U32" s="21" t="n">
        <v>1</v>
      </c>
      <c r="V32" s="21" t="n">
        <v>1</v>
      </c>
    </row>
    <row r="33">
      <c r="A33" s="21" t="inlineStr">
        <is>
          <t>habitat_provision_percent_riffle|Slopes &lt; 3% / Overall</t>
        </is>
      </c>
      <c r="B33" s="21" t="inlineStr">
        <is>
          <t>habitat-provision-percent-riffle</t>
        </is>
      </c>
      <c r="C33" s="21" t="inlineStr">
        <is>
          <t>Percent Riffle</t>
        </is>
      </c>
      <c r="D33" s="21" t="inlineStr">
        <is>
          <t>Slopes &lt; 3% / Overall</t>
        </is>
      </c>
      <c r="E33" s="21" t="n">
        <v>3</v>
      </c>
      <c r="F33" s="21" t="inlineStr"/>
      <c r="G33" s="21" t="n">
        <v>0</v>
      </c>
      <c r="H33" s="21" t="n">
        <v>39</v>
      </c>
      <c r="I33" s="21" t="n">
        <v>50</v>
      </c>
      <c r="J33" s="21" t="n">
        <v>50</v>
      </c>
      <c r="K33" s="21" t="n">
        <v>50</v>
      </c>
      <c r="L33" s="21" t="n">
        <v>50</v>
      </c>
      <c r="M33" s="21" t="n">
        <v>50</v>
      </c>
      <c r="N33" s="21" t="n">
        <v>50</v>
      </c>
      <c r="O33" s="21" t="n">
        <v>0</v>
      </c>
      <c r="P33" s="21" t="n">
        <v>0.7</v>
      </c>
      <c r="Q33" s="21" t="n">
        <v>1</v>
      </c>
      <c r="R33" s="21" t="n">
        <v>1</v>
      </c>
      <c r="S33" s="21" t="n">
        <v>1</v>
      </c>
      <c r="T33" s="21" t="n">
        <v>1</v>
      </c>
      <c r="U33" s="21" t="n">
        <v>1</v>
      </c>
      <c r="V33" s="21" t="n">
        <v>1</v>
      </c>
    </row>
    <row r="34">
      <c r="A34" s="21" t="inlineStr">
        <is>
          <t>habitat_provision_pool_depth_ratio|B &amp; Ba Streams</t>
        </is>
      </c>
      <c r="B34" s="21" t="inlineStr">
        <is>
          <t>habitat-provision-pool-depth-ratio</t>
        </is>
      </c>
      <c r="C34" s="21" t="inlineStr">
        <is>
          <t>Pool Depth Ratio</t>
        </is>
      </c>
      <c r="D34" s="21" t="inlineStr">
        <is>
          <t>B &amp; Ba Streams</t>
        </is>
      </c>
      <c r="E34" s="21" t="n">
        <v>3</v>
      </c>
      <c r="F34" s="21" t="inlineStr"/>
      <c r="G34" s="21" t="n">
        <v>1</v>
      </c>
      <c r="H34" s="21" t="n">
        <v>1.8</v>
      </c>
      <c r="I34" s="21" t="n">
        <v>2.8</v>
      </c>
      <c r="J34" s="21" t="n">
        <v>2.8</v>
      </c>
      <c r="K34" s="21" t="n">
        <v>2.8</v>
      </c>
      <c r="L34" s="21" t="n">
        <v>2.8</v>
      </c>
      <c r="M34" s="21" t="n">
        <v>2.8</v>
      </c>
      <c r="N34" s="21" t="n">
        <v>2.8</v>
      </c>
      <c r="O34" s="21" t="n">
        <v>0</v>
      </c>
      <c r="P34" s="21" t="n">
        <v>0.7</v>
      </c>
      <c r="Q34" s="21" t="n">
        <v>1</v>
      </c>
      <c r="R34" s="21" t="n">
        <v>1</v>
      </c>
      <c r="S34" s="21" t="n">
        <v>1</v>
      </c>
      <c r="T34" s="21" t="n">
        <v>1</v>
      </c>
      <c r="U34" s="21" t="n">
        <v>1</v>
      </c>
      <c r="V34" s="21" t="n">
        <v>1</v>
      </c>
    </row>
    <row r="35">
      <c r="A35" s="21" t="inlineStr">
        <is>
          <t>habitat_provision_pool_depth_ratio|All other Streams</t>
        </is>
      </c>
      <c r="B35" s="21" t="inlineStr">
        <is>
          <t>habitat-provision-pool-depth-ratio</t>
        </is>
      </c>
      <c r="C35" s="21" t="inlineStr">
        <is>
          <t>Pool Depth Ratio</t>
        </is>
      </c>
      <c r="D35" s="21" t="inlineStr">
        <is>
          <t>All other Streams</t>
        </is>
      </c>
      <c r="E35" s="21" t="n">
        <v>3</v>
      </c>
      <c r="F35" s="21" t="inlineStr"/>
      <c r="G35" s="21" t="n">
        <v>1</v>
      </c>
      <c r="H35" s="21" t="n">
        <v>2.2</v>
      </c>
      <c r="I35" s="21" t="n">
        <v>3.2</v>
      </c>
      <c r="J35" s="21" t="n">
        <v>3.2</v>
      </c>
      <c r="K35" s="21" t="n">
        <v>3.2</v>
      </c>
      <c r="L35" s="21" t="n">
        <v>3.2</v>
      </c>
      <c r="M35" s="21" t="n">
        <v>3.2</v>
      </c>
      <c r="N35" s="21" t="n">
        <v>3.2</v>
      </c>
      <c r="O35" s="21" t="n">
        <v>0</v>
      </c>
      <c r="P35" s="21" t="n">
        <v>0.7</v>
      </c>
      <c r="Q35" s="21" t="n">
        <v>1</v>
      </c>
      <c r="R35" s="21" t="n">
        <v>1</v>
      </c>
      <c r="S35" s="21" t="n">
        <v>1</v>
      </c>
      <c r="T35" s="21" t="n">
        <v>1</v>
      </c>
      <c r="U35" s="21" t="n">
        <v>1</v>
      </c>
      <c r="V35" s="21" t="n">
        <v>1</v>
      </c>
    </row>
    <row r="36">
      <c r="A36" s="21" t="inlineStr">
        <is>
          <t>habitat_provision_pool_spacing_ratio|B and Ba Stream Types</t>
        </is>
      </c>
      <c r="B36" s="21" t="inlineStr">
        <is>
          <t>habitat-provision-pool-spacing-ratio</t>
        </is>
      </c>
      <c r="C36" s="21" t="inlineStr">
        <is>
          <t>Pool Spacing Ratio</t>
        </is>
      </c>
      <c r="D36" s="21" t="inlineStr">
        <is>
          <t>B and Ba Stream Types</t>
        </is>
      </c>
      <c r="E36" s="21" t="n">
        <v>3</v>
      </c>
      <c r="F36" s="21" t="inlineStr"/>
      <c r="G36" s="21" t="n">
        <v>2</v>
      </c>
      <c r="H36" s="21" t="n">
        <v>3.9</v>
      </c>
      <c r="I36" s="21" t="n">
        <v>6</v>
      </c>
      <c r="J36" s="21" t="n">
        <v>6</v>
      </c>
      <c r="K36" s="21" t="n">
        <v>6</v>
      </c>
      <c r="L36" s="21" t="n">
        <v>6</v>
      </c>
      <c r="M36" s="21" t="n">
        <v>6</v>
      </c>
      <c r="N36" s="21" t="n">
        <v>6</v>
      </c>
      <c r="O36" s="21" t="n">
        <v>1</v>
      </c>
      <c r="P36" s="21" t="n">
        <v>0.7</v>
      </c>
      <c r="Q36" s="21" t="n">
        <v>0</v>
      </c>
      <c r="R36" s="21" t="n">
        <v>0</v>
      </c>
      <c r="S36" s="21" t="n">
        <v>0</v>
      </c>
      <c r="T36" s="21" t="n">
        <v>0</v>
      </c>
      <c r="U36" s="21" t="n">
        <v>0</v>
      </c>
      <c r="V36" s="21" t="n">
        <v>0</v>
      </c>
    </row>
    <row r="37">
      <c r="A37" s="21" t="inlineStr">
        <is>
          <t>habitat_provision_pool_spacing_ratio|Bc Stream Types</t>
        </is>
      </c>
      <c r="B37" s="21" t="inlineStr">
        <is>
          <t>habitat-provision-pool-spacing-ratio</t>
        </is>
      </c>
      <c r="C37" s="21" t="inlineStr">
        <is>
          <t>Pool Spacing Ratio</t>
        </is>
      </c>
      <c r="D37" s="21" t="inlineStr">
        <is>
          <t>Bc Stream Types</t>
        </is>
      </c>
      <c r="E37" s="21" t="n">
        <v>2</v>
      </c>
      <c r="F37" s="21" t="inlineStr"/>
      <c r="G37" s="21" t="n">
        <v>3.4</v>
      </c>
      <c r="H37" s="21" t="n">
        <v>6</v>
      </c>
      <c r="I37" s="21" t="n">
        <v>6</v>
      </c>
      <c r="J37" s="21" t="n">
        <v>6</v>
      </c>
      <c r="K37" s="21" t="n">
        <v>6</v>
      </c>
      <c r="L37" s="21" t="n">
        <v>6</v>
      </c>
      <c r="M37" s="21" t="n">
        <v>6</v>
      </c>
      <c r="N37" s="21" t="n">
        <v>6</v>
      </c>
      <c r="O37" s="21" t="n">
        <v>1</v>
      </c>
      <c r="P37" s="21" t="n">
        <v>0.7</v>
      </c>
      <c r="Q37" s="21" t="n">
        <v>0.7</v>
      </c>
      <c r="R37" s="21" t="n">
        <v>0.7</v>
      </c>
      <c r="S37" s="21" t="n">
        <v>0.7</v>
      </c>
      <c r="T37" s="21" t="n">
        <v>0.7</v>
      </c>
      <c r="U37" s="21" t="n">
        <v>0.7</v>
      </c>
      <c r="V37" s="21" t="n">
        <v>0.7</v>
      </c>
    </row>
    <row r="38">
      <c r="A38" s="21" t="inlineStr">
        <is>
          <t>habitat_provision_pool_spacing_ratio|C Streams</t>
        </is>
      </c>
      <c r="B38" s="21" t="inlineStr">
        <is>
          <t>habitat-provision-pool-spacing-ratio</t>
        </is>
      </c>
      <c r="C38" s="21" t="inlineStr">
        <is>
          <t>Pool Spacing Ratio</t>
        </is>
      </c>
      <c r="D38" s="21" t="inlineStr">
        <is>
          <t>C Streams</t>
        </is>
      </c>
      <c r="E38" s="21" t="n">
        <v>3</v>
      </c>
      <c r="F38" s="21" t="inlineStr"/>
      <c r="G38" s="21" t="n">
        <v>3</v>
      </c>
      <c r="H38" s="21" t="n">
        <v>3.7</v>
      </c>
      <c r="I38" s="21" t="n">
        <v>4</v>
      </c>
      <c r="J38" s="21" t="n">
        <v>4</v>
      </c>
      <c r="K38" s="21" t="n">
        <v>4</v>
      </c>
      <c r="L38" s="21" t="n">
        <v>4</v>
      </c>
      <c r="M38" s="21" t="n">
        <v>4</v>
      </c>
      <c r="N38" s="21" t="n">
        <v>4</v>
      </c>
      <c r="O38" s="21" t="n">
        <v>0</v>
      </c>
      <c r="P38" s="21" t="n">
        <v>0.7</v>
      </c>
      <c r="Q38" s="21" t="n">
        <v>1</v>
      </c>
      <c r="R38" s="21" t="n">
        <v>1</v>
      </c>
      <c r="S38" s="21" t="n">
        <v>1</v>
      </c>
      <c r="T38" s="21" t="n">
        <v>1</v>
      </c>
      <c r="U38" s="21" t="n">
        <v>1</v>
      </c>
      <c r="V38" s="21" t="n">
        <v>1</v>
      </c>
    </row>
    <row r="39">
      <c r="A39" s="21" t="inlineStr">
        <is>
          <t>habitat_provision_pool_spacing_ratio|E Streams</t>
        </is>
      </c>
      <c r="B39" s="21" t="inlineStr">
        <is>
          <t>habitat-provision-pool-spacing-ratio</t>
        </is>
      </c>
      <c r="C39" s="21" t="inlineStr">
        <is>
          <t>Pool Spacing Ratio</t>
        </is>
      </c>
      <c r="D39" s="21" t="inlineStr">
        <is>
          <t>E Streams</t>
        </is>
      </c>
      <c r="E39" s="21" t="n">
        <v>3</v>
      </c>
      <c r="F39" s="21" t="inlineStr"/>
      <c r="G39" s="21" t="n">
        <v>1.8</v>
      </c>
      <c r="H39" s="21" t="n">
        <v>3</v>
      </c>
      <c r="I39" s="21" t="n">
        <v>3.5</v>
      </c>
      <c r="J39" s="21" t="n">
        <v>3.5</v>
      </c>
      <c r="K39" s="21" t="n">
        <v>3.5</v>
      </c>
      <c r="L39" s="21" t="n">
        <v>3.5</v>
      </c>
      <c r="M39" s="21" t="n">
        <v>3.5</v>
      </c>
      <c r="N39" s="21" t="n">
        <v>3.5</v>
      </c>
      <c r="O39" s="21" t="n">
        <v>0</v>
      </c>
      <c r="P39" s="21" t="n">
        <v>0.7</v>
      </c>
      <c r="Q39" s="21" t="n">
        <v>1</v>
      </c>
      <c r="R39" s="21" t="n">
        <v>1</v>
      </c>
      <c r="S39" s="21" t="n">
        <v>1</v>
      </c>
      <c r="T39" s="21" t="n">
        <v>1</v>
      </c>
      <c r="U39" s="21" t="n">
        <v>1</v>
      </c>
      <c r="V39" s="21" t="n">
        <v>1</v>
      </c>
    </row>
    <row r="40">
      <c r="A40" s="21" t="inlineStr">
        <is>
          <t>population_support_alaskan_interior_mmi|</t>
        </is>
      </c>
      <c r="B40" s="21" t="inlineStr">
        <is>
          <t>population-support-alaskan-interior-mmi</t>
        </is>
      </c>
      <c r="C40" s="21" t="inlineStr">
        <is>
          <t>Alaskan Interior MMI</t>
        </is>
      </c>
      <c r="D40" s="21" t="inlineStr"/>
      <c r="E40" s="21" t="n">
        <v>4</v>
      </c>
      <c r="F40" s="21" t="inlineStr"/>
      <c r="G40" s="21" t="n">
        <v>36</v>
      </c>
      <c r="H40" s="21" t="n">
        <v>43</v>
      </c>
      <c r="I40" s="21" t="n">
        <v>62</v>
      </c>
      <c r="J40" s="21" t="n">
        <v>81</v>
      </c>
      <c r="K40" s="21" t="n">
        <v>81</v>
      </c>
      <c r="L40" s="21" t="n">
        <v>81</v>
      </c>
      <c r="M40" s="21" t="n">
        <v>81</v>
      </c>
      <c r="N40" s="21" t="n">
        <v>81</v>
      </c>
      <c r="O40" s="21" t="n">
        <v>1</v>
      </c>
      <c r="P40" s="21" t="n">
        <v>0.7</v>
      </c>
      <c r="Q40" s="21" t="n">
        <v>0.3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</row>
    <row r="41">
      <c r="A41" s="21" t="inlineStr">
        <is>
          <t>community_dynamics_fish_species_richness|Anadromous</t>
        </is>
      </c>
      <c r="B41" s="21" t="inlineStr">
        <is>
          <t>community-dynamics-fish-species-richness</t>
        </is>
      </c>
      <c r="C41" s="21" t="inlineStr">
        <is>
          <t>Fish Species Richness</t>
        </is>
      </c>
      <c r="D41" s="21" t="inlineStr">
        <is>
          <t>Anadromous</t>
        </is>
      </c>
      <c r="E41" s="21" t="n">
        <v>3</v>
      </c>
      <c r="F41" s="21" t="inlineStr"/>
      <c r="G41" s="21" t="n">
        <v>0</v>
      </c>
      <c r="H41" s="21" t="n">
        <v>80</v>
      </c>
      <c r="I41" s="21" t="n">
        <v>100</v>
      </c>
      <c r="J41" s="21" t="n">
        <v>100</v>
      </c>
      <c r="K41" s="21" t="n">
        <v>100</v>
      </c>
      <c r="L41" s="21" t="n">
        <v>100</v>
      </c>
      <c r="M41" s="21" t="n">
        <v>100</v>
      </c>
      <c r="N41" s="21" t="n">
        <v>100</v>
      </c>
      <c r="O41" s="21" t="n">
        <v>0</v>
      </c>
      <c r="P41" s="21" t="n">
        <v>0.7</v>
      </c>
      <c r="Q41" s="21" t="n">
        <v>1</v>
      </c>
      <c r="R41" s="21" t="n">
        <v>1</v>
      </c>
      <c r="S41" s="21" t="n">
        <v>1</v>
      </c>
      <c r="T41" s="21" t="n">
        <v>1</v>
      </c>
      <c r="U41" s="21" t="n">
        <v>1</v>
      </c>
      <c r="V41" s="21" t="n">
        <v>1</v>
      </c>
    </row>
    <row r="42">
      <c r="A42" s="21" t="inlineStr">
        <is>
          <t>community_dynamics_fish_species_richness|Non-anadromous</t>
        </is>
      </c>
      <c r="B42" s="21" t="inlineStr">
        <is>
          <t>community-dynamics-fish-species-richness</t>
        </is>
      </c>
      <c r="C42" s="21" t="inlineStr">
        <is>
          <t>Fish Species Richness</t>
        </is>
      </c>
      <c r="D42" s="21" t="inlineStr">
        <is>
          <t>Non-anadromous</t>
        </is>
      </c>
      <c r="E42" s="21" t="n">
        <v>3</v>
      </c>
      <c r="F42" s="21" t="inlineStr"/>
      <c r="G42" s="21" t="n">
        <v>0</v>
      </c>
      <c r="H42" s="21" t="n">
        <v>60</v>
      </c>
      <c r="I42" s="21" t="n">
        <v>100</v>
      </c>
      <c r="J42" s="21" t="n">
        <v>100</v>
      </c>
      <c r="K42" s="21" t="n">
        <v>100</v>
      </c>
      <c r="L42" s="21" t="n">
        <v>100</v>
      </c>
      <c r="M42" s="21" t="n">
        <v>100</v>
      </c>
      <c r="N42" s="21" t="n">
        <v>100</v>
      </c>
      <c r="O42" s="21" t="n">
        <v>0</v>
      </c>
      <c r="P42" s="21" t="n">
        <v>0.7</v>
      </c>
      <c r="Q42" s="21" t="n">
        <v>1</v>
      </c>
      <c r="R42" s="21" t="n">
        <v>1</v>
      </c>
      <c r="S42" s="21" t="n">
        <v>1</v>
      </c>
      <c r="T42" s="21" t="n">
        <v>1</v>
      </c>
      <c r="U42" s="21" t="n">
        <v>1</v>
      </c>
      <c r="V42" s="21" t="n">
        <v>1</v>
      </c>
    </row>
    <row r="43">
      <c r="A43" s="21" t="inlineStr">
        <is>
          <t>community_dynamics_relative_abundance_and_species_biomass_metrics|</t>
        </is>
      </c>
      <c r="B43" s="21" t="inlineStr">
        <is>
          <t>community-dynamics-relative-abundance-and-species-biomass-metrics</t>
        </is>
      </c>
      <c r="C43" s="21" t="inlineStr">
        <is>
          <t>Relative Abundance and Species Biomass metrics</t>
        </is>
      </c>
      <c r="D43" s="21" t="inlineStr"/>
      <c r="E43" s="21" t="n">
        <v>2</v>
      </c>
      <c r="F43" s="21" t="inlineStr"/>
      <c r="G43" s="21" t="n">
        <v>0</v>
      </c>
      <c r="H43" s="21" t="n">
        <v>0.9</v>
      </c>
      <c r="I43" s="21" t="n">
        <v>0.9</v>
      </c>
      <c r="J43" s="21" t="n">
        <v>0.9</v>
      </c>
      <c r="K43" s="21" t="n">
        <v>0.9</v>
      </c>
      <c r="L43" s="21" t="n">
        <v>0.9</v>
      </c>
      <c r="M43" s="21" t="n">
        <v>0.9</v>
      </c>
      <c r="N43" s="21" t="n">
        <v>0.9</v>
      </c>
      <c r="O43" s="21" t="n">
        <v>0</v>
      </c>
      <c r="P43" s="21" t="n">
        <v>1</v>
      </c>
      <c r="Q43" s="21" t="n">
        <v>1</v>
      </c>
      <c r="R43" s="21" t="n">
        <v>1</v>
      </c>
      <c r="S43" s="21" t="n">
        <v>1</v>
      </c>
      <c r="T43" s="21" t="n">
        <v>1</v>
      </c>
      <c r="U43" s="21" t="n">
        <v>1</v>
      </c>
      <c r="V43" s="21" t="n">
        <v>1</v>
      </c>
    </row>
    <row r="46">
      <c r="A46" s="72" t="inlineStr">
        <is>
          <t>Curve sets by metric</t>
        </is>
      </c>
    </row>
    <row r="47">
      <c r="A47" s="21" t="inlineStr">
        <is>
          <t>C Streams</t>
        </is>
      </c>
      <c r="B47" s="5" t="inlineStr">
        <is>
          <t>Entrenchment Ratio (ER)</t>
        </is>
      </c>
    </row>
    <row r="48">
      <c r="A48" s="21" t="inlineStr">
        <is>
          <t>E Streams</t>
        </is>
      </c>
      <c r="B48" s="5" t="inlineStr">
        <is>
          <t>Entrenchment Ratio (ER)</t>
        </is>
      </c>
    </row>
    <row r="49">
      <c r="A49" s="21" t="inlineStr">
        <is>
          <t>B Stream Types</t>
        </is>
      </c>
      <c r="B49" s="5" t="inlineStr">
        <is>
          <t>Entrenchment Ratio (ER)</t>
        </is>
      </c>
    </row>
    <row r="50">
      <c r="A50" s="21" t="inlineStr">
        <is>
          <t>Gravel Bed</t>
        </is>
      </c>
      <c r="B50" s="5" t="inlineStr">
        <is>
          <t>Percent Fines &lt; 2mm</t>
        </is>
      </c>
    </row>
    <row r="51">
      <c r="A51" s="21" t="inlineStr">
        <is>
          <t>Cobble, Boulders, Bedrock</t>
        </is>
      </c>
      <c r="B51" s="5" t="inlineStr">
        <is>
          <t>Percent Fines &lt; 2mm</t>
        </is>
      </c>
    </row>
    <row r="52">
      <c r="A52" s="21" t="inlineStr">
        <is>
          <t>Unconfined Alluvial Valleys</t>
        </is>
      </c>
      <c r="B52" s="5" t="inlineStr">
        <is>
          <t>Riparian Extent</t>
        </is>
      </c>
    </row>
    <row r="53">
      <c r="A53" s="21" t="inlineStr">
        <is>
          <t>Confined Alluvial or Colluvial/V-Shaped Valleys</t>
        </is>
      </c>
      <c r="B53" s="5" t="inlineStr">
        <is>
          <t>Riparian Extent</t>
        </is>
      </c>
    </row>
    <row r="54">
      <c r="A54" s="21" t="inlineStr">
        <is>
          <t>Alaska &amp; Brooks Range</t>
        </is>
      </c>
      <c r="B54" s="5" t="inlineStr">
        <is>
          <t>Vegetative Complexity</t>
        </is>
      </c>
    </row>
    <row r="55">
      <c r="A55" s="21" t="inlineStr">
        <is>
          <t>Interior Highlands</t>
        </is>
      </c>
      <c r="B55" s="5" t="inlineStr">
        <is>
          <t>Vegetative Complexity</t>
        </is>
      </c>
    </row>
    <row r="56">
      <c r="A56" s="21" t="inlineStr">
        <is>
          <t>Interior Bottomlands</t>
        </is>
      </c>
      <c r="B56" s="5" t="inlineStr">
        <is>
          <t>Vegetative Complexity</t>
        </is>
      </c>
    </row>
    <row r="57">
      <c r="A57" s="21" t="inlineStr">
        <is>
          <t>Interior Forested Lowlands/Uplands</t>
        </is>
      </c>
      <c r="B57" s="5" t="inlineStr">
        <is>
          <t>Vegetative Complexity</t>
        </is>
      </c>
    </row>
    <row r="58">
      <c r="A58" s="21" t="inlineStr">
        <is>
          <t>Alaska Range</t>
        </is>
      </c>
      <c r="B58" s="5" t="inlineStr">
        <is>
          <t>LWD Frequency</t>
        </is>
      </c>
    </row>
    <row r="59">
      <c r="A59" s="21" t="inlineStr">
        <is>
          <t>Brooks Range</t>
        </is>
      </c>
      <c r="B59" s="5" t="inlineStr">
        <is>
          <t>LWD Frequency</t>
        </is>
      </c>
    </row>
    <row r="60">
      <c r="A60" s="21" t="inlineStr">
        <is>
          <t>Interior Bottomlands</t>
        </is>
      </c>
      <c r="B60" s="5" t="inlineStr">
        <is>
          <t>LWD Frequency</t>
        </is>
      </c>
    </row>
    <row r="61">
      <c r="A61" s="21" t="inlineStr">
        <is>
          <t>Interior Forested Lowlands/Uplands and Highlands</t>
        </is>
      </c>
      <c r="B61" s="5" t="inlineStr">
        <is>
          <t>LWD Frequency</t>
        </is>
      </c>
    </row>
    <row r="62">
      <c r="A62" s="21" t="inlineStr">
        <is>
          <t>Slopes &lt; 3%</t>
        </is>
      </c>
      <c r="B62" s="5" t="inlineStr">
        <is>
          <t>Percent Riffle</t>
        </is>
      </c>
    </row>
    <row r="63">
      <c r="A63" s="21" t="inlineStr">
        <is>
          <t>Slopes &lt; 3% / Overall</t>
        </is>
      </c>
      <c r="B63" s="5" t="inlineStr">
        <is>
          <t>Percent Riffle</t>
        </is>
      </c>
    </row>
    <row r="64">
      <c r="A64" s="21" t="inlineStr">
        <is>
          <t>B &amp; Ba Streams</t>
        </is>
      </c>
      <c r="B64" s="5" t="inlineStr">
        <is>
          <t>Pool Depth Ratio</t>
        </is>
      </c>
    </row>
    <row r="65">
      <c r="A65" s="21" t="inlineStr">
        <is>
          <t>All other Streams</t>
        </is>
      </c>
      <c r="B65" s="5" t="inlineStr">
        <is>
          <t>Pool Depth Ratio</t>
        </is>
      </c>
    </row>
    <row r="66">
      <c r="A66" s="21" t="inlineStr">
        <is>
          <t>B and Ba Stream Types</t>
        </is>
      </c>
      <c r="B66" s="5" t="inlineStr">
        <is>
          <t>Pool Spacing Ratio</t>
        </is>
      </c>
    </row>
    <row r="67">
      <c r="A67" s="21" t="inlineStr">
        <is>
          <t>Bc Stream Types</t>
        </is>
      </c>
      <c r="B67" s="5" t="inlineStr">
        <is>
          <t>Pool Spacing Ratio</t>
        </is>
      </c>
    </row>
    <row r="68">
      <c r="A68" s="21" t="inlineStr">
        <is>
          <t>C Streams</t>
        </is>
      </c>
      <c r="B68" s="5" t="inlineStr">
        <is>
          <t>Pool Spacing Ratio</t>
        </is>
      </c>
    </row>
    <row r="69">
      <c r="A69" s="21" t="inlineStr">
        <is>
          <t>E Streams</t>
        </is>
      </c>
      <c r="B69" s="5" t="inlineStr">
        <is>
          <t>Pool Spacing Ratio</t>
        </is>
      </c>
    </row>
    <row r="70">
      <c r="A70" s="21" t="inlineStr">
        <is>
          <t>Anadromous</t>
        </is>
      </c>
      <c r="B70" s="5" t="inlineStr">
        <is>
          <t>Fish Species Richness</t>
        </is>
      </c>
    </row>
    <row r="71">
      <c r="A71" s="21" t="inlineStr">
        <is>
          <t>Non-anadromous</t>
        </is>
      </c>
      <c r="B71" s="5" t="inlineStr">
        <is>
          <t>Fish Species Richness</t>
        </is>
      </c>
    </row>
    <row r="74">
      <c r="A74" s="72" t="inlineStr">
        <is>
          <t>Condition classes</t>
        </is>
      </c>
    </row>
    <row r="75">
      <c r="A75" t="inlineStr">
        <is>
          <t>Metric index: at or below 0.39 Non-Functioning, at or below 0.69 Functioning At-Risk, above Functioning.</t>
        </is>
      </c>
    </row>
    <row r="76">
      <c r="A76" t="inlineStr">
        <is>
          <t>Function score (0 to 15): at or below 5 Non-Functioning, at or below 10 Functioning At-Risk, above Functioning.</t>
        </is>
      </c>
    </row>
    <row r="77">
      <c r="A77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9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21" t="inlineStr">
        <is>
          <t>Assessment id</t>
        </is>
      </c>
      <c r="B4" s="21" t="inlineStr">
        <is>
          <t>ak-sqt-adapted</t>
        </is>
      </c>
    </row>
    <row r="5">
      <c r="A5" s="21" t="inlineStr">
        <is>
          <t>Assessment name</t>
        </is>
      </c>
      <c r="B5" s="21" t="inlineStr">
        <is>
          <t>AK SQT Adapted</t>
        </is>
      </c>
    </row>
    <row r="6">
      <c r="A6" s="21" t="inlineStr">
        <is>
          <t>Version</t>
        </is>
      </c>
      <c r="B6" s="21" t="n">
        <v>2</v>
      </c>
    </row>
    <row r="7">
      <c r="A7" s="21" t="inlineStr">
        <is>
          <t>Lifecycle status</t>
        </is>
      </c>
      <c r="B7" s="21" t="inlineStr">
        <is>
          <t>Preliminary</t>
        </is>
      </c>
    </row>
    <row r="8">
      <c r="A8" s="21" t="inlineStr">
        <is>
          <t>Content digest</t>
        </is>
      </c>
      <c r="B8" s="21" t="inlineStr">
        <is>
          <t>sha256:e9749dd548213591c0ac0de60f52ccd49aac5dc8ddff5ef302ba78cdff9564bd</t>
        </is>
      </c>
    </row>
    <row r="9">
      <c r="A9" s="21" t="inlineStr">
        <is>
          <t>Region</t>
        </is>
      </c>
      <c r="B9" s="21" t="inlineStr">
        <is>
          <t>state AK Alaska</t>
        </is>
      </c>
    </row>
    <row r="10">
      <c r="A10" s="21" t="inlineStr">
        <is>
          <t>Source</t>
        </is>
      </c>
      <c r="B10" s="21" t="inlineStr">
        <is>
          <t>Alaska SQT</t>
        </is>
      </c>
    </row>
    <row r="11">
      <c r="A11" s="21" t="inlineStr">
        <is>
          <t>Reference method</t>
        </is>
      </c>
      <c r="B11" s="21" t="inlineStr"/>
    </row>
    <row r="12">
      <c r="A12" s="21" t="inlineStr">
        <is>
          <t>Reference screen</t>
        </is>
      </c>
      <c r="B12" s="21" t="inlineStr"/>
    </row>
    <row r="13">
      <c r="A13" s="21" t="inlineStr">
        <is>
          <t>Scoring method</t>
        </is>
      </c>
      <c r="B13" s="21" t="inlineStr"/>
    </row>
    <row r="14">
      <c r="A14" s="21" t="inlineStr">
        <is>
          <t>Functions scored</t>
        </is>
      </c>
      <c r="B14" s="21" t="n">
        <v>13</v>
      </c>
    </row>
    <row r="15">
      <c r="A15" s="21" t="inlineStr">
        <is>
          <t>Metrics</t>
        </is>
      </c>
      <c r="B15" s="21" t="n">
        <v>23</v>
      </c>
    </row>
    <row r="16">
      <c r="A16" s="21" t="inlineStr">
        <is>
          <t>Function coverage</t>
        </is>
      </c>
      <c r="B16" s="21" t="inlineStr">
        <is>
          <t>This assessment covers 13 of 20 STAF functions (7 documented exclusions).</t>
        </is>
      </c>
    </row>
    <row r="17">
      <c r="A17" s="21" t="inlineStr">
        <is>
          <t>Generator</t>
        </is>
      </c>
      <c r="B17" s="21" t="inlineStr">
        <is>
          <t>streamcurves.deep_calculator</t>
        </is>
      </c>
    </row>
    <row r="18">
      <c r="A18" s="21" t="inlineStr">
        <is>
          <t>Generator version</t>
        </is>
      </c>
      <c r="B18" s="21" t="inlineStr">
        <is>
          <t>1.1</t>
        </is>
      </c>
    </row>
    <row r="19">
      <c r="A19" s="21" t="inlineStr">
        <is>
          <t>Formula vocabulary</t>
        </is>
      </c>
      <c r="B19" s="21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0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2" t="inlineStr">
        <is>
          <t>Function</t>
        </is>
      </c>
      <c r="B2" s="72" t="inlineStr">
        <is>
          <t>Score</t>
        </is>
      </c>
      <c r="C2" s="72" t="inlineStr">
        <is>
          <t>Non-Functioning (0-5)</t>
        </is>
      </c>
      <c r="D2" s="72" t="inlineStr">
        <is>
          <t>Functioning At-Risk (6-10)</t>
        </is>
      </c>
      <c r="E2" s="72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3">
        <f>IF(ISNUMBER('ChartData'!$B$3),IF('ChartData'!$B$3&lt;=5,'ChartData'!$B$3,NA()),NA())</f>
        <v/>
      </c>
      <c r="D3" s="73">
        <f>IF(ISNUMBER('ChartData'!$B$3),IF(AND('ChartData'!$B$3&gt;5,'ChartData'!$B$3&lt;=10),'ChartData'!$B$3,NA()),NA())</f>
        <v/>
      </c>
      <c r="E3" s="73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3">
        <f>IF(ISNUMBER('ChartData'!$B$4),IF('ChartData'!$B$4&lt;=5,'ChartData'!$B$4,NA()),NA())</f>
        <v/>
      </c>
      <c r="D4" s="73">
        <f>IF(ISNUMBER('ChartData'!$B$4),IF(AND('ChartData'!$B$4&gt;5,'ChartData'!$B$4&lt;=10),'ChartData'!$B$4,NA()),NA())</f>
        <v/>
      </c>
      <c r="E4" s="73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3">
        <f>IF(ISNUMBER('ChartData'!$B$5),IF('ChartData'!$B$5&lt;=5,'ChartData'!$B$5,NA()),NA())</f>
        <v/>
      </c>
      <c r="D5" s="73">
        <f>IF(ISNUMBER('ChartData'!$B$5),IF(AND('ChartData'!$B$5&gt;5,'ChartData'!$B$5&lt;=10),'ChartData'!$B$5,NA()),NA())</f>
        <v/>
      </c>
      <c r="E5" s="73">
        <f>IF(ISNUMBER('ChartData'!$B$5),IF('ChartData'!$B$5&gt;10,'ChartData'!$B$5,NA()),NA())</f>
        <v/>
      </c>
    </row>
    <row r="6">
      <c r="A6" t="inlineStr">
        <is>
          <t>Channel evolution</t>
        </is>
      </c>
      <c r="B6">
        <f>IF('Results'!$B$7="","",'Results'!$B$7)</f>
        <v/>
      </c>
      <c r="C6" s="73">
        <f>IF(ISNUMBER('ChartData'!$B$6),IF('ChartData'!$B$6&lt;=5,'ChartData'!$B$6,NA()),NA())</f>
        <v/>
      </c>
      <c r="D6" s="73">
        <f>IF(ISNUMBER('ChartData'!$B$6),IF(AND('ChartData'!$B$6&gt;5,'ChartData'!$B$6&lt;=10),'ChartData'!$B$6,NA()),NA())</f>
        <v/>
      </c>
      <c r="E6" s="73">
        <f>IF(ISNUMBER('ChartData'!$B$6),IF('ChartData'!$B$6&gt;10,'ChartData'!$B$6,NA()),NA())</f>
        <v/>
      </c>
    </row>
    <row r="7">
      <c r="A7" t="inlineStr">
        <is>
          <t>Channel and floodplain dynamics</t>
        </is>
      </c>
      <c r="B7">
        <f>IF('Results'!$B$8="","",'Results'!$B$8)</f>
        <v/>
      </c>
      <c r="C7" s="73">
        <f>IF(ISNUMBER('ChartData'!$B$7),IF('ChartData'!$B$7&lt;=5,'ChartData'!$B$7,NA()),NA())</f>
        <v/>
      </c>
      <c r="D7" s="73">
        <f>IF(ISNUMBER('ChartData'!$B$7),IF(AND('ChartData'!$B$7&gt;5,'ChartData'!$B$7&lt;=10),'ChartData'!$B$7,NA()),NA())</f>
        <v/>
      </c>
      <c r="E7" s="73">
        <f>IF(ISNUMBER('ChartData'!$B$7),IF('ChartData'!$B$7&gt;10,'ChartData'!$B$7,NA()),NA())</f>
        <v/>
      </c>
    </row>
    <row r="8">
      <c r="A8" t="inlineStr">
        <is>
          <t>Bed composition and large wood</t>
        </is>
      </c>
      <c r="B8">
        <f>IF('Results'!$B$9="","",'Results'!$B$9)</f>
        <v/>
      </c>
      <c r="C8" s="73">
        <f>IF(ISNUMBER('ChartData'!$B$8),IF('ChartData'!$B$8&lt;=5,'ChartData'!$B$8,NA()),NA())</f>
        <v/>
      </c>
      <c r="D8" s="73">
        <f>IF(ISNUMBER('ChartData'!$B$8),IF(AND('ChartData'!$B$8&gt;5,'ChartData'!$B$8&lt;=10),'ChartData'!$B$8,NA()),NA())</f>
        <v/>
      </c>
      <c r="E8" s="73">
        <f>IF(ISNUMBER('ChartData'!$B$8),IF('ChartData'!$B$8&gt;10,'ChartData'!$B$8,NA()),NA())</f>
        <v/>
      </c>
    </row>
    <row r="9">
      <c r="A9" t="inlineStr">
        <is>
          <t>Light &amp; thermal regime</t>
        </is>
      </c>
      <c r="B9">
        <f>IF('Results'!$B$10="","",'Results'!$B$10)</f>
        <v/>
      </c>
      <c r="C9" s="73">
        <f>IF(ISNUMBER('ChartData'!$B$9),IF('ChartData'!$B$9&lt;=5,'ChartData'!$B$9,NA()),NA())</f>
        <v/>
      </c>
      <c r="D9" s="73">
        <f>IF(ISNUMBER('ChartData'!$B$9),IF(AND('ChartData'!$B$9&gt;5,'ChartData'!$B$9&lt;=10),'ChartData'!$B$9,NA()),NA())</f>
        <v/>
      </c>
      <c r="E9" s="73">
        <f>IF(ISNUMBER('ChartData'!$B$9),IF('ChartData'!$B$9&gt;10,'ChartData'!$B$9,NA()),NA())</f>
        <v/>
      </c>
    </row>
    <row r="10">
      <c r="A10" t="inlineStr">
        <is>
          <t>Carbon processing</t>
        </is>
      </c>
      <c r="B10">
        <f>IF('Results'!$B$11="","",'Results'!$B$11)</f>
        <v/>
      </c>
      <c r="C10" s="73">
        <f>IF(ISNUMBER('ChartData'!$B$10),IF('ChartData'!$B$10&lt;=5,'ChartData'!$B$10,NA()),NA())</f>
        <v/>
      </c>
      <c r="D10" s="73">
        <f>IF(ISNUMBER('ChartData'!$B$10),IF(AND('ChartData'!$B$10&gt;5,'ChartData'!$B$10&lt;=10),'ChartData'!$B$10,NA()),NA())</f>
        <v/>
      </c>
      <c r="E10" s="73">
        <f>IF(ISNUMBER('ChartData'!$B$10),IF('ChartData'!$B$10&gt;10,'ChartData'!$B$10,NA()),NA())</f>
        <v/>
      </c>
    </row>
    <row r="11">
      <c r="A11" t="inlineStr">
        <is>
          <t>Nutrient cycling</t>
        </is>
      </c>
      <c r="B11">
        <f>IF('Results'!$B$12="","",'Results'!$B$12)</f>
        <v/>
      </c>
      <c r="C11" s="73">
        <f>IF(ISNUMBER('ChartData'!$B$11),IF('ChartData'!$B$11&lt;=5,'ChartData'!$B$11,NA()),NA())</f>
        <v/>
      </c>
      <c r="D11" s="73">
        <f>IF(ISNUMBER('ChartData'!$B$11),IF(AND('ChartData'!$B$11&gt;5,'ChartData'!$B$11&lt;=10),'ChartData'!$B$11,NA()),NA())</f>
        <v/>
      </c>
      <c r="E11" s="73">
        <f>IF(ISNUMBER('ChartData'!$B$11),IF('ChartData'!$B$11&gt;10,'ChartData'!$B$11,NA()),NA())</f>
        <v/>
      </c>
    </row>
    <row r="12">
      <c r="A12" t="inlineStr">
        <is>
          <t>Water &amp; soil quality</t>
        </is>
      </c>
      <c r="B12">
        <f>IF('Results'!$B$13="","",'Results'!$B$13)</f>
        <v/>
      </c>
      <c r="C12" s="73">
        <f>IF(ISNUMBER('ChartData'!$B$12),IF('ChartData'!$B$12&lt;=5,'ChartData'!$B$12,NA()),NA())</f>
        <v/>
      </c>
      <c r="D12" s="73">
        <f>IF(ISNUMBER('ChartData'!$B$12),IF(AND('ChartData'!$B$12&gt;5,'ChartData'!$B$12&lt;=10),'ChartData'!$B$12,NA()),NA())</f>
        <v/>
      </c>
      <c r="E12" s="73">
        <f>IF(ISNUMBER('ChartData'!$B$12),IF('ChartData'!$B$12&gt;10,'ChartData'!$B$12,NA()),NA())</f>
        <v/>
      </c>
    </row>
    <row r="13">
      <c r="A13" t="inlineStr">
        <is>
          <t>Habitat provision</t>
        </is>
      </c>
      <c r="B13">
        <f>IF('Results'!$B$14="","",'Results'!$B$14)</f>
        <v/>
      </c>
      <c r="C13" s="73">
        <f>IF(ISNUMBER('ChartData'!$B$13),IF('ChartData'!$B$13&lt;=5,'ChartData'!$B$13,NA()),NA())</f>
        <v/>
      </c>
      <c r="D13" s="73">
        <f>IF(ISNUMBER('ChartData'!$B$13),IF(AND('ChartData'!$B$13&gt;5,'ChartData'!$B$13&lt;=10),'ChartData'!$B$13,NA()),NA())</f>
        <v/>
      </c>
      <c r="E13" s="73">
        <f>IF(ISNUMBER('ChartData'!$B$13),IF('ChartData'!$B$13&gt;10,'ChartData'!$B$13,NA()),NA())</f>
        <v/>
      </c>
    </row>
    <row r="14">
      <c r="A14" t="inlineStr">
        <is>
          <t>Population support</t>
        </is>
      </c>
      <c r="B14">
        <f>IF('Results'!$B$15="","",'Results'!$B$15)</f>
        <v/>
      </c>
      <c r="C14" s="73">
        <f>IF(ISNUMBER('ChartData'!$B$14),IF('ChartData'!$B$14&lt;=5,'ChartData'!$B$14,NA()),NA())</f>
        <v/>
      </c>
      <c r="D14" s="73">
        <f>IF(ISNUMBER('ChartData'!$B$14),IF(AND('ChartData'!$B$14&gt;5,'ChartData'!$B$14&lt;=10),'ChartData'!$B$14,NA()),NA())</f>
        <v/>
      </c>
      <c r="E14" s="73">
        <f>IF(ISNUMBER('ChartData'!$B$14),IF('ChartData'!$B$14&gt;10,'ChartData'!$B$14,NA()),NA())</f>
        <v/>
      </c>
    </row>
    <row r="15">
      <c r="A15" t="inlineStr">
        <is>
          <t>Community dynamics</t>
        </is>
      </c>
      <c r="B15">
        <f>IF('Results'!$B$16="","",'Results'!$B$16)</f>
        <v/>
      </c>
      <c r="C15" s="73">
        <f>IF(ISNUMBER('ChartData'!$B$15),IF('ChartData'!$B$15&lt;=5,'ChartData'!$B$15,NA()),NA())</f>
        <v/>
      </c>
      <c r="D15" s="73">
        <f>IF(ISNUMBER('ChartData'!$B$15),IF(AND('ChartData'!$B$15&gt;5,'ChartData'!$B$15&lt;=10),'ChartData'!$B$15,NA()),NA())</f>
        <v/>
      </c>
      <c r="E15" s="73">
        <f>IF(ISNUMBER('ChartData'!$B$15),IF('ChartData'!$B$15&gt;10,'ChartData'!$B$15,NA()),NA())</f>
        <v/>
      </c>
    </row>
    <row r="17">
      <c r="A17" s="72" t="inlineStr">
        <is>
          <t>Outcome</t>
        </is>
      </c>
      <c r="B17" s="72" t="inlineStr">
        <is>
          <t>Score</t>
        </is>
      </c>
      <c r="C17" s="72" t="inlineStr">
        <is>
          <t>Non-Functioning (0.00-0.39)</t>
        </is>
      </c>
      <c r="D17" s="72" t="inlineStr">
        <is>
          <t>Functioning At-Risk (0.40-0.69)</t>
        </is>
      </c>
      <c r="E17" s="72" t="inlineStr">
        <is>
          <t>Functioning (0.70-1.00)</t>
        </is>
      </c>
    </row>
    <row r="18">
      <c r="A18" t="inlineStr">
        <is>
          <t>Physical</t>
        </is>
      </c>
      <c r="B18">
        <f>'Results'!$B$19</f>
        <v/>
      </c>
      <c r="C18" s="74">
        <f>IF('ChartData'!$B$18&lt;=0.39,'ChartData'!$B$18,NA())</f>
        <v/>
      </c>
      <c r="D18" s="74">
        <f>IF(AND('ChartData'!$B$18&gt;0.39,'ChartData'!$B$18&lt;=0.69),'ChartData'!$B$18,NA())</f>
        <v/>
      </c>
      <c r="E18" s="74">
        <f>IF('ChartData'!$B$18&gt;0.69,'ChartData'!$B$18,NA())</f>
        <v/>
      </c>
    </row>
    <row r="19">
      <c r="A19" t="inlineStr">
        <is>
          <t>Chemical</t>
        </is>
      </c>
      <c r="B19">
        <f>'Results'!$B$20</f>
        <v/>
      </c>
      <c r="C19" s="74">
        <f>IF('ChartData'!$B$19&lt;=0.39,'ChartData'!$B$19,NA())</f>
        <v/>
      </c>
      <c r="D19" s="74">
        <f>IF(AND('ChartData'!$B$19&gt;0.39,'ChartData'!$B$19&lt;=0.69),'ChartData'!$B$19,NA())</f>
        <v/>
      </c>
      <c r="E19" s="74">
        <f>IF('ChartData'!$B$19&gt;0.69,'ChartData'!$B$19,NA())</f>
        <v/>
      </c>
    </row>
    <row r="20">
      <c r="A20" t="inlineStr">
        <is>
          <t>Biological</t>
        </is>
      </c>
      <c r="B20">
        <f>'Results'!$B$21</f>
        <v/>
      </c>
      <c r="C20" s="74">
        <f>IF('ChartData'!$B$20&lt;=0.39,'ChartData'!$B$20,NA())</f>
        <v/>
      </c>
      <c r="D20" s="74">
        <f>IF(AND('ChartData'!$B$20&gt;0.39,'ChartData'!$B$20&lt;=0.69),'ChartData'!$B$20,NA())</f>
        <v/>
      </c>
      <c r="E20" s="74">
        <f>IF('ChartData'!$B$20&gt;0.69,'ChartData'!$B$20,NA())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</dc:subject>
  <dcterms:created xmlns:dcterms="http://purl.org/dc/terms/" xmlns:xsi="http://www.w3.org/2001/XMLSchema-instance" xsi:type="dcterms:W3CDTF">2026-09-24T15:33:22Z</dcterms:created>
  <dcterms:modified xmlns:dcterms="http://purl.org/dc/terms/" xmlns:xsi="http://www.w3.org/2001/XMLSchema-instance" xsi:type="dcterms:W3CDTF">2026-09-24T15:33:22Z</dcterms:modified>
  <cp:lastModifiedBy>DEEP</cp:lastModifiedBy>
  <cp:contentStatus>Preliminary</cp:contentStatus>
</cp:coreProperties>
</file>