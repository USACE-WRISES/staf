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'Reference'!$A$5:$A$41</definedName>
    <definedName name="curve_x1">'Reference'!$G$5:$G$41</definedName>
    <definedName name="curve_y1">'Reference'!$O$5:$O$41</definedName>
    <definedName name="curve_x2">'Reference'!$H$5:$H$41</definedName>
    <definedName name="curve_y2">'Reference'!$P$5:$P$41</definedName>
    <definedName name="curve_x3">'Reference'!$I$5:$I$41</definedName>
    <definedName name="curve_y3">'Reference'!$Q$5:$Q$41</definedName>
    <definedName name="curve_x4">'Reference'!$J$5:$J$41</definedName>
    <definedName name="curve_y4">'Reference'!$R$5:$R$41</definedName>
    <definedName name="curve_x5">'Reference'!$K$5:$K$41</definedName>
    <definedName name="curve_y5">'Reference'!$S$5:$S$41</definedName>
    <definedName name="curve_x6">'Reference'!$L$5:$L$41</definedName>
    <definedName name="curve_y6">'Reference'!$T$5:$T$41</definedName>
    <definedName name="curve_x7">'Reference'!$M$5:$M$41</definedName>
    <definedName name="curve_y7">'Reference'!$U$5:$U$41</definedName>
    <definedName name="curve_x8">'Reference'!$N$5:$N$41</definedName>
    <definedName name="curve_y8">'Reference'!$V$5:$V$41</definedName>
    <definedName name="strata_spring_phab_xbkf_h">'Reference'!$A$45:$A$47</definedName>
    <definedName name="strata_spring_phab_lrbs_use">'Reference'!$A$48:$A$50</definedName>
    <definedName name="strata_spring_phab_pct_fast">'Reference'!$A$51:$A$53</definedName>
    <definedName name="strata_spring_phab_xfc_nat">'Reference'!$A$54:$A$56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xbkf_h">'Metrics'!$V$12</definedName>
    <definedName name="idx_spring_phab_bfwd_rat">'Metrics'!$V$13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xbkf_h">'DEEP Score'!$E$21</definedName>
    <definedName name="st_spring_phab_xbkf_h">'DEEP Score'!$F$21</definedName>
    <definedName name="in_spring_phab_bfwd_rat">'DEEP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Great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16 borrow comparable least-disturbed stations from a wider region, stating the region and the transfer risk. 6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Great Plains reference assessment</t>
        </is>
      </c>
    </row>
    <row r="3">
      <c r="A3" s="5" t="inlineStr">
        <is>
          <t>Version 2 | Draft | USEPA NRSA 2013-24 (L3 ecoregion 27),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height above channel</t>
        </is>
      </c>
      <c r="D21" s="14" t="inlineStr">
        <is>
          <t>m</t>
        </is>
      </c>
      <c r="E21" s="15" t="n"/>
      <c r="F21" s="43"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width:depth ratio</t>
        </is>
      </c>
      <c r="D22" s="23" t="inlineStr"/>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height above channel</t>
        </is>
      </c>
      <c r="D25" s="14" t="inlineStr">
        <is>
          <t>m</t>
        </is>
      </c>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width:depth ratio</t>
        </is>
      </c>
      <c r="D26" s="23" t="inlineStr"/>
      <c r="E26" s="45">
        <f>IF('DEEP Score'!$E$22="","",'DEEP Score'!$E$22)</f>
        <v/>
      </c>
      <c r="F26" s="46" t="inlineStr"/>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43"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49" t="inlineStr">
        <is>
          <t>Biology</t>
        </is>
      </c>
      <c r="B40" s="12" t="inlineStr">
        <is>
          <t>Habitat provision</t>
        </is>
      </c>
      <c r="C40" s="13" t="inlineStr">
        <is>
          <t>Fast-water / riffle habitat</t>
        </is>
      </c>
      <c r="D40" s="14" t="inlineStr">
        <is>
          <t>%</t>
        </is>
      </c>
      <c r="E40" s="15" t="n"/>
      <c r="F40" s="43"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50" t="inlineStr">
        <is>
          <t>All streams (pooled)</t>
        </is>
      </c>
      <c r="G41" s="26">
        <f>IF('Metrics'!$V$28="","",'Metrics'!$V$28)</f>
        <v/>
      </c>
      <c r="H41" s="21" t="n"/>
      <c r="I41" s="27" t="n"/>
    </row>
    <row r="42">
      <c r="A42" s="49" t="inlineStr">
        <is>
          <t>Biology</t>
        </is>
      </c>
      <c r="B42" s="12" t="inlineStr">
        <is>
          <t>Population support</t>
        </is>
      </c>
      <c r="C42" s="13" t="inlineStr">
        <is>
          <t>Benthic total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IF('Metrics'!$V$30="","",'Metrics'!$V$30)</f>
        <v/>
      </c>
      <c r="H43" s="21" t="n"/>
      <c r="I43" s="27" t="n"/>
    </row>
    <row r="44">
      <c r="A44" s="49"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pH</t>
        </is>
      </c>
      <c r="C58" s="5" t="inlineStr">
        <is>
          <t>Water and soil quality</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1"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Score'!$E$21="","",'DEEP Score'!$E$21)</f>
        <v/>
      </c>
      <c r="C12" s="70">
        <f>IF('DEEP Score'!$F$21="","All streams (pooled)",'DEEP Score'!$F$21)</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width:depth ratio</t>
        </is>
      </c>
      <c r="B13" s="70">
        <f>IF('DEEP Score'!$E$22="","",'DEEP Score'!$E$22)</f>
        <v/>
      </c>
      <c r="C13" s="70">
        <f>""</f>
        <v/>
      </c>
      <c r="D13" s="70">
        <f>"spring_phab_bfwd_rat|"&amp;'Metrics'!$C$13</f>
        <v/>
      </c>
      <c r="E13" s="70">
        <f>IFERROR(MATCH('Metrics'!$D$13,curve_key,0),MATCH("spring_phab_bfwd_rat|",curve_key,0))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Score'!$E$32="","",'DEEP Score'!$E$32)</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f>
        <v/>
      </c>
      <c r="D21" s="70">
        <f>"spring_phab_xcdenmid|"&amp;'Metrics'!$C$21</f>
        <v/>
      </c>
      <c r="E21" s="70">
        <f>IFERROR(MATCH('Metrics'!$D$21,curve_key,0),MATCH("spring_phab_xcdenmid|",curve_key,0))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Score'!$E$38="","",'DEEP Score'!$E$38)</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Score'!$E$39="","",'DEEP Score'!$E$39)</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Fast-water / riffle habitat</t>
        </is>
      </c>
      <c r="B27" s="70">
        <f>IF('DEEP Score'!$E$40="","",'DEEP Score'!$E$40)</f>
        <v/>
      </c>
      <c r="C27" s="70">
        <f>IF('DEEP Score'!$F$40="","All streams (pooled)",'DEEP Score'!$F$40)</f>
        <v/>
      </c>
      <c r="D27" s="70">
        <f>"spring_phab_pct_fast|"&amp;'Metrics'!$C$27</f>
        <v/>
      </c>
      <c r="E27" s="70">
        <f>IFERROR(MATCH('Metrics'!$D$27,curve_key,0),MATCH("spring_phab_pct_fast|All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Natural fish cover</t>
        </is>
      </c>
      <c r="B28" s="70">
        <f>IF('DEEP Score'!$E$41="","",'DEEP Score'!$E$41)</f>
        <v/>
      </c>
      <c r="C28" s="70">
        <f>IF('DEEP Score'!$F$41="","All streams (pooled)",'DEEP Score'!$F$41)</f>
        <v/>
      </c>
      <c r="D28" s="70">
        <f>"spring_phab_xfc_nat|"&amp;'Metrics'!$C$28</f>
        <v/>
      </c>
      <c r="E28" s="70">
        <f>IFERROR(MATCH('Metrics'!$D$28,curve_key,0),MATCH("spring_phab_xfc_nat|All streams (pooled)",curve_key,0))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total taxa richness</t>
        </is>
      </c>
      <c r="B29" s="70">
        <f>IF('DEEP Score'!$E$42="","",'DEEP Score'!$E$42)</f>
        <v/>
      </c>
      <c r="C29" s="70">
        <f>""</f>
        <v/>
      </c>
      <c r="D29" s="70">
        <f>"spring_bent_totlntax|"&amp;'Metrics'!$C$29</f>
        <v/>
      </c>
      <c r="E29" s="70">
        <f>IFERROR(MATCH('Metrics'!$D$29,curve_key,0),MATCH("spring_bent_totlntax|",curve_key,0))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Native fish taxa richness</t>
        </is>
      </c>
      <c r="B30" s="70">
        <f>IF('DEEP Score'!$E$43="","",'DEEP Score'!$E$43)</f>
        <v/>
      </c>
      <c r="C30" s="70">
        <f>""</f>
        <v/>
      </c>
      <c r="D30" s="70">
        <f>"spring_fish_nat_totlntax|"&amp;'Metrics'!$C$30</f>
        <v/>
      </c>
      <c r="E30" s="70">
        <f>IFERROR(MATCH('Metrics'!$D$30,curve_key,0),MATCH("spring_fish_nat_totlntax|",curve_key,0))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EPT taxa richness</t>
        </is>
      </c>
      <c r="B31" s="70">
        <f>IF('DEEP Score'!$E$44="","",'DEEP Score'!$E$44)</f>
        <v/>
      </c>
      <c r="C31" s="70">
        <f>""</f>
        <v/>
      </c>
      <c r="D31" s="70">
        <f>"spring_bent_ept_ntax|"&amp;'Metrics'!$C$31</f>
        <v/>
      </c>
      <c r="E31" s="70">
        <f>IFERROR(MATCH('Metrics'!$D$31,curve_key,0),MATCH("spring_bent_ept_ntax|",curve_key,0))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Shannon diversity (H')</t>
        </is>
      </c>
      <c r="B32" s="70">
        <f>IF('DEEP Score'!$E$45="","",'DEEP Score'!$E$45)</f>
        <v/>
      </c>
      <c r="C32" s="70">
        <f>""</f>
        <v/>
      </c>
      <c r="D32" s="70">
        <f>"spring_bent_hprime|"&amp;'Metrics'!$C$32</f>
        <v/>
      </c>
      <c r="E32" s="70">
        <f>IFERROR(MATCH('Metrics'!$D$32,curve_key,0),MATCH("spring_bent_hprime|",curve_key,0))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Mapped dams within one mile</t>
        </is>
      </c>
      <c r="B33" s="70">
        <f>IF('DEEP Score'!$E$46="","",'DEEP Score'!$E$46)</f>
        <v/>
      </c>
      <c r="C33" s="70">
        <f>""</f>
        <v/>
      </c>
      <c r="D33" s="70">
        <f>"spring_nid_dams_1mi|"&amp;'Metrics'!$C$33</f>
        <v/>
      </c>
      <c r="E33" s="70">
        <f>IFERROR(MATCH('Metrics'!$D$33,curve_key,0),MATCH("spring_nid_dams_1mi|",curve_key,0))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45 least-disturbed stations borrowed from Level II ecoregion 9.4 (South Central Semi-Arid Prairies) under the regional screen (agriculture at most 25 percent), transfer risk moderate. The build refused this source (ACC-04: The pool is not stable, since one station moves a quartile by 0.23 of the interquartile range, more than 0.20; ACC-05/06: In the recovery test the source's class calls did not agree with reference often enough). The owner accepted it with a recorded rationale.</t>
        </is>
      </c>
      <c r="G7" s="69" t="n">
        <v>0</v>
      </c>
      <c r="H7" s="69" t="n">
        <v>0.02142857142857143</v>
      </c>
      <c r="I7" s="69" t="n">
        <v>0.05</v>
      </c>
      <c r="J7" s="69" t="n">
        <v>0.55</v>
      </c>
      <c r="K7" s="69" t="n">
        <v>0.8</v>
      </c>
      <c r="L7" s="69" t="n">
        <v>0.8</v>
      </c>
      <c r="M7" s="69" t="n">
        <v>0.8</v>
      </c>
      <c r="N7" s="69" t="n">
        <v>0.8</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45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10.75002857142857</v>
      </c>
      <c r="I9" s="69" t="n">
        <v>25.0834</v>
      </c>
      <c r="J9" s="69" t="n">
        <v>61.3218</v>
      </c>
      <c r="K9" s="69" t="n">
        <v>79.441</v>
      </c>
      <c r="L9" s="69" t="n">
        <v>79.441</v>
      </c>
      <c r="M9" s="69" t="n">
        <v>79.441</v>
      </c>
      <c r="N9" s="69" t="n">
        <v>79.441</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47 least-disturbed stations borrowed from Level II ecoregion 9.4 (South Central Semi-Arid Prairies) under the regional screen (agriculture at most 25 percent), transfer risk moderate. The build refused this source (no check recorded). The owner accepted it with a recorded rationale.</t>
        </is>
      </c>
      <c r="G11" s="69" t="n">
        <v>0</v>
      </c>
      <c r="H11" s="69" t="n">
        <v>6.294452803475516</v>
      </c>
      <c r="I11" s="69" t="n">
        <v>14.68705654144287</v>
      </c>
      <c r="J11" s="69" t="n">
        <v>35.46726989746094</v>
      </c>
      <c r="K11" s="69" t="n">
        <v>45.85737657546997</v>
      </c>
      <c r="L11" s="69" t="n">
        <v>45.85737657546997</v>
      </c>
      <c r="M11" s="69" t="n">
        <v>45.85737657546997</v>
      </c>
      <c r="N11" s="69" t="n">
        <v>45.85737657546997</v>
      </c>
      <c r="O11" s="69" t="n">
        <v>0</v>
      </c>
      <c r="P11" s="69" t="n">
        <v>0.3</v>
      </c>
      <c r="Q11" s="69" t="n">
        <v>0.7</v>
      </c>
      <c r="R11" s="69" t="n">
        <v>1</v>
      </c>
      <c r="S11" s="69" t="n">
        <v>1</v>
      </c>
      <c r="T11" s="69" t="n">
        <v>1</v>
      </c>
      <c r="U11" s="69" t="n">
        <v>1</v>
      </c>
      <c r="V11" s="69" t="n">
        <v>1</v>
      </c>
    </row>
    <row r="12">
      <c r="A12" s="69" t="inlineStr">
        <is>
          <t>spring_phab_xbkf_h|All streams (pooled)</t>
        </is>
      </c>
      <c r="B12" s="69" t="inlineStr">
        <is>
          <t>spring-phab-xbkf-h</t>
        </is>
      </c>
      <c r="C12" s="69" t="inlineStr">
        <is>
          <t>Bankfull height above channel</t>
        </is>
      </c>
      <c r="D12" s="69" t="inlineStr">
        <is>
          <t>All streams (pooled)</t>
        </is>
      </c>
      <c r="E12" s="69" t="n">
        <v>7</v>
      </c>
      <c r="F12" s="69" t="inlineStr">
        <is>
          <t>93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9" t="n">
        <v>0</v>
      </c>
      <c r="H12" s="69" t="n">
        <v>0.1224090844392777</v>
      </c>
      <c r="I12" s="69" t="n">
        <v>0.3136363625526428</v>
      </c>
      <c r="J12" s="69" t="n">
        <v>0.8600000143051147</v>
      </c>
      <c r="K12" s="69" t="n">
        <v>1.05122729241848</v>
      </c>
      <c r="L12" s="69" t="n">
        <v>1.406363666057587</v>
      </c>
      <c r="M12" s="69" t="n">
        <v>1.952727317810059</v>
      </c>
      <c r="N12" s="69" t="n">
        <v>1.952727317810059</v>
      </c>
      <c r="O12" s="69" t="n">
        <v>0</v>
      </c>
      <c r="P12" s="69" t="n">
        <v>0.7</v>
      </c>
      <c r="Q12" s="69" t="n">
        <v>1</v>
      </c>
      <c r="R12" s="69" t="n">
        <v>1</v>
      </c>
      <c r="S12" s="69" t="n">
        <v>0.7</v>
      </c>
      <c r="T12" s="69" t="n">
        <v>0.3</v>
      </c>
      <c r="U12" s="69" t="n">
        <v>0</v>
      </c>
      <c r="V12" s="69" t="n">
        <v>0</v>
      </c>
    </row>
    <row r="13">
      <c r="A13" s="69" t="inlineStr">
        <is>
          <t>spring_phab_xbkf_h|Small stream (10 to 100 km2)</t>
        </is>
      </c>
      <c r="B13" s="69" t="inlineStr">
        <is>
          <t>spring-phab-xbkf-h</t>
        </is>
      </c>
      <c r="C13" s="69" t="inlineStr">
        <is>
          <t>Bankfull height above channel</t>
        </is>
      </c>
      <c r="D13" s="69" t="inlineStr">
        <is>
          <t>Small stream (10 to 100 km2)</t>
        </is>
      </c>
      <c r="E13" s="69" t="n">
        <v>7</v>
      </c>
      <c r="F13" s="69" t="inlineStr">
        <is>
          <t>93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9" t="n">
        <v>0</v>
      </c>
      <c r="H13" s="69" t="n">
        <v>0.1136590942740441</v>
      </c>
      <c r="I13" s="69" t="n">
        <v>0.2786363661289215</v>
      </c>
      <c r="J13" s="69" t="n">
        <v>0.75</v>
      </c>
      <c r="K13" s="69" t="n">
        <v>0.9149772718548774</v>
      </c>
      <c r="L13" s="69" t="n">
        <v>1.221363633871078</v>
      </c>
      <c r="M13" s="69" t="n">
        <v>1.692727267742157</v>
      </c>
      <c r="N13" s="69" t="n">
        <v>1.692727267742157</v>
      </c>
      <c r="O13" s="69" t="n">
        <v>0</v>
      </c>
      <c r="P13" s="69" t="n">
        <v>0.7</v>
      </c>
      <c r="Q13" s="69" t="n">
        <v>1</v>
      </c>
      <c r="R13" s="69" t="n">
        <v>1</v>
      </c>
      <c r="S13" s="69" t="n">
        <v>0.7</v>
      </c>
      <c r="T13" s="69" t="n">
        <v>0.3</v>
      </c>
      <c r="U13" s="69" t="n">
        <v>0</v>
      </c>
      <c r="V13" s="69" t="n">
        <v>0</v>
      </c>
    </row>
    <row r="14">
      <c r="A14" s="69" t="inlineStr">
        <is>
          <t>spring_phab_xbkf_h|Large stream (over 100 km2)</t>
        </is>
      </c>
      <c r="B14" s="69" t="inlineStr">
        <is>
          <t>spring-phab-xbkf-h</t>
        </is>
      </c>
      <c r="C14" s="69" t="inlineStr">
        <is>
          <t>Bankfull height above channel</t>
        </is>
      </c>
      <c r="D14" s="69" t="inlineStr">
        <is>
          <t>Large stream (over 100 km2)</t>
        </is>
      </c>
      <c r="E14" s="69" t="n">
        <v>7</v>
      </c>
      <c r="F14" s="69" t="inlineStr">
        <is>
          <t>93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0.179954544454813</v>
      </c>
      <c r="I14" s="69" t="n">
        <v>0.3590909093618393</v>
      </c>
      <c r="J14" s="69" t="n">
        <v>0.8709090948104858</v>
      </c>
      <c r="K14" s="69" t="n">
        <v>1.050045459717512</v>
      </c>
      <c r="L14" s="69" t="n">
        <v>1.382727280259132</v>
      </c>
      <c r="M14" s="69" t="n">
        <v>1.894545465707779</v>
      </c>
      <c r="N14" s="69" t="n">
        <v>1.894545465707779</v>
      </c>
      <c r="O14" s="69" t="n">
        <v>0</v>
      </c>
      <c r="P14" s="69" t="n">
        <v>0.7</v>
      </c>
      <c r="Q14" s="69" t="n">
        <v>1</v>
      </c>
      <c r="R14" s="69" t="n">
        <v>1</v>
      </c>
      <c r="S14" s="69" t="n">
        <v>0.7</v>
      </c>
      <c r="T14" s="69" t="n">
        <v>0.3</v>
      </c>
      <c r="U14" s="69" t="n">
        <v>0</v>
      </c>
      <c r="V14" s="69" t="n">
        <v>0</v>
      </c>
    </row>
    <row r="15">
      <c r="A15" s="69" t="inlineStr">
        <is>
          <t>spring_phab_bfwd_rat|</t>
        </is>
      </c>
      <c r="B15" s="69" t="inlineStr">
        <is>
          <t>spring-phab-bfwd-rat</t>
        </is>
      </c>
      <c r="C15" s="69" t="inlineStr">
        <is>
          <t>Bankfull width:depth ratio</t>
        </is>
      </c>
      <c r="D15" s="69" t="inlineStr"/>
      <c r="E15" s="69" t="n">
        <v>7</v>
      </c>
      <c r="F15" s="69" t="inlineStr">
        <is>
          <t>47 least-disturbed stations borrowed from Level II ecoregion 9.4 (South Central Semi-Arid Prairies) under the regional screen (agriculture at most 25 percent), transfer risk moderate. The build refused this source (ACC-05/06: In the recovery test the source promoted sites systematically). The owner accepted it with a recorded rationale.</t>
        </is>
      </c>
      <c r="G15" s="69" t="n">
        <v>0</v>
      </c>
      <c r="H15" s="69" t="n">
        <v>1.263247919082642</v>
      </c>
      <c r="I15" s="69" t="n">
        <v>6.756014823913574</v>
      </c>
      <c r="J15" s="69" t="n">
        <v>22.44963455200195</v>
      </c>
      <c r="K15" s="69" t="n">
        <v>27.94240145683289</v>
      </c>
      <c r="L15" s="69" t="n">
        <v>38.14325428009033</v>
      </c>
      <c r="M15" s="69" t="n">
        <v>53.83687400817871</v>
      </c>
      <c r="N15" s="69" t="n">
        <v>53.83687400817871</v>
      </c>
      <c r="O15" s="69" t="n">
        <v>0</v>
      </c>
      <c r="P15" s="69" t="n">
        <v>0.7</v>
      </c>
      <c r="Q15" s="69" t="n">
        <v>1</v>
      </c>
      <c r="R15" s="69" t="n">
        <v>1</v>
      </c>
      <c r="S15" s="69" t="n">
        <v>0.7</v>
      </c>
      <c r="T15" s="69" t="n">
        <v>0.3</v>
      </c>
      <c r="U15" s="69" t="n">
        <v>0</v>
      </c>
      <c r="V15" s="69" t="n">
        <v>0</v>
      </c>
    </row>
    <row r="16">
      <c r="A16" s="69" t="inlineStr">
        <is>
          <t>spring_phab_pct_safn|</t>
        </is>
      </c>
      <c r="B16" s="69" t="inlineStr">
        <is>
          <t>spring-phab-pct-safn</t>
        </is>
      </c>
      <c r="C16" s="69" t="inlineStr">
        <is>
          <t>Sand + fines</t>
        </is>
      </c>
      <c r="D16" s="69" t="inlineStr"/>
      <c r="E16" s="69" t="n">
        <v>4</v>
      </c>
      <c r="F16" s="69" t="inlineStr">
        <is>
          <t>48 least-disturbed stations borrowed from Level II ecoregion 9.4 (South Central Semi-Arid Prairies) under the regional screen (agriculture at most 25 percent), transfer risk low</t>
        </is>
      </c>
      <c r="G16" s="69" t="n">
        <v>6.904762506484985</v>
      </c>
      <c r="H16" s="69" t="n">
        <v>28.80952405929565</v>
      </c>
      <c r="I16" s="69" t="n">
        <v>72.61904716491699</v>
      </c>
      <c r="J16" s="69" t="n">
        <v>100</v>
      </c>
      <c r="K16" s="69" t="n">
        <v>100</v>
      </c>
      <c r="L16" s="69" t="n">
        <v>100</v>
      </c>
      <c r="M16" s="69" t="n">
        <v>100</v>
      </c>
      <c r="N16" s="69" t="n">
        <v>100</v>
      </c>
      <c r="O16" s="69" t="n">
        <v>1</v>
      </c>
      <c r="P16" s="69" t="n">
        <v>1</v>
      </c>
      <c r="Q16" s="69" t="n">
        <v>0.7</v>
      </c>
      <c r="R16" s="69" t="n">
        <v>0</v>
      </c>
      <c r="S16" s="69" t="n">
        <v>0</v>
      </c>
      <c r="T16" s="69" t="n">
        <v>0</v>
      </c>
      <c r="U16" s="69" t="n">
        <v>0</v>
      </c>
      <c r="V16" s="69" t="n">
        <v>0</v>
      </c>
    </row>
    <row r="17">
      <c r="A17" s="69" t="inlineStr">
        <is>
          <t>spring_phab_xembed|</t>
        </is>
      </c>
      <c r="B17" s="69" t="inlineStr">
        <is>
          <t>spring-phab-xembed</t>
        </is>
      </c>
      <c r="C17" s="69" t="inlineStr">
        <is>
          <t>Embeddedness</t>
        </is>
      </c>
      <c r="D17" s="69" t="inlineStr"/>
      <c r="E17" s="69" t="n">
        <v>4</v>
      </c>
      <c r="F17" s="69" t="inlineStr">
        <is>
          <t>43 least-disturbed stations borrowed from Level II ecoregion 9.4 (South Central Semi-Arid Prairies) under the regional screen (agriculture at most 25 percent), transfer risk low</t>
        </is>
      </c>
      <c r="G17" s="69" t="n">
        <v>47.29545402526855</v>
      </c>
      <c r="H17" s="69" t="n">
        <v>61.6363639831543</v>
      </c>
      <c r="I17" s="69" t="n">
        <v>90.31818389892578</v>
      </c>
      <c r="J17" s="69" t="n">
        <v>100</v>
      </c>
      <c r="K17" s="69" t="n">
        <v>100</v>
      </c>
      <c r="L17" s="69" t="n">
        <v>100</v>
      </c>
      <c r="M17" s="69" t="n">
        <v>100</v>
      </c>
      <c r="N17" s="69" t="n">
        <v>100</v>
      </c>
      <c r="O17" s="69" t="n">
        <v>1</v>
      </c>
      <c r="P17" s="69" t="n">
        <v>1</v>
      </c>
      <c r="Q17" s="69" t="n">
        <v>0.7</v>
      </c>
      <c r="R17" s="69" t="n">
        <v>0</v>
      </c>
      <c r="S17" s="69" t="n">
        <v>0</v>
      </c>
      <c r="T17" s="69" t="n">
        <v>0</v>
      </c>
      <c r="U17" s="69" t="n">
        <v>0</v>
      </c>
      <c r="V17" s="69" t="n">
        <v>0</v>
      </c>
    </row>
    <row r="18">
      <c r="A18" s="69" t="inlineStr">
        <is>
          <t>spring_phab_sinu|</t>
        </is>
      </c>
      <c r="B18" s="69" t="inlineStr">
        <is>
          <t>spring-phab-sinu</t>
        </is>
      </c>
      <c r="C18" s="69" t="inlineStr">
        <is>
          <t>Sinuosity</t>
        </is>
      </c>
      <c r="D18" s="69" t="inlineStr"/>
      <c r="E18" s="69" t="n">
        <v>4</v>
      </c>
      <c r="F18" s="69" t="inlineStr">
        <is>
          <t>41 least-disturbed stations borrowed from Level II ecoregion 9.4 (South Central Semi-Arid Prairies) under the regional screen (agriculture at most 25 percent), transfer risk moderate</t>
        </is>
      </c>
      <c r="G18" s="69" t="n">
        <v>1</v>
      </c>
      <c r="H18" s="69" t="n">
        <v>1.088943839073181</v>
      </c>
      <c r="I18" s="69" t="n">
        <v>1.32020378112793</v>
      </c>
      <c r="J18" s="69" t="n">
        <v>1.435833752155304</v>
      </c>
      <c r="K18" s="69" t="n">
        <v>1.435833752155304</v>
      </c>
      <c r="L18" s="69" t="n">
        <v>1.435833752155304</v>
      </c>
      <c r="M18" s="69" t="n">
        <v>1.435833752155304</v>
      </c>
      <c r="N18" s="69" t="n">
        <v>1.435833752155304</v>
      </c>
      <c r="O18" s="69" t="n">
        <v>0</v>
      </c>
      <c r="P18" s="69" t="n">
        <v>0.7</v>
      </c>
      <c r="Q18" s="69" t="n">
        <v>1</v>
      </c>
      <c r="R18" s="69" t="n">
        <v>1</v>
      </c>
      <c r="S18" s="69" t="n">
        <v>1</v>
      </c>
      <c r="T18" s="69" t="n">
        <v>1</v>
      </c>
      <c r="U18" s="69" t="n">
        <v>1</v>
      </c>
      <c r="V18" s="69" t="n">
        <v>1</v>
      </c>
    </row>
    <row r="19">
      <c r="A19" s="69" t="inlineStr">
        <is>
          <t>spring_phab_xbka|</t>
        </is>
      </c>
      <c r="B19" s="69" t="inlineStr">
        <is>
          <t>spring-phab-xbka</t>
        </is>
      </c>
      <c r="C19" s="69" t="inlineStr">
        <is>
          <t>Bank angle</t>
        </is>
      </c>
      <c r="D19" s="69" t="inlineStr"/>
      <c r="E19" s="69" t="n">
        <v>7</v>
      </c>
      <c r="F19" s="69" t="inlineStr">
        <is>
          <t>43 least-disturbed stations borrowed from Level II ecoregion 9.4 (South Central Semi-Arid Prairies) under the regional screen (agriculture at most 25 percent), transfer risk low</t>
        </is>
      </c>
      <c r="G19" s="69" t="n">
        <v>0.3181829452514648</v>
      </c>
      <c r="H19" s="69" t="n">
        <v>19.21818222999573</v>
      </c>
      <c r="I19" s="69" t="n">
        <v>23.22727298736572</v>
      </c>
      <c r="J19" s="69" t="n">
        <v>34.68181800842285</v>
      </c>
      <c r="K19" s="69" t="n">
        <v>38.69090876579285</v>
      </c>
      <c r="L19" s="69" t="n">
        <v>46.13636302947998</v>
      </c>
      <c r="M19" s="69" t="n">
        <v>57.59090805053711</v>
      </c>
      <c r="N19" s="69" t="n">
        <v>57.59090805053711</v>
      </c>
      <c r="O19" s="69" t="n">
        <v>0.7</v>
      </c>
      <c r="P19" s="69" t="n">
        <v>0.7</v>
      </c>
      <c r="Q19" s="69" t="n">
        <v>1</v>
      </c>
      <c r="R19" s="69" t="n">
        <v>1</v>
      </c>
      <c r="S19" s="69" t="n">
        <v>0.7</v>
      </c>
      <c r="T19" s="69" t="n">
        <v>0.3</v>
      </c>
      <c r="U19" s="69" t="n">
        <v>0</v>
      </c>
      <c r="V19" s="69" t="n">
        <v>0</v>
      </c>
    </row>
    <row r="20">
      <c r="A20" s="69" t="inlineStr">
        <is>
          <t>spring_phab_lrbs_use|All streams (pooled)</t>
        </is>
      </c>
      <c r="B20" s="69" t="inlineStr">
        <is>
          <t>spring-phab-lrbs-use</t>
        </is>
      </c>
      <c r="C20" s="69" t="inlineStr">
        <is>
          <t>Relative bed stability</t>
        </is>
      </c>
      <c r="D20" s="69" t="inlineStr">
        <is>
          <t>All streams (pooled)</t>
        </is>
      </c>
      <c r="E20" s="69" t="n">
        <v>8</v>
      </c>
      <c r="F20" s="69" t="inlineStr">
        <is>
          <t>48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20" s="69" t="n">
        <v>-4.284228324890137</v>
      </c>
      <c r="H20" s="69" t="n">
        <v>-3.04133066534996</v>
      </c>
      <c r="I20" s="69" t="n">
        <v>-2.233447186648846</v>
      </c>
      <c r="J20" s="69" t="n">
        <v>-1.798433005809784</v>
      </c>
      <c r="K20" s="69" t="n">
        <v>-0.5555353462696075</v>
      </c>
      <c r="L20" s="69" t="n">
        <v>-0.1205211654305458</v>
      </c>
      <c r="M20" s="69" t="n">
        <v>0.6873623132705688</v>
      </c>
      <c r="N20" s="69" t="n">
        <v>1.930259972810745</v>
      </c>
      <c r="O20" s="69" t="n">
        <v>0</v>
      </c>
      <c r="P20" s="69" t="n">
        <v>0.3</v>
      </c>
      <c r="Q20" s="69" t="n">
        <v>0.7</v>
      </c>
      <c r="R20" s="69" t="n">
        <v>1</v>
      </c>
      <c r="S20" s="69" t="n">
        <v>1</v>
      </c>
      <c r="T20" s="69" t="n">
        <v>0.7</v>
      </c>
      <c r="U20" s="69" t="n">
        <v>0.3</v>
      </c>
      <c r="V20" s="69" t="n">
        <v>0</v>
      </c>
    </row>
    <row r="21">
      <c r="A21" s="69" t="inlineStr">
        <is>
          <t>spring_phab_lrbs_use|Small stream (10 to 100 km2)</t>
        </is>
      </c>
      <c r="B21" s="69" t="inlineStr">
        <is>
          <t>spring-phab-lrbs-use</t>
        </is>
      </c>
      <c r="C21" s="69" t="inlineStr">
        <is>
          <t>Relative bed stability</t>
        </is>
      </c>
      <c r="D21" s="69" t="inlineStr">
        <is>
          <t>Small stream (10 to 100 km2)</t>
        </is>
      </c>
      <c r="E21" s="69" t="n">
        <v>8</v>
      </c>
      <c r="F21" s="69" t="inlineStr">
        <is>
          <t>48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21" s="69" t="n">
        <v>-4.343750298023224</v>
      </c>
      <c r="H21" s="69" t="n">
        <v>-3.10857093334198</v>
      </c>
      <c r="I21" s="69" t="n">
        <v>-2.305704346299172</v>
      </c>
      <c r="J21" s="69" t="n">
        <v>-1.873391568660736</v>
      </c>
      <c r="K21" s="69" t="n">
        <v>-0.6382122039794922</v>
      </c>
      <c r="L21" s="69" t="n">
        <v>-0.2058994263410568</v>
      </c>
      <c r="M21" s="69" t="n">
        <v>0.5969671607017517</v>
      </c>
      <c r="N21" s="69" t="n">
        <v>1.832146525382996</v>
      </c>
      <c r="O21" s="69" t="n">
        <v>0</v>
      </c>
      <c r="P21" s="69" t="n">
        <v>0.3</v>
      </c>
      <c r="Q21" s="69" t="n">
        <v>0.7</v>
      </c>
      <c r="R21" s="69" t="n">
        <v>1</v>
      </c>
      <c r="S21" s="69" t="n">
        <v>1</v>
      </c>
      <c r="T21" s="69" t="n">
        <v>0.7</v>
      </c>
      <c r="U21" s="69" t="n">
        <v>0.3</v>
      </c>
      <c r="V21" s="69" t="n">
        <v>0</v>
      </c>
    </row>
    <row r="22">
      <c r="A22" s="69" t="inlineStr">
        <is>
          <t>spring_phab_lrbs_use|Large stream (over 100 km2)</t>
        </is>
      </c>
      <c r="B22" s="69" t="inlineStr">
        <is>
          <t>spring-phab-lrbs-use</t>
        </is>
      </c>
      <c r="C22" s="69" t="inlineStr">
        <is>
          <t>Relative bed stability</t>
        </is>
      </c>
      <c r="D22" s="69" t="inlineStr">
        <is>
          <t>Large stream (over 100 km2)</t>
        </is>
      </c>
      <c r="E22" s="69" t="n">
        <v>8</v>
      </c>
      <c r="F22" s="69" t="inlineStr">
        <is>
          <t>48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22" s="69" t="n">
        <v>-4.67205885052681</v>
      </c>
      <c r="H22" s="69" t="n">
        <v>-3.191990688443184</v>
      </c>
      <c r="I22" s="69" t="n">
        <v>-2.229946383088827</v>
      </c>
      <c r="J22" s="69" t="n">
        <v>-1.711922526359558</v>
      </c>
      <c r="K22" s="69" t="n">
        <v>-0.2318543642759323</v>
      </c>
      <c r="L22" s="69" t="n">
        <v>0.2861694924533367</v>
      </c>
      <c r="M22" s="69" t="n">
        <v>1.248213797807693</v>
      </c>
      <c r="N22" s="69" t="n">
        <v>2.728281959891319</v>
      </c>
      <c r="O22" s="69" t="n">
        <v>0</v>
      </c>
      <c r="P22" s="69" t="n">
        <v>0.3</v>
      </c>
      <c r="Q22" s="69" t="n">
        <v>0.7</v>
      </c>
      <c r="R22" s="69" t="n">
        <v>1</v>
      </c>
      <c r="S22" s="69" t="n">
        <v>1</v>
      </c>
      <c r="T22" s="69" t="n">
        <v>0.7</v>
      </c>
      <c r="U22" s="69" t="n">
        <v>0.3</v>
      </c>
      <c r="V22" s="69" t="n">
        <v>0</v>
      </c>
    </row>
    <row r="23">
      <c r="A23" s="69" t="inlineStr">
        <is>
          <t>spring_phab_lwdeqvolm100|</t>
        </is>
      </c>
      <c r="B23" s="69" t="inlineStr">
        <is>
          <t>spring-phab-lwdeqvolm100</t>
        </is>
      </c>
      <c r="C23" s="69" t="inlineStr">
        <is>
          <t>Large wood volume</t>
        </is>
      </c>
      <c r="D23" s="69" t="inlineStr"/>
      <c r="E23" s="69" t="n">
        <v>5</v>
      </c>
      <c r="F23" s="69" t="inlineStr">
        <is>
          <t>Reference curve fitted to comparable least-disturbed stations drawn from the national pool, because this ecoregion and its parents hold too few of their own.</t>
        </is>
      </c>
      <c r="G23" s="69" t="n">
        <v>0</v>
      </c>
      <c r="H23" s="69" t="n">
        <v>0.0197410715211715</v>
      </c>
      <c r="I23" s="69" t="n">
        <v>0.04606250021606684</v>
      </c>
      <c r="J23" s="69" t="n">
        <v>5.356533408164978</v>
      </c>
      <c r="K23" s="69" t="n">
        <v>8.011768862139434</v>
      </c>
      <c r="L23" s="69" t="n">
        <v>8.011768862139434</v>
      </c>
      <c r="M23" s="69" t="n">
        <v>8.011768862139434</v>
      </c>
      <c r="N23" s="69" t="n">
        <v>8.011768862139434</v>
      </c>
      <c r="O23" s="69" t="n">
        <v>0</v>
      </c>
      <c r="P23" s="69" t="n">
        <v>0.3</v>
      </c>
      <c r="Q23" s="69" t="n">
        <v>0.7</v>
      </c>
      <c r="R23" s="69" t="n">
        <v>1</v>
      </c>
      <c r="S23" s="69" t="n">
        <v>1</v>
      </c>
      <c r="T23" s="69" t="n">
        <v>1</v>
      </c>
      <c r="U23" s="69" t="n">
        <v>1</v>
      </c>
      <c r="V23" s="69" t="n">
        <v>1</v>
      </c>
    </row>
    <row r="24">
      <c r="A24" s="69" t="inlineStr">
        <is>
          <t>spring_chem_chla|</t>
        </is>
      </c>
      <c r="B24" s="69" t="inlineStr">
        <is>
          <t>spring-chem-chla</t>
        </is>
      </c>
      <c r="C24" s="69" t="inlineStr">
        <is>
          <t>Chlorophyll a</t>
        </is>
      </c>
      <c r="D24" s="69" t="inlineStr"/>
      <c r="E24" s="69" t="n">
        <v>5</v>
      </c>
      <c r="F24" s="69" t="inlineStr">
        <is>
          <t>38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4" s="69" t="n">
        <v>0</v>
      </c>
      <c r="H24" s="69" t="n">
        <v>1.335921078920364</v>
      </c>
      <c r="I24" s="69" t="n">
        <v>5.245000004768372</v>
      </c>
      <c r="J24" s="69" t="n">
        <v>11.10861839354038</v>
      </c>
      <c r="K24" s="69" t="n">
        <v>15.01769731938839</v>
      </c>
      <c r="L24" s="69" t="n">
        <v>15.01769731938839</v>
      </c>
      <c r="M24" s="69" t="n">
        <v>15.01769731938839</v>
      </c>
      <c r="N24" s="69" t="n">
        <v>15.01769731938839</v>
      </c>
      <c r="O24" s="69" t="n">
        <v>1</v>
      </c>
      <c r="P24" s="69" t="n">
        <v>1</v>
      </c>
      <c r="Q24" s="69" t="n">
        <v>0.7</v>
      </c>
      <c r="R24" s="69" t="n">
        <v>0.3</v>
      </c>
      <c r="S24" s="69" t="n">
        <v>0</v>
      </c>
      <c r="T24" s="69" t="n">
        <v>0</v>
      </c>
      <c r="U24" s="69" t="n">
        <v>0</v>
      </c>
      <c r="V24" s="69" t="n">
        <v>0</v>
      </c>
    </row>
    <row r="25">
      <c r="A25" s="69" t="inlineStr">
        <is>
          <t>spring_phab_xcdenmid|</t>
        </is>
      </c>
      <c r="B25" s="69" t="inlineStr">
        <is>
          <t>spring-phab-xcdenmid</t>
        </is>
      </c>
      <c r="C25" s="69" t="inlineStr">
        <is>
          <t>Canopy density, mid-channel</t>
        </is>
      </c>
      <c r="D25" s="69" t="inlineStr"/>
      <c r="E25" s="69" t="n">
        <v>5</v>
      </c>
      <c r="F25" s="69" t="inlineStr">
        <is>
          <t>47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and the source promoted sites systematically). The owner accepted it with a recorded rationale.</t>
        </is>
      </c>
      <c r="G25" s="69" t="n">
        <v>0</v>
      </c>
      <c r="H25" s="69" t="n">
        <v>1.71886932849884</v>
      </c>
      <c r="I25" s="69" t="n">
        <v>4.010695099830627</v>
      </c>
      <c r="J25" s="69" t="n">
        <v>67.71390151977539</v>
      </c>
      <c r="K25" s="69" t="n">
        <v>99.56550472974777</v>
      </c>
      <c r="L25" s="69" t="n">
        <v>99.56550472974777</v>
      </c>
      <c r="M25" s="69" t="n">
        <v>99.56550472974777</v>
      </c>
      <c r="N25" s="69" t="n">
        <v>99.56550472974777</v>
      </c>
      <c r="O25" s="69" t="n">
        <v>0</v>
      </c>
      <c r="P25" s="69" t="n">
        <v>0.3</v>
      </c>
      <c r="Q25" s="69" t="n">
        <v>0.7</v>
      </c>
      <c r="R25" s="69" t="n">
        <v>1</v>
      </c>
      <c r="S25" s="69" t="n">
        <v>1</v>
      </c>
      <c r="T25" s="69" t="n">
        <v>1</v>
      </c>
      <c r="U25" s="69" t="n">
        <v>1</v>
      </c>
      <c r="V25" s="69" t="n">
        <v>1</v>
      </c>
    </row>
    <row r="26">
      <c r="A26" s="69" t="inlineStr">
        <is>
          <t>spring_phab_xcmgw|</t>
        </is>
      </c>
      <c r="B26" s="69" t="inlineStr">
        <is>
          <t>spring-phab-xcmgw</t>
        </is>
      </c>
      <c r="C26" s="69" t="inlineStr">
        <is>
          <t>Riparian veg cover, woody</t>
        </is>
      </c>
      <c r="D26" s="69" t="inlineStr"/>
      <c r="E26" s="69" t="n">
        <v>5</v>
      </c>
      <c r="F26" s="69" t="inlineStr">
        <is>
          <t>52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and the source promoted sites systematically). The owner accepted it with a recorded rationale.</t>
        </is>
      </c>
      <c r="G26" s="69" t="n">
        <v>0</v>
      </c>
      <c r="H26" s="69" t="n">
        <v>0.1243100613355637</v>
      </c>
      <c r="I26" s="69" t="n">
        <v>0.2900568097829819</v>
      </c>
      <c r="J26" s="69" t="n">
        <v>0.7906250208616257</v>
      </c>
      <c r="K26" s="69" t="n">
        <v>1.040909126400948</v>
      </c>
      <c r="L26" s="69" t="n">
        <v>1.040909126400948</v>
      </c>
      <c r="M26" s="69" t="n">
        <v>1.040909126400948</v>
      </c>
      <c r="N26" s="69" t="n">
        <v>1.040909126400948</v>
      </c>
      <c r="O26" s="69" t="n">
        <v>0</v>
      </c>
      <c r="P26" s="69" t="n">
        <v>0.3</v>
      </c>
      <c r="Q26" s="69" t="n">
        <v>0.7</v>
      </c>
      <c r="R26" s="69" t="n">
        <v>1</v>
      </c>
      <c r="S26" s="69" t="n">
        <v>1</v>
      </c>
      <c r="T26" s="69" t="n">
        <v>1</v>
      </c>
      <c r="U26" s="69" t="n">
        <v>1</v>
      </c>
      <c r="V26" s="69" t="n">
        <v>1</v>
      </c>
    </row>
    <row r="27">
      <c r="A27" s="69" t="inlineStr">
        <is>
          <t>spring_chem_ntl|</t>
        </is>
      </c>
      <c r="B27" s="69" t="inlineStr">
        <is>
          <t>spring-chem-ntl</t>
        </is>
      </c>
      <c r="C27" s="69" t="inlineStr">
        <is>
          <t>Total nitrogen</t>
        </is>
      </c>
      <c r="D27" s="69" t="inlineStr"/>
      <c r="E27" s="69" t="n">
        <v>4</v>
      </c>
      <c r="F27" s="69" t="inlineStr">
        <is>
          <t>Scored against a published criterion rather than against stations from this ecoregion. The criterion carries its own definition of reference, which need not match this assessment's.</t>
        </is>
      </c>
      <c r="G27" s="69" t="n">
        <v>0</v>
      </c>
      <c r="H27" s="69" t="n">
        <v>0.5815</v>
      </c>
      <c r="I27" s="69" t="n">
        <v>1.069</v>
      </c>
      <c r="J27" s="69" t="n">
        <v>1.70275</v>
      </c>
      <c r="K27" s="69" t="n">
        <v>1.70275</v>
      </c>
      <c r="L27" s="69" t="n">
        <v>1.70275</v>
      </c>
      <c r="M27" s="69" t="n">
        <v>1.70275</v>
      </c>
      <c r="N27" s="69" t="n">
        <v>1.70275</v>
      </c>
      <c r="O27" s="69" t="n">
        <v>1</v>
      </c>
      <c r="P27" s="69" t="n">
        <v>0.6899999999999999</v>
      </c>
      <c r="Q27" s="69" t="n">
        <v>0.39</v>
      </c>
      <c r="R27" s="69" t="n">
        <v>0</v>
      </c>
      <c r="S27" s="69" t="n">
        <v>0</v>
      </c>
      <c r="T27" s="69" t="n">
        <v>0</v>
      </c>
      <c r="U27" s="69" t="n">
        <v>0</v>
      </c>
      <c r="V27" s="69" t="n">
        <v>0</v>
      </c>
    </row>
    <row r="28">
      <c r="A28" s="69" t="inlineStr">
        <is>
          <t>spring_chem_ptl|</t>
        </is>
      </c>
      <c r="B28" s="69" t="inlineStr">
        <is>
          <t>spring-chem-ptl</t>
        </is>
      </c>
      <c r="C28" s="69" t="inlineStr">
        <is>
          <t>Total phosphorus</t>
        </is>
      </c>
      <c r="D28" s="69" t="inlineStr"/>
      <c r="E28" s="69" t="n">
        <v>4</v>
      </c>
      <c r="F28" s="69" t="inlineStr">
        <is>
          <t>Scored against a published criterion rather than against stations from this ecoregion. The criterion carries its own definition of reference, which need not match this assessment's.</t>
        </is>
      </c>
      <c r="G28" s="69" t="n">
        <v>0</v>
      </c>
      <c r="H28" s="69" t="n">
        <v>55.85</v>
      </c>
      <c r="I28" s="69" t="n">
        <v>127</v>
      </c>
      <c r="J28" s="69" t="n">
        <v>219.495</v>
      </c>
      <c r="K28" s="69" t="n">
        <v>219.495</v>
      </c>
      <c r="L28" s="69" t="n">
        <v>219.495</v>
      </c>
      <c r="M28" s="69" t="n">
        <v>219.495</v>
      </c>
      <c r="N28" s="69" t="n">
        <v>219.495</v>
      </c>
      <c r="O28" s="69" t="n">
        <v>1</v>
      </c>
      <c r="P28" s="69" t="n">
        <v>0.6899999999999999</v>
      </c>
      <c r="Q28" s="69" t="n">
        <v>0.39</v>
      </c>
      <c r="R28" s="69" t="n">
        <v>0</v>
      </c>
      <c r="S28" s="69" t="n">
        <v>0</v>
      </c>
      <c r="T28" s="69" t="n">
        <v>0</v>
      </c>
      <c r="U28" s="69" t="n">
        <v>0</v>
      </c>
      <c r="V28" s="69" t="n">
        <v>0</v>
      </c>
    </row>
    <row r="29">
      <c r="A29" s="69" t="inlineStr">
        <is>
          <t>spring_chem_cond|</t>
        </is>
      </c>
      <c r="B29" s="69" t="inlineStr">
        <is>
          <t>spring-chem-cond</t>
        </is>
      </c>
      <c r="C29" s="69" t="inlineStr">
        <is>
          <t>Specific conductivity</t>
        </is>
      </c>
      <c r="D29" s="69" t="inlineStr"/>
      <c r="E29" s="69" t="n">
        <v>4</v>
      </c>
      <c r="F29" s="69" t="inlineStr">
        <is>
          <t>Scored against a published criterion rather than against stations from this ecoregion. The criterion carries its own definition of reference, which need not match this assessment's.</t>
        </is>
      </c>
      <c r="G29" s="69" t="n">
        <v>0</v>
      </c>
      <c r="H29" s="69" t="n">
        <v>1000.05</v>
      </c>
      <c r="I29" s="69" t="n">
        <v>2000.05</v>
      </c>
      <c r="J29" s="69" t="n">
        <v>3300.05</v>
      </c>
      <c r="K29" s="69" t="n">
        <v>3300.05</v>
      </c>
      <c r="L29" s="69" t="n">
        <v>3300.05</v>
      </c>
      <c r="M29" s="69" t="n">
        <v>3300.05</v>
      </c>
      <c r="N29" s="69" t="n">
        <v>3300.05</v>
      </c>
      <c r="O29" s="69" t="n">
        <v>1</v>
      </c>
      <c r="P29" s="69" t="n">
        <v>0.6899999999999999</v>
      </c>
      <c r="Q29" s="69" t="n">
        <v>0.39</v>
      </c>
      <c r="R29" s="69" t="n">
        <v>0</v>
      </c>
      <c r="S29" s="69" t="n">
        <v>0</v>
      </c>
      <c r="T29" s="69" t="n">
        <v>0</v>
      </c>
      <c r="U29" s="69" t="n">
        <v>0</v>
      </c>
      <c r="V29" s="69" t="n">
        <v>0</v>
      </c>
    </row>
    <row r="30">
      <c r="A30" s="69" t="inlineStr">
        <is>
          <t>spring_chem_turb|</t>
        </is>
      </c>
      <c r="B30" s="69" t="inlineStr">
        <is>
          <t>spring-chem-turb</t>
        </is>
      </c>
      <c r="C30" s="69" t="inlineStr">
        <is>
          <t>Turbidity</t>
        </is>
      </c>
      <c r="D30" s="69" t="inlineStr"/>
      <c r="E30" s="69" t="n">
        <v>5</v>
      </c>
      <c r="F30" s="69" t="inlineStr">
        <is>
          <t>Reference curve from a modeled expectation. The response to landscape pressure is estimated nationally and this ecoregion's own level is added, because the ecoregion holds too few streams clean enough to observe reference condition directly.</t>
        </is>
      </c>
      <c r="G30" s="69" t="n">
        <v>0</v>
      </c>
      <c r="H30" s="69" t="n">
        <v>2.589141728459146</v>
      </c>
      <c r="I30" s="69" t="n">
        <v>13.19098373432703</v>
      </c>
      <c r="J30" s="69" t="n">
        <v>29.09374674312886</v>
      </c>
      <c r="K30" s="69" t="n">
        <v>39.69558874899674</v>
      </c>
      <c r="L30" s="69" t="n">
        <v>39.69558874899674</v>
      </c>
      <c r="M30" s="69" t="n">
        <v>39.69558874899674</v>
      </c>
      <c r="N30" s="69" t="n">
        <v>39.69558874899674</v>
      </c>
      <c r="O30" s="69" t="n">
        <v>1</v>
      </c>
      <c r="P30" s="69" t="n">
        <v>1</v>
      </c>
      <c r="Q30" s="69" t="n">
        <v>0.7</v>
      </c>
      <c r="R30" s="69" t="n">
        <v>0.3</v>
      </c>
      <c r="S30" s="69" t="n">
        <v>0</v>
      </c>
      <c r="T30" s="69" t="n">
        <v>0</v>
      </c>
      <c r="U30" s="69" t="n">
        <v>0</v>
      </c>
      <c r="V30" s="69" t="n">
        <v>0</v>
      </c>
    </row>
    <row r="31">
      <c r="A31" s="69" t="inlineStr">
        <is>
          <t>spring_phab_pct_fast|All streams (pooled)</t>
        </is>
      </c>
      <c r="B31" s="69" t="inlineStr">
        <is>
          <t>spring-phab-pct-fast</t>
        </is>
      </c>
      <c r="C31" s="69" t="inlineStr">
        <is>
          <t>Fast-water / riffle habitat</t>
        </is>
      </c>
      <c r="D31" s="69" t="inlineStr">
        <is>
          <t>All streams (pooled)</t>
        </is>
      </c>
      <c r="E31" s="69" t="n">
        <v>5</v>
      </c>
      <c r="F31" s="69" t="inlineStr">
        <is>
          <t>48 least-disturbed stations borrowed from Level II ecoregion 9.4 (South Central Semi-Arid Prairies) under the regional screen (agriculture at most 25 percent), transfer risk low</t>
        </is>
      </c>
      <c r="G31" s="69" t="n">
        <v>0</v>
      </c>
      <c r="H31" s="69" t="n">
        <v>0.4285714285714285</v>
      </c>
      <c r="I31" s="69" t="n">
        <v>1</v>
      </c>
      <c r="J31" s="69" t="n">
        <v>16</v>
      </c>
      <c r="K31" s="69" t="n">
        <v>23.5</v>
      </c>
      <c r="L31" s="69" t="n">
        <v>23.5</v>
      </c>
      <c r="M31" s="69" t="n">
        <v>23.5</v>
      </c>
      <c r="N31" s="69" t="n">
        <v>23.5</v>
      </c>
      <c r="O31" s="69" t="n">
        <v>0</v>
      </c>
      <c r="P31" s="69" t="n">
        <v>0.3</v>
      </c>
      <c r="Q31" s="69" t="n">
        <v>0.7</v>
      </c>
      <c r="R31" s="69" t="n">
        <v>1</v>
      </c>
      <c r="S31" s="69" t="n">
        <v>1</v>
      </c>
      <c r="T31" s="69" t="n">
        <v>1</v>
      </c>
      <c r="U31" s="69" t="n">
        <v>1</v>
      </c>
      <c r="V31" s="69" t="n">
        <v>1</v>
      </c>
    </row>
    <row r="32">
      <c r="A32" s="69" t="inlineStr">
        <is>
          <t>spring_phab_pct_fast|Low gradient (under 0.5 percent)</t>
        </is>
      </c>
      <c r="B32" s="69" t="inlineStr">
        <is>
          <t>spring-phab-pct-fast</t>
        </is>
      </c>
      <c r="C32" s="69" t="inlineStr">
        <is>
          <t>Fast-water / riffle habitat</t>
        </is>
      </c>
      <c r="D32" s="69" t="inlineStr">
        <is>
          <t>Low gradient (under 0.5 percent)</t>
        </is>
      </c>
      <c r="E32" s="69" t="n">
        <v>5</v>
      </c>
      <c r="F32" s="69" t="inlineStr">
        <is>
          <t>48 least-disturbed stations borrowed from Level II ecoregion 9.4 (South Central Semi-Arid Prairies) under the regional screen (agriculture at most 25 percent), transfer risk low</t>
        </is>
      </c>
      <c r="G32" s="69" t="n">
        <v>0</v>
      </c>
      <c r="H32" s="69" t="n">
        <v>0.4183673475469862</v>
      </c>
      <c r="I32" s="69" t="n">
        <v>0.9761904776096344</v>
      </c>
      <c r="J32" s="69" t="n">
        <v>12.83333349227905</v>
      </c>
      <c r="K32" s="69" t="n">
        <v>18.76190499961376</v>
      </c>
      <c r="L32" s="69" t="n">
        <v>18.76190499961376</v>
      </c>
      <c r="M32" s="69" t="n">
        <v>18.76190499961376</v>
      </c>
      <c r="N32" s="69" t="n">
        <v>18.76190499961376</v>
      </c>
      <c r="O32" s="69" t="n">
        <v>0</v>
      </c>
      <c r="P32" s="69" t="n">
        <v>0.3</v>
      </c>
      <c r="Q32" s="69" t="n">
        <v>0.7</v>
      </c>
      <c r="R32" s="69" t="n">
        <v>1</v>
      </c>
      <c r="S32" s="69" t="n">
        <v>1</v>
      </c>
      <c r="T32" s="69" t="n">
        <v>1</v>
      </c>
      <c r="U32" s="69" t="n">
        <v>1</v>
      </c>
      <c r="V32" s="69" t="n">
        <v>1</v>
      </c>
    </row>
    <row r="33">
      <c r="A33" s="69" t="inlineStr">
        <is>
          <t>spring_phab_pct_fast|Moderate gradient (0.5 to 2 percent)</t>
        </is>
      </c>
      <c r="B33" s="69" t="inlineStr">
        <is>
          <t>spring-phab-pct-fast</t>
        </is>
      </c>
      <c r="C33" s="69" t="inlineStr">
        <is>
          <t>Fast-water / riffle habitat</t>
        </is>
      </c>
      <c r="D33" s="69" t="inlineStr">
        <is>
          <t>Moderate gradient (0.5 to 2 percent)</t>
        </is>
      </c>
      <c r="E33" s="69" t="n">
        <v>5</v>
      </c>
      <c r="F33" s="69" t="inlineStr">
        <is>
          <t>48 least-disturbed stations borrowed from Level II ecoregion 9.4 (South Central Semi-Arid Prairies) under the regional screen (agriculture at most 25 percent), transfer risk low</t>
        </is>
      </c>
      <c r="G33" s="69" t="n">
        <v>0</v>
      </c>
      <c r="H33" s="69" t="n">
        <v>2.142857142857143</v>
      </c>
      <c r="I33" s="69" t="n">
        <v>5</v>
      </c>
      <c r="J33" s="69" t="n">
        <v>23</v>
      </c>
      <c r="K33" s="69" t="n">
        <v>32</v>
      </c>
      <c r="L33" s="69" t="n">
        <v>32</v>
      </c>
      <c r="M33" s="69" t="n">
        <v>32</v>
      </c>
      <c r="N33" s="69" t="n">
        <v>32</v>
      </c>
      <c r="O33" s="69" t="n">
        <v>0</v>
      </c>
      <c r="P33" s="69" t="n">
        <v>0.3</v>
      </c>
      <c r="Q33" s="69" t="n">
        <v>0.7</v>
      </c>
      <c r="R33" s="69" t="n">
        <v>1</v>
      </c>
      <c r="S33" s="69" t="n">
        <v>1</v>
      </c>
      <c r="T33" s="69" t="n">
        <v>1</v>
      </c>
      <c r="U33" s="69" t="n">
        <v>1</v>
      </c>
      <c r="V33" s="69" t="n">
        <v>1</v>
      </c>
    </row>
    <row r="34">
      <c r="A34" s="69" t="inlineStr">
        <is>
          <t>spring_phab_xfc_nat|All streams (pooled)</t>
        </is>
      </c>
      <c r="B34" s="69" t="inlineStr">
        <is>
          <t>spring-phab-xfc-nat</t>
        </is>
      </c>
      <c r="C34" s="69" t="inlineStr">
        <is>
          <t>Natural fish cover</t>
        </is>
      </c>
      <c r="D34" s="69" t="inlineStr">
        <is>
          <t>All streams (pooled)</t>
        </is>
      </c>
      <c r="E34" s="69" t="n">
        <v>5</v>
      </c>
      <c r="F34" s="69" t="inlineStr">
        <is>
          <t>52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9" t="n">
        <v>0</v>
      </c>
      <c r="H34" s="69" t="n">
        <v>0.06185064784118107</v>
      </c>
      <c r="I34" s="69" t="n">
        <v>0.1443181782960892</v>
      </c>
      <c r="J34" s="69" t="n">
        <v>0.3562937155365944</v>
      </c>
      <c r="K34" s="69" t="n">
        <v>0.462281484156847</v>
      </c>
      <c r="L34" s="69" t="n">
        <v>0.462281484156847</v>
      </c>
      <c r="M34" s="69" t="n">
        <v>0.462281484156847</v>
      </c>
      <c r="N34" s="69" t="n">
        <v>0.462281484156847</v>
      </c>
      <c r="O34" s="69" t="n">
        <v>0</v>
      </c>
      <c r="P34" s="69" t="n">
        <v>0.3</v>
      </c>
      <c r="Q34" s="69" t="n">
        <v>0.7</v>
      </c>
      <c r="R34" s="69" t="n">
        <v>1</v>
      </c>
      <c r="S34" s="69" t="n">
        <v>1</v>
      </c>
      <c r="T34" s="69" t="n">
        <v>1</v>
      </c>
      <c r="U34" s="69" t="n">
        <v>1</v>
      </c>
      <c r="V34" s="69" t="n">
        <v>1</v>
      </c>
    </row>
    <row r="35">
      <c r="A35" s="69" t="inlineStr">
        <is>
          <t>spring_phab_xfc_nat|Small stream (10 to 100 km2)</t>
        </is>
      </c>
      <c r="B35" s="69" t="inlineStr">
        <is>
          <t>spring-phab-xfc-nat</t>
        </is>
      </c>
      <c r="C35" s="69" t="inlineStr">
        <is>
          <t>Natural fish cover</t>
        </is>
      </c>
      <c r="D35" s="69" t="inlineStr">
        <is>
          <t>Small stream (10 to 100 km2)</t>
        </is>
      </c>
      <c r="E35" s="69" t="n">
        <v>5</v>
      </c>
      <c r="F35" s="69" t="inlineStr">
        <is>
          <t>52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9" t="n">
        <v>0</v>
      </c>
      <c r="H35" s="69" t="n">
        <v>0.08108766164098467</v>
      </c>
      <c r="I35" s="69" t="n">
        <v>0.1892045438289642</v>
      </c>
      <c r="J35" s="69" t="n">
        <v>0.5556818097829819</v>
      </c>
      <c r="K35" s="69" t="n">
        <v>0.7389204427599907</v>
      </c>
      <c r="L35" s="69" t="n">
        <v>0.7389204427599907</v>
      </c>
      <c r="M35" s="69" t="n">
        <v>0.7389204427599907</v>
      </c>
      <c r="N35" s="69" t="n">
        <v>0.7389204427599907</v>
      </c>
      <c r="O35" s="69" t="n">
        <v>0</v>
      </c>
      <c r="P35" s="69" t="n">
        <v>0.3</v>
      </c>
      <c r="Q35" s="69" t="n">
        <v>0.7</v>
      </c>
      <c r="R35" s="69" t="n">
        <v>1</v>
      </c>
      <c r="S35" s="69" t="n">
        <v>1</v>
      </c>
      <c r="T35" s="69" t="n">
        <v>1</v>
      </c>
      <c r="U35" s="69" t="n">
        <v>1</v>
      </c>
      <c r="V35" s="69" t="n">
        <v>1</v>
      </c>
    </row>
    <row r="36">
      <c r="A36" s="69" t="inlineStr">
        <is>
          <t>spring_phab_xfc_nat|Large stream (over 100 km2)</t>
        </is>
      </c>
      <c r="B36" s="69" t="inlineStr">
        <is>
          <t>spring-phab-xfc-nat</t>
        </is>
      </c>
      <c r="C36" s="69" t="inlineStr">
        <is>
          <t>Natural fish cover</t>
        </is>
      </c>
      <c r="D36" s="69" t="inlineStr">
        <is>
          <t>Large stream (over 100 km2)</t>
        </is>
      </c>
      <c r="E36" s="69" t="n">
        <v>5</v>
      </c>
      <c r="F36" s="69" t="inlineStr">
        <is>
          <t>52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9" t="n">
        <v>0</v>
      </c>
      <c r="H36" s="69" t="n">
        <v>0.05162337768290724</v>
      </c>
      <c r="I36" s="69" t="n">
        <v>0.1204545479267836</v>
      </c>
      <c r="J36" s="69" t="n">
        <v>0.2352272756397724</v>
      </c>
      <c r="K36" s="69" t="n">
        <v>0.2926136394962668</v>
      </c>
      <c r="L36" s="69" t="n">
        <v>0.2926136394962668</v>
      </c>
      <c r="M36" s="69" t="n">
        <v>0.2926136394962668</v>
      </c>
      <c r="N36" s="69" t="n">
        <v>0.2926136394962668</v>
      </c>
      <c r="O36" s="69" t="n">
        <v>0</v>
      </c>
      <c r="P36" s="69" t="n">
        <v>0.3</v>
      </c>
      <c r="Q36" s="69" t="n">
        <v>0.7</v>
      </c>
      <c r="R36" s="69" t="n">
        <v>1</v>
      </c>
      <c r="S36" s="69" t="n">
        <v>1</v>
      </c>
      <c r="T36" s="69" t="n">
        <v>1</v>
      </c>
      <c r="U36" s="69" t="n">
        <v>1</v>
      </c>
      <c r="V36" s="69" t="n">
        <v>1</v>
      </c>
    </row>
    <row r="37">
      <c r="A37" s="69" t="inlineStr">
        <is>
          <t>spring_bent_totlntax|</t>
        </is>
      </c>
      <c r="B37" s="69" t="inlineStr">
        <is>
          <t>spring-bent-totlntax</t>
        </is>
      </c>
      <c r="C37" s="69" t="inlineStr">
        <is>
          <t>Benthic total taxa richness</t>
        </is>
      </c>
      <c r="D37" s="69" t="inlineStr"/>
      <c r="E37" s="69" t="n">
        <v>5</v>
      </c>
      <c r="F37" s="69" t="inlineStr">
        <is>
          <t>Reference curve fitted to comparable least-disturbed stations drawn from the national pool, because this ecoregion and its parents hold too few of their own.</t>
        </is>
      </c>
      <c r="G37" s="69" t="n">
        <v>0</v>
      </c>
      <c r="H37" s="69" t="n">
        <v>11.14285714285714</v>
      </c>
      <c r="I37" s="69" t="n">
        <v>26</v>
      </c>
      <c r="J37" s="69" t="n">
        <v>41</v>
      </c>
      <c r="K37" s="69" t="n">
        <v>48.5</v>
      </c>
      <c r="L37" s="69" t="n">
        <v>48.5</v>
      </c>
      <c r="M37" s="69" t="n">
        <v>48.5</v>
      </c>
      <c r="N37" s="69" t="n">
        <v>48.5</v>
      </c>
      <c r="O37" s="69" t="n">
        <v>0</v>
      </c>
      <c r="P37" s="69" t="n">
        <v>0.3</v>
      </c>
      <c r="Q37" s="69" t="n">
        <v>0.7</v>
      </c>
      <c r="R37" s="69" t="n">
        <v>1</v>
      </c>
      <c r="S37" s="69" t="n">
        <v>1</v>
      </c>
      <c r="T37" s="69" t="n">
        <v>1</v>
      </c>
      <c r="U37" s="69" t="n">
        <v>1</v>
      </c>
      <c r="V37" s="69" t="n">
        <v>1</v>
      </c>
    </row>
    <row r="38">
      <c r="A38" s="69" t="inlineStr">
        <is>
          <t>spring_fish_nat_totlntax|</t>
        </is>
      </c>
      <c r="B38" s="69" t="inlineStr">
        <is>
          <t>spring-fish-nat-totlntax</t>
        </is>
      </c>
      <c r="C38" s="69" t="inlineStr">
        <is>
          <t>Native fish taxa richness</t>
        </is>
      </c>
      <c r="D38" s="69" t="inlineStr"/>
      <c r="E38" s="69" t="n">
        <v>5</v>
      </c>
      <c r="F38"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38" s="69" t="n">
        <v>0</v>
      </c>
      <c r="H38" s="69" t="n">
        <v>1.285714285714286</v>
      </c>
      <c r="I38" s="69" t="n">
        <v>3</v>
      </c>
      <c r="J38" s="69" t="n">
        <v>19</v>
      </c>
      <c r="K38" s="69" t="n">
        <v>27</v>
      </c>
      <c r="L38" s="69" t="n">
        <v>27</v>
      </c>
      <c r="M38" s="69" t="n">
        <v>27</v>
      </c>
      <c r="N38" s="69" t="n">
        <v>27</v>
      </c>
      <c r="O38" s="69" t="n">
        <v>0</v>
      </c>
      <c r="P38" s="69" t="n">
        <v>0.3</v>
      </c>
      <c r="Q38" s="69" t="n">
        <v>0.7</v>
      </c>
      <c r="R38" s="69" t="n">
        <v>1</v>
      </c>
      <c r="S38" s="69" t="n">
        <v>1</v>
      </c>
      <c r="T38" s="69" t="n">
        <v>1</v>
      </c>
      <c r="U38" s="69" t="n">
        <v>1</v>
      </c>
      <c r="V38" s="69" t="n">
        <v>1</v>
      </c>
    </row>
    <row r="39">
      <c r="A39" s="69" t="inlineStr">
        <is>
          <t>spring_bent_ept_ntax|</t>
        </is>
      </c>
      <c r="B39" s="69" t="inlineStr">
        <is>
          <t>spring-bent-ept-ntax</t>
        </is>
      </c>
      <c r="C39" s="69" t="inlineStr">
        <is>
          <t>EPT taxa richness</t>
        </is>
      </c>
      <c r="D39" s="69" t="inlineStr"/>
      <c r="E39" s="69" t="n">
        <v>5</v>
      </c>
      <c r="F39" s="69" t="inlineStr">
        <is>
          <t>36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39" s="69" t="n">
        <v>0</v>
      </c>
      <c r="H39" s="69" t="n">
        <v>1.285714285714286</v>
      </c>
      <c r="I39" s="69" t="n">
        <v>3</v>
      </c>
      <c r="J39" s="69" t="n">
        <v>8.25</v>
      </c>
      <c r="K39" s="69" t="n">
        <v>10.875</v>
      </c>
      <c r="L39" s="69" t="n">
        <v>10.875</v>
      </c>
      <c r="M39" s="69" t="n">
        <v>10.875</v>
      </c>
      <c r="N39" s="69" t="n">
        <v>10.875</v>
      </c>
      <c r="O39" s="69" t="n">
        <v>0</v>
      </c>
      <c r="P39" s="69" t="n">
        <v>0.3</v>
      </c>
      <c r="Q39" s="69" t="n">
        <v>0.7</v>
      </c>
      <c r="R39" s="69" t="n">
        <v>1</v>
      </c>
      <c r="S39" s="69" t="n">
        <v>1</v>
      </c>
      <c r="T39" s="69" t="n">
        <v>1</v>
      </c>
      <c r="U39" s="69" t="n">
        <v>1</v>
      </c>
      <c r="V39" s="69" t="n">
        <v>1</v>
      </c>
    </row>
    <row r="40">
      <c r="A40" s="69" t="inlineStr">
        <is>
          <t>spring_bent_hprime|</t>
        </is>
      </c>
      <c r="B40" s="69" t="inlineStr">
        <is>
          <t>spring-bent-hprime</t>
        </is>
      </c>
      <c r="C40" s="69" t="inlineStr">
        <is>
          <t>Shannon diversity (H')</t>
        </is>
      </c>
      <c r="D40" s="69" t="inlineStr"/>
      <c r="E40" s="69" t="n">
        <v>5</v>
      </c>
      <c r="F40" s="69" t="inlineStr">
        <is>
          <t>Reference curve fitted to comparable least-disturbed stations drawn from the national pool, because this ecoregion and its parents hold too few of their own.</t>
        </is>
      </c>
      <c r="G40" s="69" t="n">
        <v>0</v>
      </c>
      <c r="H40" s="69" t="n">
        <v>0.9728571346827916</v>
      </c>
      <c r="I40" s="69" t="n">
        <v>2.269999980926514</v>
      </c>
      <c r="J40" s="69" t="n">
        <v>2.890000104904175</v>
      </c>
      <c r="K40" s="69" t="n">
        <v>3.200000166893005</v>
      </c>
      <c r="L40" s="69" t="n">
        <v>3.200000166893005</v>
      </c>
      <c r="M40" s="69" t="n">
        <v>3.200000166893005</v>
      </c>
      <c r="N40" s="69" t="n">
        <v>3.200000166893005</v>
      </c>
      <c r="O40" s="69" t="n">
        <v>0</v>
      </c>
      <c r="P40" s="69" t="n">
        <v>0.3</v>
      </c>
      <c r="Q40" s="69" t="n">
        <v>0.7</v>
      </c>
      <c r="R40" s="69" t="n">
        <v>1</v>
      </c>
      <c r="S40" s="69" t="n">
        <v>1</v>
      </c>
      <c r="T40" s="69" t="n">
        <v>1</v>
      </c>
      <c r="U40" s="69" t="n">
        <v>1</v>
      </c>
      <c r="V40" s="69" t="n">
        <v>1</v>
      </c>
    </row>
    <row r="41">
      <c r="A41" s="69" t="inlineStr">
        <is>
          <t>spring_nid_dams_1mi|</t>
        </is>
      </c>
      <c r="B41" s="69" t="inlineStr">
        <is>
          <t>spring-nid-dams-1mi</t>
        </is>
      </c>
      <c r="C41" s="69" t="inlineStr">
        <is>
          <t>Mapped dams within one mile</t>
        </is>
      </c>
      <c r="D41" s="69" t="inlineStr"/>
      <c r="E41" s="69" t="n">
        <v>4</v>
      </c>
      <c r="F41" s="69" t="inlineStr">
        <is>
          <t>Fixed criteria, the same in every region</t>
        </is>
      </c>
      <c r="G41" s="69" t="n">
        <v>0</v>
      </c>
      <c r="H41" s="69" t="n">
        <v>1</v>
      </c>
      <c r="I41" s="69" t="n">
        <v>2</v>
      </c>
      <c r="J41" s="69" t="n">
        <v>3</v>
      </c>
      <c r="K41" s="69" t="n">
        <v>3</v>
      </c>
      <c r="L41" s="69" t="n">
        <v>3</v>
      </c>
      <c r="M41" s="69" t="n">
        <v>3</v>
      </c>
      <c r="N41" s="69" t="n">
        <v>3</v>
      </c>
      <c r="O41" s="69" t="n">
        <v>1</v>
      </c>
      <c r="P41" s="69" t="n">
        <v>0.545</v>
      </c>
      <c r="Q41" s="69" t="n">
        <v>0.195</v>
      </c>
      <c r="R41" s="69" t="n">
        <v>0</v>
      </c>
      <c r="S41" s="69" t="n">
        <v>0</v>
      </c>
      <c r="T41" s="69" t="n">
        <v>0</v>
      </c>
      <c r="U41" s="69" t="n">
        <v>0</v>
      </c>
      <c r="V41" s="69" t="n">
        <v>0</v>
      </c>
    </row>
    <row r="44">
      <c r="A44" s="58" t="inlineStr">
        <is>
          <t>Curve sets by metric</t>
        </is>
      </c>
    </row>
    <row r="45">
      <c r="A45" s="69" t="inlineStr">
        <is>
          <t>All streams (pooled)</t>
        </is>
      </c>
      <c r="B45" s="5" t="inlineStr">
        <is>
          <t>Bankfull height above channel</t>
        </is>
      </c>
    </row>
    <row r="46">
      <c r="A46" s="69" t="inlineStr">
        <is>
          <t>Small stream (10 to 100 km2)</t>
        </is>
      </c>
      <c r="B46" s="5" t="inlineStr">
        <is>
          <t>Bankfull height above channel</t>
        </is>
      </c>
    </row>
    <row r="47">
      <c r="A47" s="69" t="inlineStr">
        <is>
          <t>Large stream (over 100 km2)</t>
        </is>
      </c>
      <c r="B47" s="5" t="inlineStr">
        <is>
          <t>Bankfull height above channel</t>
        </is>
      </c>
    </row>
    <row r="48">
      <c r="A48" s="69" t="inlineStr">
        <is>
          <t>All streams (pooled)</t>
        </is>
      </c>
      <c r="B48" s="5" t="inlineStr">
        <is>
          <t>Relative bed stability</t>
        </is>
      </c>
    </row>
    <row r="49">
      <c r="A49" s="69" t="inlineStr">
        <is>
          <t>Small stream (10 to 100 km2)</t>
        </is>
      </c>
      <c r="B49" s="5" t="inlineStr">
        <is>
          <t>Relative bed stability</t>
        </is>
      </c>
    </row>
    <row r="50">
      <c r="A50" s="69" t="inlineStr">
        <is>
          <t>Large stream (over 100 km2)</t>
        </is>
      </c>
      <c r="B50" s="5" t="inlineStr">
        <is>
          <t>Relative bed stability</t>
        </is>
      </c>
    </row>
    <row r="51">
      <c r="A51" s="69" t="inlineStr">
        <is>
          <t>All streams (pooled)</t>
        </is>
      </c>
      <c r="B51" s="5" t="inlineStr">
        <is>
          <t>Fast-water / riffle habitat</t>
        </is>
      </c>
    </row>
    <row r="52">
      <c r="A52" s="69" t="inlineStr">
        <is>
          <t>Low gradient (under 0.5 percent)</t>
        </is>
      </c>
      <c r="B52" s="5" t="inlineStr">
        <is>
          <t>Fast-water / riffle habitat</t>
        </is>
      </c>
    </row>
    <row r="53">
      <c r="A53" s="69" t="inlineStr">
        <is>
          <t>Moderate gradient (0.5 to 2 percent)</t>
        </is>
      </c>
      <c r="B53" s="5" t="inlineStr">
        <is>
          <t>Fast-water / riffle habitat</t>
        </is>
      </c>
    </row>
    <row r="54">
      <c r="A54" s="69" t="inlineStr">
        <is>
          <t>All streams (pooled)</t>
        </is>
      </c>
      <c r="B54" s="5" t="inlineStr">
        <is>
          <t>Natural fish cover</t>
        </is>
      </c>
    </row>
    <row r="55">
      <c r="A55" s="69" t="inlineStr">
        <is>
          <t>Small stream (10 to 100 km2)</t>
        </is>
      </c>
      <c r="B55" s="5" t="inlineStr">
        <is>
          <t>Natural fish cover</t>
        </is>
      </c>
    </row>
    <row r="56">
      <c r="A56" s="69" t="inlineStr">
        <is>
          <t>Large stream (over 100 km2)</t>
        </is>
      </c>
      <c r="B56" s="5" t="inlineStr">
        <is>
          <t>Natural fish cover</t>
        </is>
      </c>
    </row>
    <row r="59">
      <c r="A59" s="58" t="inlineStr">
        <is>
          <t>Condition classes</t>
        </is>
      </c>
    </row>
    <row r="60">
      <c r="A60" t="inlineStr">
        <is>
          <t>Metric index: at or below 0.39 Non-Functioning, at or below 0.69 Functioning At-Risk, above Functioning.</t>
        </is>
      </c>
    </row>
    <row r="61">
      <c r="A61" t="inlineStr">
        <is>
          <t>Function score (0 to 15): at or below 5 Non-Functioning, at or below 10 Functioning At-Risk, above Functioning.</t>
        </is>
      </c>
    </row>
    <row r="62">
      <c r="A6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central-great-plains</t>
        </is>
      </c>
    </row>
    <row r="5">
      <c r="A5" s="69" t="inlineStr">
        <is>
          <t>Assessment name</t>
        </is>
      </c>
      <c r="B5" s="69" t="inlineStr">
        <is>
          <t>Central Great Plains reference assessment</t>
        </is>
      </c>
    </row>
    <row r="6">
      <c r="A6" s="69" t="inlineStr">
        <is>
          <t>Version</t>
        </is>
      </c>
      <c r="B6" s="69" t="n">
        <v>2</v>
      </c>
    </row>
    <row r="7">
      <c r="A7" s="69" t="inlineStr">
        <is>
          <t>Lifecycle status</t>
        </is>
      </c>
      <c r="B7" s="69" t="inlineStr">
        <is>
          <t>Draft</t>
        </is>
      </c>
    </row>
    <row r="8">
      <c r="A8" s="69" t="inlineStr">
        <is>
          <t>Content digest</t>
        </is>
      </c>
      <c r="B8" s="69" t="inlineStr">
        <is>
          <t>sha256:1512c029854b1ceeb5dfee29a960e4877dff0c0c3bbd7bf92341194b91c16419</t>
        </is>
      </c>
    </row>
    <row r="9">
      <c r="A9" s="69" t="inlineStr">
        <is>
          <t>Region</t>
        </is>
      </c>
      <c r="B9" s="69" t="inlineStr">
        <is>
          <t>ecoregion 27 Central Great Plains</t>
        </is>
      </c>
    </row>
    <row r="10">
      <c r="A10" s="69" t="inlineStr">
        <is>
          <t>Source</t>
        </is>
      </c>
      <c r="B10" s="69" t="inlineStr">
        <is>
          <t>USEPA NRSA 2013-24 (L3 ecoregion 27),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29</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2026-09-30T07:07:45Z</dcterms:created>
  <dcterms:modified xmlns:dcterms="http://purl.org/dc/terms/" xmlns:xsi="http://www.w3.org/2001/XMLSchema-instance" xsi:type="dcterms:W3CDTF">2026-09-30T07:07:45Z</dcterms:modified>
  <cp:lastModifiedBy>DEEP</cp:lastModifiedBy>
  <cp:contentStatus>Draft</cp:contentStatus>
</cp:coreProperties>
</file>