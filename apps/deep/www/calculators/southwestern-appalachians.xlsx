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'Reference'!$A$5:$A$48</definedName>
    <definedName name="curve_x1">'Reference'!$G$5:$G$48</definedName>
    <definedName name="curve_y1">'Reference'!$O$5:$O$48</definedName>
    <definedName name="curve_x2">'Reference'!$H$5:$H$48</definedName>
    <definedName name="curve_y2">'Reference'!$P$5:$P$48</definedName>
    <definedName name="curve_x3">'Reference'!$I$5:$I$48</definedName>
    <definedName name="curve_y3">'Reference'!$Q$5:$Q$48</definedName>
    <definedName name="curve_x4">'Reference'!$J$5:$J$48</definedName>
    <definedName name="curve_y4">'Reference'!$R$5:$R$48</definedName>
    <definedName name="curve_x5">'Reference'!$K$5:$K$48</definedName>
    <definedName name="curve_y5">'Reference'!$S$5:$S$48</definedName>
    <definedName name="curve_x6">'Reference'!$L$5:$L$48</definedName>
    <definedName name="curve_y6">'Reference'!$T$5:$T$48</definedName>
    <definedName name="curve_x7">'Reference'!$M$5:$M$48</definedName>
    <definedName name="curve_y7">'Reference'!$U$5:$U$48</definedName>
    <definedName name="curve_x8">'Reference'!$N$5:$N$48</definedName>
    <definedName name="curve_y8">'Reference'!$V$5:$V$48</definedName>
    <definedName name="strata_spring_phab_bfwd_rat">'Reference'!$A$52:$A$55</definedName>
    <definedName name="strata_spring_phab_xbkf_h">'Reference'!$A$56:$A$59</definedName>
    <definedName name="strata_spring_phab_lrbs_use">'Reference'!$A$60:$A$63</definedName>
    <definedName name="strata_spring_phab_pct_fast">'Reference'!$A$64:$A$67</definedName>
    <definedName name="strata_spring_phab_xfc_nat">'Reference'!$A$68:$A$70</definedName>
    <definedName name="strata_spring_fish_nat_totlntax">'Reference'!$A$71:$A$73</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Score'!$A$58</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0" fontId="3" fillId="0" borderId="0"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Southwestern Appalachians reference assessment</t>
        </is>
      </c>
    </row>
    <row r="4" ht="30" customHeight="1">
      <c r="A4" s="3" t="inlineStr">
        <is>
          <t>This workbook scores one detailed assessment. It carries the assessment's metrics and their reference curves, and it scores exactly as the DEEP web application does.</t>
        </is>
      </c>
    </row>
    <row r="5" ht="210" customHeight="1">
      <c r="A5" s="3" t="inlineStr">
        <is>
          <t>Reference condition. Reference condition is set by a fixed landscape-pressure screen, never by a score. 21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Southwestern Appalachians reference assessment</t>
        </is>
      </c>
    </row>
    <row r="3">
      <c r="A3" s="4" t="inlineStr">
        <is>
          <t>Version 1 | USEPA NRSA 2013-24 (L3 ecoregion 68),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46"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IF('Metrics'!$V$20="","",'Metrics'!$V$20)</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7"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9" t="inlineStr">
        <is>
          <t>Biology</t>
        </is>
      </c>
      <c r="B40" s="11" t="inlineStr">
        <is>
          <t>Habitat provision</t>
        </is>
      </c>
      <c r="C40" s="12" t="inlineStr">
        <is>
          <t>Fast-water / riffle habitat</t>
        </is>
      </c>
      <c r="D40" s="13" t="inlineStr">
        <is>
          <t>%</t>
        </is>
      </c>
      <c r="E40" s="14" t="n"/>
      <c r="F40" s="46"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39" t="inlineStr">
        <is>
          <t>All streams (pooled)</t>
        </is>
      </c>
      <c r="G41" s="25">
        <f>IF('Metrics'!$V$27="","",'Metrics'!$V$27)</f>
        <v/>
      </c>
      <c r="H41" s="20" t="n"/>
      <c r="I41" s="26" t="n"/>
    </row>
    <row r="42">
      <c r="A42" s="49" t="inlineStr">
        <is>
          <t>Biology</t>
        </is>
      </c>
      <c r="B42" s="11" t="inlineStr">
        <is>
          <t>Population support</t>
        </is>
      </c>
      <c r="C42" s="12" t="inlineStr">
        <is>
          <t>Native fish taxa richness</t>
        </is>
      </c>
      <c r="D42" s="13" t="inlineStr"/>
      <c r="E42" s="14" t="n"/>
      <c r="F42" s="46" t="inlineStr">
        <is>
          <t>All streams (pooled)</t>
        </is>
      </c>
      <c r="G42" s="16">
        <f>IF('Metrics'!$V$28="","",'Metrics'!$V$28)</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IF('Metrics'!$V$29="","",'Metrics'!$V$29)</f>
        <v/>
      </c>
      <c r="H43" s="20" t="n"/>
      <c r="I43" s="26" t="n"/>
    </row>
    <row r="44">
      <c r="A44" s="49" t="inlineStr">
        <is>
          <t>Biology</t>
        </is>
      </c>
      <c r="B44" s="11" t="inlineStr">
        <is>
          <t>Community dynamics</t>
        </is>
      </c>
      <c r="C44" s="12" t="inlineStr">
        <is>
          <t>EPT taxa richness</t>
        </is>
      </c>
      <c r="D44" s="13" t="inlineStr"/>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IF('Metrics'!$V$31="","",'Metrics'!$V$31)</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 t="inlineStr">
        <is>
          <t>Notes</t>
        </is>
      </c>
    </row>
    <row r="58">
      <c r="A58" s="57" t="n"/>
      <c r="B58" s="58" t="n"/>
      <c r="C58" s="58" t="n"/>
      <c r="D58" s="58" t="n"/>
      <c r="E58" s="58" t="n"/>
      <c r="F58" s="58" t="n"/>
      <c r="G58" s="58" t="n"/>
      <c r="H58" s="58" t="n"/>
      <c r="I58" s="59" t="n"/>
    </row>
    <row r="59">
      <c r="A59" s="60" t="n"/>
      <c r="B59" s="61" t="n"/>
      <c r="C59" s="61" t="n"/>
      <c r="D59" s="61" t="n"/>
      <c r="E59" s="61" t="n"/>
      <c r="F59" s="61" t="n"/>
      <c r="G59" s="61" t="n"/>
      <c r="H59" s="61" t="n"/>
      <c r="I59" s="62" t="n"/>
    </row>
    <row r="60">
      <c r="A60" s="60" t="n"/>
      <c r="B60" s="61" t="n"/>
      <c r="C60" s="61" t="n"/>
      <c r="D60" s="61" t="n"/>
      <c r="E60" s="61" t="n"/>
      <c r="F60" s="61" t="n"/>
      <c r="G60" s="61" t="n"/>
      <c r="H60" s="61" t="n"/>
      <c r="I60" s="62" t="n"/>
    </row>
    <row r="61">
      <c r="A61" s="60" t="n"/>
      <c r="B61" s="61" t="n"/>
      <c r="C61" s="61" t="n"/>
      <c r="D61" s="61" t="n"/>
      <c r="E61" s="61" t="n"/>
      <c r="F61" s="61" t="n"/>
      <c r="G61" s="61" t="n"/>
      <c r="H61" s="61" t="n"/>
      <c r="I61" s="62" t="n"/>
    </row>
    <row r="62">
      <c r="A62" s="60" t="n"/>
      <c r="B62" s="61" t="n"/>
      <c r="C62" s="61" t="n"/>
      <c r="D62" s="61" t="n"/>
      <c r="E62" s="61" t="n"/>
      <c r="F62" s="61" t="n"/>
      <c r="G62" s="61" t="n"/>
      <c r="H62" s="61" t="n"/>
      <c r="I62" s="62" t="n"/>
    </row>
    <row r="63">
      <c r="A63" s="63" t="n"/>
      <c r="B63" s="64" t="n"/>
      <c r="C63" s="64" t="n"/>
      <c r="D63" s="64" t="n"/>
      <c r="E63" s="64" t="n"/>
      <c r="F63" s="64" t="n"/>
      <c r="G63" s="64" t="n"/>
      <c r="H63" s="64" t="n"/>
      <c r="I63" s="65"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A58:I63"/>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IF('DEEP Score'!$F$19="","All streams (pooled)",'DEEP Score'!$F$19)</f>
        <v/>
      </c>
      <c r="D11" s="68">
        <f>"spring_phab_bfwd_rat|"&amp;'Metrics'!$C$11</f>
        <v/>
      </c>
      <c r="E11" s="68">
        <f>IFERROR(MATCH('Metrics'!$D$11,curve_key,0),MATCH("spring_phab_bfwd_rat|All streams (pooled)",curve_key,0))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IF('DEEP Score'!$F$22="","All streams (pooled)",'DEEP Score'!$F$22)</f>
        <v/>
      </c>
      <c r="D12" s="68">
        <f>"spring_phab_xbkf_h|"&amp;'Metrics'!$C$12</f>
        <v/>
      </c>
      <c r="E12" s="68">
        <f>IFERROR(MATCH('Metrics'!$D$12,curve_key,0),MATCH("spring_phab_xbkf_h|All streams (pooled)",curve_key,0))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IF('DEEP Score'!$F$29="","All streams (pooled)",'DEEP Score'!$F$29)</f>
        <v/>
      </c>
      <c r="D17" s="68">
        <f>"spring_phab_lrbs_use|"&amp;'Metrics'!$C$17</f>
        <v/>
      </c>
      <c r="E17" s="68">
        <f>IFERROR(MATCH('Metrics'!$D$17,curve_key,0),MATCH("spring_phab_lrbs_use|All streams (pooled)",curve_key,0))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Large wood volume</t>
        </is>
      </c>
      <c r="B18" s="68">
        <f>IF('DEEP Score'!$E$32="","",'DEEP Score'!$E$32)</f>
        <v/>
      </c>
      <c r="C18" s="68">
        <f>""</f>
        <v/>
      </c>
      <c r="D18" s="68">
        <f>"spring_phab_lwdeqvolm100|"&amp;'Metrics'!$C$18</f>
        <v/>
      </c>
      <c r="E18" s="68">
        <f>IFERROR(MATCH('Metrics'!$D$18,curve_key,0),MATCH("spring_phab_lwdeqvolm100|",curve_key,0))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pH</t>
        </is>
      </c>
      <c r="B24" s="68">
        <f>IF('DEEP Score'!$E$38="","",'DEEP Score'!$E$38)</f>
        <v/>
      </c>
      <c r="C24" s="68">
        <f>""</f>
        <v/>
      </c>
      <c r="D24" s="68">
        <f>"spring_chem_ph|"&amp;'Metrics'!$C$24</f>
        <v/>
      </c>
      <c r="E24" s="68">
        <f>IFERROR(MATCH('Metrics'!$D$24,curve_key,0),MATCH("spring_chem_ph|",curve_key,0))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IF('DEEP Score'!$F$40="","All streams (pooled)",'DEEP Score'!$F$40)</f>
        <v/>
      </c>
      <c r="D26" s="68">
        <f>"spring_phab_pct_fast|"&amp;'Metrics'!$C$26</f>
        <v/>
      </c>
      <c r="E26" s="68">
        <f>IFERROR(MATCH('Metrics'!$D$26,curve_key,0),MATCH("spring_phab_pct_fast|All streams (pooled)",curve_key,0))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IF('DEEP Score'!$F$41="","All streams (pooled)",'DEEP Score'!$F$41)</f>
        <v/>
      </c>
      <c r="D27" s="68">
        <f>"spring_phab_xfc_nat|"&amp;'Metrics'!$C$27</f>
        <v/>
      </c>
      <c r="E27" s="68">
        <f>IFERROR(MATCH('Metrics'!$D$27,curve_key,0),MATCH("spring_phab_xfc_nat|All streams (pooled)",curve_key,0))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Native fish taxa richness</t>
        </is>
      </c>
      <c r="B28" s="68">
        <f>IF('DEEP Score'!$E$42="","",'DEEP Score'!$E$42)</f>
        <v/>
      </c>
      <c r="C28" s="68">
        <f>IF('DEEP Score'!$F$42="","All streams (pooled)",'DEEP Score'!$F$42)</f>
        <v/>
      </c>
      <c r="D28" s="68">
        <f>"spring_fish_nat_totlntax|"&amp;'Metrics'!$C$28</f>
        <v/>
      </c>
      <c r="E28" s="68">
        <f>IFERROR(MATCH('Metrics'!$D$28,curve_key,0),MATCH("spring_fish_nat_totlntax|All streams (pooled)",curve_key,0))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Benthic total taxa richness</t>
        </is>
      </c>
      <c r="B29" s="68">
        <f>IF('DEEP Score'!$E$43="","",'DEEP Score'!$E$43)</f>
        <v/>
      </c>
      <c r="C29" s="68">
        <f>""</f>
        <v/>
      </c>
      <c r="D29" s="68">
        <f>"spring_bent_totlntax|"&amp;'Metrics'!$C$29</f>
        <v/>
      </c>
      <c r="E29" s="68">
        <f>IFERROR(MATCH('Metrics'!$D$29,curve_key,0),MATCH("spring_bent_totlntax|",curve_key,0))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EPT taxa richness</t>
        </is>
      </c>
      <c r="B30" s="68">
        <f>IF('DEEP Score'!$E$44="","",'DEEP Score'!$E$44)</f>
        <v/>
      </c>
      <c r="C30" s="68">
        <f>""</f>
        <v/>
      </c>
      <c r="D30" s="68">
        <f>"spring_bent_ept_ntax|"&amp;'Metrics'!$C$30</f>
        <v/>
      </c>
      <c r="E30" s="68">
        <f>IFERROR(MATCH('Metrics'!$D$30,curve_key,0),MATCH("spring_bent_ept_ntax|",curve_key,0))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Shannon diversity (H')</t>
        </is>
      </c>
      <c r="B31" s="68">
        <f>IF('DEEP Score'!$E$45="","",'DEEP Score'!$E$45)</f>
        <v/>
      </c>
      <c r="C31" s="68">
        <f>""</f>
        <v/>
      </c>
      <c r="D31" s="68">
        <f>"spring_bent_hprime|"&amp;'Metrics'!$C$31</f>
        <v/>
      </c>
      <c r="E31" s="68">
        <f>IFERROR(MATCH('Metrics'!$D$31,curve_key,0),MATCH("spring_bent_hprime|",curve_key,0))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Mapped dams within one mile</t>
        </is>
      </c>
      <c r="B32" s="68">
        <f>IF('DEEP Score'!$E$46="","",'DEEP Score'!$E$46)</f>
        <v/>
      </c>
      <c r="C32" s="68">
        <f>""</f>
        <v/>
      </c>
      <c r="D32" s="68">
        <f>"spring_nid_dams_1mi|"&amp;'Metrics'!$C$32</f>
        <v/>
      </c>
      <c r="E32" s="68">
        <f>IFERROR(MATCH('Metrics'!$D$32,curve_key,0),MATCH("spring_nid_dams_1mi|",curve_key,0))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2"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9"/>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51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7" t="n">
        <v>0</v>
      </c>
      <c r="H9" s="67" t="n">
        <v>9.429792857142859</v>
      </c>
      <c r="I9" s="67" t="n">
        <v>22.00285</v>
      </c>
      <c r="J9" s="67" t="n">
        <v>50.2372</v>
      </c>
      <c r="K9" s="67" t="n">
        <v>64.354375</v>
      </c>
      <c r="L9" s="67" t="n">
        <v>64.354375</v>
      </c>
      <c r="M9" s="67" t="n">
        <v>64.354375</v>
      </c>
      <c r="N9" s="67" t="n">
        <v>64.354375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spring_phab_bfwd_rat|All streams (pooled)</t>
        </is>
      </c>
      <c r="B11" s="67" t="inlineStr">
        <is>
          <t>spring-phab-bfwd-rat</t>
        </is>
      </c>
      <c r="C11" s="67" t="inlineStr">
        <is>
          <t>Bankfull width:depth ratio</t>
        </is>
      </c>
      <c r="D11" s="67" t="inlineStr">
        <is>
          <t>All streams (pooled)</t>
        </is>
      </c>
      <c r="E11" s="67" t="n">
        <v>7</v>
      </c>
      <c r="F11"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7" t="n">
        <v>0</v>
      </c>
      <c r="H11" s="67" t="n">
        <v>4.26770430803299</v>
      </c>
      <c r="I11" s="67" t="n">
        <v>9.306832075119019</v>
      </c>
      <c r="J11" s="67" t="n">
        <v>23.7043399810791</v>
      </c>
      <c r="K11" s="67" t="n">
        <v>28.74346774816513</v>
      </c>
      <c r="L11" s="67" t="n">
        <v>38.10184788703918</v>
      </c>
      <c r="M11" s="67" t="n">
        <v>52.49935579299927</v>
      </c>
      <c r="N11" s="67" t="n">
        <v>52.49935579299927</v>
      </c>
      <c r="O11" s="67" t="n">
        <v>0</v>
      </c>
      <c r="P11" s="67" t="n">
        <v>0.7</v>
      </c>
      <c r="Q11" s="67" t="n">
        <v>1</v>
      </c>
      <c r="R11" s="67" t="n">
        <v>1</v>
      </c>
      <c r="S11" s="67" t="n">
        <v>0.7</v>
      </c>
      <c r="T11" s="67" t="n">
        <v>0.3</v>
      </c>
      <c r="U11" s="67" t="n">
        <v>0</v>
      </c>
      <c r="V11" s="67" t="n">
        <v>0</v>
      </c>
    </row>
    <row r="12">
      <c r="A12" s="67" t="inlineStr">
        <is>
          <t>spring_phab_bfwd_rat|Headwater (10 km2 and under)</t>
        </is>
      </c>
      <c r="B12" s="67" t="inlineStr">
        <is>
          <t>spring-phab-bfwd-rat</t>
        </is>
      </c>
      <c r="C12" s="67" t="inlineStr">
        <is>
          <t>Bankfull width:depth ratio</t>
        </is>
      </c>
      <c r="D12" s="67" t="inlineStr">
        <is>
          <t>Headwater (10 km2 and under)</t>
        </is>
      </c>
      <c r="E12" s="67" t="n">
        <v>8</v>
      </c>
      <c r="F12"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7" t="n">
        <v>0.1402525901794434</v>
      </c>
      <c r="H12" s="67" t="n">
        <v>4.019513130187988</v>
      </c>
      <c r="I12" s="67" t="n">
        <v>6.541032481193542</v>
      </c>
      <c r="J12" s="67" t="n">
        <v>7.898773670196533</v>
      </c>
      <c r="K12" s="67" t="n">
        <v>11.77803421020508</v>
      </c>
      <c r="L12" s="67" t="n">
        <v>13.13577539920807</v>
      </c>
      <c r="M12" s="67" t="n">
        <v>15.65729475021362</v>
      </c>
      <c r="N12" s="67" t="n">
        <v>19.53655529022217</v>
      </c>
      <c r="O12" s="67" t="n">
        <v>0</v>
      </c>
      <c r="P12" s="67" t="n">
        <v>0.3</v>
      </c>
      <c r="Q12" s="67" t="n">
        <v>0.7</v>
      </c>
      <c r="R12" s="67" t="n">
        <v>1</v>
      </c>
      <c r="S12" s="67" t="n">
        <v>1</v>
      </c>
      <c r="T12" s="67" t="n">
        <v>0.7</v>
      </c>
      <c r="U12" s="67" t="n">
        <v>0.3</v>
      </c>
      <c r="V12" s="67" t="n">
        <v>0</v>
      </c>
    </row>
    <row r="13">
      <c r="A13" s="67" t="inlineStr">
        <is>
          <t>spring_phab_bfwd_rat|Small stream (10 to 100 km2)</t>
        </is>
      </c>
      <c r="B13" s="67" t="inlineStr">
        <is>
          <t>spring-phab-bfwd-rat</t>
        </is>
      </c>
      <c r="C13" s="67" t="inlineStr">
        <is>
          <t>Bankfull width:depth ratio</t>
        </is>
      </c>
      <c r="D13" s="67" t="inlineStr">
        <is>
          <t>Small stream (10 to 100 km2)</t>
        </is>
      </c>
      <c r="E13" s="67" t="n">
        <v>8</v>
      </c>
      <c r="F13"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7" t="n">
        <v>0</v>
      </c>
      <c r="H13" s="67" t="n">
        <v>2.093112945556641</v>
      </c>
      <c r="I13" s="67" t="n">
        <v>6.817086458206177</v>
      </c>
      <c r="J13" s="67" t="n">
        <v>9.360764503479004</v>
      </c>
      <c r="K13" s="67" t="n">
        <v>16.62841606140137</v>
      </c>
      <c r="L13" s="67" t="n">
        <v>19.17209410667419</v>
      </c>
      <c r="M13" s="67" t="n">
        <v>23.89606761932373</v>
      </c>
      <c r="N13" s="67" t="n">
        <v>31.16371917724609</v>
      </c>
      <c r="O13" s="67" t="n">
        <v>0</v>
      </c>
      <c r="P13" s="67" t="n">
        <v>0.3</v>
      </c>
      <c r="Q13" s="67" t="n">
        <v>0.7</v>
      </c>
      <c r="R13" s="67" t="n">
        <v>1</v>
      </c>
      <c r="S13" s="67" t="n">
        <v>1</v>
      </c>
      <c r="T13" s="67" t="n">
        <v>0.7</v>
      </c>
      <c r="U13" s="67" t="n">
        <v>0.3</v>
      </c>
      <c r="V13" s="67" t="n">
        <v>0</v>
      </c>
    </row>
    <row r="14">
      <c r="A14" s="67" t="inlineStr">
        <is>
          <t>spring_phab_bfwd_rat|Large stream (over 100 km2)</t>
        </is>
      </c>
      <c r="B14" s="67" t="inlineStr">
        <is>
          <t>spring-phab-bfwd-rat</t>
        </is>
      </c>
      <c r="C14" s="67" t="inlineStr">
        <is>
          <t>Bankfull width:depth ratio</t>
        </is>
      </c>
      <c r="D14" s="67" t="inlineStr">
        <is>
          <t>Large stream (over 100 km2)</t>
        </is>
      </c>
      <c r="E14" s="67" t="n">
        <v>8</v>
      </c>
      <c r="F14"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4" s="67" t="n">
        <v>0</v>
      </c>
      <c r="H14" s="67" t="n">
        <v>7.232285976409912</v>
      </c>
      <c r="I14" s="67" t="n">
        <v>14.14116616249084</v>
      </c>
      <c r="J14" s="67" t="n">
        <v>17.86133241653442</v>
      </c>
      <c r="K14" s="67" t="n">
        <v>28.49037885665894</v>
      </c>
      <c r="L14" s="67" t="n">
        <v>32.21054511070251</v>
      </c>
      <c r="M14" s="67" t="n">
        <v>39.11942529678345</v>
      </c>
      <c r="N14" s="67" t="n">
        <v>49.74847173690796</v>
      </c>
      <c r="O14" s="67" t="n">
        <v>0</v>
      </c>
      <c r="P14" s="67" t="n">
        <v>0.3</v>
      </c>
      <c r="Q14" s="67" t="n">
        <v>0.7</v>
      </c>
      <c r="R14" s="67" t="n">
        <v>1</v>
      </c>
      <c r="S14" s="67" t="n">
        <v>1</v>
      </c>
      <c r="T14" s="67" t="n">
        <v>0.7</v>
      </c>
      <c r="U14" s="67" t="n">
        <v>0.3</v>
      </c>
      <c r="V14" s="67" t="n">
        <v>0</v>
      </c>
    </row>
    <row r="15">
      <c r="A15" s="67" t="inlineStr">
        <is>
          <t>spring_phab_xbkf_h|All streams (pooled)</t>
        </is>
      </c>
      <c r="B15" s="67" t="inlineStr">
        <is>
          <t>spring-phab-xbkf-h</t>
        </is>
      </c>
      <c r="C15" s="67" t="inlineStr">
        <is>
          <t>Bankfull height above channel</t>
        </is>
      </c>
      <c r="D15" s="67" t="inlineStr">
        <is>
          <t>All streams (pooled)</t>
        </is>
      </c>
      <c r="E15" s="67" t="n">
        <v>7</v>
      </c>
      <c r="F15"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5" s="67" t="n">
        <v>0</v>
      </c>
      <c r="H15" s="67" t="n">
        <v>0.1707727164030075</v>
      </c>
      <c r="I15" s="67" t="n">
        <v>0.3168181777000427</v>
      </c>
      <c r="J15" s="67" t="n">
        <v>0.7340909242630005</v>
      </c>
      <c r="K15" s="67" t="n">
        <v>0.8801363855600357</v>
      </c>
      <c r="L15" s="67" t="n">
        <v>1.151363670825958</v>
      </c>
      <c r="M15" s="67" t="n">
        <v>1.568636417388916</v>
      </c>
      <c r="N15" s="67" t="n">
        <v>1.568636417388916</v>
      </c>
      <c r="O15" s="67" t="n">
        <v>0</v>
      </c>
      <c r="P15" s="67" t="n">
        <v>0.7</v>
      </c>
      <c r="Q15" s="67" t="n">
        <v>1</v>
      </c>
      <c r="R15" s="67" t="n">
        <v>1</v>
      </c>
      <c r="S15" s="67" t="n">
        <v>0.7</v>
      </c>
      <c r="T15" s="67" t="n">
        <v>0.3</v>
      </c>
      <c r="U15" s="67" t="n">
        <v>0</v>
      </c>
      <c r="V15" s="67" t="n">
        <v>0</v>
      </c>
    </row>
    <row r="16">
      <c r="A16" s="67" t="inlineStr">
        <is>
          <t>spring_phab_xbkf_h|Headwater (10 km2 and under)</t>
        </is>
      </c>
      <c r="B16" s="67" t="inlineStr">
        <is>
          <t>spring-phab-xbkf-h</t>
        </is>
      </c>
      <c r="C16" s="67" t="inlineStr">
        <is>
          <t>Bankfull height above channel</t>
        </is>
      </c>
      <c r="D16" s="67" t="inlineStr">
        <is>
          <t>Headwater (10 km2 and under)</t>
        </is>
      </c>
      <c r="E16" s="67" t="n">
        <v>8</v>
      </c>
      <c r="F16"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6" s="67" t="n">
        <v>0</v>
      </c>
      <c r="H16" s="67" t="n">
        <v>0.08499997854232788</v>
      </c>
      <c r="I16" s="67" t="n">
        <v>0.1952045351266861</v>
      </c>
      <c r="J16" s="67" t="n">
        <v>0.2545454502105713</v>
      </c>
      <c r="K16" s="67" t="n">
        <v>0.4240909218788147</v>
      </c>
      <c r="L16" s="67" t="n">
        <v>0.4834318369626999</v>
      </c>
      <c r="M16" s="67" t="n">
        <v>0.5936363935470581</v>
      </c>
      <c r="N16" s="67" t="n">
        <v>0.7631818652153015</v>
      </c>
      <c r="O16" s="67" t="n">
        <v>0</v>
      </c>
      <c r="P16" s="67" t="n">
        <v>0.3</v>
      </c>
      <c r="Q16" s="67" t="n">
        <v>0.7</v>
      </c>
      <c r="R16" s="67" t="n">
        <v>1</v>
      </c>
      <c r="S16" s="67" t="n">
        <v>1</v>
      </c>
      <c r="T16" s="67" t="n">
        <v>0.7</v>
      </c>
      <c r="U16" s="67" t="n">
        <v>0.3</v>
      </c>
      <c r="V16" s="67" t="n">
        <v>0</v>
      </c>
    </row>
    <row r="17">
      <c r="A17" s="67" t="inlineStr">
        <is>
          <t>spring_phab_xbkf_h|Small stream (10 to 100 km2)</t>
        </is>
      </c>
      <c r="B17" s="67" t="inlineStr">
        <is>
          <t>spring-phab-xbkf-h</t>
        </is>
      </c>
      <c r="C17" s="67" t="inlineStr">
        <is>
          <t>Bankfull height above channel</t>
        </is>
      </c>
      <c r="D17" s="67" t="inlineStr">
        <is>
          <t>Small stream (10 to 100 km2)</t>
        </is>
      </c>
      <c r="E17" s="67" t="n">
        <v>8</v>
      </c>
      <c r="F17"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7" t="n">
        <v>0</v>
      </c>
      <c r="H17" s="67" t="n">
        <v>0.2181817889213562</v>
      </c>
      <c r="I17" s="67" t="n">
        <v>0.4190908819437027</v>
      </c>
      <c r="J17" s="67" t="n">
        <v>0.5272727012634277</v>
      </c>
      <c r="K17" s="67" t="n">
        <v>0.8363636136054993</v>
      </c>
      <c r="L17" s="67" t="n">
        <v>0.9445454329252243</v>
      </c>
      <c r="M17" s="67" t="n">
        <v>1.145454525947571</v>
      </c>
      <c r="N17" s="67" t="n">
        <v>1.454545438289642</v>
      </c>
      <c r="O17" s="67" t="n">
        <v>0</v>
      </c>
      <c r="P17" s="67" t="n">
        <v>0.3</v>
      </c>
      <c r="Q17" s="67" t="n">
        <v>0.7</v>
      </c>
      <c r="R17" s="67" t="n">
        <v>1</v>
      </c>
      <c r="S17" s="67" t="n">
        <v>1</v>
      </c>
      <c r="T17" s="67" t="n">
        <v>0.7</v>
      </c>
      <c r="U17" s="67" t="n">
        <v>0.3</v>
      </c>
      <c r="V17" s="67" t="n">
        <v>0</v>
      </c>
    </row>
    <row r="18">
      <c r="A18" s="67" t="inlineStr">
        <is>
          <t>spring_phab_xbkf_h|Large stream (over 100 km2)</t>
        </is>
      </c>
      <c r="B18" s="67" t="inlineStr">
        <is>
          <t>spring-phab-xbkf-h</t>
        </is>
      </c>
      <c r="C18" s="67" t="inlineStr">
        <is>
          <t>Bankfull height above channel</t>
        </is>
      </c>
      <c r="D18" s="67" t="inlineStr">
        <is>
          <t>Large stream (over 100 km2)</t>
        </is>
      </c>
      <c r="E18" s="67" t="n">
        <v>8</v>
      </c>
      <c r="F18" s="67" t="inlineStr">
        <is>
          <t>82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7" t="n">
        <v>0</v>
      </c>
      <c r="H18" s="67" t="n">
        <v>0.005681842565536499</v>
      </c>
      <c r="I18" s="67" t="n">
        <v>0.2752841051667929</v>
      </c>
      <c r="J18" s="67" t="n">
        <v>0.4204545542597771</v>
      </c>
      <c r="K18" s="67" t="n">
        <v>0.8352272659540176</v>
      </c>
      <c r="L18" s="67" t="n">
        <v>0.9803977150470018</v>
      </c>
      <c r="M18" s="67" t="n">
        <v>1.249999977648258</v>
      </c>
      <c r="N18" s="67" t="n">
        <v>1.664772689342499</v>
      </c>
      <c r="O18" s="67" t="n">
        <v>0</v>
      </c>
      <c r="P18" s="67" t="n">
        <v>0.3</v>
      </c>
      <c r="Q18" s="67" t="n">
        <v>0.7</v>
      </c>
      <c r="R18" s="67" t="n">
        <v>1</v>
      </c>
      <c r="S18" s="67" t="n">
        <v>1</v>
      </c>
      <c r="T18" s="67" t="n">
        <v>0.7</v>
      </c>
      <c r="U18" s="67" t="n">
        <v>0.3</v>
      </c>
      <c r="V18" s="67" t="n">
        <v>0</v>
      </c>
    </row>
    <row r="19">
      <c r="A19" s="67" t="inlineStr">
        <is>
          <t>spring_phab_pct_safn|</t>
        </is>
      </c>
      <c r="B19" s="67" t="inlineStr">
        <is>
          <t>spring-phab-pct-safn</t>
        </is>
      </c>
      <c r="C19" s="67" t="inlineStr">
        <is>
          <t>Sand + fines</t>
        </is>
      </c>
      <c r="D19" s="67" t="inlineStr"/>
      <c r="E19" s="67" t="n">
        <v>5</v>
      </c>
      <c r="F19" s="67" t="inlineStr">
        <is>
          <t>82 least-disturbed stations borrowed from Level II ecoregion 8.4 (Ozark/Ouachita-Appalachian Forests) under the regional screen (agriculture at most 37.8 percent), transfer risk low</t>
        </is>
      </c>
      <c r="G19" s="67" t="n">
        <v>0</v>
      </c>
      <c r="H19" s="67" t="n">
        <v>2.857142925262451</v>
      </c>
      <c r="I19" s="67" t="n">
        <v>28.5714282989502</v>
      </c>
      <c r="J19" s="67" t="n">
        <v>67.14285635948181</v>
      </c>
      <c r="K19" s="67" t="n">
        <v>92.85714173316956</v>
      </c>
      <c r="L19" s="67" t="n">
        <v>92.85714173316956</v>
      </c>
      <c r="M19" s="67" t="n">
        <v>92.85714173316956</v>
      </c>
      <c r="N19" s="67" t="n">
        <v>92.85714173316956</v>
      </c>
      <c r="O19" s="67" t="n">
        <v>1</v>
      </c>
      <c r="P19" s="67" t="n">
        <v>1</v>
      </c>
      <c r="Q19" s="67" t="n">
        <v>0.7</v>
      </c>
      <c r="R19" s="67" t="n">
        <v>0.3</v>
      </c>
      <c r="S19" s="67" t="n">
        <v>0</v>
      </c>
      <c r="T19" s="67" t="n">
        <v>0</v>
      </c>
      <c r="U19" s="67" t="n">
        <v>0</v>
      </c>
      <c r="V19" s="67" t="n">
        <v>0</v>
      </c>
    </row>
    <row r="20">
      <c r="A20" s="67" t="inlineStr">
        <is>
          <t>spring_phab_xembed|</t>
        </is>
      </c>
      <c r="B20" s="67" t="inlineStr">
        <is>
          <t>spring-phab-xembed</t>
        </is>
      </c>
      <c r="C20" s="67" t="inlineStr">
        <is>
          <t>Embeddedness</t>
        </is>
      </c>
      <c r="D20" s="67" t="inlineStr"/>
      <c r="E20" s="67" t="n">
        <v>4</v>
      </c>
      <c r="F20" s="67" t="inlineStr">
        <is>
          <t>66 least-disturbed stations borrowed from Level II ecoregion 8.4 (Ozark/Ouachita-Appalachian Forests) under the regional screen (agriculture at most 37.8 percent), transfer risk low</t>
        </is>
      </c>
      <c r="G20" s="67" t="n">
        <v>8.822728872299194</v>
      </c>
      <c r="H20" s="67" t="n">
        <v>26.40909147262573</v>
      </c>
      <c r="I20" s="67" t="n">
        <v>61.58181667327881</v>
      </c>
      <c r="J20" s="67" t="n">
        <v>100</v>
      </c>
      <c r="K20" s="67" t="n">
        <v>100</v>
      </c>
      <c r="L20" s="67" t="n">
        <v>100</v>
      </c>
      <c r="M20" s="67" t="n">
        <v>100</v>
      </c>
      <c r="N20" s="67" t="n">
        <v>100</v>
      </c>
      <c r="O20" s="67" t="n">
        <v>1</v>
      </c>
      <c r="P20" s="67" t="n">
        <v>1</v>
      </c>
      <c r="Q20" s="67" t="n">
        <v>0.7</v>
      </c>
      <c r="R20" s="67" t="n">
        <v>0</v>
      </c>
      <c r="S20" s="67" t="n">
        <v>0</v>
      </c>
      <c r="T20" s="67" t="n">
        <v>0</v>
      </c>
      <c r="U20" s="67" t="n">
        <v>0</v>
      </c>
      <c r="V20" s="67" t="n">
        <v>0</v>
      </c>
    </row>
    <row r="21">
      <c r="A21" s="67" t="inlineStr">
        <is>
          <t>spring_phab_sinu|</t>
        </is>
      </c>
      <c r="B21" s="67" t="inlineStr">
        <is>
          <t>spring-phab-sinu</t>
        </is>
      </c>
      <c r="C21" s="67" t="inlineStr">
        <is>
          <t>Sinuosity</t>
        </is>
      </c>
      <c r="D21" s="67" t="inlineStr"/>
      <c r="E21" s="67" t="n">
        <v>4</v>
      </c>
      <c r="F21" s="67" t="inlineStr">
        <is>
          <t>65 least-disturbed stations borrowed from Level II ecoregion 8.4 (Ozark/Ouachita-Appalachian Forests) under the regional screen (agriculture at most 37.8 percent), transfer risk moderate</t>
        </is>
      </c>
      <c r="G21" s="67" t="n">
        <v>1</v>
      </c>
      <c r="H21" s="67" t="n">
        <v>1.048996448516846</v>
      </c>
      <c r="I21" s="67" t="n">
        <v>1.178988695144653</v>
      </c>
      <c r="J21" s="67" t="n">
        <v>1.243984818458557</v>
      </c>
      <c r="K21" s="67" t="n">
        <v>1.243984818458557</v>
      </c>
      <c r="L21" s="67" t="n">
        <v>1.243984818458557</v>
      </c>
      <c r="M21" s="67" t="n">
        <v>1.243984818458557</v>
      </c>
      <c r="N21" s="67" t="n">
        <v>1.243984818458557</v>
      </c>
      <c r="O21" s="67" t="n">
        <v>0</v>
      </c>
      <c r="P21" s="67" t="n">
        <v>0.7</v>
      </c>
      <c r="Q21" s="67" t="n">
        <v>1</v>
      </c>
      <c r="R21" s="67" t="n">
        <v>1</v>
      </c>
      <c r="S21" s="67" t="n">
        <v>1</v>
      </c>
      <c r="T21" s="67" t="n">
        <v>1</v>
      </c>
      <c r="U21" s="67" t="n">
        <v>1</v>
      </c>
      <c r="V21" s="67" t="n">
        <v>1</v>
      </c>
    </row>
    <row r="22">
      <c r="A22" s="67" t="inlineStr">
        <is>
          <t>spring_phab_xbka|</t>
        </is>
      </c>
      <c r="B22" s="67" t="inlineStr">
        <is>
          <t>spring-phab-xbka</t>
        </is>
      </c>
      <c r="C22" s="67" t="inlineStr">
        <is>
          <t>Bank angle</t>
        </is>
      </c>
      <c r="D22" s="67" t="inlineStr"/>
      <c r="E22" s="67" t="n">
        <v>7</v>
      </c>
      <c r="F22" s="67" t="inlineStr">
        <is>
          <t>147 least-disturbed stations borrowed from Level I ecoregion 8 (Eastern Temperate Forests) under the regional screen (agriculture at most 37.8 percent), transfer risk moderate</t>
        </is>
      </c>
      <c r="G22" s="67" t="n">
        <v>0</v>
      </c>
      <c r="H22" s="67" t="n">
        <v>17.67045431137085</v>
      </c>
      <c r="I22" s="67" t="n">
        <v>24.43181800842285</v>
      </c>
      <c r="J22" s="67" t="n">
        <v>43.75</v>
      </c>
      <c r="K22" s="67" t="n">
        <v>50.511363697052</v>
      </c>
      <c r="L22" s="67" t="n">
        <v>63.06818199157715</v>
      </c>
      <c r="M22" s="67" t="n">
        <v>82.3863639831543</v>
      </c>
      <c r="N22" s="67" t="n">
        <v>82.3863639831543</v>
      </c>
      <c r="O22" s="67" t="n">
        <v>0.7</v>
      </c>
      <c r="P22" s="67" t="n">
        <v>0.7</v>
      </c>
      <c r="Q22" s="67" t="n">
        <v>1</v>
      </c>
      <c r="R22" s="67" t="n">
        <v>1</v>
      </c>
      <c r="S22" s="67" t="n">
        <v>0.7</v>
      </c>
      <c r="T22" s="67" t="n">
        <v>0.3</v>
      </c>
      <c r="U22" s="67" t="n">
        <v>0</v>
      </c>
      <c r="V22" s="67" t="n">
        <v>0</v>
      </c>
    </row>
    <row r="23">
      <c r="A23" s="67" t="inlineStr">
        <is>
          <t>spring_phab_lrbs_use|All streams (pooled)</t>
        </is>
      </c>
      <c r="B23" s="67" t="inlineStr">
        <is>
          <t>spring-phab-lrbs-use</t>
        </is>
      </c>
      <c r="C23" s="67" t="inlineStr">
        <is>
          <t>Relative bed stability</t>
        </is>
      </c>
      <c r="D23" s="67" t="inlineStr">
        <is>
          <t>All streams (pooled)</t>
        </is>
      </c>
      <c r="E23" s="67" t="n">
        <v>8</v>
      </c>
      <c r="F23" s="67" t="inlineStr">
        <is>
          <t>174 least-disturbed stations borrowed from Level I ecoregion 8 (Eastern Temperate Forests) under the regional screen (agriculture at most 37.8 percent), transfer risk high</t>
        </is>
      </c>
      <c r="G23" s="67" t="n">
        <v>-4.096516609191895</v>
      </c>
      <c r="H23" s="67" t="n">
        <v>-2.698583245277405</v>
      </c>
      <c r="I23" s="67" t="n">
        <v>-1.789926558732986</v>
      </c>
      <c r="J23" s="67" t="n">
        <v>-1.300649881362915</v>
      </c>
      <c r="K23" s="67" t="n">
        <v>0.09728348255157471</v>
      </c>
      <c r="L23" s="67" t="n">
        <v>0.5865601599216461</v>
      </c>
      <c r="M23" s="67" t="n">
        <v>1.495216846466064</v>
      </c>
      <c r="N23" s="67" t="n">
        <v>2.893150210380554</v>
      </c>
      <c r="O23" s="67" t="n">
        <v>0</v>
      </c>
      <c r="P23" s="67" t="n">
        <v>0.3</v>
      </c>
      <c r="Q23" s="67" t="n">
        <v>0.7</v>
      </c>
      <c r="R23" s="67" t="n">
        <v>1</v>
      </c>
      <c r="S23" s="67" t="n">
        <v>1</v>
      </c>
      <c r="T23" s="67" t="n">
        <v>0.7</v>
      </c>
      <c r="U23" s="67" t="n">
        <v>0.3</v>
      </c>
      <c r="V23" s="67" t="n">
        <v>0</v>
      </c>
    </row>
    <row r="24">
      <c r="A24" s="67" t="inlineStr">
        <is>
          <t>spring_phab_lrbs_use|Headwater (10 km2 and under)</t>
        </is>
      </c>
      <c r="B24" s="67" t="inlineStr">
        <is>
          <t>spring-phab-lrbs-use</t>
        </is>
      </c>
      <c r="C24" s="67" t="inlineStr">
        <is>
          <t>Relative bed stability</t>
        </is>
      </c>
      <c r="D24" s="67" t="inlineStr">
        <is>
          <t>Headwater (10 km2 and under)</t>
        </is>
      </c>
      <c r="E24" s="67" t="n">
        <v>8</v>
      </c>
      <c r="F24" s="67" t="inlineStr">
        <is>
          <t>174 least-disturbed stations borrowed from Level I ecoregion 8 (Eastern Temperate Forests) under the regional screen (agriculture at most 37.8 percent), transfer risk high</t>
        </is>
      </c>
      <c r="G24" s="67" t="n">
        <v>-3.952166482806206</v>
      </c>
      <c r="H24" s="67" t="n">
        <v>-2.697333283722401</v>
      </c>
      <c r="I24" s="67" t="n">
        <v>-1.881691704317927</v>
      </c>
      <c r="J24" s="67" t="n">
        <v>-1.442500084638596</v>
      </c>
      <c r="K24" s="67" t="n">
        <v>-0.1876668855547905</v>
      </c>
      <c r="L24" s="67" t="n">
        <v>0.2515247341245412</v>
      </c>
      <c r="M24" s="67" t="n">
        <v>1.067166313529015</v>
      </c>
      <c r="N24" s="67" t="n">
        <v>2.32199951261282</v>
      </c>
      <c r="O24" s="67" t="n">
        <v>0</v>
      </c>
      <c r="P24" s="67" t="n">
        <v>0.3</v>
      </c>
      <c r="Q24" s="67" t="n">
        <v>0.7</v>
      </c>
      <c r="R24" s="67" t="n">
        <v>1</v>
      </c>
      <c r="S24" s="67" t="n">
        <v>1</v>
      </c>
      <c r="T24" s="67" t="n">
        <v>0.7</v>
      </c>
      <c r="U24" s="67" t="n">
        <v>0.3</v>
      </c>
      <c r="V24" s="67" t="n">
        <v>0</v>
      </c>
    </row>
    <row r="25">
      <c r="A25" s="67" t="inlineStr">
        <is>
          <t>spring_phab_lrbs_use|Small stream (10 to 100 km2)</t>
        </is>
      </c>
      <c r="B25" s="67" t="inlineStr">
        <is>
          <t>spring-phab-lrbs-use</t>
        </is>
      </c>
      <c r="C25" s="67" t="inlineStr">
        <is>
          <t>Relative bed stability</t>
        </is>
      </c>
      <c r="D25" s="67" t="inlineStr">
        <is>
          <t>Small stream (10 to 100 km2)</t>
        </is>
      </c>
      <c r="E25" s="67" t="n">
        <v>8</v>
      </c>
      <c r="F25" s="67" t="inlineStr">
        <is>
          <t>174 least-disturbed stations borrowed from Level I ecoregion 8 (Eastern Temperate Forests) under the regional screen (agriculture at most 37.8 percent), transfer risk high</t>
        </is>
      </c>
      <c r="G25" s="67" t="n">
        <v>-3.396310210227966</v>
      </c>
      <c r="H25" s="67" t="n">
        <v>-2.3597491979599</v>
      </c>
      <c r="I25" s="67" t="n">
        <v>-1.685984539985657</v>
      </c>
      <c r="J25" s="67" t="n">
        <v>-1.323188185691833</v>
      </c>
      <c r="K25" s="67" t="n">
        <v>-0.2866271734237671</v>
      </c>
      <c r="L25" s="67" t="n">
        <v>0.07616918087005614</v>
      </c>
      <c r="M25" s="67" t="n">
        <v>0.7499338388442993</v>
      </c>
      <c r="N25" s="67" t="n">
        <v>1.786494851112366</v>
      </c>
      <c r="O25" s="67" t="n">
        <v>0</v>
      </c>
      <c r="P25" s="67" t="n">
        <v>0.3</v>
      </c>
      <c r="Q25" s="67" t="n">
        <v>0.7</v>
      </c>
      <c r="R25" s="67" t="n">
        <v>1</v>
      </c>
      <c r="S25" s="67" t="n">
        <v>1</v>
      </c>
      <c r="T25" s="67" t="n">
        <v>0.7</v>
      </c>
      <c r="U25" s="67" t="n">
        <v>0.3</v>
      </c>
      <c r="V25" s="67" t="n">
        <v>0</v>
      </c>
    </row>
    <row r="26">
      <c r="A26" s="67" t="inlineStr">
        <is>
          <t>spring_phab_lrbs_use|Large stream (over 100 km2)</t>
        </is>
      </c>
      <c r="B26" s="67" t="inlineStr">
        <is>
          <t>spring-phab-lrbs-use</t>
        </is>
      </c>
      <c r="C26" s="67" t="inlineStr">
        <is>
          <t>Relative bed stability</t>
        </is>
      </c>
      <c r="D26" s="67" t="inlineStr">
        <is>
          <t>Large stream (over 100 km2)</t>
        </is>
      </c>
      <c r="E26" s="67" t="n">
        <v>8</v>
      </c>
      <c r="F26" s="67" t="inlineStr">
        <is>
          <t>174 least-disturbed stations borrowed from Level I ecoregion 8 (Eastern Temperate Forests) under the regional screen (agriculture at most 37.8 percent), transfer risk high</t>
        </is>
      </c>
      <c r="G26" s="67" t="n">
        <v>-4.053982734680176</v>
      </c>
      <c r="H26" s="67" t="n">
        <v>-2.443291842937469</v>
      </c>
      <c r="I26" s="67" t="n">
        <v>-1.39634276330471</v>
      </c>
      <c r="J26" s="67" t="n">
        <v>-0.8326009511947632</v>
      </c>
      <c r="K26" s="67" t="n">
        <v>0.7780899405479431</v>
      </c>
      <c r="L26" s="67" t="n">
        <v>1.34183175265789</v>
      </c>
      <c r="M26" s="67" t="n">
        <v>2.388780832290649</v>
      </c>
      <c r="N26" s="67" t="n">
        <v>3.999471724033356</v>
      </c>
      <c r="O26" s="67" t="n">
        <v>0</v>
      </c>
      <c r="P26" s="67" t="n">
        <v>0.3</v>
      </c>
      <c r="Q26" s="67" t="n">
        <v>0.7</v>
      </c>
      <c r="R26" s="67" t="n">
        <v>1</v>
      </c>
      <c r="S26" s="67" t="n">
        <v>1</v>
      </c>
      <c r="T26" s="67" t="n">
        <v>0.7</v>
      </c>
      <c r="U26" s="67" t="n">
        <v>0.3</v>
      </c>
      <c r="V26" s="67" t="n">
        <v>0</v>
      </c>
    </row>
    <row r="27">
      <c r="A27" s="67" t="inlineStr">
        <is>
          <t>spring_phab_lwdeqvolm100|</t>
        </is>
      </c>
      <c r="B27" s="67" t="inlineStr">
        <is>
          <t>spring-phab-lwdeqvolm100</t>
        </is>
      </c>
      <c r="C27" s="67" t="inlineStr">
        <is>
          <t>Large wood volume</t>
        </is>
      </c>
      <c r="D27" s="67" t="inlineStr"/>
      <c r="E27" s="67" t="n">
        <v>5</v>
      </c>
      <c r="F27" s="67" t="inlineStr">
        <is>
          <t>Reference curve fitted to comparable least-disturbed stations drawn from the national pool, because this ecoregion and its parents hold too few of their own.</t>
        </is>
      </c>
      <c r="G27" s="67" t="n">
        <v>0</v>
      </c>
      <c r="H27" s="67" t="n">
        <v>0.1873125008174351</v>
      </c>
      <c r="I27" s="67" t="n">
        <v>0.4370625019073486</v>
      </c>
      <c r="J27" s="67" t="n">
        <v>7.322163343429565</v>
      </c>
      <c r="K27" s="67" t="n">
        <v>10.76471376419067</v>
      </c>
      <c r="L27" s="67" t="n">
        <v>10.76471376419067</v>
      </c>
      <c r="M27" s="67" t="n">
        <v>10.76471376419067</v>
      </c>
      <c r="N27" s="67" t="n">
        <v>10.76471376419067</v>
      </c>
      <c r="O27" s="67" t="n">
        <v>0</v>
      </c>
      <c r="P27" s="67" t="n">
        <v>0.3</v>
      </c>
      <c r="Q27" s="67" t="n">
        <v>0.7</v>
      </c>
      <c r="R27" s="67" t="n">
        <v>1</v>
      </c>
      <c r="S27" s="67" t="n">
        <v>1</v>
      </c>
      <c r="T27" s="67" t="n">
        <v>1</v>
      </c>
      <c r="U27" s="67" t="n">
        <v>1</v>
      </c>
      <c r="V27" s="67" t="n">
        <v>1</v>
      </c>
    </row>
    <row r="28">
      <c r="A28" s="67" t="inlineStr">
        <is>
          <t>spring_chem_chla|</t>
        </is>
      </c>
      <c r="B28" s="67" t="inlineStr">
        <is>
          <t>spring-chem-chla</t>
        </is>
      </c>
      <c r="C28" s="67" t="inlineStr">
        <is>
          <t>Chlorophyll a</t>
        </is>
      </c>
      <c r="D28" s="67" t="inlineStr"/>
      <c r="E28" s="67" t="n">
        <v>5</v>
      </c>
      <c r="F28" s="67" t="inlineStr">
        <is>
          <t>21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0.44 of evaluation regions; two thirds required; net optimism +0.18, at most 0.05 allowed); confidence capped at 39.</t>
        </is>
      </c>
      <c r="G28" s="67" t="n">
        <v>0</v>
      </c>
      <c r="H28" s="67" t="n">
        <v>0.3799999952316284</v>
      </c>
      <c r="I28" s="67" t="n">
        <v>2.829999923706055</v>
      </c>
      <c r="J28" s="67" t="n">
        <v>6.504999816417694</v>
      </c>
      <c r="K28" s="67" t="n">
        <v>8.95499974489212</v>
      </c>
      <c r="L28" s="67" t="n">
        <v>8.95499974489212</v>
      </c>
      <c r="M28" s="67" t="n">
        <v>8.95499974489212</v>
      </c>
      <c r="N28" s="67" t="n">
        <v>8.95499974489212</v>
      </c>
      <c r="O28" s="67" t="n">
        <v>1</v>
      </c>
      <c r="P28" s="67" t="n">
        <v>1</v>
      </c>
      <c r="Q28" s="67" t="n">
        <v>0.7</v>
      </c>
      <c r="R28" s="67" t="n">
        <v>0.3</v>
      </c>
      <c r="S28" s="67" t="n">
        <v>0</v>
      </c>
      <c r="T28" s="67" t="n">
        <v>0</v>
      </c>
      <c r="U28" s="67" t="n">
        <v>0</v>
      </c>
      <c r="V28" s="67" t="n">
        <v>0</v>
      </c>
    </row>
    <row r="29">
      <c r="A29" s="67" t="inlineStr">
        <is>
          <t>spring_phab_xcdenmid|</t>
        </is>
      </c>
      <c r="B29" s="67" t="inlineStr">
        <is>
          <t>spring-phab-xcdenmid</t>
        </is>
      </c>
      <c r="C29" s="67" t="inlineStr">
        <is>
          <t>Canopy density, mid-channel</t>
        </is>
      </c>
      <c r="D29" s="67" t="inlineStr"/>
      <c r="E29" s="67" t="n">
        <v>5</v>
      </c>
      <c r="F29" s="67" t="inlineStr">
        <is>
          <t>54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7" t="n">
        <v>0</v>
      </c>
      <c r="H29" s="67" t="n">
        <v>26.82948180607387</v>
      </c>
      <c r="I29" s="67" t="n">
        <v>62.60212421417236</v>
      </c>
      <c r="J29" s="67" t="n">
        <v>93.68315315246582</v>
      </c>
      <c r="K29" s="67" t="n">
        <v>100</v>
      </c>
      <c r="L29" s="67" t="n">
        <v>100</v>
      </c>
      <c r="M29" s="67" t="n">
        <v>100</v>
      </c>
      <c r="N29" s="67" t="n">
        <v>100</v>
      </c>
      <c r="O29" s="67" t="n">
        <v>0</v>
      </c>
      <c r="P29" s="67" t="n">
        <v>0.3</v>
      </c>
      <c r="Q29" s="67" t="n">
        <v>0.7</v>
      </c>
      <c r="R29" s="67" t="n">
        <v>1</v>
      </c>
      <c r="S29" s="67" t="n">
        <v>1</v>
      </c>
      <c r="T29" s="67" t="n">
        <v>1</v>
      </c>
      <c r="U29" s="67" t="n">
        <v>1</v>
      </c>
      <c r="V29" s="67" t="n">
        <v>1</v>
      </c>
    </row>
    <row r="30">
      <c r="A30" s="67" t="inlineStr">
        <is>
          <t>spring_phab_xcmgw|</t>
        </is>
      </c>
      <c r="B30" s="67" t="inlineStr">
        <is>
          <t>spring-phab-xcmgw</t>
        </is>
      </c>
      <c r="C30" s="67" t="inlineStr">
        <is>
          <t>Riparian veg cover, woody</t>
        </is>
      </c>
      <c r="D30" s="67" t="inlineStr"/>
      <c r="E30" s="67" t="n">
        <v>5</v>
      </c>
      <c r="F30" s="67"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7" t="n">
        <v>0</v>
      </c>
      <c r="H30" s="67" t="n">
        <v>0.3224025964736938</v>
      </c>
      <c r="I30" s="67" t="n">
        <v>0.7522727251052856</v>
      </c>
      <c r="J30" s="67" t="n">
        <v>1.545454502105713</v>
      </c>
      <c r="K30" s="67" t="n">
        <v>1.942045390605927</v>
      </c>
      <c r="L30" s="67" t="n">
        <v>1.942045390605927</v>
      </c>
      <c r="M30" s="67" t="n">
        <v>1.942045390605927</v>
      </c>
      <c r="N30" s="67" t="n">
        <v>1.942045390605927</v>
      </c>
      <c r="O30" s="67" t="n">
        <v>0</v>
      </c>
      <c r="P30" s="67" t="n">
        <v>0.3</v>
      </c>
      <c r="Q30" s="67" t="n">
        <v>0.7</v>
      </c>
      <c r="R30" s="67" t="n">
        <v>1</v>
      </c>
      <c r="S30" s="67" t="n">
        <v>1</v>
      </c>
      <c r="T30" s="67" t="n">
        <v>1</v>
      </c>
      <c r="U30" s="67" t="n">
        <v>1</v>
      </c>
      <c r="V30" s="67" t="n">
        <v>1</v>
      </c>
    </row>
    <row r="31">
      <c r="A31" s="67" t="inlineStr">
        <is>
          <t>spring_chem_ntl|</t>
        </is>
      </c>
      <c r="B31" s="67" t="inlineStr">
        <is>
          <t>spring-chem-ntl</t>
        </is>
      </c>
      <c r="C31" s="67" t="inlineStr">
        <is>
          <t>Total nitrogen</t>
        </is>
      </c>
      <c r="D31" s="67" t="inlineStr"/>
      <c r="E31" s="67" t="n">
        <v>4</v>
      </c>
      <c r="F31" s="67" t="inlineStr">
        <is>
          <t>Scored against a published criterion rather than against stations from this ecoregion. The criterion carries its own definition of reference, which need not match this assessment's.</t>
        </is>
      </c>
      <c r="G31" s="67" t="n">
        <v>0</v>
      </c>
      <c r="H31" s="67" t="n">
        <v>0.2405</v>
      </c>
      <c r="I31" s="67" t="n">
        <v>0.456</v>
      </c>
      <c r="J31" s="67" t="n">
        <v>0.73615</v>
      </c>
      <c r="K31" s="67" t="n">
        <v>0.73615</v>
      </c>
      <c r="L31" s="67" t="n">
        <v>0.73615</v>
      </c>
      <c r="M31" s="67" t="n">
        <v>0.73615</v>
      </c>
      <c r="N31" s="67" t="n">
        <v>0.73615</v>
      </c>
      <c r="O31" s="67" t="n">
        <v>1</v>
      </c>
      <c r="P31" s="67" t="n">
        <v>0.6899999999999999</v>
      </c>
      <c r="Q31" s="67" t="n">
        <v>0.39</v>
      </c>
      <c r="R31" s="67" t="n">
        <v>0</v>
      </c>
      <c r="S31" s="67" t="n">
        <v>0</v>
      </c>
      <c r="T31" s="67" t="n">
        <v>0</v>
      </c>
      <c r="U31" s="67" t="n">
        <v>0</v>
      </c>
      <c r="V31" s="67" t="n">
        <v>0</v>
      </c>
    </row>
    <row r="32">
      <c r="A32" s="67" t="inlineStr">
        <is>
          <t>spring_chem_ptl|</t>
        </is>
      </c>
      <c r="B32" s="67" t="inlineStr">
        <is>
          <t>spring-chem-ptl</t>
        </is>
      </c>
      <c r="C32" s="67" t="inlineStr">
        <is>
          <t>Total phosphorus</t>
        </is>
      </c>
      <c r="D32" s="67" t="inlineStr"/>
      <c r="E32" s="67" t="n">
        <v>4</v>
      </c>
      <c r="F32" s="67" t="inlineStr">
        <is>
          <t>Scored against a published criterion rather than against stations from this ecoregion. The criterion carries its own definition of reference, which need not match this assessment's.</t>
        </is>
      </c>
      <c r="G32" s="67" t="n">
        <v>0</v>
      </c>
      <c r="H32" s="67" t="n">
        <v>14.85</v>
      </c>
      <c r="I32" s="67" t="n">
        <v>24.4</v>
      </c>
      <c r="J32" s="67" t="n">
        <v>36.815</v>
      </c>
      <c r="K32" s="67" t="n">
        <v>36.815</v>
      </c>
      <c r="L32" s="67" t="n">
        <v>36.815</v>
      </c>
      <c r="M32" s="67" t="n">
        <v>36.815</v>
      </c>
      <c r="N32" s="67" t="n">
        <v>36.815</v>
      </c>
      <c r="O32" s="67" t="n">
        <v>1</v>
      </c>
      <c r="P32" s="67" t="n">
        <v>0.6899999999999999</v>
      </c>
      <c r="Q32" s="67" t="n">
        <v>0.39</v>
      </c>
      <c r="R32" s="67" t="n">
        <v>0</v>
      </c>
      <c r="S32" s="67" t="n">
        <v>0</v>
      </c>
      <c r="T32" s="67" t="n">
        <v>0</v>
      </c>
      <c r="U32" s="67" t="n">
        <v>0</v>
      </c>
      <c r="V32" s="67" t="n">
        <v>0</v>
      </c>
    </row>
    <row r="33">
      <c r="A33" s="67" t="inlineStr">
        <is>
          <t>spring_chem_ph|</t>
        </is>
      </c>
      <c r="B33" s="67" t="inlineStr">
        <is>
          <t>spring-chem-ph</t>
        </is>
      </c>
      <c r="C33" s="67" t="inlineStr">
        <is>
          <t>pH</t>
        </is>
      </c>
      <c r="D33" s="67" t="inlineStr"/>
      <c r="E33" s="67" t="n">
        <v>8</v>
      </c>
      <c r="F33" s="67" t="inlineStr">
        <is>
          <t>21 least-disturbed stations borrowed from Level I ecoregion 8 (Eastern Temperate Forests) under the regional screen (agriculture at most 37.8 percent), transfer risk moderate</t>
        </is>
      </c>
      <c r="G33" s="67" t="n">
        <v>5.740000247955322</v>
      </c>
      <c r="H33" s="67" t="n">
        <v>6.380000114440918</v>
      </c>
      <c r="I33" s="67" t="n">
        <v>6.796000027656556</v>
      </c>
      <c r="J33" s="67" t="n">
        <v>7.019999980926514</v>
      </c>
      <c r="K33" s="67" t="n">
        <v>7.659999847412109</v>
      </c>
      <c r="L33" s="67" t="n">
        <v>7.883999800682068</v>
      </c>
      <c r="M33" s="67" t="n">
        <v>8.299999713897705</v>
      </c>
      <c r="N33" s="67" t="n">
        <v>8.939999580383301</v>
      </c>
      <c r="O33" s="67" t="n">
        <v>0</v>
      </c>
      <c r="P33" s="67" t="n">
        <v>0.3</v>
      </c>
      <c r="Q33" s="67" t="n">
        <v>0.7</v>
      </c>
      <c r="R33" s="67" t="n">
        <v>1</v>
      </c>
      <c r="S33" s="67" t="n">
        <v>1</v>
      </c>
      <c r="T33" s="67" t="n">
        <v>0.7</v>
      </c>
      <c r="U33" s="67" t="n">
        <v>0.3</v>
      </c>
      <c r="V33" s="67" t="n">
        <v>0</v>
      </c>
    </row>
    <row r="34">
      <c r="A34" s="67" t="inlineStr">
        <is>
          <t>spring_chem_turb|</t>
        </is>
      </c>
      <c r="B34" s="67" t="inlineStr">
        <is>
          <t>spring-chem-turb</t>
        </is>
      </c>
      <c r="C34" s="67" t="inlineStr">
        <is>
          <t>Turbidity</t>
        </is>
      </c>
      <c r="D34" s="67" t="inlineStr"/>
      <c r="E34" s="67" t="n">
        <v>5</v>
      </c>
      <c r="F34" s="67" t="inlineStr">
        <is>
          <t>Reference curve from a modeled expectation. The response to landscape pressure is estimated nationally and this ecoregion's own level is added, because the ecoregion holds too few streams clean enough to observe reference condition directly.</t>
        </is>
      </c>
      <c r="G34" s="67" t="n">
        <v>0</v>
      </c>
      <c r="H34" s="67" t="n">
        <v>1.007301620890919</v>
      </c>
      <c r="I34" s="67" t="n">
        <v>3.859989967685427</v>
      </c>
      <c r="J34" s="67" t="n">
        <v>8.13902248787719</v>
      </c>
      <c r="K34" s="67" t="n">
        <v>10.9917108346717</v>
      </c>
      <c r="L34" s="67" t="n">
        <v>10.9917108346717</v>
      </c>
      <c r="M34" s="67" t="n">
        <v>10.9917108346717</v>
      </c>
      <c r="N34" s="67" t="n">
        <v>10.9917108346717</v>
      </c>
      <c r="O34" s="67" t="n">
        <v>1</v>
      </c>
      <c r="P34" s="67" t="n">
        <v>1</v>
      </c>
      <c r="Q34" s="67" t="n">
        <v>0.7</v>
      </c>
      <c r="R34" s="67" t="n">
        <v>0.3</v>
      </c>
      <c r="S34" s="67" t="n">
        <v>0</v>
      </c>
      <c r="T34" s="67" t="n">
        <v>0</v>
      </c>
      <c r="U34" s="67" t="n">
        <v>0</v>
      </c>
      <c r="V34" s="67" t="n">
        <v>0</v>
      </c>
    </row>
    <row r="35">
      <c r="A35" s="67" t="inlineStr">
        <is>
          <t>spring_phab_pct_fast|All streams (pooled)</t>
        </is>
      </c>
      <c r="B35" s="67" t="inlineStr">
        <is>
          <t>spring-phab-pct-fast</t>
        </is>
      </c>
      <c r="C35" s="67" t="inlineStr">
        <is>
          <t>Fast-water / riffle habitat</t>
        </is>
      </c>
      <c r="D35" s="67" t="inlineStr">
        <is>
          <t>All streams (pooled)</t>
        </is>
      </c>
      <c r="E35" s="67" t="n">
        <v>5</v>
      </c>
      <c r="F35" s="67" t="inlineStr">
        <is>
          <t>82 least-disturbed stations borrowed from Level II ecoregion 8.4 (Ozark/Ouachita-Appalachian Forests) under the regional screen (agriculture at most 37.8 percent), transfer risk low</t>
        </is>
      </c>
      <c r="G35" s="67" t="n">
        <v>0</v>
      </c>
      <c r="H35" s="67" t="n">
        <v>5.663719960621425</v>
      </c>
      <c r="I35" s="67" t="n">
        <v>13.21534657478333</v>
      </c>
      <c r="J35" s="67" t="n">
        <v>46.93224334716797</v>
      </c>
      <c r="K35" s="67" t="n">
        <v>63.79069173336029</v>
      </c>
      <c r="L35" s="67" t="n">
        <v>63.79069173336029</v>
      </c>
      <c r="M35" s="67" t="n">
        <v>63.79069173336029</v>
      </c>
      <c r="N35" s="67" t="n">
        <v>63.79069173336029</v>
      </c>
      <c r="O35" s="67" t="n">
        <v>0</v>
      </c>
      <c r="P35" s="67" t="n">
        <v>0.3</v>
      </c>
      <c r="Q35" s="67" t="n">
        <v>0.7</v>
      </c>
      <c r="R35" s="67" t="n">
        <v>1</v>
      </c>
      <c r="S35" s="67" t="n">
        <v>1</v>
      </c>
      <c r="T35" s="67" t="n">
        <v>1</v>
      </c>
      <c r="U35" s="67" t="n">
        <v>1</v>
      </c>
      <c r="V35" s="67" t="n">
        <v>1</v>
      </c>
    </row>
    <row r="36">
      <c r="A36" s="67" t="inlineStr">
        <is>
          <t>spring_phab_pct_fast|Low gradient (under 0.5 percent)</t>
        </is>
      </c>
      <c r="B36" s="67" t="inlineStr">
        <is>
          <t>spring-phab-pct-fast</t>
        </is>
      </c>
      <c r="C36" s="67" t="inlineStr">
        <is>
          <t>Fast-water / riffle habitat</t>
        </is>
      </c>
      <c r="D36" s="67" t="inlineStr">
        <is>
          <t>Low gradient (under 0.5 percent)</t>
        </is>
      </c>
      <c r="E36" s="67" t="n">
        <v>5</v>
      </c>
      <c r="F36" s="67" t="inlineStr">
        <is>
          <t>82 least-disturbed stations borrowed from Level II ecoregion 8.4 (Ozark/Ouachita-Appalachian Forests) under the regional screen (agriculture at most 37.8 percent), transfer risk low</t>
        </is>
      </c>
      <c r="G36" s="67" t="n">
        <v>0</v>
      </c>
      <c r="H36" s="67" t="n">
        <v>4.285714285714286</v>
      </c>
      <c r="I36" s="67" t="n">
        <v>10</v>
      </c>
      <c r="J36" s="67" t="n">
        <v>27.81818199157715</v>
      </c>
      <c r="K36" s="67" t="n">
        <v>36.72727298736572</v>
      </c>
      <c r="L36" s="67" t="n">
        <v>36.72727298736572</v>
      </c>
      <c r="M36" s="67" t="n">
        <v>36.72727298736572</v>
      </c>
      <c r="N36" s="67" t="n">
        <v>36.72727298736572</v>
      </c>
      <c r="O36" s="67" t="n">
        <v>0</v>
      </c>
      <c r="P36" s="67" t="n">
        <v>0.3</v>
      </c>
      <c r="Q36" s="67" t="n">
        <v>0.7</v>
      </c>
      <c r="R36" s="67" t="n">
        <v>1</v>
      </c>
      <c r="S36" s="67" t="n">
        <v>1</v>
      </c>
      <c r="T36" s="67" t="n">
        <v>1</v>
      </c>
      <c r="U36" s="67" t="n">
        <v>1</v>
      </c>
      <c r="V36" s="67" t="n">
        <v>1</v>
      </c>
    </row>
    <row r="37">
      <c r="A37" s="67" t="inlineStr">
        <is>
          <t>spring_phab_pct_fast|Moderate gradient (0.5 to 2 percent)</t>
        </is>
      </c>
      <c r="B37" s="67" t="inlineStr">
        <is>
          <t>spring-phab-pct-fast</t>
        </is>
      </c>
      <c r="C37" s="67" t="inlineStr">
        <is>
          <t>Fast-water / riffle habitat</t>
        </is>
      </c>
      <c r="D37" s="67" t="inlineStr">
        <is>
          <t>Moderate gradient (0.5 to 2 percent)</t>
        </is>
      </c>
      <c r="E37" s="67" t="n">
        <v>5</v>
      </c>
      <c r="F37" s="67" t="inlineStr">
        <is>
          <t>82 least-disturbed stations borrowed from Level II ecoregion 8.4 (Ozark/Ouachita-Appalachian Forests) under the regional screen (agriculture at most 37.8 percent), transfer risk low</t>
        </is>
      </c>
      <c r="G37" s="67" t="n">
        <v>0</v>
      </c>
      <c r="H37" s="67" t="n">
        <v>5.25</v>
      </c>
      <c r="I37" s="67" t="n">
        <v>12.25</v>
      </c>
      <c r="J37" s="67" t="n">
        <v>53.68181800842285</v>
      </c>
      <c r="K37" s="67" t="n">
        <v>74.39772701263428</v>
      </c>
      <c r="L37" s="67" t="n">
        <v>74.39772701263428</v>
      </c>
      <c r="M37" s="67" t="n">
        <v>74.39772701263428</v>
      </c>
      <c r="N37" s="67" t="n">
        <v>74.39772701263428</v>
      </c>
      <c r="O37" s="67" t="n">
        <v>0</v>
      </c>
      <c r="P37" s="67" t="n">
        <v>0.3</v>
      </c>
      <c r="Q37" s="67" t="n">
        <v>0.7</v>
      </c>
      <c r="R37" s="67" t="n">
        <v>1</v>
      </c>
      <c r="S37" s="67" t="n">
        <v>1</v>
      </c>
      <c r="T37" s="67" t="n">
        <v>1</v>
      </c>
      <c r="U37" s="67" t="n">
        <v>1</v>
      </c>
      <c r="V37" s="67" t="n">
        <v>1</v>
      </c>
    </row>
    <row r="38">
      <c r="A38" s="67" t="inlineStr">
        <is>
          <t>spring_phab_pct_fast|Steep (2 percent and above)</t>
        </is>
      </c>
      <c r="B38" s="67" t="inlineStr">
        <is>
          <t>spring-phab-pct-fast</t>
        </is>
      </c>
      <c r="C38" s="67" t="inlineStr">
        <is>
          <t>Fast-water / riffle habitat</t>
        </is>
      </c>
      <c r="D38" s="67" t="inlineStr">
        <is>
          <t>Steep (2 percent and above)</t>
        </is>
      </c>
      <c r="E38" s="67" t="n">
        <v>5</v>
      </c>
      <c r="F38" s="67" t="inlineStr">
        <is>
          <t>82 least-disturbed stations borrowed from Level II ecoregion 8.4 (Ozark/Ouachita-Appalachian Forests) under the regional screen (agriculture at most 37.8 percent), transfer risk low</t>
        </is>
      </c>
      <c r="G38" s="67" t="n">
        <v>0</v>
      </c>
      <c r="H38" s="67" t="n">
        <v>8.857142789023262</v>
      </c>
      <c r="I38" s="67" t="n">
        <v>20.66666650772095</v>
      </c>
      <c r="J38" s="67" t="n">
        <v>66.33333301544189</v>
      </c>
      <c r="K38" s="67" t="n">
        <v>89.16666626930237</v>
      </c>
      <c r="L38" s="67" t="n">
        <v>89.16666626930237</v>
      </c>
      <c r="M38" s="67" t="n">
        <v>89.16666626930237</v>
      </c>
      <c r="N38" s="67" t="n">
        <v>89.16666626930237</v>
      </c>
      <c r="O38" s="67" t="n">
        <v>0</v>
      </c>
      <c r="P38" s="67" t="n">
        <v>0.3</v>
      </c>
      <c r="Q38" s="67" t="n">
        <v>0.7</v>
      </c>
      <c r="R38" s="67" t="n">
        <v>1</v>
      </c>
      <c r="S38" s="67" t="n">
        <v>1</v>
      </c>
      <c r="T38" s="67" t="n">
        <v>1</v>
      </c>
      <c r="U38" s="67" t="n">
        <v>1</v>
      </c>
      <c r="V38" s="67" t="n">
        <v>1</v>
      </c>
    </row>
    <row r="39">
      <c r="A39" s="67" t="inlineStr">
        <is>
          <t>spring_phab_xfc_nat|All streams (pooled)</t>
        </is>
      </c>
      <c r="B39" s="67" t="inlineStr">
        <is>
          <t>spring-phab-xfc-nat</t>
        </is>
      </c>
      <c r="C39" s="67" t="inlineStr">
        <is>
          <t>Natural fish cover</t>
        </is>
      </c>
      <c r="D39" s="67" t="inlineStr">
        <is>
          <t>All streams (pooled)</t>
        </is>
      </c>
      <c r="E39" s="67" t="n">
        <v>5</v>
      </c>
      <c r="F39" s="67"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9" s="67" t="n">
        <v>0</v>
      </c>
      <c r="H39" s="67" t="n">
        <v>0.09837662535054344</v>
      </c>
      <c r="I39" s="67" t="n">
        <v>0.229545459151268</v>
      </c>
      <c r="J39" s="67" t="n">
        <v>0.5977272987365723</v>
      </c>
      <c r="K39" s="67" t="n">
        <v>0.7818182185292244</v>
      </c>
      <c r="L39" s="67" t="n">
        <v>0.7818182185292244</v>
      </c>
      <c r="M39" s="67" t="n">
        <v>0.7818182185292244</v>
      </c>
      <c r="N39" s="67" t="n">
        <v>0.7818182185292244</v>
      </c>
      <c r="O39" s="67" t="n">
        <v>0</v>
      </c>
      <c r="P39" s="67" t="n">
        <v>0.3</v>
      </c>
      <c r="Q39" s="67" t="n">
        <v>0.7</v>
      </c>
      <c r="R39" s="67" t="n">
        <v>1</v>
      </c>
      <c r="S39" s="67" t="n">
        <v>1</v>
      </c>
      <c r="T39" s="67" t="n">
        <v>1</v>
      </c>
      <c r="U39" s="67" t="n">
        <v>1</v>
      </c>
      <c r="V39" s="67" t="n">
        <v>1</v>
      </c>
    </row>
    <row r="40">
      <c r="A40" s="67" t="inlineStr">
        <is>
          <t>spring_phab_xfc_nat|Headwater (10 km2 and under)</t>
        </is>
      </c>
      <c r="B40" s="67" t="inlineStr">
        <is>
          <t>spring-phab-xfc-nat</t>
        </is>
      </c>
      <c r="C40" s="67" t="inlineStr">
        <is>
          <t>Natural fish cover</t>
        </is>
      </c>
      <c r="D40" s="67" t="inlineStr">
        <is>
          <t>Headwater (10 km2 and under)</t>
        </is>
      </c>
      <c r="E40" s="67" t="n">
        <v>5</v>
      </c>
      <c r="F40" s="67"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0" s="67" t="n">
        <v>0</v>
      </c>
      <c r="H40" s="67" t="n">
        <v>0.1178571454116276</v>
      </c>
      <c r="I40" s="67" t="n">
        <v>0.2750000059604645</v>
      </c>
      <c r="J40" s="67" t="n">
        <v>0.6068181991577148</v>
      </c>
      <c r="K40" s="67" t="n">
        <v>0.77272729575634</v>
      </c>
      <c r="L40" s="67" t="n">
        <v>0.77272729575634</v>
      </c>
      <c r="M40" s="67" t="n">
        <v>0.77272729575634</v>
      </c>
      <c r="N40" s="67" t="n">
        <v>0.77272729575634</v>
      </c>
      <c r="O40" s="67" t="n">
        <v>0</v>
      </c>
      <c r="P40" s="67" t="n">
        <v>0.3</v>
      </c>
      <c r="Q40" s="67" t="n">
        <v>0.7</v>
      </c>
      <c r="R40" s="67" t="n">
        <v>1</v>
      </c>
      <c r="S40" s="67" t="n">
        <v>1</v>
      </c>
      <c r="T40" s="67" t="n">
        <v>1</v>
      </c>
      <c r="U40" s="67" t="n">
        <v>1</v>
      </c>
      <c r="V40" s="67" t="n">
        <v>1</v>
      </c>
    </row>
    <row r="41">
      <c r="A41" s="67" t="inlineStr">
        <is>
          <t>spring_phab_xfc_nat|Large stream (over 100 km2)</t>
        </is>
      </c>
      <c r="B41" s="67" t="inlineStr">
        <is>
          <t>spring-phab-xfc-nat</t>
        </is>
      </c>
      <c r="C41" s="67" t="inlineStr">
        <is>
          <t>Natural fish cover</t>
        </is>
      </c>
      <c r="D41" s="67" t="inlineStr">
        <is>
          <t>Large stream (over 100 km2)</t>
        </is>
      </c>
      <c r="E41" s="67" t="n">
        <v>5</v>
      </c>
      <c r="F41" s="67" t="inlineStr">
        <is>
          <t>65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41" s="67" t="n">
        <v>0</v>
      </c>
      <c r="H41" s="67" t="n">
        <v>0.07840909117034503</v>
      </c>
      <c r="I41" s="67" t="n">
        <v>0.1829545460641384</v>
      </c>
      <c r="J41" s="67" t="n">
        <v>0.4386363625526428</v>
      </c>
      <c r="K41" s="67" t="n">
        <v>0.566477270796895</v>
      </c>
      <c r="L41" s="67" t="n">
        <v>0.566477270796895</v>
      </c>
      <c r="M41" s="67" t="n">
        <v>0.566477270796895</v>
      </c>
      <c r="N41" s="67" t="n">
        <v>0.566477270796895</v>
      </c>
      <c r="O41" s="67" t="n">
        <v>0</v>
      </c>
      <c r="P41" s="67" t="n">
        <v>0.3</v>
      </c>
      <c r="Q41" s="67" t="n">
        <v>0.7</v>
      </c>
      <c r="R41" s="67" t="n">
        <v>1</v>
      </c>
      <c r="S41" s="67" t="n">
        <v>1</v>
      </c>
      <c r="T41" s="67" t="n">
        <v>1</v>
      </c>
      <c r="U41" s="67" t="n">
        <v>1</v>
      </c>
      <c r="V41" s="67" t="n">
        <v>1</v>
      </c>
    </row>
    <row r="42">
      <c r="A42" s="67" t="inlineStr">
        <is>
          <t>spring_fish_nat_totlntax|All streams (pooled)</t>
        </is>
      </c>
      <c r="B42" s="67" t="inlineStr">
        <is>
          <t>spring-fish-nat-totlntax</t>
        </is>
      </c>
      <c r="C42" s="67" t="inlineStr">
        <is>
          <t>Native fish taxa richness</t>
        </is>
      </c>
      <c r="D42" s="67" t="inlineStr">
        <is>
          <t>All streams (pooled)</t>
        </is>
      </c>
      <c r="E42" s="67" t="n">
        <v>5</v>
      </c>
      <c r="F42"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42" s="67" t="n">
        <v>0</v>
      </c>
      <c r="H42" s="67" t="n">
        <v>2.142857142857143</v>
      </c>
      <c r="I42" s="67" t="n">
        <v>5</v>
      </c>
      <c r="J42" s="67" t="n">
        <v>17</v>
      </c>
      <c r="K42" s="67" t="n">
        <v>23</v>
      </c>
      <c r="L42" s="67" t="n">
        <v>23</v>
      </c>
      <c r="M42" s="67" t="n">
        <v>23</v>
      </c>
      <c r="N42" s="67" t="n">
        <v>23</v>
      </c>
      <c r="O42" s="67" t="n">
        <v>0</v>
      </c>
      <c r="P42" s="67" t="n">
        <v>0.3</v>
      </c>
      <c r="Q42" s="67" t="n">
        <v>0.7</v>
      </c>
      <c r="R42" s="67" t="n">
        <v>1</v>
      </c>
      <c r="S42" s="67" t="n">
        <v>1</v>
      </c>
      <c r="T42" s="67" t="n">
        <v>1</v>
      </c>
      <c r="U42" s="67" t="n">
        <v>1</v>
      </c>
      <c r="V42" s="67" t="n">
        <v>1</v>
      </c>
    </row>
    <row r="43">
      <c r="A43" s="67" t="inlineStr">
        <is>
          <t>spring_fish_nat_totlntax|Low gradient (under 0.5 percent)</t>
        </is>
      </c>
      <c r="B43" s="67" t="inlineStr">
        <is>
          <t>spring-fish-nat-totlntax</t>
        </is>
      </c>
      <c r="C43" s="67" t="inlineStr">
        <is>
          <t>Native fish taxa richness</t>
        </is>
      </c>
      <c r="D43" s="67" t="inlineStr">
        <is>
          <t>Low gradient (under 0.5 percent)</t>
        </is>
      </c>
      <c r="E43" s="67" t="n">
        <v>5</v>
      </c>
      <c r="F43"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43" s="67" t="n">
        <v>0</v>
      </c>
      <c r="H43" s="67" t="n">
        <v>3.428571428571428</v>
      </c>
      <c r="I43" s="67" t="n">
        <v>8</v>
      </c>
      <c r="J43" s="67" t="n">
        <v>19</v>
      </c>
      <c r="K43" s="67" t="n">
        <v>24.5</v>
      </c>
      <c r="L43" s="67" t="n">
        <v>24.5</v>
      </c>
      <c r="M43" s="67" t="n">
        <v>24.5</v>
      </c>
      <c r="N43" s="67" t="n">
        <v>24.5</v>
      </c>
      <c r="O43" s="67" t="n">
        <v>0</v>
      </c>
      <c r="P43" s="67" t="n">
        <v>0.3</v>
      </c>
      <c r="Q43" s="67" t="n">
        <v>0.7</v>
      </c>
      <c r="R43" s="67" t="n">
        <v>1</v>
      </c>
      <c r="S43" s="67" t="n">
        <v>1</v>
      </c>
      <c r="T43" s="67" t="n">
        <v>1</v>
      </c>
      <c r="U43" s="67" t="n">
        <v>1</v>
      </c>
      <c r="V43" s="67" t="n">
        <v>1</v>
      </c>
    </row>
    <row r="44">
      <c r="A44" s="67" t="inlineStr">
        <is>
          <t>spring_fish_nat_totlntax|Moderate gradient (0.5 to 2 percent)</t>
        </is>
      </c>
      <c r="B44" s="67" t="inlineStr">
        <is>
          <t>spring-fish-nat-totlntax</t>
        </is>
      </c>
      <c r="C44" s="67" t="inlineStr">
        <is>
          <t>Native fish taxa richness</t>
        </is>
      </c>
      <c r="D44" s="67" t="inlineStr">
        <is>
          <t>Moderate gradient (0.5 to 2 percent)</t>
        </is>
      </c>
      <c r="E44" s="67" t="n">
        <v>5</v>
      </c>
      <c r="F44" s="67" t="inlineStr">
        <is>
          <t>99 least-disturbed stations borrowed from Level I ecoregion 8 (Eastern Temperate Forests) under the regional screen (agriculture at most 37.8 percent), transfer risk unvalidated (transfer not confirmed by the recovery test). Scored on a reference pool whose transfer to this ecoregion was not confirmed by the recovery test (class agreement 0.61 of evaluation regions; two thirds required); confidence capped at 39.</t>
        </is>
      </c>
      <c r="G44" s="67" t="n">
        <v>0</v>
      </c>
      <c r="H44" s="67" t="n">
        <v>1.714285714285714</v>
      </c>
      <c r="I44" s="67" t="n">
        <v>4</v>
      </c>
      <c r="J44" s="67" t="n">
        <v>14</v>
      </c>
      <c r="K44" s="67" t="n">
        <v>19</v>
      </c>
      <c r="L44" s="67" t="n">
        <v>19</v>
      </c>
      <c r="M44" s="67" t="n">
        <v>19</v>
      </c>
      <c r="N44" s="67" t="n">
        <v>19</v>
      </c>
      <c r="O44" s="67" t="n">
        <v>0</v>
      </c>
      <c r="P44" s="67" t="n">
        <v>0.3</v>
      </c>
      <c r="Q44" s="67" t="n">
        <v>0.7</v>
      </c>
      <c r="R44" s="67" t="n">
        <v>1</v>
      </c>
      <c r="S44" s="67" t="n">
        <v>1</v>
      </c>
      <c r="T44" s="67" t="n">
        <v>1</v>
      </c>
      <c r="U44" s="67" t="n">
        <v>1</v>
      </c>
      <c r="V44" s="67" t="n">
        <v>1</v>
      </c>
    </row>
    <row r="45">
      <c r="A45" s="67" t="inlineStr">
        <is>
          <t>spring_bent_totlntax|</t>
        </is>
      </c>
      <c r="B45" s="67" t="inlineStr">
        <is>
          <t>spring-bent-totlntax</t>
        </is>
      </c>
      <c r="C45" s="67" t="inlineStr">
        <is>
          <t>Benthic total taxa richness</t>
        </is>
      </c>
      <c r="D45" s="67" t="inlineStr"/>
      <c r="E45" s="67" t="n">
        <v>5</v>
      </c>
      <c r="F45" s="67" t="inlineStr">
        <is>
          <t>Reference curve fitted to comparable least-disturbed stations drawn from the national pool, because this ecoregion and its parents hold too few of their own.</t>
        </is>
      </c>
      <c r="G45" s="67" t="n">
        <v>0</v>
      </c>
      <c r="H45" s="67" t="n">
        <v>13.28571428571429</v>
      </c>
      <c r="I45" s="67" t="n">
        <v>31</v>
      </c>
      <c r="J45" s="67" t="n">
        <v>51</v>
      </c>
      <c r="K45" s="67" t="n">
        <v>61</v>
      </c>
      <c r="L45" s="67" t="n">
        <v>61</v>
      </c>
      <c r="M45" s="67" t="n">
        <v>61</v>
      </c>
      <c r="N45" s="67" t="n">
        <v>61</v>
      </c>
      <c r="O45" s="67" t="n">
        <v>0</v>
      </c>
      <c r="P45" s="67" t="n">
        <v>0.3</v>
      </c>
      <c r="Q45" s="67" t="n">
        <v>0.7</v>
      </c>
      <c r="R45" s="67" t="n">
        <v>1</v>
      </c>
      <c r="S45" s="67" t="n">
        <v>1</v>
      </c>
      <c r="T45" s="67" t="n">
        <v>1</v>
      </c>
      <c r="U45" s="67" t="n">
        <v>1</v>
      </c>
      <c r="V45" s="67" t="n">
        <v>1</v>
      </c>
    </row>
    <row r="46">
      <c r="A46" s="67" t="inlineStr">
        <is>
          <t>spring_bent_ept_ntax|</t>
        </is>
      </c>
      <c r="B46" s="67" t="inlineStr">
        <is>
          <t>spring-bent-ept-ntax</t>
        </is>
      </c>
      <c r="C46" s="67" t="inlineStr">
        <is>
          <t>EPT taxa richness</t>
        </is>
      </c>
      <c r="D46" s="67" t="inlineStr"/>
      <c r="E46" s="67" t="n">
        <v>5</v>
      </c>
      <c r="F46" s="67" t="inlineStr">
        <is>
          <t>24 least-disturbed stations borrowed from Level II ecoregion 8.4 (Ozark/Ouachita-Appalachian Forests) under the regional screen (agriculture at most 37.8 percent), transfer risk unvalidated (transfer not confirmed by the recovery test). Scored on a reference pool whose transfer to this ecoregion was not confirmed by the recovery test (class agreement 0.50 of evaluation regions; two thirds required); confidence capped at 39.</t>
        </is>
      </c>
      <c r="G46" s="67" t="n">
        <v>0</v>
      </c>
      <c r="H46" s="67" t="n">
        <v>5.035714285714286</v>
      </c>
      <c r="I46" s="67" t="n">
        <v>11.75</v>
      </c>
      <c r="J46" s="67" t="n">
        <v>21</v>
      </c>
      <c r="K46" s="67" t="n">
        <v>25.625</v>
      </c>
      <c r="L46" s="67" t="n">
        <v>25.625</v>
      </c>
      <c r="M46" s="67" t="n">
        <v>25.625</v>
      </c>
      <c r="N46" s="67" t="n">
        <v>25.625</v>
      </c>
      <c r="O46" s="67" t="n">
        <v>0</v>
      </c>
      <c r="P46" s="67" t="n">
        <v>0.3</v>
      </c>
      <c r="Q46" s="67" t="n">
        <v>0.7</v>
      </c>
      <c r="R46" s="67" t="n">
        <v>1</v>
      </c>
      <c r="S46" s="67" t="n">
        <v>1</v>
      </c>
      <c r="T46" s="67" t="n">
        <v>1</v>
      </c>
      <c r="U46" s="67" t="n">
        <v>1</v>
      </c>
      <c r="V46" s="67" t="n">
        <v>1</v>
      </c>
    </row>
    <row r="47">
      <c r="A47" s="67" t="inlineStr">
        <is>
          <t>spring_bent_hprime|</t>
        </is>
      </c>
      <c r="B47" s="67" t="inlineStr">
        <is>
          <t>spring-bent-hprime</t>
        </is>
      </c>
      <c r="C47" s="67" t="inlineStr">
        <is>
          <t>Shannon diversity (H')</t>
        </is>
      </c>
      <c r="D47" s="67" t="inlineStr"/>
      <c r="E47" s="67" t="n">
        <v>5</v>
      </c>
      <c r="F47" s="67" t="inlineStr">
        <is>
          <t>Reference curve fitted to comparable least-disturbed stations drawn from the national pool, because this ecoregion and its parents hold too few of their own.</t>
        </is>
      </c>
      <c r="G47" s="67" t="n">
        <v>0</v>
      </c>
      <c r="H47" s="67" t="n">
        <v>1.058571440832955</v>
      </c>
      <c r="I47" s="67" t="n">
        <v>2.470000028610229</v>
      </c>
      <c r="J47" s="67" t="n">
        <v>3.309999942779541</v>
      </c>
      <c r="K47" s="67" t="n">
        <v>3.729999899864197</v>
      </c>
      <c r="L47" s="67" t="n">
        <v>3.729999899864197</v>
      </c>
      <c r="M47" s="67" t="n">
        <v>3.729999899864197</v>
      </c>
      <c r="N47" s="67" t="n">
        <v>3.729999899864197</v>
      </c>
      <c r="O47" s="67" t="n">
        <v>0</v>
      </c>
      <c r="P47" s="67" t="n">
        <v>0.3</v>
      </c>
      <c r="Q47" s="67" t="n">
        <v>0.7</v>
      </c>
      <c r="R47" s="67" t="n">
        <v>1</v>
      </c>
      <c r="S47" s="67" t="n">
        <v>1</v>
      </c>
      <c r="T47" s="67" t="n">
        <v>1</v>
      </c>
      <c r="U47" s="67" t="n">
        <v>1</v>
      </c>
      <c r="V47" s="67" t="n">
        <v>1</v>
      </c>
    </row>
    <row r="48">
      <c r="A48" s="67" t="inlineStr">
        <is>
          <t>spring_nid_dams_1mi|</t>
        </is>
      </c>
      <c r="B48" s="67" t="inlineStr">
        <is>
          <t>spring-nid-dams-1mi</t>
        </is>
      </c>
      <c r="C48" s="67" t="inlineStr">
        <is>
          <t>Mapped dams within one mile</t>
        </is>
      </c>
      <c r="D48" s="67" t="inlineStr"/>
      <c r="E48" s="67" t="n">
        <v>4</v>
      </c>
      <c r="F48" s="67" t="inlineStr">
        <is>
          <t>Fixed criteria, the same in every region</t>
        </is>
      </c>
      <c r="G48" s="67" t="n">
        <v>0</v>
      </c>
      <c r="H48" s="67" t="n">
        <v>1</v>
      </c>
      <c r="I48" s="67" t="n">
        <v>2</v>
      </c>
      <c r="J48" s="67" t="n">
        <v>3</v>
      </c>
      <c r="K48" s="67" t="n">
        <v>3</v>
      </c>
      <c r="L48" s="67" t="n">
        <v>3</v>
      </c>
      <c r="M48" s="67" t="n">
        <v>3</v>
      </c>
      <c r="N48" s="67" t="n">
        <v>3</v>
      </c>
      <c r="O48" s="67" t="n">
        <v>1</v>
      </c>
      <c r="P48" s="67" t="n">
        <v>0.545</v>
      </c>
      <c r="Q48" s="67" t="n">
        <v>0.195</v>
      </c>
      <c r="R48" s="67" t="n">
        <v>0</v>
      </c>
      <c r="S48" s="67" t="n">
        <v>0</v>
      </c>
      <c r="T48" s="67" t="n">
        <v>0</v>
      </c>
      <c r="U48" s="67" t="n">
        <v>0</v>
      </c>
      <c r="V48" s="67" t="n">
        <v>0</v>
      </c>
    </row>
    <row r="51">
      <c r="A51" s="70" t="inlineStr">
        <is>
          <t>Curve sets by metric</t>
        </is>
      </c>
    </row>
    <row r="52">
      <c r="A52" s="67" t="inlineStr">
        <is>
          <t>All streams (pooled)</t>
        </is>
      </c>
      <c r="B52" s="4" t="inlineStr">
        <is>
          <t>Bankfull width:depth ratio</t>
        </is>
      </c>
    </row>
    <row r="53">
      <c r="A53" s="67" t="inlineStr">
        <is>
          <t>Headwater (10 km2 and under)</t>
        </is>
      </c>
      <c r="B53" s="4" t="inlineStr">
        <is>
          <t>Bankfull width:depth ratio</t>
        </is>
      </c>
    </row>
    <row r="54">
      <c r="A54" s="67" t="inlineStr">
        <is>
          <t>Small stream (10 to 100 km2)</t>
        </is>
      </c>
      <c r="B54" s="4" t="inlineStr">
        <is>
          <t>Bankfull width:depth ratio</t>
        </is>
      </c>
    </row>
    <row r="55">
      <c r="A55" s="67" t="inlineStr">
        <is>
          <t>Large stream (over 100 km2)</t>
        </is>
      </c>
      <c r="B55" s="4" t="inlineStr">
        <is>
          <t>Bankfull width:depth ratio</t>
        </is>
      </c>
    </row>
    <row r="56">
      <c r="A56" s="67" t="inlineStr">
        <is>
          <t>All streams (pooled)</t>
        </is>
      </c>
      <c r="B56" s="4" t="inlineStr">
        <is>
          <t>Bankfull height above channel</t>
        </is>
      </c>
    </row>
    <row r="57">
      <c r="A57" s="67" t="inlineStr">
        <is>
          <t>Headwater (10 km2 and under)</t>
        </is>
      </c>
      <c r="B57" s="4" t="inlineStr">
        <is>
          <t>Bankfull height above channel</t>
        </is>
      </c>
    </row>
    <row r="58">
      <c r="A58" s="67" t="inlineStr">
        <is>
          <t>Small stream (10 to 100 km2)</t>
        </is>
      </c>
      <c r="B58" s="4" t="inlineStr">
        <is>
          <t>Bankfull height above channel</t>
        </is>
      </c>
    </row>
    <row r="59">
      <c r="A59" s="67" t="inlineStr">
        <is>
          <t>Large stream (over 100 km2)</t>
        </is>
      </c>
      <c r="B59" s="4" t="inlineStr">
        <is>
          <t>Bankfull height above channel</t>
        </is>
      </c>
    </row>
    <row r="60">
      <c r="A60" s="67" t="inlineStr">
        <is>
          <t>All streams (pooled)</t>
        </is>
      </c>
      <c r="B60" s="4" t="inlineStr">
        <is>
          <t>Relative bed stability</t>
        </is>
      </c>
    </row>
    <row r="61">
      <c r="A61" s="67" t="inlineStr">
        <is>
          <t>Headwater (10 km2 and under)</t>
        </is>
      </c>
      <c r="B61" s="4" t="inlineStr">
        <is>
          <t>Relative bed stability</t>
        </is>
      </c>
    </row>
    <row r="62">
      <c r="A62" s="67" t="inlineStr">
        <is>
          <t>Small stream (10 to 100 km2)</t>
        </is>
      </c>
      <c r="B62" s="4" t="inlineStr">
        <is>
          <t>Relative bed stability</t>
        </is>
      </c>
    </row>
    <row r="63">
      <c r="A63" s="67" t="inlineStr">
        <is>
          <t>Large stream (over 100 km2)</t>
        </is>
      </c>
      <c r="B63" s="4" t="inlineStr">
        <is>
          <t>Relative bed stability</t>
        </is>
      </c>
    </row>
    <row r="64">
      <c r="A64" s="67" t="inlineStr">
        <is>
          <t>All streams (pooled)</t>
        </is>
      </c>
      <c r="B64" s="4" t="inlineStr">
        <is>
          <t>Fast-water / riffle habitat</t>
        </is>
      </c>
    </row>
    <row r="65">
      <c r="A65" s="67" t="inlineStr">
        <is>
          <t>Low gradient (under 0.5 percent)</t>
        </is>
      </c>
      <c r="B65" s="4" t="inlineStr">
        <is>
          <t>Fast-water / riffle habitat</t>
        </is>
      </c>
    </row>
    <row r="66">
      <c r="A66" s="67" t="inlineStr">
        <is>
          <t>Moderate gradient (0.5 to 2 percent)</t>
        </is>
      </c>
      <c r="B66" s="4" t="inlineStr">
        <is>
          <t>Fast-water / riffle habitat</t>
        </is>
      </c>
    </row>
    <row r="67">
      <c r="A67" s="67" t="inlineStr">
        <is>
          <t>Steep (2 percent and above)</t>
        </is>
      </c>
      <c r="B67" s="4" t="inlineStr">
        <is>
          <t>Fast-water / riffle habitat</t>
        </is>
      </c>
    </row>
    <row r="68">
      <c r="A68" s="67" t="inlineStr">
        <is>
          <t>All streams (pooled)</t>
        </is>
      </c>
      <c r="B68" s="4" t="inlineStr">
        <is>
          <t>Natural fish cover</t>
        </is>
      </c>
    </row>
    <row r="69">
      <c r="A69" s="67" t="inlineStr">
        <is>
          <t>Headwater (10 km2 and under)</t>
        </is>
      </c>
      <c r="B69" s="4" t="inlineStr">
        <is>
          <t>Natural fish cover</t>
        </is>
      </c>
    </row>
    <row r="70">
      <c r="A70" s="67" t="inlineStr">
        <is>
          <t>Large stream (over 100 km2)</t>
        </is>
      </c>
      <c r="B70" s="4" t="inlineStr">
        <is>
          <t>Natural fish cover</t>
        </is>
      </c>
    </row>
    <row r="71">
      <c r="A71" s="67" t="inlineStr">
        <is>
          <t>All streams (pooled)</t>
        </is>
      </c>
      <c r="B71" s="4" t="inlineStr">
        <is>
          <t>Native fish taxa richness</t>
        </is>
      </c>
    </row>
    <row r="72">
      <c r="A72" s="67" t="inlineStr">
        <is>
          <t>Low gradient (under 0.5 percent)</t>
        </is>
      </c>
      <c r="B72" s="4" t="inlineStr">
        <is>
          <t>Native fish taxa richness</t>
        </is>
      </c>
    </row>
    <row r="73">
      <c r="A73" s="67" t="inlineStr">
        <is>
          <t>Moderate gradient (0.5 to 2 percent)</t>
        </is>
      </c>
      <c r="B73" s="4" t="inlineStr">
        <is>
          <t>Native fish taxa richness</t>
        </is>
      </c>
    </row>
    <row r="76">
      <c r="A76" s="70" t="inlineStr">
        <is>
          <t>Condition classes</t>
        </is>
      </c>
    </row>
    <row r="77">
      <c r="A77" t="inlineStr">
        <is>
          <t>Metric index: at or below 0.39 Non-Functioning, at or below 0.69 Functioning At-Risk, above Functioning.</t>
        </is>
      </c>
    </row>
    <row r="78">
      <c r="A78" t="inlineStr">
        <is>
          <t>Function score (0 to 15): at or below 5 Non-Functioning, at or below 10 Functioning At-Risk, above Functioning.</t>
        </is>
      </c>
    </row>
    <row r="79">
      <c r="A79"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southwestern-appalachians</t>
        </is>
      </c>
    </row>
    <row r="5">
      <c r="A5" s="67" t="inlineStr">
        <is>
          <t>Assessment name</t>
        </is>
      </c>
      <c r="B5" s="67" t="inlineStr">
        <is>
          <t>Southwestern Appalachians reference assessment</t>
        </is>
      </c>
    </row>
    <row r="6">
      <c r="A6" s="67" t="inlineStr">
        <is>
          <t>Version</t>
        </is>
      </c>
      <c r="B6" s="67" t="n">
        <v>1</v>
      </c>
    </row>
    <row r="7">
      <c r="A7" s="67" t="inlineStr">
        <is>
          <t>Lifecycle status</t>
        </is>
      </c>
      <c r="B7" s="67" t="inlineStr"/>
    </row>
    <row r="8">
      <c r="A8" s="67" t="inlineStr">
        <is>
          <t>Content digest</t>
        </is>
      </c>
      <c r="B8" s="67" t="inlineStr">
        <is>
          <t>sha256:48a56ca74a25bfd4daffb1237b01e70292c5cc499804def3577ed2af0fb45fa0</t>
        </is>
      </c>
    </row>
    <row r="9">
      <c r="A9" s="67" t="inlineStr">
        <is>
          <t>Region</t>
        </is>
      </c>
      <c r="B9" s="67" t="inlineStr">
        <is>
          <t>ecoregion 68 Southwestern Appalachians</t>
        </is>
      </c>
    </row>
    <row r="10">
      <c r="A10" s="67" t="inlineStr">
        <is>
          <t>Source</t>
        </is>
      </c>
      <c r="B10" s="67" t="inlineStr">
        <is>
          <t>USEPA NRSA 2013-24 (L3 ecoregion 68),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28</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70" t="inlineStr">
        <is>
          <t>Function</t>
        </is>
      </c>
      <c r="B2" s="70" t="inlineStr">
        <is>
          <t>Score</t>
        </is>
      </c>
      <c r="C2" s="70" t="inlineStr">
        <is>
          <t>Non-Functioning (0-5)</t>
        </is>
      </c>
      <c r="D2" s="70" t="inlineStr">
        <is>
          <t>Functioning At-Risk (6-10)</t>
        </is>
      </c>
      <c r="E2" s="70"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70" t="inlineStr">
        <is>
          <t>Outcome</t>
        </is>
      </c>
      <c r="B24" s="70" t="inlineStr">
        <is>
          <t>Score</t>
        </is>
      </c>
      <c r="C24" s="70" t="inlineStr">
        <is>
          <t>Non-Functioning (0.00-0.39)</t>
        </is>
      </c>
      <c r="D24" s="70" t="inlineStr">
        <is>
          <t>Functioning At-Risk (0.40-0.69)</t>
        </is>
      </c>
      <c r="E24" s="70"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2026-09-30T07:05:01Z</dcterms:created>
  <dcterms:modified xmlns:dcterms="http://purl.org/dc/terms/" xmlns:xsi="http://www.w3.org/2001/XMLSchema-instance" xsi:type="dcterms:W3CDTF">2026-09-30T07:05:01Z</dcterms:modified>
  <cp:lastModifiedBy>DEEP</cp:lastModifiedBy>
</cp:coreProperties>
</file>