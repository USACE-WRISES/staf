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bfwd_rat">'Reference'!$A$47:$A$49</definedName>
    <definedName name="strata_spring_phab_xbkf_h">'Reference'!$A$50:$A$52</definedName>
    <definedName name="strata_spring_phab_lrbs_use">'Reference'!$A$53:$A$55</definedName>
    <definedName name="strata_spring_phab_xcdenmid">'Reference'!$A$56:$A$58</definedName>
    <definedName name="strata_spring_phab_pct_fast">'Reference'!$A$59:$A$61</definedName>
    <definedName name="strata_spring_phab_xfc_nat">'Reference'!$A$62:$A$64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bent_hprime">'Metrics'!$V$29</definedName>
    <definedName name="idx_spring_bent_ept_ntax">'Metrics'!$V$30</definedName>
    <definedName name="idx_spring_nid_dams_1mi">'Metrics'!$V$31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bent_hprime">'DEEP Score'!$E$43</definedName>
    <definedName name="in_spring_bent_ept_ntax">'DEEP Score'!$E$44</definedName>
    <definedName name="in_spring_nid_dams_1mi">'DEEP Score'!$E$45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Chihuahuan Deserts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3" t="inlineStr">
        <is>
          <t>Reference condition. Reference condition is set by a fixed landscape-pressure screen, never by a score. 13 borrow comparable least-disturbed stations from a wider region, stating the region and the transfer risk. 8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14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Chihuahuan Deserts reference assessment</t>
        </is>
      </c>
    </row>
    <row r="3">
      <c r="A3" s="4" t="inlineStr">
        <is>
          <t>Version 1 | USEPA NRSA 2013-24 (L3 ecoregion 24),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Embeddedness</t>
        </is>
      </c>
      <c r="D31" s="13" t="inlineStr">
        <is>
          <t>%</t>
        </is>
      </c>
      <c r="E31" s="37">
        <f>IF('DEEP Score'!$E$24="","",'DEEP Score'!$E$24)</f>
        <v/>
      </c>
      <c r="F31" s="38" t="inlineStr"/>
      <c r="G31" s="16">
        <f>IF('Metrics'!$V$14="","",'Metrics'!$V$14)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IF('Metrics'!$V$18="","",'Metrics'!$V$18)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39" t="inlineStr">
        <is>
          <t>All streams (pooled)</t>
        </is>
      </c>
      <c r="G34" s="25">
        <f>IF('Metrics'!$V$20="","",'Metrics'!$V$20)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39" t="inlineStr">
        <is>
          <t>All streams (pooled)</t>
        </is>
      </c>
      <c r="G41" s="25">
        <f>IF('Metrics'!$V$27="","",'Metrics'!$V$27)</f>
        <v/>
      </c>
      <c r="H41" s="20" t="n"/>
      <c r="I41" s="26" t="n"/>
    </row>
    <row r="42">
      <c r="A42" s="50" t="inlineStr">
        <is>
          <t>Biology</t>
        </is>
      </c>
      <c r="B42" s="28" t="inlineStr">
        <is>
          <t>Population support</t>
        </is>
      </c>
      <c r="C42" s="29" t="inlineStr">
        <is>
          <t>Benthic total taxa richness</t>
        </is>
      </c>
      <c r="D42" s="30" t="inlineStr"/>
      <c r="E42" s="31" t="n"/>
      <c r="F42" s="32" t="inlineStr"/>
      <c r="G42" s="33">
        <f>IF('Metrics'!$V$28="","",'Metrics'!$V$28)</f>
        <v/>
      </c>
      <c r="H42" s="34">
        <f>IF('Results'!$B$21="","",'Results'!$B$21)</f>
        <v/>
      </c>
      <c r="I42" s="35">
        <f>IF('DEEP Score'!$H$42="","",IF('DEEP Score'!$H$42&lt;=5,"Non-Functioning",IF('DEEP Score'!$H$42&lt;=10,"Functioning At-Risk","Functioning")))</f>
        <v/>
      </c>
    </row>
    <row r="43">
      <c r="A43" s="49" t="inlineStr">
        <is>
          <t>Biology</t>
        </is>
      </c>
      <c r="B43" s="11" t="inlineStr">
        <is>
          <t>Community dynamics</t>
        </is>
      </c>
      <c r="C43" s="12" t="inlineStr">
        <is>
          <t>Shannon diversity (H')</t>
        </is>
      </c>
      <c r="D43" s="13" t="inlineStr">
        <is>
          <t>H'</t>
        </is>
      </c>
      <c r="E43" s="14" t="n"/>
      <c r="F43" s="15" t="inlineStr"/>
      <c r="G43" s="16">
        <f>IF('Metrics'!$V$29="","",'Metrics'!$V$29)</f>
        <v/>
      </c>
      <c r="H43" s="17">
        <f>IF('Results'!$B$22="","",'Results'!$B$22)</f>
        <v/>
      </c>
      <c r="I43" s="18">
        <f>IF('DEEP Score'!$H$43="","",IF('DEEP Score'!$H$43&lt;=5,"Non-Functioning",IF('DEEP Score'!$H$43&lt;=10,"Functioning At-Risk","Functioning")))</f>
        <v/>
      </c>
    </row>
    <row r="44">
      <c r="A44" s="19" t="n"/>
      <c r="B44" s="20" t="n"/>
      <c r="C44" s="21" t="inlineStr">
        <is>
          <t>EPT taxa richness</t>
        </is>
      </c>
      <c r="D44" s="22" t="inlineStr"/>
      <c r="E44" s="23" t="n"/>
      <c r="F44" s="24" t="inlineStr"/>
      <c r="G44" s="25">
        <f>IF('Metrics'!$V$30="","",'Metrics'!$V$30)</f>
        <v/>
      </c>
      <c r="H44" s="20" t="n"/>
      <c r="I44" s="26" t="n"/>
    </row>
    <row r="45">
      <c r="A45" s="50" t="inlineStr">
        <is>
          <t>Biology</t>
        </is>
      </c>
      <c r="B45" s="28" t="inlineStr">
        <is>
          <t>Watershed connectivity</t>
        </is>
      </c>
      <c r="C45" s="29" t="inlineStr">
        <is>
          <t>Mapped dams within one mile</t>
        </is>
      </c>
      <c r="D45" s="30" t="inlineStr">
        <is>
          <t>dams</t>
        </is>
      </c>
      <c r="E45" s="31" t="n"/>
      <c r="F45" s="32" t="inlineStr"/>
      <c r="G45" s="33">
        <f>IF('Metrics'!$V$31="","",'Metrics'!$V$31)</f>
        <v/>
      </c>
      <c r="H45" s="34">
        <f>IF('Results'!$B$23="","",'Results'!$B$23)</f>
        <v/>
      </c>
      <c r="I45" s="35">
        <f>IF('DEEP Score'!$H$45="","",IF('DEEP Score'!$H$45&lt;=5,"Non-Functioning",IF('DEEP Score'!$H$45&lt;=10,"Functioning At-Risk","Functioning")))</f>
        <v/>
      </c>
    </row>
    <row r="47">
      <c r="A47" s="51" t="inlineStr">
        <is>
          <t>Summary</t>
        </is>
      </c>
    </row>
    <row r="48">
      <c r="A48" s="9" t="inlineStr">
        <is>
          <t>Outcome</t>
        </is>
      </c>
      <c r="B48" s="9" t="inlineStr">
        <is>
          <t>Sub-index (0 to 1)</t>
        </is>
      </c>
      <c r="C48" s="9" t="inlineStr">
        <is>
          <t>Condition</t>
        </is>
      </c>
    </row>
    <row r="49">
      <c r="A49" s="52" t="inlineStr">
        <is>
          <t>Physical</t>
        </is>
      </c>
      <c r="B49" s="53">
        <f>'Results'!$B$26</f>
        <v/>
      </c>
      <c r="C49" s="54">
        <f>IF('DEEP Score'!$B$49&lt;=0.39,"Non-Functioning",IF('DEEP Score'!$B$49&lt;=0.69,"Functioning At-Risk","Functioning"))</f>
        <v/>
      </c>
    </row>
    <row r="50">
      <c r="A50" s="52" t="inlineStr">
        <is>
          <t>Chemical</t>
        </is>
      </c>
      <c r="B50" s="53">
        <f>'Results'!$B$27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Biological</t>
        </is>
      </c>
      <c r="B51" s="53">
        <f>'Results'!$B$28</f>
        <v/>
      </c>
      <c r="C51" s="54">
        <f>IF('DEEP Score'!$B$51&lt;=0.39,"Non-Functioning",IF('DEEP Score'!$B$51&lt;=0.69,"Functioning At-Risk","Functioning"))</f>
        <v/>
      </c>
    </row>
    <row r="52" ht="30" customHeight="1">
      <c r="A52" s="55" t="inlineStr">
        <is>
          <t>Ecosystem Condition Index</t>
        </is>
      </c>
      <c r="B52" s="56">
        <f>'Results'!$B$29</f>
        <v/>
      </c>
      <c r="C52" s="54">
        <f>IF('DEEP Score'!$B$52&lt;=0.39,"Non-Functioning",IF('DEEP Score'!$B$52&lt;=0.69,"Functioning At-Risk","Functioning"))</f>
        <v/>
      </c>
    </row>
    <row r="53">
      <c r="A53" s="4" t="inlineStr">
        <is>
          <t xml:space="preserve">Functions with a score: </t>
        </is>
      </c>
      <c r="B53" s="4">
        <f>COUNT('Results'!$B$4:$B$23)&amp;" of 20"</f>
        <v/>
      </c>
    </row>
    <row r="54">
      <c r="A54" s="4" t="inlineStr">
        <is>
          <t>This assessment covers 20 of 20 STAF functions.</t>
        </is>
      </c>
    </row>
    <row r="56">
      <c r="A56" s="57" t="inlineStr">
        <is>
          <t>Withheld for insufficient reference support (not scored)</t>
        </is>
      </c>
    </row>
    <row r="57">
      <c r="A57" t="inlineStr">
        <is>
          <t>Native fish taxa richness</t>
        </is>
      </c>
      <c r="C57" s="4" t="inlineStr">
        <is>
          <t>Population support</t>
        </is>
      </c>
    </row>
    <row r="58">
      <c r="A58" t="inlineStr">
        <is>
          <t>Residual pool depth</t>
        </is>
      </c>
      <c r="C58" s="4" t="inlineStr">
        <is>
          <t>Low flow and baseflow dynamics</t>
        </is>
      </c>
    </row>
    <row r="60">
      <c r="A60" s="5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2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I43:I44"/>
    <mergeCell ref="A21:A22"/>
    <mergeCell ref="B5:D5"/>
    <mergeCell ref="H27:H28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3:A44"/>
    <mergeCell ref="A38:A39"/>
    <mergeCell ref="I31:I32"/>
    <mergeCell ref="H33:H34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Large wood volume</t>
        </is>
      </c>
      <c r="B18" s="69">
        <f>IF('DEEP Score'!$E$32="","",'DEEP Score'!$E$32)</f>
        <v/>
      </c>
      <c r="C18" s="69">
        <f>""</f>
        <v/>
      </c>
      <c r="D18" s="69">
        <f>"spring_phab_lwdeqvolm100|"&amp;'Metrics'!$C$18</f>
        <v/>
      </c>
      <c r="E18" s="69">
        <f>IFERROR(MATCH('Metrics'!$D$18,curve_key,0),MATCH("spring_phab_lwdeqvolm100|",curve_key,0))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Chlorophyll a</t>
        </is>
      </c>
      <c r="B19" s="69">
        <f>IF('DEEP Score'!$E$33="","",'DEEP Score'!$E$33)</f>
        <v/>
      </c>
      <c r="C19" s="69">
        <f>""</f>
        <v/>
      </c>
      <c r="D19" s="69">
        <f>"spring_chem_chla|"&amp;'Metrics'!$C$19</f>
        <v/>
      </c>
      <c r="E19" s="69">
        <f>IFERROR(MATCH('Metrics'!$D$19,curve_key,0),MATCH("spring_chem_chla|",curve_key,0))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Canopy density, mid-channel</t>
        </is>
      </c>
      <c r="B20" s="69">
        <f>IF('DEEP Score'!$E$34="","",'DEEP Score'!$E$34)</f>
        <v/>
      </c>
      <c r="C20" s="69">
        <f>IF('DEEP Score'!$F$34="","All streams (pooled)",'DEEP Score'!$F$34)</f>
        <v/>
      </c>
      <c r="D20" s="69">
        <f>"spring_phab_xcdenmid|"&amp;'Metrics'!$C$20</f>
        <v/>
      </c>
      <c r="E20" s="69">
        <f>IFERROR(MATCH('Metrics'!$D$20,curve_key,0),MATCH("spring_phab_xcdenmid|All streams (pooled)",curve_key,0))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pH</t>
        </is>
      </c>
      <c r="B24" s="69">
        <f>IF('DEEP Score'!$E$38="","",'DEEP Score'!$E$38)</f>
        <v/>
      </c>
      <c r="C24" s="69">
        <f>""</f>
        <v/>
      </c>
      <c r="D24" s="69">
        <f>"spring_chem_ph|"&amp;'Metrics'!$C$24</f>
        <v/>
      </c>
      <c r="E24" s="69">
        <f>IFERROR(MATCH('Metrics'!$D$24,curve_key,0),MATCH("spring_chem_ph|",curve_key,0))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Specific conductivity</t>
        </is>
      </c>
      <c r="B25" s="69">
        <f>IF('DEEP Score'!$E$39="","",'DEEP Score'!$E$39)</f>
        <v/>
      </c>
      <c r="C25" s="69">
        <f>""</f>
        <v/>
      </c>
      <c r="D25" s="69">
        <f>"spring_chem_cond|"&amp;'Metrics'!$C$25</f>
        <v/>
      </c>
      <c r="E25" s="69">
        <f>IFERROR(MATCH('Metrics'!$D$25,curve_key,0),MATCH("spring_chem_cond|",curve_key,0))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IF('DEEP Score'!$F$40="","All streams (pooled)",'DEEP Score'!$F$40)</f>
        <v/>
      </c>
      <c r="D26" s="69">
        <f>"spring_phab_pct_fast|"&amp;'Metrics'!$C$26</f>
        <v/>
      </c>
      <c r="E26" s="69">
        <f>IFERROR(MATCH('Metrics'!$D$26,curve_key,0),MATCH("spring_phab_pct_fast|All streams (pooled)",curve_key,0))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IF('DEEP Score'!$F$41="","All streams (pooled)",'DEEP Score'!$F$41)</f>
        <v/>
      </c>
      <c r="D27" s="69">
        <f>"spring_phab_xfc_nat|"&amp;'Metrics'!$C$27</f>
        <v/>
      </c>
      <c r="E27" s="69">
        <f>IFERROR(MATCH('Metrics'!$D$27,curve_key,0),MATCH("spring_phab_xfc_nat|All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total taxa richness</t>
        </is>
      </c>
      <c r="B28" s="69">
        <f>IF('DEEP Score'!$E$42="","",'DEEP Score'!$E$42)</f>
        <v/>
      </c>
      <c r="C28" s="69">
        <f>""</f>
        <v/>
      </c>
      <c r="D28" s="69">
        <f>"spring_bent_totlntax|"&amp;'Metrics'!$C$28</f>
        <v/>
      </c>
      <c r="E28" s="69">
        <f>IFERROR(MATCH('Metrics'!$D$28,curve_key,0),MATCH("spring_bent_totlntax|",curve_key,0))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Shannon diversity (H')</t>
        </is>
      </c>
      <c r="B29" s="69">
        <f>IF('DEEP Score'!$E$43="","",'DEEP Score'!$E$43)</f>
        <v/>
      </c>
      <c r="C29" s="69">
        <f>""</f>
        <v/>
      </c>
      <c r="D29" s="69">
        <f>"spring_bent_hprime|"&amp;'Metrics'!$C$29</f>
        <v/>
      </c>
      <c r="E29" s="69">
        <f>IFERROR(MATCH('Metrics'!$D$29,curve_key,0),MATCH("spring_bent_hprime|",curve_key,0))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EPT taxa richness</t>
        </is>
      </c>
      <c r="B30" s="69">
        <f>IF('DEEP Score'!$E$44="","",'DEEP Score'!$E$44)</f>
        <v/>
      </c>
      <c r="C30" s="69">
        <f>""</f>
        <v/>
      </c>
      <c r="D30" s="69">
        <f>"spring_bent_ept_ntax|"&amp;'Metrics'!$C$30</f>
        <v/>
      </c>
      <c r="E30" s="69">
        <f>IFERROR(MATCH('Metrics'!$D$30,curve_key,0),MATCH("spring_bent_ept_ntax|",curve_key,0))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Mapped dams within one mile</t>
        </is>
      </c>
      <c r="B31" s="69">
        <f>IF('DEEP Score'!$E$45="","",'DEEP Score'!$E$45)</f>
        <v/>
      </c>
      <c r="C31" s="69">
        <f>""</f>
        <v/>
      </c>
      <c r="D31" s="69">
        <f>"spring_nid_dams_1mi|"&amp;'Metrics'!$C$31</f>
        <v/>
      </c>
      <c r="E31" s="69">
        <f>IFERROR(MATCH('Metrics'!$D$31,curve_key,0),MATCH("spring_nid_dams_1mi|",curve_key,0))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Score'!G42:G42)=0,"",SUM('DEEP Score'!G42:G42)/COUNT('DEEP Score'!G42:G42)*15)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Score'!G43:G44)=0,"",SUM('DEEP Score'!G43:G44)/COUNT('DEEP Score'!G43:G44)*15)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Score'!G45:G45)=0,"",SUM('DEEP Score'!G45:G45)/COUNT('DEEP Score'!G45:G45)*15)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8" t="n">
        <v>0</v>
      </c>
      <c r="H9" s="68" t="n">
        <v>25.74951428571429</v>
      </c>
      <c r="I9" s="68" t="n">
        <v>60.0822</v>
      </c>
      <c r="J9" s="68" t="n">
        <v>73.654</v>
      </c>
      <c r="K9" s="68" t="n">
        <v>80.43989999999999</v>
      </c>
      <c r="L9" s="68" t="n">
        <v>80.43989999999999</v>
      </c>
      <c r="M9" s="68" t="n">
        <v>80.43989999999999</v>
      </c>
      <c r="N9" s="68" t="n">
        <v>80.43989999999999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7</v>
      </c>
      <c r="F11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8" t="n">
        <v>0</v>
      </c>
      <c r="H11" s="68" t="n">
        <v>3.027021503448486</v>
      </c>
      <c r="I11" s="68" t="n">
        <v>5.012372016906738</v>
      </c>
      <c r="J11" s="68" t="n">
        <v>10.68480205535889</v>
      </c>
      <c r="K11" s="68" t="n">
        <v>12.67015256881714</v>
      </c>
      <c r="L11" s="68" t="n">
        <v>16.35723209381104</v>
      </c>
      <c r="M11" s="68" t="n">
        <v>22.02966213226318</v>
      </c>
      <c r="N11" s="68" t="n">
        <v>22.02966213226318</v>
      </c>
      <c r="O11" s="68" t="n">
        <v>0</v>
      </c>
      <c r="P11" s="68" t="n">
        <v>0.7</v>
      </c>
      <c r="Q11" s="68" t="n">
        <v>1</v>
      </c>
      <c r="R11" s="68" t="n">
        <v>1</v>
      </c>
      <c r="S11" s="68" t="n">
        <v>0.7</v>
      </c>
      <c r="T11" s="68" t="n">
        <v>0.3</v>
      </c>
      <c r="U11" s="68" t="n">
        <v>0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7</v>
      </c>
      <c r="F12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8" t="n">
        <v>0</v>
      </c>
      <c r="H12" s="68" t="n">
        <v>2.403877532482147</v>
      </c>
      <c r="I12" s="68" t="n">
        <v>3.839855909347534</v>
      </c>
      <c r="J12" s="68" t="n">
        <v>7.942651271820068</v>
      </c>
      <c r="K12" s="68" t="n">
        <v>9.378629648685456</v>
      </c>
      <c r="L12" s="68" t="n">
        <v>12.0454466342926</v>
      </c>
      <c r="M12" s="68" t="n">
        <v>16.14824199676514</v>
      </c>
      <c r="N12" s="68" t="n">
        <v>16.14824199676514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7</v>
      </c>
      <c r="F13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8" t="n">
        <v>0</v>
      </c>
      <c r="H13" s="68" t="n">
        <v>2.856923735141754</v>
      </c>
      <c r="I13" s="68" t="n">
        <v>6.495418310165405</v>
      </c>
      <c r="J13" s="68" t="n">
        <v>16.89111709594727</v>
      </c>
      <c r="K13" s="68" t="n">
        <v>20.52961167097092</v>
      </c>
      <c r="L13" s="68" t="n">
        <v>27.28681588172913</v>
      </c>
      <c r="M13" s="68" t="n">
        <v>37.68251466751099</v>
      </c>
      <c r="N13" s="68" t="n">
        <v>37.68251466751099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spring_phab_xbkf_h|All streams (pooled)</t>
        </is>
      </c>
      <c r="B14" s="68" t="inlineStr">
        <is>
          <t>spring-phab-xbkf-h</t>
        </is>
      </c>
      <c r="C14" s="68" t="inlineStr">
        <is>
          <t>Bankfull height above channel</t>
        </is>
      </c>
      <c r="D14" s="68" t="inlineStr">
        <is>
          <t>All streams (pooled)</t>
        </is>
      </c>
      <c r="E14" s="68" t="n">
        <v>7</v>
      </c>
      <c r="F14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4" s="68" t="n">
        <v>0</v>
      </c>
      <c r="H14" s="68" t="n">
        <v>0.1628636345267296</v>
      </c>
      <c r="I14" s="68" t="n">
        <v>0.2809090912342072</v>
      </c>
      <c r="J14" s="68" t="n">
        <v>0.6181818246841431</v>
      </c>
      <c r="K14" s="68" t="n">
        <v>0.7362272813916206</v>
      </c>
      <c r="L14" s="68" t="n">
        <v>0.955454558134079</v>
      </c>
      <c r="M14" s="68" t="n">
        <v>1.292727291584015</v>
      </c>
      <c r="N14" s="68" t="n">
        <v>1.292727291584015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spring_phab_xbkf_h|Small stream (10 to 100 km2)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Small stream (10 to 100 km2)</t>
        </is>
      </c>
      <c r="E15" s="68" t="n">
        <v>8</v>
      </c>
      <c r="F15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8" t="n">
        <v>0</v>
      </c>
      <c r="H15" s="68" t="n">
        <v>0.05636364221572876</v>
      </c>
      <c r="I15" s="68" t="n">
        <v>0.2064545437693596</v>
      </c>
      <c r="J15" s="68" t="n">
        <v>0.287272721529007</v>
      </c>
      <c r="K15" s="68" t="n">
        <v>0.5181818008422852</v>
      </c>
      <c r="L15" s="68" t="n">
        <v>0.5989999786019325</v>
      </c>
      <c r="M15" s="68" t="n">
        <v>0.7490908801555634</v>
      </c>
      <c r="N15" s="68" t="n">
        <v>0.9799999594688416</v>
      </c>
      <c r="O15" s="68" t="n">
        <v>0</v>
      </c>
      <c r="P15" s="68" t="n">
        <v>0.3</v>
      </c>
      <c r="Q15" s="68" t="n">
        <v>0.7</v>
      </c>
      <c r="R15" s="68" t="n">
        <v>1</v>
      </c>
      <c r="S15" s="68" t="n">
        <v>1</v>
      </c>
      <c r="T15" s="68" t="n">
        <v>0.7</v>
      </c>
      <c r="U15" s="68" t="n">
        <v>0.3</v>
      </c>
      <c r="V15" s="68" t="n">
        <v>0</v>
      </c>
    </row>
    <row r="16">
      <c r="A16" s="68" t="inlineStr">
        <is>
          <t>spring_phab_xbkf_h|Large stream (over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Large stream (over 100 km2)</t>
        </is>
      </c>
      <c r="E16" s="68" t="n">
        <v>7</v>
      </c>
      <c r="F16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8" t="n">
        <v>0</v>
      </c>
      <c r="H16" s="68" t="n">
        <v>0.1732272610068321</v>
      </c>
      <c r="I16" s="68" t="n">
        <v>0.2921212017536163</v>
      </c>
      <c r="J16" s="68" t="n">
        <v>0.6318181753158569</v>
      </c>
      <c r="K16" s="68" t="n">
        <v>0.7507121160626411</v>
      </c>
      <c r="L16" s="68" t="n">
        <v>0.9715151488780975</v>
      </c>
      <c r="M16" s="68" t="n">
        <v>1.311212122440338</v>
      </c>
      <c r="N16" s="68" t="n">
        <v>1.311212122440338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spring_phab_pct_safn|</t>
        </is>
      </c>
      <c r="B17" s="68" t="inlineStr">
        <is>
          <t>spring-phab-pct-safn</t>
        </is>
      </c>
      <c r="C17" s="68" t="inlineStr">
        <is>
          <t>Sand + fines</t>
        </is>
      </c>
      <c r="D17" s="68" t="inlineStr"/>
      <c r="E17" s="68" t="n">
        <v>4</v>
      </c>
      <c r="F17" s="68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7" s="68" t="n">
        <v>13.92857098579407</v>
      </c>
      <c r="H17" s="68" t="n">
        <v>33.57142782211304</v>
      </c>
      <c r="I17" s="68" t="n">
        <v>72.85714149475098</v>
      </c>
      <c r="J17" s="68" t="n">
        <v>100</v>
      </c>
      <c r="K17" s="68" t="n">
        <v>100</v>
      </c>
      <c r="L17" s="68" t="n">
        <v>100</v>
      </c>
      <c r="M17" s="68" t="n">
        <v>100</v>
      </c>
      <c r="N17" s="68" t="n">
        <v>100</v>
      </c>
      <c r="O17" s="68" t="n">
        <v>1</v>
      </c>
      <c r="P17" s="68" t="n">
        <v>1</v>
      </c>
      <c r="Q17" s="68" t="n">
        <v>0.7</v>
      </c>
      <c r="R17" s="68" t="n">
        <v>0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spring_phab_xembed|</t>
        </is>
      </c>
      <c r="B18" s="68" t="inlineStr">
        <is>
          <t>spring-phab-xembed</t>
        </is>
      </c>
      <c r="C18" s="68" t="inlineStr">
        <is>
          <t>Embeddedness</t>
        </is>
      </c>
      <c r="D18" s="68" t="inlineStr"/>
      <c r="E18" s="68" t="n">
        <v>4</v>
      </c>
      <c r="F18" s="68" t="inlineStr">
        <is>
          <t>46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8" s="68" t="n">
        <v>43.61363649368286</v>
      </c>
      <c r="H18" s="68" t="n">
        <v>60.40909099578857</v>
      </c>
      <c r="I18" s="68" t="n">
        <v>94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spring_phab_sinu|</t>
        </is>
      </c>
      <c r="B19" s="68" t="inlineStr">
        <is>
          <t>spring-phab-sinu</t>
        </is>
      </c>
      <c r="C19" s="68" t="inlineStr">
        <is>
          <t>Sinuosity</t>
        </is>
      </c>
      <c r="D19" s="68" t="inlineStr"/>
      <c r="E19" s="68" t="n">
        <v>4</v>
      </c>
      <c r="F19" s="68" t="inlineStr">
        <is>
          <t>45 least-disturbed stations borrowed from Level I ecoregion 10 (North American Deserts) under the regional screen (agriculture at most 25 percent), transfer risk high</t>
        </is>
      </c>
      <c r="G19" s="68" t="n">
        <v>1</v>
      </c>
      <c r="H19" s="68" t="n">
        <v>1.107502818107605</v>
      </c>
      <c r="I19" s="68" t="n">
        <v>1.526572465896606</v>
      </c>
      <c r="J19" s="68" t="n">
        <v>1.736107289791107</v>
      </c>
      <c r="K19" s="68" t="n">
        <v>1.736107289791107</v>
      </c>
      <c r="L19" s="68" t="n">
        <v>1.736107289791107</v>
      </c>
      <c r="M19" s="68" t="n">
        <v>1.736107289791107</v>
      </c>
      <c r="N19" s="68" t="n">
        <v>1.736107289791107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spring_phab_xbka|</t>
        </is>
      </c>
      <c r="B20" s="68" t="inlineStr">
        <is>
          <t>spring-phab-xbka</t>
        </is>
      </c>
      <c r="C20" s="68" t="inlineStr">
        <is>
          <t>Bank angle</t>
        </is>
      </c>
      <c r="D20" s="68" t="inlineStr"/>
      <c r="E20" s="68" t="n">
        <v>7</v>
      </c>
      <c r="F20" s="68" t="inlineStr">
        <is>
          <t>Reference curve fitted to comparable least-disturbed stations drawn from the national pool, because this ecoregion and its parents hold too few of their own.</t>
        </is>
      </c>
      <c r="G20" s="68" t="n">
        <v>0</v>
      </c>
      <c r="H20" s="68" t="n">
        <v>17.40665612220764</v>
      </c>
      <c r="I20" s="68" t="n">
        <v>23.11688327789307</v>
      </c>
      <c r="J20" s="68" t="n">
        <v>39.43181800842285</v>
      </c>
      <c r="K20" s="68" t="n">
        <v>45.14204516410827</v>
      </c>
      <c r="L20" s="68" t="n">
        <v>55.74675273895264</v>
      </c>
      <c r="M20" s="68" t="n">
        <v>72.06168746948242</v>
      </c>
      <c r="N20" s="68" t="n">
        <v>72.06168746948242</v>
      </c>
      <c r="O20" s="68" t="n">
        <v>0.7</v>
      </c>
      <c r="P20" s="68" t="n">
        <v>0.7</v>
      </c>
      <c r="Q20" s="68" t="n">
        <v>1</v>
      </c>
      <c r="R20" s="68" t="n">
        <v>1</v>
      </c>
      <c r="S20" s="68" t="n">
        <v>0.7</v>
      </c>
      <c r="T20" s="68" t="n">
        <v>0.3</v>
      </c>
      <c r="U20" s="68" t="n">
        <v>0</v>
      </c>
      <c r="V20" s="68" t="n">
        <v>0</v>
      </c>
    </row>
    <row r="21">
      <c r="A21" s="68" t="inlineStr">
        <is>
          <t>spring_phab_lrbs_use|All streams (pooled)</t>
        </is>
      </c>
      <c r="B21" s="68" t="inlineStr">
        <is>
          <t>spring-phab-lrbs-use</t>
        </is>
      </c>
      <c r="C21" s="68" t="inlineStr">
        <is>
          <t>Relative bed stability</t>
        </is>
      </c>
      <c r="D21" s="68" t="inlineStr">
        <is>
          <t>All streams (pooled)</t>
        </is>
      </c>
      <c r="E21" s="68" t="n">
        <v>8</v>
      </c>
      <c r="F21" s="68" t="inlineStr">
        <is>
          <t>49 least-disturbed stations borrowed from Level I ecoregion 10 (North American Deserts) under the regional screen (agriculture at most 25 percent), transfer risk high</t>
        </is>
      </c>
      <c r="G21" s="68" t="n">
        <v>-6.156691789627075</v>
      </c>
      <c r="H21" s="68" t="n">
        <v>-4.439149856567383</v>
      </c>
      <c r="I21" s="68" t="n">
        <v>-3.322747600078583</v>
      </c>
      <c r="J21" s="68" t="n">
        <v>-2.72160792350769</v>
      </c>
      <c r="K21" s="68" t="n">
        <v>-1.004065990447998</v>
      </c>
      <c r="L21" s="68" t="n">
        <v>-0.4029263138771058</v>
      </c>
      <c r="M21" s="68" t="n">
        <v>0.7134759426116943</v>
      </c>
      <c r="N21" s="68" t="n">
        <v>2.431017875671387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0.7</v>
      </c>
      <c r="U21" s="68" t="n">
        <v>0.3</v>
      </c>
      <c r="V21" s="68" t="n">
        <v>0</v>
      </c>
    </row>
    <row r="22">
      <c r="A22" s="68" t="inlineStr">
        <is>
          <t>spring_phab_lrbs_use|Small stream (10 to 100 km2)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Small stream (10 to 100 km2)</t>
        </is>
      </c>
      <c r="E22" s="68" t="n">
        <v>8</v>
      </c>
      <c r="F22" s="68" t="inlineStr">
        <is>
          <t>49 least-disturbed stations borrowed from Level I ecoregion 10 (North American Deserts) under the regional screen (agriculture at most 25 percent), transfer risk high</t>
        </is>
      </c>
      <c r="G22" s="68" t="n">
        <v>-6.704870939254761</v>
      </c>
      <c r="H22" s="68" t="n">
        <v>-4.833205223083496</v>
      </c>
      <c r="I22" s="68" t="n">
        <v>-3.616622507572174</v>
      </c>
      <c r="J22" s="68" t="n">
        <v>-2.961539506912231</v>
      </c>
      <c r="K22" s="68" t="n">
        <v>-1.089873790740967</v>
      </c>
      <c r="L22" s="68" t="n">
        <v>-0.4347907900810242</v>
      </c>
      <c r="M22" s="68" t="n">
        <v>0.7817919254302979</v>
      </c>
      <c r="N22" s="68" t="n">
        <v>2.653457641601562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spring_phab_lrbs_use|Large stream (over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Large stream (over 100 km2)</t>
        </is>
      </c>
      <c r="E23" s="68" t="n">
        <v>8</v>
      </c>
      <c r="F23" s="68" t="inlineStr">
        <is>
          <t>49 least-disturbed stations borrowed from Level I ecoregion 10 (North American Deserts) under the regional screen (agriculture at most 25 percent), transfer risk high</t>
        </is>
      </c>
      <c r="G23" s="68" t="n">
        <v>-3.7678582072258</v>
      </c>
      <c r="H23" s="68" t="n">
        <v>-2.761962920427322</v>
      </c>
      <c r="I23" s="68" t="n">
        <v>-2.108130984008312</v>
      </c>
      <c r="J23" s="68" t="n">
        <v>-1.756067633628845</v>
      </c>
      <c r="K23" s="68" t="n">
        <v>-0.750172346830368</v>
      </c>
      <c r="L23" s="68" t="n">
        <v>-0.398108996450901</v>
      </c>
      <c r="M23" s="68" t="n">
        <v>0.2557229399681091</v>
      </c>
      <c r="N23" s="68" t="n">
        <v>1.261618226766586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spring_phab_lwdeqvolm100|</t>
        </is>
      </c>
      <c r="B24" s="68" t="inlineStr">
        <is>
          <t>spring-phab-lwdeqvolm100</t>
        </is>
      </c>
      <c r="C24" s="68" t="inlineStr">
        <is>
          <t>Large wood volume</t>
        </is>
      </c>
      <c r="D24" s="68" t="inlineStr"/>
      <c r="E24" s="68" t="n">
        <v>5</v>
      </c>
      <c r="F24" s="68" t="inlineStr">
        <is>
          <t>Reference curve fitted to comparable least-disturbed stations drawn from the national pool, because this ecoregion and its parents hold too few of their own.</t>
        </is>
      </c>
      <c r="G24" s="68" t="n">
        <v>0</v>
      </c>
      <c r="H24" s="68" t="n">
        <v>0.01852499986333506</v>
      </c>
      <c r="I24" s="68" t="n">
        <v>0.04322499968111515</v>
      </c>
      <c r="J24" s="68" t="n">
        <v>7.049333214759827</v>
      </c>
      <c r="K24" s="68" t="n">
        <v>10.55238732229918</v>
      </c>
      <c r="L24" s="68" t="n">
        <v>10.55238732229918</v>
      </c>
      <c r="M24" s="68" t="n">
        <v>10.55238732229918</v>
      </c>
      <c r="N24" s="68" t="n">
        <v>10.55238732229918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spring_chem_chla|</t>
        </is>
      </c>
      <c r="B25" s="68" t="inlineStr">
        <is>
          <t>spring-chem-chla</t>
        </is>
      </c>
      <c r="C25" s="68" t="inlineStr">
        <is>
          <t>Chlorophyll a</t>
        </is>
      </c>
      <c r="D25" s="68" t="inlineStr"/>
      <c r="E25" s="68" t="n">
        <v>5</v>
      </c>
      <c r="F25" s="68" t="inlineStr">
        <is>
          <t>49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5" s="68" t="n">
        <v>0.3350000381469727</v>
      </c>
      <c r="H25" s="68" t="n">
        <v>1.220000028610229</v>
      </c>
      <c r="I25" s="68" t="n">
        <v>2.990000009536743</v>
      </c>
      <c r="J25" s="68" t="n">
        <v>5.644999980926514</v>
      </c>
      <c r="K25" s="68" t="n">
        <v>7.414999961853027</v>
      </c>
      <c r="L25" s="68" t="n">
        <v>7.414999961853027</v>
      </c>
      <c r="M25" s="68" t="n">
        <v>7.414999961853027</v>
      </c>
      <c r="N25" s="68" t="n">
        <v>7.414999961853027</v>
      </c>
      <c r="O25" s="68" t="n">
        <v>1</v>
      </c>
      <c r="P25" s="68" t="n">
        <v>1</v>
      </c>
      <c r="Q25" s="68" t="n">
        <v>0.7</v>
      </c>
      <c r="R25" s="68" t="n">
        <v>0.3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spring_phab_xcdenmid|All streams (pooled)</t>
        </is>
      </c>
      <c r="B26" s="68" t="inlineStr">
        <is>
          <t>spring-phab-xcdenmid</t>
        </is>
      </c>
      <c r="C26" s="68" t="inlineStr">
        <is>
          <t>Canopy density, mid-channel</t>
        </is>
      </c>
      <c r="D26" s="68" t="inlineStr">
        <is>
          <t>All streams (pooled)</t>
        </is>
      </c>
      <c r="E26" s="68" t="n">
        <v>5</v>
      </c>
      <c r="F26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8" t="n">
        <v>0</v>
      </c>
      <c r="H26" s="68" t="n">
        <v>6.24522522517613</v>
      </c>
      <c r="I26" s="68" t="n">
        <v>14.57219219207764</v>
      </c>
      <c r="J26" s="68" t="n">
        <v>67.78074645996094</v>
      </c>
      <c r="K26" s="68" t="n">
        <v>94.38502359390259</v>
      </c>
      <c r="L26" s="68" t="n">
        <v>94.38502359390259</v>
      </c>
      <c r="M26" s="68" t="n">
        <v>94.38502359390259</v>
      </c>
      <c r="N26" s="68" t="n">
        <v>94.38502359390259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spring_phab_xcdenmid|Small stream (10 to 100 km2)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Small stream (10 to 100 km2)</t>
        </is>
      </c>
      <c r="E27" s="68" t="n">
        <v>5</v>
      </c>
      <c r="F27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8" t="n">
        <v>0</v>
      </c>
      <c r="H27" s="68" t="n">
        <v>13.02043533325195</v>
      </c>
      <c r="I27" s="68" t="n">
        <v>30.38101577758789</v>
      </c>
      <c r="J27" s="68" t="n">
        <v>83.26203346252441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spring_phab_xcdenmid|Large stream (over 100 km2)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Large stream (over 100 km2)</t>
        </is>
      </c>
      <c r="E28" s="68" t="n">
        <v>5</v>
      </c>
      <c r="F28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8" t="n">
        <v>0</v>
      </c>
      <c r="H28" s="68" t="n">
        <v>1.890756266457694</v>
      </c>
      <c r="I28" s="68" t="n">
        <v>4.411764621734619</v>
      </c>
      <c r="J28" s="68" t="n">
        <v>34.3582878112793</v>
      </c>
      <c r="K28" s="68" t="n">
        <v>49.33154940605164</v>
      </c>
      <c r="L28" s="68" t="n">
        <v>49.33154940605164</v>
      </c>
      <c r="M28" s="68" t="n">
        <v>49.33154940605164</v>
      </c>
      <c r="N28" s="68" t="n">
        <v>49.33154940605164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spring_phab_xcmgw|</t>
        </is>
      </c>
      <c r="B29" s="68" t="inlineStr">
        <is>
          <t>spring-phab-xcmgw</t>
        </is>
      </c>
      <c r="C29" s="68" t="inlineStr">
        <is>
          <t>Riparian veg cover, woody</t>
        </is>
      </c>
      <c r="D29" s="68" t="inlineStr"/>
      <c r="E29" s="68" t="n">
        <v>5</v>
      </c>
      <c r="F29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9" s="68" t="n">
        <v>0</v>
      </c>
      <c r="H29" s="68" t="n">
        <v>0.1626623358045305</v>
      </c>
      <c r="I29" s="68" t="n">
        <v>0.3795454502105713</v>
      </c>
      <c r="J29" s="68" t="n">
        <v>0.8855113536119461</v>
      </c>
      <c r="K29" s="68" t="n">
        <v>1.138494305312634</v>
      </c>
      <c r="L29" s="68" t="n">
        <v>1.138494305312634</v>
      </c>
      <c r="M29" s="68" t="n">
        <v>1.138494305312634</v>
      </c>
      <c r="N29" s="68" t="n">
        <v>1.138494305312634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spring_chem_ntl|</t>
        </is>
      </c>
      <c r="B30" s="68" t="inlineStr">
        <is>
          <t>spring-chem-ntl</t>
        </is>
      </c>
      <c r="C30" s="68" t="inlineStr">
        <is>
          <t>Total nitrogen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0</v>
      </c>
      <c r="H30" s="68" t="n">
        <v>0.2855</v>
      </c>
      <c r="I30" s="68" t="n">
        <v>0.529</v>
      </c>
      <c r="J30" s="68" t="n">
        <v>0.84555</v>
      </c>
      <c r="K30" s="68" t="n">
        <v>0.84555</v>
      </c>
      <c r="L30" s="68" t="n">
        <v>0.84555</v>
      </c>
      <c r="M30" s="68" t="n">
        <v>0.84555</v>
      </c>
      <c r="N30" s="68" t="n">
        <v>0.84555</v>
      </c>
      <c r="O30" s="68" t="n">
        <v>1</v>
      </c>
      <c r="P30" s="68" t="n">
        <v>0.6899999999999999</v>
      </c>
      <c r="Q30" s="68" t="n">
        <v>0.39</v>
      </c>
      <c r="R30" s="68" t="n">
        <v>0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spring_chem_ptl|</t>
        </is>
      </c>
      <c r="B31" s="68" t="inlineStr">
        <is>
          <t>spring-chem-ptl</t>
        </is>
      </c>
      <c r="C31" s="68" t="inlineStr">
        <is>
          <t>Total phosphorus</t>
        </is>
      </c>
      <c r="D31" s="68" t="inlineStr"/>
      <c r="E31" s="68" t="n">
        <v>4</v>
      </c>
      <c r="F31" s="68" t="inlineStr">
        <is>
          <t>Scored against a published criterion rather than against stations from this ecoregion. The criterion carries its own definition of reference, which need not match this assessment's.</t>
        </is>
      </c>
      <c r="G31" s="68" t="n">
        <v>0</v>
      </c>
      <c r="H31" s="68" t="n">
        <v>52.05</v>
      </c>
      <c r="I31" s="68" t="n">
        <v>95.90000000000001</v>
      </c>
      <c r="J31" s="68" t="n">
        <v>152.905</v>
      </c>
      <c r="K31" s="68" t="n">
        <v>152.905</v>
      </c>
      <c r="L31" s="68" t="n">
        <v>152.905</v>
      </c>
      <c r="M31" s="68" t="n">
        <v>152.905</v>
      </c>
      <c r="N31" s="68" t="n">
        <v>152.905</v>
      </c>
      <c r="O31" s="68" t="n">
        <v>1</v>
      </c>
      <c r="P31" s="68" t="n">
        <v>0.6899999999999999</v>
      </c>
      <c r="Q31" s="68" t="n">
        <v>0.39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spring_chem_ph|</t>
        </is>
      </c>
      <c r="B32" s="68" t="inlineStr">
        <is>
          <t>spring-chem-ph</t>
        </is>
      </c>
      <c r="C32" s="68" t="inlineStr">
        <is>
          <t>pH</t>
        </is>
      </c>
      <c r="D32" s="68" t="inlineStr"/>
      <c r="E32" s="68" t="n">
        <v>8</v>
      </c>
      <c r="F32" s="68" t="inlineStr">
        <is>
          <t>49 least-disturbed stations borrowed from Level I ecoregion 10 (North American Deserts) under the regional screen (agriculture at most 25 percent), transfer risk moderate</t>
        </is>
      </c>
      <c r="G32" s="68" t="n">
        <v>7.379999160766602</v>
      </c>
      <c r="H32" s="68" t="n">
        <v>7.729999542236328</v>
      </c>
      <c r="I32" s="68" t="n">
        <v>7.95749979019165</v>
      </c>
      <c r="J32" s="68" t="n">
        <v>8.079999923706055</v>
      </c>
      <c r="K32" s="68" t="n">
        <v>8.430000305175781</v>
      </c>
      <c r="L32" s="68" t="n">
        <v>8.552500438690185</v>
      </c>
      <c r="M32" s="68" t="n">
        <v>8.780000686645508</v>
      </c>
      <c r="N32" s="68" t="n">
        <v>9.130001068115234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0.7</v>
      </c>
      <c r="U32" s="68" t="n">
        <v>0.3</v>
      </c>
      <c r="V32" s="68" t="n">
        <v>0</v>
      </c>
    </row>
    <row r="33">
      <c r="A33" s="68" t="inlineStr">
        <is>
          <t>spring_chem_cond|</t>
        </is>
      </c>
      <c r="B33" s="68" t="inlineStr">
        <is>
          <t>spring-chem-cond</t>
        </is>
      </c>
      <c r="C33" s="68" t="inlineStr">
        <is>
          <t>Specific conductivity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0</v>
      </c>
      <c r="H33" s="68" t="n">
        <v>500.05</v>
      </c>
      <c r="I33" s="68" t="n">
        <v>1000.05</v>
      </c>
      <c r="J33" s="68" t="n">
        <v>1650.05</v>
      </c>
      <c r="K33" s="68" t="n">
        <v>1650.05</v>
      </c>
      <c r="L33" s="68" t="n">
        <v>1650.05</v>
      </c>
      <c r="M33" s="68" t="n">
        <v>1650.05</v>
      </c>
      <c r="N33" s="68" t="n">
        <v>1650.05</v>
      </c>
      <c r="O33" s="68" t="n">
        <v>1</v>
      </c>
      <c r="P33" s="68" t="n">
        <v>0.6899999999999999</v>
      </c>
      <c r="Q33" s="68" t="n">
        <v>0.39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spring_phab_pct_fast|All streams (pooled)</t>
        </is>
      </c>
      <c r="B34" s="68" t="inlineStr">
        <is>
          <t>spring-phab-pct-fast</t>
        </is>
      </c>
      <c r="C34" s="68" t="inlineStr">
        <is>
          <t>Fast-water / riffle habitat</t>
        </is>
      </c>
      <c r="D34" s="68" t="inlineStr">
        <is>
          <t>All streams (pooled)</t>
        </is>
      </c>
      <c r="E34" s="68" t="n">
        <v>5</v>
      </c>
      <c r="F34" s="68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8" t="n">
        <v>0</v>
      </c>
      <c r="H34" s="68" t="n">
        <v>2.574675321578979</v>
      </c>
      <c r="I34" s="68" t="n">
        <v>6.007575750350952</v>
      </c>
      <c r="J34" s="68" t="n">
        <v>58.81188106536865</v>
      </c>
      <c r="K34" s="68" t="n">
        <v>85.2140337228775</v>
      </c>
      <c r="L34" s="68" t="n">
        <v>85.2140337228775</v>
      </c>
      <c r="M34" s="68" t="n">
        <v>85.2140337228775</v>
      </c>
      <c r="N34" s="68" t="n">
        <v>85.2140337228775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spring_phab_pct_fast|Moderate gradient (0.5 to 2 percent)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>
        <is>
          <t>Moderate gradient (0.5 to 2 percent)</t>
        </is>
      </c>
      <c r="E35" s="68" t="n">
        <v>5</v>
      </c>
      <c r="F35" s="68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5" s="68" t="n">
        <v>0</v>
      </c>
      <c r="H35" s="68" t="n">
        <v>3.578139986310686</v>
      </c>
      <c r="I35" s="68" t="n">
        <v>8.348993301391602</v>
      </c>
      <c r="J35" s="68" t="n">
        <v>41.73077011108398</v>
      </c>
      <c r="K35" s="68" t="n">
        <v>58.42165851593018</v>
      </c>
      <c r="L35" s="68" t="n">
        <v>58.42165851593018</v>
      </c>
      <c r="M35" s="68" t="n">
        <v>58.42165851593018</v>
      </c>
      <c r="N35" s="68" t="n">
        <v>58.42165851593018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spring_phab_pct_fast|Steep (2 percent and above)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>
        <is>
          <t>Steep (2 percent and above)</t>
        </is>
      </c>
      <c r="E36" s="68" t="n">
        <v>5</v>
      </c>
      <c r="F36" s="68" t="inlineStr">
        <is>
          <t>52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8" t="n">
        <v>0</v>
      </c>
      <c r="H36" s="68" t="n">
        <v>15.71428625924247</v>
      </c>
      <c r="I36" s="68" t="n">
        <v>36.66666793823242</v>
      </c>
      <c r="J36" s="68" t="n">
        <v>90.82569122314453</v>
      </c>
      <c r="K36" s="68" t="n">
        <v>100</v>
      </c>
      <c r="L36" s="68" t="n">
        <v>100</v>
      </c>
      <c r="M36" s="68" t="n">
        <v>100</v>
      </c>
      <c r="N36" s="68" t="n">
        <v>100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spring_phab_xfc_nat|All streams (pooled)</t>
        </is>
      </c>
      <c r="B37" s="68" t="inlineStr">
        <is>
          <t>spring-phab-xfc-nat</t>
        </is>
      </c>
      <c r="C37" s="68" t="inlineStr">
        <is>
          <t>Natural fish cover</t>
        </is>
      </c>
      <c r="D37" s="68" t="inlineStr">
        <is>
          <t>All streams (pooled)</t>
        </is>
      </c>
      <c r="E37" s="68" t="n">
        <v>5</v>
      </c>
      <c r="F37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7" s="68" t="n">
        <v>0</v>
      </c>
      <c r="H37" s="68" t="n">
        <v>0.07426948153546878</v>
      </c>
      <c r="I37" s="68" t="n">
        <v>0.1732954569160938</v>
      </c>
      <c r="J37" s="68" t="n">
        <v>0.6789772808551788</v>
      </c>
      <c r="K37" s="68" t="n">
        <v>0.9318181928247213</v>
      </c>
      <c r="L37" s="68" t="n">
        <v>0.9318181928247213</v>
      </c>
      <c r="M37" s="68" t="n">
        <v>0.9318181928247213</v>
      </c>
      <c r="N37" s="68" t="n">
        <v>0.9318181928247213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spring_phab_xfc_nat|Small stream (10 to 100 km2)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Small stream (10 to 100 km2)</t>
        </is>
      </c>
      <c r="E38" s="68" t="n">
        <v>5</v>
      </c>
      <c r="F38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8" t="n">
        <v>0</v>
      </c>
      <c r="H38" s="68" t="n">
        <v>0.1157142903123583</v>
      </c>
      <c r="I38" s="68" t="n">
        <v>0.2700000107288361</v>
      </c>
      <c r="J38" s="68" t="n">
        <v>0.8374999761581421</v>
      </c>
      <c r="K38" s="68" t="n">
        <v>1.121249958872795</v>
      </c>
      <c r="L38" s="68" t="n">
        <v>1.121249958872795</v>
      </c>
      <c r="M38" s="68" t="n">
        <v>1.121249958872795</v>
      </c>
      <c r="N38" s="68" t="n">
        <v>1.121249958872795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spring_phab_xfc_nat|Large stream (over 100 km2)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Large stream (over 100 km2)</t>
        </is>
      </c>
      <c r="E39" s="68" t="n">
        <v>5</v>
      </c>
      <c r="F39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8" t="n">
        <v>0</v>
      </c>
      <c r="H39" s="68" t="n">
        <v>0.05649350370679583</v>
      </c>
      <c r="I39" s="68" t="n">
        <v>0.1318181753158569</v>
      </c>
      <c r="J39" s="68" t="n">
        <v>0.4403846263885498</v>
      </c>
      <c r="K39" s="68" t="n">
        <v>0.5946678519248962</v>
      </c>
      <c r="L39" s="68" t="n">
        <v>0.5946678519248962</v>
      </c>
      <c r="M39" s="68" t="n">
        <v>0.5946678519248962</v>
      </c>
      <c r="N39" s="68" t="n">
        <v>0.5946678519248962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spring_bent_totlntax|</t>
        </is>
      </c>
      <c r="B40" s="68" t="inlineStr">
        <is>
          <t>spring-bent-totlntax</t>
        </is>
      </c>
      <c r="C40" s="68" t="inlineStr">
        <is>
          <t>Benthic total taxa richness</t>
        </is>
      </c>
      <c r="D40" s="68" t="inlineStr"/>
      <c r="E40" s="68" t="n">
        <v>5</v>
      </c>
      <c r="F40" s="68" t="inlineStr">
        <is>
          <t>Reference curve fitted to comparable least-disturbed stations drawn from the national pool, because this ecoregion and its parents hold too few of their own.</t>
        </is>
      </c>
      <c r="G40" s="68" t="n">
        <v>0</v>
      </c>
      <c r="H40" s="68" t="n">
        <v>10.71428571428571</v>
      </c>
      <c r="I40" s="68" t="n">
        <v>25</v>
      </c>
      <c r="J40" s="68" t="n">
        <v>37</v>
      </c>
      <c r="K40" s="68" t="n">
        <v>43</v>
      </c>
      <c r="L40" s="68" t="n">
        <v>43</v>
      </c>
      <c r="M40" s="68" t="n">
        <v>43</v>
      </c>
      <c r="N40" s="68" t="n">
        <v>43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spring_bent_hprime|</t>
        </is>
      </c>
      <c r="B41" s="68" t="inlineStr">
        <is>
          <t>spring-bent-hprime</t>
        </is>
      </c>
      <c r="C41" s="68" t="inlineStr">
        <is>
          <t>Shannon diversity (H')</t>
        </is>
      </c>
      <c r="D41" s="68" t="inlineStr"/>
      <c r="E41" s="68" t="n">
        <v>5</v>
      </c>
      <c r="F41" s="68" t="inlineStr">
        <is>
          <t>Reference curve fitted to comparable least-disturbed stations drawn from the national pool, because this ecoregion and its parents hold too few of their own.</t>
        </is>
      </c>
      <c r="G41" s="68" t="n">
        <v>0</v>
      </c>
      <c r="H41" s="68" t="n">
        <v>0.9064285755157471</v>
      </c>
      <c r="I41" s="68" t="n">
        <v>2.115000009536743</v>
      </c>
      <c r="J41" s="68" t="n">
        <v>2.809999942779541</v>
      </c>
      <c r="K41" s="68" t="n">
        <v>3.15749990940094</v>
      </c>
      <c r="L41" s="68" t="n">
        <v>3.15749990940094</v>
      </c>
      <c r="M41" s="68" t="n">
        <v>3.15749990940094</v>
      </c>
      <c r="N41" s="68" t="n">
        <v>3.15749990940094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spring_bent_ept_ntax|</t>
        </is>
      </c>
      <c r="B42" s="68" t="inlineStr">
        <is>
          <t>spring-bent-ept-ntax</t>
        </is>
      </c>
      <c r="C42" s="68" t="inlineStr">
        <is>
          <t>EPT taxa richness</t>
        </is>
      </c>
      <c r="D42" s="68" t="inlineStr"/>
      <c r="E42" s="68" t="n">
        <v>5</v>
      </c>
      <c r="F42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required; net optimism +0.11, at most 0.05 allowed); confidence capped at 39.</t>
        </is>
      </c>
      <c r="G42" s="68" t="n">
        <v>0</v>
      </c>
      <c r="H42" s="68" t="n">
        <v>1.714285714285714</v>
      </c>
      <c r="I42" s="68" t="n">
        <v>4</v>
      </c>
      <c r="J42" s="68" t="n">
        <v>11.5</v>
      </c>
      <c r="K42" s="68" t="n">
        <v>15.25</v>
      </c>
      <c r="L42" s="68" t="n">
        <v>15.25</v>
      </c>
      <c r="M42" s="68" t="n">
        <v>15.25</v>
      </c>
      <c r="N42" s="68" t="n">
        <v>15.25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spring_nid_dams_1mi|</t>
        </is>
      </c>
      <c r="B43" s="68" t="inlineStr">
        <is>
          <t>spring-nid-dams-1mi</t>
        </is>
      </c>
      <c r="C43" s="68" t="inlineStr">
        <is>
          <t>Mapped dams within one mile</t>
        </is>
      </c>
      <c r="D43" s="68" t="inlineStr"/>
      <c r="E43" s="68" t="n">
        <v>4</v>
      </c>
      <c r="F43" s="68" t="inlineStr">
        <is>
          <t>Fixed criteria, the same in every region</t>
        </is>
      </c>
      <c r="G43" s="68" t="n">
        <v>0</v>
      </c>
      <c r="H43" s="68" t="n">
        <v>1</v>
      </c>
      <c r="I43" s="68" t="n">
        <v>2</v>
      </c>
      <c r="J43" s="68" t="n">
        <v>3</v>
      </c>
      <c r="K43" s="68" t="n">
        <v>3</v>
      </c>
      <c r="L43" s="68" t="n">
        <v>3</v>
      </c>
      <c r="M43" s="68" t="n">
        <v>3</v>
      </c>
      <c r="N43" s="68" t="n">
        <v>3</v>
      </c>
      <c r="O43" s="68" t="n">
        <v>1</v>
      </c>
      <c r="P43" s="68" t="n">
        <v>0.545</v>
      </c>
      <c r="Q43" s="68" t="n">
        <v>0.195</v>
      </c>
      <c r="R43" s="68" t="n">
        <v>0</v>
      </c>
      <c r="S43" s="68" t="n">
        <v>0</v>
      </c>
      <c r="T43" s="68" t="n">
        <v>0</v>
      </c>
      <c r="U43" s="68" t="n">
        <v>0</v>
      </c>
      <c r="V43" s="68" t="n">
        <v>0</v>
      </c>
    </row>
    <row r="46">
      <c r="A46" s="57" t="inlineStr">
        <is>
          <t>Curve sets by metric</t>
        </is>
      </c>
    </row>
    <row r="47">
      <c r="A47" s="68" t="inlineStr">
        <is>
          <t>All streams (pooled)</t>
        </is>
      </c>
      <c r="B47" s="4" t="inlineStr">
        <is>
          <t>Bankfull width:depth ratio</t>
        </is>
      </c>
    </row>
    <row r="48">
      <c r="A48" s="68" t="inlineStr">
        <is>
          <t>Small stream (10 to 100 km2)</t>
        </is>
      </c>
      <c r="B48" s="4" t="inlineStr">
        <is>
          <t>Bankfull width:depth ratio</t>
        </is>
      </c>
    </row>
    <row r="49">
      <c r="A49" s="68" t="inlineStr">
        <is>
          <t>Large stream (over 100 km2)</t>
        </is>
      </c>
      <c r="B49" s="4" t="inlineStr">
        <is>
          <t>Bankfull width:depth ratio</t>
        </is>
      </c>
    </row>
    <row r="50">
      <c r="A50" s="68" t="inlineStr">
        <is>
          <t>All streams (pooled)</t>
        </is>
      </c>
      <c r="B50" s="4" t="inlineStr">
        <is>
          <t>Bankfull height above channel</t>
        </is>
      </c>
    </row>
    <row r="51">
      <c r="A51" s="68" t="inlineStr">
        <is>
          <t>Small stream (10 to 100 km2)</t>
        </is>
      </c>
      <c r="B51" s="4" t="inlineStr">
        <is>
          <t>Bankfull height above channel</t>
        </is>
      </c>
    </row>
    <row r="52">
      <c r="A52" s="68" t="inlineStr">
        <is>
          <t>Large stream (over 100 km2)</t>
        </is>
      </c>
      <c r="B52" s="4" t="inlineStr">
        <is>
          <t>Bankfull height above channel</t>
        </is>
      </c>
    </row>
    <row r="53">
      <c r="A53" s="68" t="inlineStr">
        <is>
          <t>All streams (pooled)</t>
        </is>
      </c>
      <c r="B53" s="4" t="inlineStr">
        <is>
          <t>Relative bed stability</t>
        </is>
      </c>
    </row>
    <row r="54">
      <c r="A54" s="68" t="inlineStr">
        <is>
          <t>Small stream (10 to 100 km2)</t>
        </is>
      </c>
      <c r="B54" s="4" t="inlineStr">
        <is>
          <t>Relative bed stability</t>
        </is>
      </c>
    </row>
    <row r="55">
      <c r="A55" s="68" t="inlineStr">
        <is>
          <t>Large stream (over 100 km2)</t>
        </is>
      </c>
      <c r="B55" s="4" t="inlineStr">
        <is>
          <t>Relative bed stability</t>
        </is>
      </c>
    </row>
    <row r="56">
      <c r="A56" s="68" t="inlineStr">
        <is>
          <t>All streams (pooled)</t>
        </is>
      </c>
      <c r="B56" s="4" t="inlineStr">
        <is>
          <t>Canopy density, mid-channel</t>
        </is>
      </c>
    </row>
    <row r="57">
      <c r="A57" s="68" t="inlineStr">
        <is>
          <t>Small stream (10 to 100 km2)</t>
        </is>
      </c>
      <c r="B57" s="4" t="inlineStr">
        <is>
          <t>Canopy density, mid-channel</t>
        </is>
      </c>
    </row>
    <row r="58">
      <c r="A58" s="68" t="inlineStr">
        <is>
          <t>Large stream (over 100 km2)</t>
        </is>
      </c>
      <c r="B58" s="4" t="inlineStr">
        <is>
          <t>Canopy density, mid-channel</t>
        </is>
      </c>
    </row>
    <row r="59">
      <c r="A59" s="68" t="inlineStr">
        <is>
          <t>All streams (pooled)</t>
        </is>
      </c>
      <c r="B59" s="4" t="inlineStr">
        <is>
          <t>Fast-water / riffle habitat</t>
        </is>
      </c>
    </row>
    <row r="60">
      <c r="A60" s="68" t="inlineStr">
        <is>
          <t>Moderate gradient (0.5 to 2 percent)</t>
        </is>
      </c>
      <c r="B60" s="4" t="inlineStr">
        <is>
          <t>Fast-water / riffle habitat</t>
        </is>
      </c>
    </row>
    <row r="61">
      <c r="A61" s="68" t="inlineStr">
        <is>
          <t>Steep (2 percent and above)</t>
        </is>
      </c>
      <c r="B61" s="4" t="inlineStr">
        <is>
          <t>Fast-water / riffle habitat</t>
        </is>
      </c>
    </row>
    <row r="62">
      <c r="A62" s="68" t="inlineStr">
        <is>
          <t>All streams (pooled)</t>
        </is>
      </c>
      <c r="B62" s="4" t="inlineStr">
        <is>
          <t>Natural fish cover</t>
        </is>
      </c>
    </row>
    <row r="63">
      <c r="A63" s="68" t="inlineStr">
        <is>
          <t>Small stream (10 to 100 km2)</t>
        </is>
      </c>
      <c r="B63" s="4" t="inlineStr">
        <is>
          <t>Natural fish cover</t>
        </is>
      </c>
    </row>
    <row r="64">
      <c r="A64" s="68" t="inlineStr">
        <is>
          <t>Large stream (over 100 km2)</t>
        </is>
      </c>
      <c r="B64" s="4" t="inlineStr">
        <is>
          <t>Natural fish cover</t>
        </is>
      </c>
    </row>
    <row r="67">
      <c r="A67" s="57" t="inlineStr">
        <is>
          <t>Condition classes</t>
        </is>
      </c>
    </row>
    <row r="68">
      <c r="A68" t="inlineStr">
        <is>
          <t>Metric index: at or below 0.39 Non-Functioning, at or below 0.69 Functioning At-Risk, above Functioning.</t>
        </is>
      </c>
    </row>
    <row r="69">
      <c r="A69" t="inlineStr">
        <is>
          <t>Function score (0 to 15): at or below 5 Non-Functioning, at or below 10 Functioning At-Risk, above Functioning.</t>
        </is>
      </c>
    </row>
    <row r="70">
      <c r="A7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chihuahuan-deserts</t>
        </is>
      </c>
    </row>
    <row r="5">
      <c r="A5" s="68" t="inlineStr">
        <is>
          <t>Assessment name</t>
        </is>
      </c>
      <c r="B5" s="68" t="inlineStr">
        <is>
          <t>Chihuahuan Deserts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sha256:9e917fb454ed3df7f93e83eb09b4518bd7342bf61a2fdca64676e86e63da426b</t>
        </is>
      </c>
    </row>
    <row r="9">
      <c r="A9" s="68" t="inlineStr">
        <is>
          <t>Region</t>
        </is>
      </c>
      <c r="B9" s="68" t="inlineStr">
        <is>
          <t>ecoregion 24 Chihuahuan Deserts</t>
        </is>
      </c>
    </row>
    <row r="10">
      <c r="A10" s="68" t="inlineStr">
        <is>
          <t>Source</t>
        </is>
      </c>
      <c r="B10" s="68" t="inlineStr">
        <is>
          <t>USEPA NRSA 2013-24 (L3 ecoregion 24),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27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2026-09-30T07:07:19Z</dcterms:created>
  <dcterms:modified xmlns:dcterms="http://purl.org/dc/terms/" xmlns:xsi="http://www.w3.org/2001/XMLSchema-instance" xsi:type="dcterms:W3CDTF">2026-09-30T07:07:19Z</dcterms:modified>
  <cp:lastModifiedBy>DEEP</cp:lastModifiedBy>
</cp:coreProperties>
</file>