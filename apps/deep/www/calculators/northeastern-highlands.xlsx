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'Reference'!$A$5:$A$44</definedName>
    <definedName name="curve_x1">'Reference'!$G$5:$G$44</definedName>
    <definedName name="curve_y1">'Reference'!$O$5:$O$44</definedName>
    <definedName name="curve_x2">'Reference'!$H$5:$H$44</definedName>
    <definedName name="curve_y2">'Reference'!$P$5:$P$44</definedName>
    <definedName name="curve_x3">'Reference'!$I$5:$I$44</definedName>
    <definedName name="curve_y3">'Reference'!$Q$5:$Q$44</definedName>
    <definedName name="curve_x4">'Reference'!$J$5:$J$44</definedName>
    <definedName name="curve_y4">'Reference'!$R$5:$R$44</definedName>
    <definedName name="curve_x5">'Reference'!$K$5:$K$44</definedName>
    <definedName name="curve_y5">'Reference'!$S$5:$S$44</definedName>
    <definedName name="curve_x6">'Reference'!$L$5:$L$44</definedName>
    <definedName name="curve_y6">'Reference'!$T$5:$T$44</definedName>
    <definedName name="curve_x7">'Reference'!$M$5:$M$44</definedName>
    <definedName name="curve_y7">'Reference'!$U$5:$U$44</definedName>
    <definedName name="curve_x8">'Reference'!$N$5:$N$44</definedName>
    <definedName name="curve_y8">'Reference'!$V$5:$V$44</definedName>
    <definedName name="strata_spring_phab_bfwd_rat">'Reference'!$A$48:$A$50</definedName>
    <definedName name="strata_spring_phab_xbkf_h">'Reference'!$A$51:$A$53</definedName>
    <definedName name="strata_spring_phab_lrbs_use">'Reference'!$A$54:$A$56</definedName>
    <definedName name="strata_spring_phab_xcdenmid">'Reference'!$A$57:$A$59</definedName>
    <definedName name="strata_spring_phab_pct_fast">'Reference'!$A$60:$A$62</definedName>
    <definedName name="strata_spring_phab_xfc_nat">'Reference'!$A$63:$A$65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cond">'Metrics'!$V$25</definedName>
    <definedName name="idx_spring_chem_turb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bent_hprime">'Metrics'!$V$30</definedName>
    <definedName name="idx_spring_bent_tolrpind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bent_hprime">'DEEP Score'!$E$43</definedName>
    <definedName name="in_spring_bent_tolrpind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20" customHeight="1">
      <c r="A5" s="4" t="inlineStr">
        <is>
          <t>Reference condition. Reference condition is set by a fixed landscape-pressure screen, never by a score. 28 curves are fitted to least-disturbed stations of this ecoregion. 1 borrows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2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>
      <c r="A3" s="5" t="inlineStr">
        <is>
          <t>Version 10 | Preliminary | USEPA NRSA 2013-24 (L3 ecoregion 58), StreamCurves regional analysis, methodology 0.16-provisional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Specific conductivity</t>
        </is>
      </c>
      <c r="D38" s="14" t="inlineStr">
        <is>
          <t>uS/cm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IF('Metrics'!$V$28="","",'Metrics'!$V$28)</f>
        <v/>
      </c>
      <c r="H41" s="21" t="n"/>
      <c r="I41" s="27" t="n"/>
    </row>
    <row r="42">
      <c r="A42" s="51" t="inlineStr">
        <is>
          <t>Biology</t>
        </is>
      </c>
      <c r="B42" s="29" t="inlineStr">
        <is>
          <t>Population support</t>
        </is>
      </c>
      <c r="C42" s="30" t="inlineStr">
        <is>
          <t>Benthic total taxa richness</t>
        </is>
      </c>
      <c r="D42" s="31" t="inlineStr"/>
      <c r="E42" s="32" t="n"/>
      <c r="F42" s="33" t="inlineStr"/>
      <c r="G42" s="34">
        <f>IF('Metrics'!$V$29="","",'Metrics'!$V$29)</f>
        <v/>
      </c>
      <c r="H42" s="35">
        <f>IF('Results'!$B$21="","",'Results'!$B$21)</f>
        <v/>
      </c>
      <c r="I42" s="36">
        <f>IF('DEEP Score'!$H$42="","",IF('DEEP Score'!$H$42&lt;=5,"Non-Functioning",IF('DEEP Score'!$H$42&lt;=10,"Functioning At-Risk","Functioning")))</f>
        <v/>
      </c>
    </row>
    <row r="43">
      <c r="A43" s="50" t="inlineStr">
        <is>
          <t>Biology</t>
        </is>
      </c>
      <c r="B43" s="12" t="inlineStr">
        <is>
          <t>Community dynamics</t>
        </is>
      </c>
      <c r="C43" s="13" t="inlineStr">
        <is>
          <t>Shannon diversity (H')</t>
        </is>
      </c>
      <c r="D43" s="14" t="inlineStr">
        <is>
          <t>H'</t>
        </is>
      </c>
      <c r="E43" s="15" t="n"/>
      <c r="F43" s="16" t="inlineStr"/>
      <c r="G43" s="17">
        <f>IF('Metrics'!$V$30="","",'Metrics'!$V$30)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Tolerant individuals (%) ~ HBI</t>
        </is>
      </c>
      <c r="D44" s="23" t="inlineStr"/>
      <c r="E44" s="24" t="n"/>
      <c r="F44" s="25" t="inlineStr"/>
      <c r="G44" s="26">
        <f>IF('Metrics'!$V$31="","",'Metrics'!$V$31)</f>
        <v/>
      </c>
      <c r="H44" s="21" t="n"/>
      <c r="I44" s="27" t="n"/>
    </row>
    <row r="45">
      <c r="A45" s="51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IF('Metrics'!$V$32="","",'Metrics'!$V$32)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2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3" t="inlineStr">
        <is>
          <t>Physical</t>
        </is>
      </c>
      <c r="B49" s="54">
        <f>'Results'!$B$26</f>
        <v/>
      </c>
      <c r="C49" s="55">
        <f>IF('DEEP Score'!$B$49&lt;=0.39,"Non-Functioning",IF('DEEP Score'!$B$49&lt;=0.69,"Functioning At-Risk","Functioning"))</f>
        <v/>
      </c>
    </row>
    <row r="50">
      <c r="A50" s="53" t="inlineStr">
        <is>
          <t>Chemical</t>
        </is>
      </c>
      <c r="B50" s="54">
        <f>'Results'!$B$27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Biological</t>
        </is>
      </c>
      <c r="B51" s="54">
        <f>'Results'!$B$28</f>
        <v/>
      </c>
      <c r="C51" s="55">
        <f>IF('DEEP Score'!$B$51&lt;=0.39,"Non-Functioning",IF('DEEP Score'!$B$51&lt;=0.69,"Functioning At-Risk","Functioning"))</f>
        <v/>
      </c>
    </row>
    <row r="52" ht="30" customHeight="1">
      <c r="A52" s="56" t="inlineStr">
        <is>
          <t>Ecosystem Condition Index</t>
        </is>
      </c>
      <c r="B52" s="57">
        <f>'Results'!$B$29</f>
        <v/>
      </c>
      <c r="C52" s="55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8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5" t="inlineStr">
        <is>
          <t>Population support</t>
        </is>
      </c>
    </row>
    <row r="58">
      <c r="A58" t="inlineStr">
        <is>
          <t>Residual pool depth</t>
        </is>
      </c>
      <c r="C58" s="5" t="inlineStr">
        <is>
          <t>Low flow and baseflow dynamics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Score'!$E$31="","",'DEEP Score'!$E$31)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Large wood volume</t>
        </is>
      </c>
      <c r="B19" s="70">
        <f>IF('DEEP Score'!$E$32="","",'DEEP Score'!$E$32)</f>
        <v/>
      </c>
      <c r="C19" s="70">
        <f>""</f>
        <v/>
      </c>
      <c r="D19" s="70">
        <f>"spring_phab_lwdeqvolm100|"&amp;'Metrics'!$C$19</f>
        <v/>
      </c>
      <c r="E19" s="70">
        <f>IFERROR(MATCH('Metrics'!$D$19,curve_key,0),MATCH("spring_phab_lwdeqvolm100|",curve_key,0))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IF('DEEP Score'!$F$34="","All streams (pooled)",'DEEP Score'!$F$34)</f>
        <v/>
      </c>
      <c r="D21" s="70">
        <f>"spring_phab_xcdenmid|"&amp;'Metrics'!$C$21</f>
        <v/>
      </c>
      <c r="E21" s="70">
        <f>IFERROR(MATCH('Metrics'!$D$21,curve_key,0),MATCH("spring_phab_xcdenmid|All streams (pooled)",curve_key,0))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Score'!$E$38="","",'DEEP Score'!$E$38)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Turbidity</t>
        </is>
      </c>
      <c r="B26" s="70">
        <f>IF('DEEP Score'!$E$39="","",'DEEP Score'!$E$39)</f>
        <v/>
      </c>
      <c r="C26" s="70">
        <f>""</f>
        <v/>
      </c>
      <c r="D26" s="70">
        <f>"spring_chem_turb|"&amp;'Metrics'!$C$26</f>
        <v/>
      </c>
      <c r="E26" s="70">
        <f>IFERROR(MATCH('Metrics'!$D$26,curve_key,0),MATCH("spring_chem_turb|",curve_key,0))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Fast-water / riffle habitat</t>
        </is>
      </c>
      <c r="B27" s="70">
        <f>IF('DEEP Score'!$E$40="","",'DEEP Score'!$E$40)</f>
        <v/>
      </c>
      <c r="C27" s="70">
        <f>IF('DEEP Score'!$F$40="","All streams (pooled)",'DEEP Score'!$F$40)</f>
        <v/>
      </c>
      <c r="D27" s="70">
        <f>"spring_phab_pct_fast|"&amp;'Metrics'!$C$27</f>
        <v/>
      </c>
      <c r="E27" s="70">
        <f>IFERROR(MATCH('Metrics'!$D$27,curve_key,0),MATCH("spring_phab_pct_fast|All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Natural fish cover</t>
        </is>
      </c>
      <c r="B28" s="70">
        <f>IF('DEEP Score'!$E$41="","",'DEEP Score'!$E$41)</f>
        <v/>
      </c>
      <c r="C28" s="70">
        <f>IF('DEEP Score'!$F$41="","All streams (pooled)",'DEEP Score'!$F$41)</f>
        <v/>
      </c>
      <c r="D28" s="70">
        <f>"spring_phab_xfc_nat|"&amp;'Metrics'!$C$28</f>
        <v/>
      </c>
      <c r="E28" s="70">
        <f>IFERROR(MATCH('Metrics'!$D$28,curve_key,0),MATCH("spring_phab_xfc_nat|All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Benthic total taxa richness</t>
        </is>
      </c>
      <c r="B29" s="70">
        <f>IF('DEEP Score'!$E$42="","",'DEEP Score'!$E$42)</f>
        <v/>
      </c>
      <c r="C29" s="70">
        <f>""</f>
        <v/>
      </c>
      <c r="D29" s="70">
        <f>"spring_bent_totlntax|"&amp;'Metrics'!$C$29</f>
        <v/>
      </c>
      <c r="E29" s="70">
        <f>IFERROR(MATCH('Metrics'!$D$29,curve_key,0),MATCH("spring_bent_totlntax|",curve_key,0))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Shannon diversity (H')</t>
        </is>
      </c>
      <c r="B30" s="70">
        <f>IF('DEEP Score'!$E$43="","",'DEEP Score'!$E$43)</f>
        <v/>
      </c>
      <c r="C30" s="70">
        <f>""</f>
        <v/>
      </c>
      <c r="D30" s="70">
        <f>"spring_bent_hprime|"&amp;'Metrics'!$C$30</f>
        <v/>
      </c>
      <c r="E30" s="70">
        <f>IFERROR(MATCH('Metrics'!$D$30,curve_key,0),MATCH("spring_bent_hprime|",curve_key,0))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Tolerant individuals (%) ~ HBI</t>
        </is>
      </c>
      <c r="B31" s="70">
        <f>IF('DEEP Score'!$E$44="","",'DEEP Score'!$E$44)</f>
        <v/>
      </c>
      <c r="C31" s="70">
        <f>""</f>
        <v/>
      </c>
      <c r="D31" s="70">
        <f>"spring_bent_tolrpind|"&amp;'Metrics'!$C$31</f>
        <v/>
      </c>
      <c r="E31" s="70">
        <f>IFERROR(MATCH('Metrics'!$D$31,curve_key,0),MATCH("spring_bent_tolrpind|",curve_key,0))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Score'!$E$45="","",'DEEP Score'!$E$45)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Score'!G42:G42)=0,"",SUM('DEEP Score'!G42:G42)/COUNT('DEEP Score'!G42:G42)*15)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Score'!G43:G44)=0,"",SUM('DEEP Score'!G43:G44)/COUNT('DEEP Score'!G43:G44)*15)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Score'!G45:G45)=0,"",SUM('DEEP Score'!G45:G45)/COUNT('DEEP Score'!G45:G45)*15)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7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required); confidence capped at 39.</t>
        </is>
      </c>
      <c r="G7" s="69" t="n">
        <v>0</v>
      </c>
      <c r="H7" s="69" t="n">
        <v>1.461428571428572</v>
      </c>
      <c r="I7" s="69" t="n">
        <v>3.41</v>
      </c>
      <c r="J7" s="69" t="n">
        <v>10.86</v>
      </c>
      <c r="K7" s="69" t="n">
        <v>14.585</v>
      </c>
      <c r="L7" s="69" t="n">
        <v>14.585</v>
      </c>
      <c r="M7" s="69" t="n">
        <v>14.585</v>
      </c>
      <c r="N7" s="69" t="n">
        <v>14.585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66 least-disturbed stations of this ecoregion</t>
        </is>
      </c>
      <c r="G9" s="69" t="n">
        <v>0</v>
      </c>
      <c r="H9" s="69" t="n">
        <v>20.14285714285714</v>
      </c>
      <c r="I9" s="69" t="n">
        <v>47</v>
      </c>
      <c r="J9" s="69" t="n">
        <v>52.86625</v>
      </c>
      <c r="K9" s="69" t="n">
        <v>55.799375</v>
      </c>
      <c r="L9" s="69" t="n">
        <v>55.799375</v>
      </c>
      <c r="M9" s="69" t="n">
        <v>55.799375</v>
      </c>
      <c r="N9" s="69" t="n">
        <v>55.799375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7</v>
      </c>
      <c r="F11" s="69" t="inlineStr">
        <is>
          <t>66 least-disturbed stations of this ecoregion</t>
        </is>
      </c>
      <c r="G11" s="69" t="n">
        <v>0</v>
      </c>
      <c r="H11" s="69" t="n">
        <v>4.898586344718933</v>
      </c>
      <c r="I11" s="69" t="n">
        <v>8.195906639099121</v>
      </c>
      <c r="J11" s="69" t="n">
        <v>17.61682176589966</v>
      </c>
      <c r="K11" s="69" t="n">
        <v>20.91414206027985</v>
      </c>
      <c r="L11" s="69" t="n">
        <v>27.0377368927002</v>
      </c>
      <c r="M11" s="69" t="n">
        <v>36.45865201950073</v>
      </c>
      <c r="N11" s="69" t="n">
        <v>36.45865201950073</v>
      </c>
      <c r="O11" s="69" t="n">
        <v>0</v>
      </c>
      <c r="P11" s="69" t="n">
        <v>0.7</v>
      </c>
      <c r="Q11" s="69" t="n">
        <v>1</v>
      </c>
      <c r="R11" s="69" t="n">
        <v>1</v>
      </c>
      <c r="S11" s="69" t="n">
        <v>0.7</v>
      </c>
      <c r="T11" s="69" t="n">
        <v>0.3</v>
      </c>
      <c r="U11" s="69" t="n">
        <v>0</v>
      </c>
      <c r="V11" s="69" t="n">
        <v>0</v>
      </c>
    </row>
    <row r="12">
      <c r="A12" s="69" t="inlineStr">
        <is>
          <t>spring_phab_bfwd_rat|Headwater (10 km2 and under)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Headwater (10 km2 and under)</t>
        </is>
      </c>
      <c r="E12" s="69" t="n">
        <v>8</v>
      </c>
      <c r="F12" s="69" t="inlineStr">
        <is>
          <t>66 least-disturbed stations of this ecoregion</t>
        </is>
      </c>
      <c r="G12" s="69" t="n">
        <v>0</v>
      </c>
      <c r="H12" s="69" t="n">
        <v>1.40961742401123</v>
      </c>
      <c r="I12" s="69" t="n">
        <v>4.68621706366539</v>
      </c>
      <c r="J12" s="69" t="n">
        <v>6.450539946556091</v>
      </c>
      <c r="K12" s="69" t="n">
        <v>11.49146246910095</v>
      </c>
      <c r="L12" s="69" t="n">
        <v>13.25578535199165</v>
      </c>
      <c r="M12" s="69" t="n">
        <v>16.53238499164581</v>
      </c>
      <c r="N12" s="69" t="n">
        <v>21.57330751419067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0.7</v>
      </c>
      <c r="U12" s="69" t="n">
        <v>0.3</v>
      </c>
      <c r="V12" s="69" t="n">
        <v>0</v>
      </c>
    </row>
    <row r="13">
      <c r="A13" s="69" t="inlineStr">
        <is>
          <t>spring_phab_bfwd_rat|Small stream (10 to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Small stream (10 to 100 km2)</t>
        </is>
      </c>
      <c r="E13" s="69" t="n">
        <v>8</v>
      </c>
      <c r="F13" s="69" t="inlineStr">
        <is>
          <t>66 least-disturbed stations of this ecoregion</t>
        </is>
      </c>
      <c r="G13" s="69" t="n">
        <v>0</v>
      </c>
      <c r="H13" s="69" t="n">
        <v>3.661773204803467</v>
      </c>
      <c r="I13" s="69" t="n">
        <v>8.411383438110352</v>
      </c>
      <c r="J13" s="69" t="n">
        <v>10.96886587142944</v>
      </c>
      <c r="K13" s="69" t="n">
        <v>18.27595853805542</v>
      </c>
      <c r="L13" s="69" t="n">
        <v>20.83344097137451</v>
      </c>
      <c r="M13" s="69" t="n">
        <v>25.5830512046814</v>
      </c>
      <c r="N13" s="69" t="n">
        <v>32.89014387130737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0.7</v>
      </c>
      <c r="U13" s="69" t="n">
        <v>0.3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66 least-disturbed stations of this ecoregion</t>
        </is>
      </c>
      <c r="G14" s="69" t="n">
        <v>0</v>
      </c>
      <c r="H14" s="69" t="n">
        <v>0.09515909478068352</v>
      </c>
      <c r="I14" s="69" t="n">
        <v>0.2000000029802322</v>
      </c>
      <c r="J14" s="69" t="n">
        <v>0.4995454549789429</v>
      </c>
      <c r="K14" s="69" t="n">
        <v>0.6043863631784916</v>
      </c>
      <c r="L14" s="69" t="n">
        <v>0.7990909069776535</v>
      </c>
      <c r="M14" s="69" t="n">
        <v>1.098636358976364</v>
      </c>
      <c r="N14" s="69" t="n">
        <v>1.098636358976364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spring_phab_xbkf_h|Headwater (10 km2 and under)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Headwater (10 km2 and under)</t>
        </is>
      </c>
      <c r="E15" s="69" t="n">
        <v>7</v>
      </c>
      <c r="F15" s="69" t="inlineStr">
        <is>
          <t>66 least-disturbed stations of this ecoregion</t>
        </is>
      </c>
      <c r="G15" s="69" t="n">
        <v>0</v>
      </c>
      <c r="H15" s="69" t="n">
        <v>0.09713636972010137</v>
      </c>
      <c r="I15" s="69" t="n">
        <v>0.1684090942144394</v>
      </c>
      <c r="J15" s="69" t="n">
        <v>0.3720454499125481</v>
      </c>
      <c r="K15" s="69" t="n">
        <v>0.4433181744068861</v>
      </c>
      <c r="L15" s="69" t="n">
        <v>0.5756818056106567</v>
      </c>
      <c r="M15" s="69" t="n">
        <v>0.7793181613087654</v>
      </c>
      <c r="N15" s="69" t="n">
        <v>0.7793181613087654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spring_phab_xbkf_h|Small stream (10 to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Small stream (10 to 100 km2)</t>
        </is>
      </c>
      <c r="E16" s="69" t="n">
        <v>7</v>
      </c>
      <c r="F16" s="69" t="inlineStr">
        <is>
          <t>66 least-disturbed stations of this ecoregion</t>
        </is>
      </c>
      <c r="G16" s="69" t="n">
        <v>0</v>
      </c>
      <c r="H16" s="69" t="n">
        <v>0.1153863675892353</v>
      </c>
      <c r="I16" s="69" t="n">
        <v>0.2345454543828964</v>
      </c>
      <c r="J16" s="69" t="n">
        <v>0.574999988079071</v>
      </c>
      <c r="K16" s="69" t="n">
        <v>0.6941590748727322</v>
      </c>
      <c r="L16" s="69" t="n">
        <v>0.9154545217752457</v>
      </c>
      <c r="M16" s="69" t="n">
        <v>1.25590905547142</v>
      </c>
      <c r="N16" s="69" t="n">
        <v>1.25590905547142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5</v>
      </c>
      <c r="F17" s="69" t="inlineStr">
        <is>
          <t>66 least-disturbed stations of this ecoregion</t>
        </is>
      </c>
      <c r="G17" s="69" t="n">
        <v>0</v>
      </c>
      <c r="H17" s="69" t="n">
        <v>5.579710245132446</v>
      </c>
      <c r="I17" s="69" t="n">
        <v>36.54761981964111</v>
      </c>
      <c r="J17" s="69" t="n">
        <v>82.99948418140411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0.3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63 least-disturbed stations of this ecoregion</t>
        </is>
      </c>
      <c r="G18" s="69" t="n">
        <v>4.153845310211182</v>
      </c>
      <c r="H18" s="69" t="n">
        <v>22.13286685943604</v>
      </c>
      <c r="I18" s="69" t="n">
        <v>58.09090995788574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63 least-disturbed stations of this ecoregion</t>
        </is>
      </c>
      <c r="G19" s="69" t="n">
        <v>1</v>
      </c>
      <c r="H19" s="69" t="n">
        <v>1.09111225605011</v>
      </c>
      <c r="I19" s="69" t="n">
        <v>1.285274803638458</v>
      </c>
      <c r="J19" s="69" t="n">
        <v>1.382356077432632</v>
      </c>
      <c r="K19" s="69" t="n">
        <v>1.382356077432632</v>
      </c>
      <c r="L19" s="69" t="n">
        <v>1.382356077432632</v>
      </c>
      <c r="M19" s="69" t="n">
        <v>1.382356077432632</v>
      </c>
      <c r="N19" s="69" t="n">
        <v>1.382356077432632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98 least-disturbed stations borrowed from Level II ecoregion 5.3 (Atlantic Highlands) under the regional screen (agriculture at most 25 percent), transfer risk low</t>
        </is>
      </c>
      <c r="G20" s="69" t="n">
        <v>0</v>
      </c>
      <c r="H20" s="69" t="n">
        <v>14.35454590320587</v>
      </c>
      <c r="I20" s="69" t="n">
        <v>21.86363649368286</v>
      </c>
      <c r="J20" s="69" t="n">
        <v>43.31818103790283</v>
      </c>
      <c r="K20" s="69" t="n">
        <v>50.82727162837982</v>
      </c>
      <c r="L20" s="69" t="n">
        <v>64.7727255821228</v>
      </c>
      <c r="M20" s="69" t="n">
        <v>86.22727012634277</v>
      </c>
      <c r="N20" s="69" t="n">
        <v>86.22727012634277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65 least-disturbed stations of this ecoregion</t>
        </is>
      </c>
      <c r="G21" s="69" t="n">
        <v>-2.010186046361923</v>
      </c>
      <c r="H21" s="69" t="n">
        <v>-1.363824024796486</v>
      </c>
      <c r="I21" s="69" t="n">
        <v>-0.9436887107789517</v>
      </c>
      <c r="J21" s="69" t="n">
        <v>-0.7174620032310486</v>
      </c>
      <c r="K21" s="69" t="n">
        <v>-0.07109998166561127</v>
      </c>
      <c r="L21" s="69" t="n">
        <v>0.1551267258822918</v>
      </c>
      <c r="M21" s="69" t="n">
        <v>0.575262039899826</v>
      </c>
      <c r="N21" s="69" t="n">
        <v>1.221624061465263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spring_phab_lrbs_use|Headwater (10 km2 and under)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Headwater (10 km2 and under)</t>
        </is>
      </c>
      <c r="E22" s="69" t="n">
        <v>8</v>
      </c>
      <c r="F22" s="69" t="inlineStr">
        <is>
          <t>65 least-disturbed stations of this ecoregion</t>
        </is>
      </c>
      <c r="G22" s="69" t="n">
        <v>-2.379357643425465</v>
      </c>
      <c r="H22" s="69" t="n">
        <v>-1.662288960069418</v>
      </c>
      <c r="I22" s="69" t="n">
        <v>-1.196194315887988</v>
      </c>
      <c r="J22" s="69" t="n">
        <v>-0.9452202767133713</v>
      </c>
      <c r="K22" s="69" t="n">
        <v>-0.2281515933573246</v>
      </c>
      <c r="L22" s="69" t="n">
        <v>0.0228224458172917</v>
      </c>
      <c r="M22" s="69" t="n">
        <v>0.4889170899987221</v>
      </c>
      <c r="N22" s="69" t="n">
        <v>1.205985773354769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spring_phab_lrbs_use|Small stream (10 to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Small stream (10 to 100 km2)</t>
        </is>
      </c>
      <c r="E23" s="69" t="n">
        <v>8</v>
      </c>
      <c r="F23" s="69" t="inlineStr">
        <is>
          <t>65 least-disturbed stations of this ecoregion</t>
        </is>
      </c>
      <c r="G23" s="69" t="n">
        <v>-2.091052040457726</v>
      </c>
      <c r="H23" s="69" t="n">
        <v>-1.380068026483059</v>
      </c>
      <c r="I23" s="69" t="n">
        <v>-0.9179284173995257</v>
      </c>
      <c r="J23" s="69" t="n">
        <v>-0.6690840125083923</v>
      </c>
      <c r="K23" s="69" t="n">
        <v>0.04190000146627426</v>
      </c>
      <c r="L23" s="69" t="n">
        <v>0.2907444063574076</v>
      </c>
      <c r="M23" s="69" t="n">
        <v>0.7528840154409409</v>
      </c>
      <c r="N23" s="69" t="n">
        <v>1.463868029415607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spring_phab_lsub_dmm|</t>
        </is>
      </c>
      <c r="B24" s="69" t="inlineStr">
        <is>
          <t>spring-phab-lsub-dmm</t>
        </is>
      </c>
      <c r="C24" s="69" t="inlineStr">
        <is>
          <t>Substrate size</t>
        </is>
      </c>
      <c r="D24" s="69" t="inlineStr"/>
      <c r="E24" s="69" t="n">
        <v>5</v>
      </c>
      <c r="F24" s="69" t="inlineStr">
        <is>
          <t>66 least-disturbed stations of this ecoregion</t>
        </is>
      </c>
      <c r="G24" s="69" t="n">
        <v>-2.226022332906723</v>
      </c>
      <c r="H24" s="69" t="n">
        <v>-1.045407384634018</v>
      </c>
      <c r="I24" s="69" t="n">
        <v>0.7255150377750397</v>
      </c>
      <c r="J24" s="69" t="n">
        <v>1.906129986047745</v>
      </c>
      <c r="K24" s="69" t="n">
        <v>2.496437460184097</v>
      </c>
      <c r="L24" s="69" t="n">
        <v>2.496437460184097</v>
      </c>
      <c r="M24" s="69" t="n">
        <v>2.496437460184097</v>
      </c>
      <c r="N24" s="69" t="n">
        <v>2.496437460184097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spring_phab_lwdeqvolm100|</t>
        </is>
      </c>
      <c r="B25" s="69" t="inlineStr">
        <is>
          <t>spring-phab-lwdeqvolm100</t>
        </is>
      </c>
      <c r="C25" s="69" t="inlineStr">
        <is>
          <t>Large wood volume</t>
        </is>
      </c>
      <c r="D25" s="69" t="inlineStr"/>
      <c r="E25" s="69" t="n">
        <v>5</v>
      </c>
      <c r="F25" s="69" t="inlineStr">
        <is>
          <t>50 least-disturbed stations of this ecoregion</t>
        </is>
      </c>
      <c r="G25" s="69" t="n">
        <v>0</v>
      </c>
      <c r="H25" s="69" t="n">
        <v>0.05107829852827957</v>
      </c>
      <c r="I25" s="69" t="n">
        <v>0.1191826965659857</v>
      </c>
      <c r="J25" s="69" t="n">
        <v>3.798735737800598</v>
      </c>
      <c r="K25" s="69" t="n">
        <v>5.638512258417904</v>
      </c>
      <c r="L25" s="69" t="n">
        <v>5.638512258417904</v>
      </c>
      <c r="M25" s="69" t="n">
        <v>5.638512258417904</v>
      </c>
      <c r="N25" s="69" t="n">
        <v>5.638512258417904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spring_chem_chla|</t>
        </is>
      </c>
      <c r="B26" s="69" t="inlineStr">
        <is>
          <t>spring-chem-chla</t>
        </is>
      </c>
      <c r="C26" s="69" t="inlineStr">
        <is>
          <t>Chlorophyll a</t>
        </is>
      </c>
      <c r="D26" s="69" t="inlineStr"/>
      <c r="E26" s="69" t="n">
        <v>5</v>
      </c>
      <c r="F26" s="69" t="inlineStr">
        <is>
          <t>66 least-disturbed stations of this ecoregion</t>
        </is>
      </c>
      <c r="G26" s="69" t="n">
        <v>0</v>
      </c>
      <c r="H26" s="69" t="n">
        <v>0.2407499961555004</v>
      </c>
      <c r="I26" s="69" t="n">
        <v>0.886000007390976</v>
      </c>
      <c r="J26" s="69" t="n">
        <v>1.853875024244189</v>
      </c>
      <c r="K26" s="69" t="n">
        <v>2.499125035479665</v>
      </c>
      <c r="L26" s="69" t="n">
        <v>2.499125035479665</v>
      </c>
      <c r="M26" s="69" t="n">
        <v>2.499125035479665</v>
      </c>
      <c r="N26" s="69" t="n">
        <v>2.499125035479665</v>
      </c>
      <c r="O26" s="69" t="n">
        <v>1</v>
      </c>
      <c r="P26" s="69" t="n">
        <v>1</v>
      </c>
      <c r="Q26" s="69" t="n">
        <v>0.7</v>
      </c>
      <c r="R26" s="69" t="n">
        <v>0.3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spring_phab_xcdenmid|All streams (pooled)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All streams (pooled)</t>
        </is>
      </c>
      <c r="E27" s="69" t="n">
        <v>5</v>
      </c>
      <c r="F27" s="69" t="inlineStr">
        <is>
          <t>63 least-disturbed stations of this ecoregion</t>
        </is>
      </c>
      <c r="G27" s="69" t="n">
        <v>0</v>
      </c>
      <c r="H27" s="69" t="n">
        <v>14.69633265904018</v>
      </c>
      <c r="I27" s="69" t="n">
        <v>34.29144287109375</v>
      </c>
      <c r="J27" s="69" t="n">
        <v>92.84759140014648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spring_phab_xcdenmid|Headwater (10 km2 and under)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Headwater (10 km2 and under)</t>
        </is>
      </c>
      <c r="E28" s="69" t="n">
        <v>5</v>
      </c>
      <c r="F28" s="69" t="inlineStr">
        <is>
          <t>63 least-disturbed stations of this ecoregion</t>
        </is>
      </c>
      <c r="G28" s="69" t="n">
        <v>0</v>
      </c>
      <c r="H28" s="69" t="n">
        <v>30.83938080923898</v>
      </c>
      <c r="I28" s="69" t="n">
        <v>71.95855522155762</v>
      </c>
      <c r="J28" s="69" t="n">
        <v>95.35427665710449</v>
      </c>
      <c r="K28" s="69" t="n">
        <v>100</v>
      </c>
      <c r="L28" s="69" t="n">
        <v>100</v>
      </c>
      <c r="M28" s="69" t="n">
        <v>100</v>
      </c>
      <c r="N28" s="69" t="n">
        <v>100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spring_phab_xcdenmid|Small stream (10 to 100 km2)</t>
        </is>
      </c>
      <c r="B29" s="69" t="inlineStr">
        <is>
          <t>spring-phab-xcdenmid</t>
        </is>
      </c>
      <c r="C29" s="69" t="inlineStr">
        <is>
          <t>Canopy density, mid-channel</t>
        </is>
      </c>
      <c r="D29" s="69" t="inlineStr">
        <is>
          <t>Small stream (10 to 100 km2)</t>
        </is>
      </c>
      <c r="E29" s="69" t="n">
        <v>5</v>
      </c>
      <c r="F29" s="69" t="inlineStr">
        <is>
          <t>63 least-disturbed stations of this ecoregion</t>
        </is>
      </c>
      <c r="G29" s="69" t="n">
        <v>0</v>
      </c>
      <c r="H29" s="69" t="n">
        <v>22.97555433000837</v>
      </c>
      <c r="I29" s="69" t="n">
        <v>53.60962677001953</v>
      </c>
      <c r="J29" s="69" t="n">
        <v>92.64705657958984</v>
      </c>
      <c r="K29" s="69" t="n">
        <v>100</v>
      </c>
      <c r="L29" s="69" t="n">
        <v>100</v>
      </c>
      <c r="M29" s="69" t="n">
        <v>100</v>
      </c>
      <c r="N29" s="69" t="n">
        <v>100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spring_phab_xcmgw|</t>
        </is>
      </c>
      <c r="B30" s="69" t="inlineStr">
        <is>
          <t>spring-phab-xcmgw</t>
        </is>
      </c>
      <c r="C30" s="69" t="inlineStr">
        <is>
          <t>Riparian veg cover, woody</t>
        </is>
      </c>
      <c r="D30" s="69" t="inlineStr"/>
      <c r="E30" s="69" t="n">
        <v>5</v>
      </c>
      <c r="F30" s="69" t="inlineStr">
        <is>
          <t>66 least-disturbed stations of this ecoregion</t>
        </is>
      </c>
      <c r="G30" s="69" t="n">
        <v>0</v>
      </c>
      <c r="H30" s="69" t="n">
        <v>0.320454546383449</v>
      </c>
      <c r="I30" s="69" t="n">
        <v>0.7477272748947144</v>
      </c>
      <c r="J30" s="69" t="n">
        <v>1.506919682025909</v>
      </c>
      <c r="K30" s="69" t="n">
        <v>1.886515885591507</v>
      </c>
      <c r="L30" s="69" t="n">
        <v>1.886515885591507</v>
      </c>
      <c r="M30" s="69" t="n">
        <v>1.886515885591507</v>
      </c>
      <c r="N30" s="69" t="n">
        <v>1.886515885591507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spring_chem_ntl|</t>
        </is>
      </c>
      <c r="B31" s="69" t="inlineStr">
        <is>
          <t>spring-chem-ntl</t>
        </is>
      </c>
      <c r="C31" s="69" t="inlineStr">
        <is>
          <t>Total nitrogen</t>
        </is>
      </c>
      <c r="D31" s="69" t="inlineStr"/>
      <c r="E31" s="69" t="n">
        <v>5</v>
      </c>
      <c r="F31" s="69" t="inlineStr">
        <is>
          <t>66 least-disturbed stations of this ecoregion</t>
        </is>
      </c>
      <c r="G31" s="69" t="n">
        <v>0.03912500664591789</v>
      </c>
      <c r="H31" s="69" t="n">
        <v>0.1460000053048134</v>
      </c>
      <c r="I31" s="69" t="n">
        <v>0.3597500026226044</v>
      </c>
      <c r="J31" s="69" t="n">
        <v>0.6803749985992908</v>
      </c>
      <c r="K31" s="69" t="n">
        <v>0.8941249959170818</v>
      </c>
      <c r="L31" s="69" t="n">
        <v>0.8941249959170818</v>
      </c>
      <c r="M31" s="69" t="n">
        <v>0.8941249959170818</v>
      </c>
      <c r="N31" s="69" t="n">
        <v>0.8941249959170818</v>
      </c>
      <c r="O31" s="69" t="n">
        <v>1</v>
      </c>
      <c r="P31" s="69" t="n">
        <v>1</v>
      </c>
      <c r="Q31" s="69" t="n">
        <v>0.7</v>
      </c>
      <c r="R31" s="69" t="n">
        <v>0.3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spring_chem_ptl|</t>
        </is>
      </c>
      <c r="B32" s="69" t="inlineStr">
        <is>
          <t>spring-chem-ptl</t>
        </is>
      </c>
      <c r="C32" s="69" t="inlineStr">
        <is>
          <t>Total phosphorus</t>
        </is>
      </c>
      <c r="D32" s="69" t="inlineStr"/>
      <c r="E32" s="69" t="n">
        <v>5</v>
      </c>
      <c r="F32" s="69" t="inlineStr">
        <is>
          <t>65 least-disturbed stations of this ecoregion</t>
        </is>
      </c>
      <c r="G32" s="69" t="n">
        <v>1.550000190734863</v>
      </c>
      <c r="H32" s="69" t="n">
        <v>8</v>
      </c>
      <c r="I32" s="69" t="n">
        <v>20.89999961853027</v>
      </c>
      <c r="J32" s="69" t="n">
        <v>40.24999904632568</v>
      </c>
      <c r="K32" s="69" t="n">
        <v>53.14999866485596</v>
      </c>
      <c r="L32" s="69" t="n">
        <v>53.14999866485596</v>
      </c>
      <c r="M32" s="69" t="n">
        <v>53.14999866485596</v>
      </c>
      <c r="N32" s="69" t="n">
        <v>53.14999866485596</v>
      </c>
      <c r="O32" s="69" t="n">
        <v>1</v>
      </c>
      <c r="P32" s="69" t="n">
        <v>1</v>
      </c>
      <c r="Q32" s="69" t="n">
        <v>0.7</v>
      </c>
      <c r="R32" s="69" t="n">
        <v>0.3</v>
      </c>
      <c r="S32" s="69" t="n">
        <v>0</v>
      </c>
      <c r="T32" s="69" t="n">
        <v>0</v>
      </c>
      <c r="U32" s="69" t="n">
        <v>0</v>
      </c>
      <c r="V32" s="69" t="n">
        <v>0</v>
      </c>
    </row>
    <row r="33">
      <c r="A33" s="69" t="inlineStr">
        <is>
          <t>spring_chem_cond|</t>
        </is>
      </c>
      <c r="B33" s="69" t="inlineStr">
        <is>
          <t>spring-chem-cond</t>
        </is>
      </c>
      <c r="C33" s="69" t="inlineStr">
        <is>
          <t>Specific conductivity</t>
        </is>
      </c>
      <c r="D33" s="69" t="inlineStr"/>
      <c r="E33" s="69" t="n">
        <v>5</v>
      </c>
      <c r="F33" s="69" t="inlineStr">
        <is>
          <t>66 least-disturbed stations of this ecoregion</t>
        </is>
      </c>
      <c r="G33" s="69" t="n">
        <v>0</v>
      </c>
      <c r="H33" s="69" t="n">
        <v>20.12500047683716</v>
      </c>
      <c r="I33" s="69" t="n">
        <v>64.07500076293945</v>
      </c>
      <c r="J33" s="69" t="n">
        <v>130.0000011920929</v>
      </c>
      <c r="K33" s="69" t="n">
        <v>173.9500014781952</v>
      </c>
      <c r="L33" s="69" t="n">
        <v>173.9500014781952</v>
      </c>
      <c r="M33" s="69" t="n">
        <v>173.9500014781952</v>
      </c>
      <c r="N33" s="69" t="n">
        <v>173.9500014781952</v>
      </c>
      <c r="O33" s="69" t="n">
        <v>1</v>
      </c>
      <c r="P33" s="69" t="n">
        <v>1</v>
      </c>
      <c r="Q33" s="69" t="n">
        <v>0.7</v>
      </c>
      <c r="R33" s="69" t="n">
        <v>0.3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spring_chem_turb|</t>
        </is>
      </c>
      <c r="B34" s="69" t="inlineStr">
        <is>
          <t>spring-chem-turb</t>
        </is>
      </c>
      <c r="C34" s="69" t="inlineStr">
        <is>
          <t>Turbidity</t>
        </is>
      </c>
      <c r="D34" s="69" t="inlineStr"/>
      <c r="E34" s="69" t="n">
        <v>5</v>
      </c>
      <c r="F34" s="69" t="inlineStr">
        <is>
          <t>62 least-disturbed stations of this ecoregion</t>
        </is>
      </c>
      <c r="G34" s="69" t="n">
        <v>0</v>
      </c>
      <c r="H34" s="69" t="n">
        <v>0.3700000122189522</v>
      </c>
      <c r="I34" s="69" t="n">
        <v>1.399999976158142</v>
      </c>
      <c r="J34" s="69" t="n">
        <v>2.944999922066927</v>
      </c>
      <c r="K34" s="69" t="n">
        <v>3.974999886006117</v>
      </c>
      <c r="L34" s="69" t="n">
        <v>3.974999886006117</v>
      </c>
      <c r="M34" s="69" t="n">
        <v>3.974999886006117</v>
      </c>
      <c r="N34" s="69" t="n">
        <v>3.974999886006117</v>
      </c>
      <c r="O34" s="69" t="n">
        <v>1</v>
      </c>
      <c r="P34" s="69" t="n">
        <v>1</v>
      </c>
      <c r="Q34" s="69" t="n">
        <v>0.7</v>
      </c>
      <c r="R34" s="69" t="n">
        <v>0.3</v>
      </c>
      <c r="S34" s="69" t="n">
        <v>0</v>
      </c>
      <c r="T34" s="69" t="n">
        <v>0</v>
      </c>
      <c r="U34" s="69" t="n">
        <v>0</v>
      </c>
      <c r="V34" s="69" t="n">
        <v>0</v>
      </c>
    </row>
    <row r="35">
      <c r="A35" s="69" t="inlineStr">
        <is>
          <t>spring_phab_pct_fast|All streams (pooled)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All streams (pooled)</t>
        </is>
      </c>
      <c r="E35" s="69" t="n">
        <v>5</v>
      </c>
      <c r="F35" s="69" t="inlineStr">
        <is>
          <t>66 least-disturbed stations of this ecoregion</t>
        </is>
      </c>
      <c r="G35" s="69" t="n">
        <v>0</v>
      </c>
      <c r="H35" s="69" t="n">
        <v>5.785714285714286</v>
      </c>
      <c r="I35" s="69" t="n">
        <v>13.5</v>
      </c>
      <c r="J35" s="69" t="n">
        <v>59.31818103790283</v>
      </c>
      <c r="K35" s="69" t="n">
        <v>82.22727155685425</v>
      </c>
      <c r="L35" s="69" t="n">
        <v>82.22727155685425</v>
      </c>
      <c r="M35" s="69" t="n">
        <v>82.22727155685425</v>
      </c>
      <c r="N35" s="69" t="n">
        <v>82.22727155685425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spring_phab_pct_fast|Moderate gradient (0.5 to 2 percent)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Moderate gradient (0.5 to 2 percent)</t>
        </is>
      </c>
      <c r="E36" s="69" t="n">
        <v>5</v>
      </c>
      <c r="F36" s="69" t="inlineStr">
        <is>
          <t>66 least-disturbed stations of this ecoregion</t>
        </is>
      </c>
      <c r="G36" s="69" t="n">
        <v>0</v>
      </c>
      <c r="H36" s="69" t="n">
        <v>5.035714285714286</v>
      </c>
      <c r="I36" s="69" t="n">
        <v>11.75</v>
      </c>
      <c r="J36" s="69" t="n">
        <v>61.3636360168457</v>
      </c>
      <c r="K36" s="69" t="n">
        <v>86.17045402526855</v>
      </c>
      <c r="L36" s="69" t="n">
        <v>86.17045402526855</v>
      </c>
      <c r="M36" s="69" t="n">
        <v>86.17045402526855</v>
      </c>
      <c r="N36" s="69" t="n">
        <v>86.17045402526855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spring_phab_pct_fast|Steep (2 percent and above)</t>
        </is>
      </c>
      <c r="B37" s="69" t="inlineStr">
        <is>
          <t>spring-phab-pct-fast</t>
        </is>
      </c>
      <c r="C37" s="69" t="inlineStr">
        <is>
          <t>Fast-water / riffle habitat</t>
        </is>
      </c>
      <c r="D37" s="69" t="inlineStr">
        <is>
          <t>Steep (2 percent and above)</t>
        </is>
      </c>
      <c r="E37" s="69" t="n">
        <v>5</v>
      </c>
      <c r="F37" s="69" t="inlineStr">
        <is>
          <t>66 least-disturbed stations of this ecoregion</t>
        </is>
      </c>
      <c r="G37" s="69" t="n">
        <v>0</v>
      </c>
      <c r="H37" s="69" t="n">
        <v>11.7857140813555</v>
      </c>
      <c r="I37" s="69" t="n">
        <v>27.49999952316284</v>
      </c>
      <c r="J37" s="69" t="n">
        <v>69.5</v>
      </c>
      <c r="K37" s="69" t="n">
        <v>90.50000023841858</v>
      </c>
      <c r="L37" s="69" t="n">
        <v>90.50000023841858</v>
      </c>
      <c r="M37" s="69" t="n">
        <v>90.50000023841858</v>
      </c>
      <c r="N37" s="69" t="n">
        <v>90.50000023841858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spring_phab_xfc_nat|All streams (pooled)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All streams (pooled)</t>
        </is>
      </c>
      <c r="E38" s="69" t="n">
        <v>5</v>
      </c>
      <c r="F38" s="69" t="inlineStr">
        <is>
          <t>66 least-disturbed stations of this ecoregion</t>
        </is>
      </c>
      <c r="G38" s="69" t="n">
        <v>0</v>
      </c>
      <c r="H38" s="69" t="n">
        <v>0.1173701328890664</v>
      </c>
      <c r="I38" s="69" t="n">
        <v>0.2738636434078217</v>
      </c>
      <c r="J38" s="69" t="n">
        <v>0.6204545497894287</v>
      </c>
      <c r="K38" s="69" t="n">
        <v>0.7937500029802322</v>
      </c>
      <c r="L38" s="69" t="n">
        <v>0.7937500029802322</v>
      </c>
      <c r="M38" s="69" t="n">
        <v>0.7937500029802322</v>
      </c>
      <c r="N38" s="69" t="n">
        <v>0.7937500029802322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spring_phab_xfc_nat|Headwater (10 km2 and under)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Headwater (10 km2 and under)</t>
        </is>
      </c>
      <c r="E39" s="69" t="n">
        <v>5</v>
      </c>
      <c r="F39" s="69" t="inlineStr">
        <is>
          <t>66 least-disturbed stations of this ecoregion</t>
        </is>
      </c>
      <c r="G39" s="69" t="n">
        <v>0</v>
      </c>
      <c r="H39" s="69" t="n">
        <v>0.1258928552269936</v>
      </c>
      <c r="I39" s="69" t="n">
        <v>0.2937499955296516</v>
      </c>
      <c r="J39" s="69" t="n">
        <v>0.6068181991577148</v>
      </c>
      <c r="K39" s="69" t="n">
        <v>0.7633523009717464</v>
      </c>
      <c r="L39" s="69" t="n">
        <v>0.7633523009717464</v>
      </c>
      <c r="M39" s="69" t="n">
        <v>0.7633523009717464</v>
      </c>
      <c r="N39" s="69" t="n">
        <v>0.7633523009717464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spring_phab_xfc_nat|Small stream (10 to 100 km2)</t>
        </is>
      </c>
      <c r="B40" s="69" t="inlineStr">
        <is>
          <t>spring-phab-xfc-nat</t>
        </is>
      </c>
      <c r="C40" s="69" t="inlineStr">
        <is>
          <t>Natural fish cover</t>
        </is>
      </c>
      <c r="D40" s="69" t="inlineStr">
        <is>
          <t>Small stream (10 to 100 km2)</t>
        </is>
      </c>
      <c r="E40" s="69" t="n">
        <v>5</v>
      </c>
      <c r="F40" s="69" t="inlineStr">
        <is>
          <t>66 least-disturbed stations of this ecoregion</t>
        </is>
      </c>
      <c r="G40" s="69" t="n">
        <v>0</v>
      </c>
      <c r="H40" s="69" t="n">
        <v>0.1562824717589787</v>
      </c>
      <c r="I40" s="69" t="n">
        <v>0.3646591007709503</v>
      </c>
      <c r="J40" s="69" t="n">
        <v>0.6732954531908035</v>
      </c>
      <c r="K40" s="69" t="n">
        <v>0.8276136294007301</v>
      </c>
      <c r="L40" s="69" t="n">
        <v>0.8276136294007301</v>
      </c>
      <c r="M40" s="69" t="n">
        <v>0.8276136294007301</v>
      </c>
      <c r="N40" s="69" t="n">
        <v>0.8276136294007301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spring_bent_totlntax|</t>
        </is>
      </c>
      <c r="B41" s="69" t="inlineStr">
        <is>
          <t>spring-bent-totlntax</t>
        </is>
      </c>
      <c r="C41" s="69" t="inlineStr">
        <is>
          <t>Benthic total taxa richness</t>
        </is>
      </c>
      <c r="D41" s="69" t="inlineStr"/>
      <c r="E41" s="69" t="n">
        <v>5</v>
      </c>
      <c r="F41" s="69" t="inlineStr">
        <is>
          <t>65 least-disturbed stations of this ecoregion</t>
        </is>
      </c>
      <c r="G41" s="69" t="n">
        <v>0</v>
      </c>
      <c r="H41" s="69" t="n">
        <v>14.14285714285714</v>
      </c>
      <c r="I41" s="69" t="n">
        <v>33</v>
      </c>
      <c r="J41" s="69" t="n">
        <v>47</v>
      </c>
      <c r="K41" s="69" t="n">
        <v>54</v>
      </c>
      <c r="L41" s="69" t="n">
        <v>54</v>
      </c>
      <c r="M41" s="69" t="n">
        <v>54</v>
      </c>
      <c r="N41" s="69" t="n">
        <v>54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spring_bent_hprime|</t>
        </is>
      </c>
      <c r="B42" s="69" t="inlineStr">
        <is>
          <t>spring-bent-hprime</t>
        </is>
      </c>
      <c r="C42" s="69" t="inlineStr">
        <is>
          <t>Shannon diversity (H')</t>
        </is>
      </c>
      <c r="D42" s="69" t="inlineStr"/>
      <c r="E42" s="69" t="n">
        <v>5</v>
      </c>
      <c r="F42" s="69" t="inlineStr">
        <is>
          <t>65 least-disturbed stations of this ecoregion</t>
        </is>
      </c>
      <c r="G42" s="69" t="n">
        <v>0</v>
      </c>
      <c r="H42" s="69" t="n">
        <v>1.152857167380197</v>
      </c>
      <c r="I42" s="69" t="n">
        <v>2.690000057220459</v>
      </c>
      <c r="J42" s="69" t="n">
        <v>3.130000114440918</v>
      </c>
      <c r="K42" s="69" t="n">
        <v>3.350000143051147</v>
      </c>
      <c r="L42" s="69" t="n">
        <v>3.350000143051147</v>
      </c>
      <c r="M42" s="69" t="n">
        <v>3.350000143051147</v>
      </c>
      <c r="N42" s="69" t="n">
        <v>3.350000143051147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spring_bent_tolrpind|</t>
        </is>
      </c>
      <c r="B43" s="69" t="inlineStr">
        <is>
          <t>spring-bent-tolrpind</t>
        </is>
      </c>
      <c r="C43" s="69" t="inlineStr">
        <is>
          <t>Tolerant individuals (%) ~ HBI</t>
        </is>
      </c>
      <c r="D43" s="69" t="inlineStr"/>
      <c r="E43" s="69" t="n">
        <v>5</v>
      </c>
      <c r="F43" s="69" t="inlineStr">
        <is>
          <t>65 least-disturbed stations of this ecoregion</t>
        </is>
      </c>
      <c r="G43" s="69" t="n">
        <v>0</v>
      </c>
      <c r="H43" s="69" t="n">
        <v>3</v>
      </c>
      <c r="I43" s="69" t="n">
        <v>9.090000152587891</v>
      </c>
      <c r="J43" s="69" t="n">
        <v>18.22500038146973</v>
      </c>
      <c r="K43" s="69" t="n">
        <v>24.31500053405762</v>
      </c>
      <c r="L43" s="69" t="n">
        <v>24.31500053405762</v>
      </c>
      <c r="M43" s="69" t="n">
        <v>24.31500053405762</v>
      </c>
      <c r="N43" s="69" t="n">
        <v>24.31500053405762</v>
      </c>
      <c r="O43" s="69" t="n">
        <v>1</v>
      </c>
      <c r="P43" s="69" t="n">
        <v>1</v>
      </c>
      <c r="Q43" s="69" t="n">
        <v>0.7</v>
      </c>
      <c r="R43" s="69" t="n">
        <v>0.3</v>
      </c>
      <c r="S43" s="69" t="n">
        <v>0</v>
      </c>
      <c r="T43" s="69" t="n">
        <v>0</v>
      </c>
      <c r="U43" s="69" t="n">
        <v>0</v>
      </c>
      <c r="V43" s="69" t="n">
        <v>0</v>
      </c>
    </row>
    <row r="44">
      <c r="A44" s="69" t="inlineStr">
        <is>
          <t>spring_nid_dams_1mi|</t>
        </is>
      </c>
      <c r="B44" s="69" t="inlineStr">
        <is>
          <t>spring-nid-dams-1mi</t>
        </is>
      </c>
      <c r="C44" s="69" t="inlineStr">
        <is>
          <t>Mapped dams within one mile</t>
        </is>
      </c>
      <c r="D44" s="69" t="inlineStr"/>
      <c r="E44" s="69" t="n">
        <v>4</v>
      </c>
      <c r="F44" s="69" t="inlineStr">
        <is>
          <t>Fixed criteria, the same in every region</t>
        </is>
      </c>
      <c r="G44" s="69" t="n">
        <v>0</v>
      </c>
      <c r="H44" s="69" t="n">
        <v>1</v>
      </c>
      <c r="I44" s="69" t="n">
        <v>2</v>
      </c>
      <c r="J44" s="69" t="n">
        <v>3</v>
      </c>
      <c r="K44" s="69" t="n">
        <v>3</v>
      </c>
      <c r="L44" s="69" t="n">
        <v>3</v>
      </c>
      <c r="M44" s="69" t="n">
        <v>3</v>
      </c>
      <c r="N44" s="69" t="n">
        <v>3</v>
      </c>
      <c r="O44" s="69" t="n">
        <v>1</v>
      </c>
      <c r="P44" s="69" t="n">
        <v>0.545</v>
      </c>
      <c r="Q44" s="69" t="n">
        <v>0.195</v>
      </c>
      <c r="R44" s="69" t="n">
        <v>0</v>
      </c>
      <c r="S44" s="69" t="n">
        <v>0</v>
      </c>
      <c r="T44" s="69" t="n">
        <v>0</v>
      </c>
      <c r="U44" s="69" t="n">
        <v>0</v>
      </c>
      <c r="V44" s="69" t="n">
        <v>0</v>
      </c>
    </row>
    <row r="47">
      <c r="A47" s="58" t="inlineStr">
        <is>
          <t>Curve sets by metric</t>
        </is>
      </c>
    </row>
    <row r="48">
      <c r="A48" s="69" t="inlineStr">
        <is>
          <t>All streams (pooled)</t>
        </is>
      </c>
      <c r="B48" s="5" t="inlineStr">
        <is>
          <t>Bankfull width:depth ratio</t>
        </is>
      </c>
    </row>
    <row r="49">
      <c r="A49" s="69" t="inlineStr">
        <is>
          <t>Headwater (10 km2 and under)</t>
        </is>
      </c>
      <c r="B49" s="5" t="inlineStr">
        <is>
          <t>Bankfull width:depth ratio</t>
        </is>
      </c>
    </row>
    <row r="50">
      <c r="A50" s="69" t="inlineStr">
        <is>
          <t>Small stream (10 to 100 km2)</t>
        </is>
      </c>
      <c r="B50" s="5" t="inlineStr">
        <is>
          <t>Bankfull width:depth ratio</t>
        </is>
      </c>
    </row>
    <row r="51">
      <c r="A51" s="69" t="inlineStr">
        <is>
          <t>All streams (pooled)</t>
        </is>
      </c>
      <c r="B51" s="5" t="inlineStr">
        <is>
          <t>Bankfull height above channel</t>
        </is>
      </c>
    </row>
    <row r="52">
      <c r="A52" s="69" t="inlineStr">
        <is>
          <t>Headwater (10 km2 and under)</t>
        </is>
      </c>
      <c r="B52" s="5" t="inlineStr">
        <is>
          <t>Bankfull height above channel</t>
        </is>
      </c>
    </row>
    <row r="53">
      <c r="A53" s="69" t="inlineStr">
        <is>
          <t>Small stream (10 to 100 km2)</t>
        </is>
      </c>
      <c r="B53" s="5" t="inlineStr">
        <is>
          <t>Bankfull height above channel</t>
        </is>
      </c>
    </row>
    <row r="54">
      <c r="A54" s="69" t="inlineStr">
        <is>
          <t>All streams (pooled)</t>
        </is>
      </c>
      <c r="B54" s="5" t="inlineStr">
        <is>
          <t>Relative bed stability</t>
        </is>
      </c>
    </row>
    <row r="55">
      <c r="A55" s="69" t="inlineStr">
        <is>
          <t>Headwater (10 km2 and under)</t>
        </is>
      </c>
      <c r="B55" s="5" t="inlineStr">
        <is>
          <t>Relative bed stability</t>
        </is>
      </c>
    </row>
    <row r="56">
      <c r="A56" s="69" t="inlineStr">
        <is>
          <t>Small stream (10 to 100 km2)</t>
        </is>
      </c>
      <c r="B56" s="5" t="inlineStr">
        <is>
          <t>Relative bed stability</t>
        </is>
      </c>
    </row>
    <row r="57">
      <c r="A57" s="69" t="inlineStr">
        <is>
          <t>All streams (pooled)</t>
        </is>
      </c>
      <c r="B57" s="5" t="inlineStr">
        <is>
          <t>Canopy density, mid-channel</t>
        </is>
      </c>
    </row>
    <row r="58">
      <c r="A58" s="69" t="inlineStr">
        <is>
          <t>Headwater (10 km2 and under)</t>
        </is>
      </c>
      <c r="B58" s="5" t="inlineStr">
        <is>
          <t>Canopy density, mid-channel</t>
        </is>
      </c>
    </row>
    <row r="59">
      <c r="A59" s="69" t="inlineStr">
        <is>
          <t>Small stream (10 to 100 km2)</t>
        </is>
      </c>
      <c r="B59" s="5" t="inlineStr">
        <is>
          <t>Canopy density, mid-channel</t>
        </is>
      </c>
    </row>
    <row r="60">
      <c r="A60" s="69" t="inlineStr">
        <is>
          <t>All streams (pooled)</t>
        </is>
      </c>
      <c r="B60" s="5" t="inlineStr">
        <is>
          <t>Fast-water / riffle habitat</t>
        </is>
      </c>
    </row>
    <row r="61">
      <c r="A61" s="69" t="inlineStr">
        <is>
          <t>Moderate gradient (0.5 to 2 percent)</t>
        </is>
      </c>
      <c r="B61" s="5" t="inlineStr">
        <is>
          <t>Fast-water / riffle habitat</t>
        </is>
      </c>
    </row>
    <row r="62">
      <c r="A62" s="69" t="inlineStr">
        <is>
          <t>Steep (2 percent and above)</t>
        </is>
      </c>
      <c r="B62" s="5" t="inlineStr">
        <is>
          <t>Fast-water / riffle habitat</t>
        </is>
      </c>
    </row>
    <row r="63">
      <c r="A63" s="69" t="inlineStr">
        <is>
          <t>All streams (pooled)</t>
        </is>
      </c>
      <c r="B63" s="5" t="inlineStr">
        <is>
          <t>Natural fish cover</t>
        </is>
      </c>
    </row>
    <row r="64">
      <c r="A64" s="69" t="inlineStr">
        <is>
          <t>Headwater (10 km2 and under)</t>
        </is>
      </c>
      <c r="B64" s="5" t="inlineStr">
        <is>
          <t>Natural fish cover</t>
        </is>
      </c>
    </row>
    <row r="65">
      <c r="A65" s="69" t="inlineStr">
        <is>
          <t>Small stream (10 to 100 km2)</t>
        </is>
      </c>
      <c r="B65" s="5" t="inlineStr">
        <is>
          <t>Natural fish cover</t>
        </is>
      </c>
    </row>
    <row r="68">
      <c r="A68" s="58" t="inlineStr">
        <is>
          <t>Condition classes</t>
        </is>
      </c>
    </row>
    <row r="69">
      <c r="A69" t="inlineStr">
        <is>
          <t>Metric index: at or below 0.39 Non-Functioning, at or below 0.69 Functioning At-Risk, above Functioning.</t>
        </is>
      </c>
    </row>
    <row r="70">
      <c r="A70" t="inlineStr">
        <is>
          <t>Function score (0 to 15): at or below 5 Non-Functioning, at or below 10 Functioning At-Risk, above Functioning.</t>
        </is>
      </c>
    </row>
    <row r="71">
      <c r="A7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northeastern-highlands</t>
        </is>
      </c>
    </row>
    <row r="5">
      <c r="A5" s="69" t="inlineStr">
        <is>
          <t>Assessment name</t>
        </is>
      </c>
      <c r="B5" s="69" t="inlineStr">
        <is>
          <t>Northeastern Highlands reference assessment</t>
        </is>
      </c>
    </row>
    <row r="6">
      <c r="A6" s="69" t="inlineStr">
        <is>
          <t>Version</t>
        </is>
      </c>
      <c r="B6" s="69" t="n">
        <v>10</v>
      </c>
    </row>
    <row r="7">
      <c r="A7" s="69" t="inlineStr">
        <is>
          <t>Lifecycle status</t>
        </is>
      </c>
      <c r="B7" s="69" t="inlineStr">
        <is>
          <t>Preliminary</t>
        </is>
      </c>
    </row>
    <row r="8">
      <c r="A8" s="69" t="inlineStr">
        <is>
          <t>Content digest</t>
        </is>
      </c>
      <c r="B8" s="69" t="inlineStr">
        <is>
          <t>sha256:3803702732ec6e7191238f165ffae1d5e6588465a682a891fbf58f3d1e2256ca</t>
        </is>
      </c>
    </row>
    <row r="9">
      <c r="A9" s="69" t="inlineStr">
        <is>
          <t>Region</t>
        </is>
      </c>
      <c r="B9" s="69" t="inlineStr">
        <is>
          <t>ecoregion 58 Northeastern Highlands</t>
        </is>
      </c>
    </row>
    <row r="10">
      <c r="A10" s="69" t="inlineStr">
        <is>
          <t>Source</t>
        </is>
      </c>
      <c r="B10" s="69" t="inlineStr">
        <is>
          <t>USEPA NRSA 2013-24 (L3 ecoregion 58),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2026-09-30T07:07:33Z</dcterms:created>
  <dcterms:modified xmlns:dcterms="http://purl.org/dc/terms/" xmlns:xsi="http://www.w3.org/2001/XMLSchema-instance" xsi:type="dcterms:W3CDTF">2026-09-30T07:07:33Z</dcterms:modified>
  <cp:lastModifiedBy>DEEP</cp:lastModifiedBy>
  <cp:contentStatus>Preliminary</cp:contentStatus>
</cp:coreProperties>
</file>