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'Reference'!$A$5:$A$49</definedName>
    <definedName name="curve_x1">'Reference'!$G$5:$G$49</definedName>
    <definedName name="curve_y1">'Reference'!$O$5:$O$49</definedName>
    <definedName name="curve_x2">'Reference'!$H$5:$H$49</definedName>
    <definedName name="curve_y2">'Reference'!$P$5:$P$49</definedName>
    <definedName name="curve_x3">'Reference'!$I$5:$I$49</definedName>
    <definedName name="curve_y3">'Reference'!$Q$5:$Q$49</definedName>
    <definedName name="curve_x4">'Reference'!$J$5:$J$49</definedName>
    <definedName name="curve_y4">'Reference'!$R$5:$R$49</definedName>
    <definedName name="curve_x5">'Reference'!$K$5:$K$49</definedName>
    <definedName name="curve_y5">'Reference'!$S$5:$S$49</definedName>
    <definedName name="curve_x6">'Reference'!$L$5:$L$49</definedName>
    <definedName name="curve_y6">'Reference'!$T$5:$T$49</definedName>
    <definedName name="curve_x7">'Reference'!$M$5:$M$49</definedName>
    <definedName name="curve_y7">'Reference'!$U$5:$U$49</definedName>
    <definedName name="curve_x8">'Reference'!$N$5:$N$49</definedName>
    <definedName name="curve_y8">'Reference'!$V$5:$V$49</definedName>
    <definedName name="strata_spring_pctwet2019ws">'Reference'!$A$53:$A$55</definedName>
    <definedName name="strata_spring_phab_bfwd_rat">'Reference'!$A$56:$A$59</definedName>
    <definedName name="strata_spring_phab_xbkf_h">'Reference'!$A$60:$A$63</definedName>
    <definedName name="strata_spring_phab_lrbs_use">'Reference'!$A$64:$A$67</definedName>
    <definedName name="strata_spring_phab_xcdenmid">'Reference'!$A$68:$A$70</definedName>
    <definedName name="strata_spring_phab_pct_fast">'Reference'!$A$71:$A$73</definedName>
    <definedName name="strata_spring_phab_xfc_nat">'Reference'!$A$74:$A$77</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sub_dmm">'Metrics'!$V$18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cond">'Metrics'!$V$24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hprime">'Metrics'!$V$29</definedName>
    <definedName name="idx_spring_bent_tolrpind">'Metrics'!$V$30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st_spring_pctwet2019ws">'DEEP Score'!$F$14</definedName>
    <definedName name="in_spring_rddensws">'DEEP Score'!$E$15</definedName>
    <definedName name="in_spring_bfiws">'DEEP Score'!$E$16</definedName>
    <definedName name="in_spring_dorws">'DEEP Score'!$E$17</definedName>
    <definedName name="in_spring_phab_bfwd_rat">'DEEP Score'!$E$19</definedName>
    <definedName name="st_spring_phab_bfwd_rat">'DEEP Score'!$F$19</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sub_dmm">'DEEP Score'!$E$31</definedName>
    <definedName name="in_spring_chem_chla">'DEEP Score'!$E$33</definedName>
    <definedName name="in_spring_phab_xcdenmid">'DEEP Score'!$E$34</definedName>
    <definedName name="st_spring_phab_xcdenmid">'DEEP Score'!$F$34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st_spring_phab_pct_fast">'DEEP Score'!$F$40</definedName>
    <definedName name="in_spring_phab_xfc_nat">'DEEP Score'!$E$41</definedName>
    <definedName name="st_spring_phab_xfc_nat">'DEEP Score'!$F$41</definedName>
    <definedName name="in_spring_bent_totlntax">'DEEP Score'!$E$42</definedName>
    <definedName name="in_spring_bent_hprime">'DEEP Score'!$E$43</definedName>
    <definedName name="in_spring_bent_tolrpind">'DEEP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4" borderId="12" applyAlignment="1" applyProtection="1" pivotButton="0" quotePrefix="0" xfId="0">
      <alignment horizontal="left" vertical="center" wrapText="1"/>
      <protection locked="0" hidden="0"/>
    </xf>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0" fillId="2" borderId="12" pivotButton="0" quotePrefix="0" xfId="0"/>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Middle Rockies reference assessment</t>
        </is>
      </c>
    </row>
    <row r="4" ht="30" customHeight="1">
      <c r="A4" s="3" t="inlineStr">
        <is>
          <t>This workbook scores one detailed assessment. It carries the assessment's metrics and their reference curves, and it scores exactly as the DEEP web application does.</t>
        </is>
      </c>
    </row>
    <row r="5" ht="150" customHeight="1">
      <c r="A5" s="3" t="inlineStr">
        <is>
          <t>Reference condition. Reference condition is set by a fixed landscape-pressure screen, never by a score. 20 curves are fitted to least-disturbed stations of this ecoregion. 5 borrow comparable least-disturbed stations from a wider region, stating the region and the transfer risk. 1 carries the national reference label: reference curve fitted to comparable least-disturbed stations drawn from the national pool, because this ecoregion and its parents hold too few of their own. 1 carries the published benchmark label: scored against a published criterion rather than against stations from this ecoregion. The criterion carries its own definition of reference, which need not match this assessment's. 3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Middle Rockies reference assessment</t>
        </is>
      </c>
    </row>
    <row r="3">
      <c r="A3" s="4" t="inlineStr">
        <is>
          <t>Version 1 | USEPA NRSA 2013-24 (L3 ecoregion 17),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is>
          <t>All streams (pooled)</t>
        </is>
      </c>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6"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7" t="inlineStr">
        <is>
          <t>Hydraulics</t>
        </is>
      </c>
      <c r="B18" s="11" t="inlineStr">
        <is>
          <t>Low flow and baseflow dynamics</t>
        </is>
      </c>
      <c r="C18" s="12" t="inlineStr">
        <is>
          <t>Base flow index</t>
        </is>
      </c>
      <c r="D18" s="13" t="inlineStr">
        <is>
          <t>%</t>
        </is>
      </c>
      <c r="E18" s="38">
        <f>IF('DEEP Score'!$E$16="","",'DEEP Score'!$E$16)</f>
        <v/>
      </c>
      <c r="F18" s="39" t="inlineStr"/>
      <c r="G18" s="16">
        <f>IF('Metrics'!$V$9="","",'Metrics'!$V$9)</f>
        <v/>
      </c>
      <c r="H18" s="17">
        <f>IF('Results'!$B$8="","",'Results'!$B$8)</f>
        <v/>
      </c>
      <c r="I18" s="18">
        <f>IF('DEEP Score'!$H$18="","",IF('DEEP Score'!$H$18&lt;=5,"Non-Functioning",IF('DEEP Score'!$H$18&lt;=10,"Functioning At-Risk","Functioning")))</f>
        <v/>
      </c>
    </row>
    <row r="19">
      <c r="A19" s="19" t="n"/>
      <c r="B19" s="20" t="n"/>
      <c r="C19" s="21" t="inlineStr">
        <is>
          <t>Bankfull width:depth ratio</t>
        </is>
      </c>
      <c r="D19" s="22" t="inlineStr"/>
      <c r="E19" s="23" t="n"/>
      <c r="F19" s="40" t="inlineStr">
        <is>
          <t>All streams (pooled)</t>
        </is>
      </c>
      <c r="G19" s="25">
        <f>IF('Metrics'!$V$11="","",'Metrics'!$V$11)</f>
        <v/>
      </c>
      <c r="H19" s="20" t="n"/>
      <c r="I19" s="26" t="n"/>
    </row>
    <row r="20">
      <c r="A20" s="41" t="inlineStr">
        <is>
          <t>Hydraulics</t>
        </is>
      </c>
      <c r="B20" s="28" t="inlineStr">
        <is>
          <t>High flow dynamics</t>
        </is>
      </c>
      <c r="C20" s="29" t="inlineStr">
        <is>
          <t>Impervious surface</t>
        </is>
      </c>
      <c r="D20" s="30" t="inlineStr">
        <is>
          <t>%</t>
        </is>
      </c>
      <c r="E20" s="42">
        <f>IF('DEEP Score'!$E$12="","",'DEEP Score'!$E$12)</f>
        <v/>
      </c>
      <c r="F20" s="43" t="inlineStr"/>
      <c r="G20" s="33">
        <f>IF('Metrics'!$V$5="","",'Metrics'!$V$5)</f>
        <v/>
      </c>
      <c r="H20" s="34">
        <f>IF('Results'!$B$9="","",'Results'!$B$9)</f>
        <v/>
      </c>
      <c r="I20" s="35">
        <f>IF('DEEP Score'!$H$20="","",IF('DEEP Score'!$H$20&lt;=5,"Non-Functioning",IF('DEEP Score'!$H$20&lt;=10,"Functioning At-Risk","Functioning")))</f>
        <v/>
      </c>
    </row>
    <row r="21">
      <c r="A21" s="37" t="inlineStr">
        <is>
          <t>Hydraulics</t>
        </is>
      </c>
      <c r="B21" s="11" t="inlineStr">
        <is>
          <t>Floodplain connectivity</t>
        </is>
      </c>
      <c r="C21" s="12" t="inlineStr">
        <is>
          <t>Bankfull width:depth ratio</t>
        </is>
      </c>
      <c r="D21" s="13" t="inlineStr"/>
      <c r="E21" s="38">
        <f>IF('DEEP Score'!$E$19="","",'DEEP Score'!$E$19)</f>
        <v/>
      </c>
      <c r="F21" s="39">
        <f>IF('DEEP Score'!$F$19="","",'DEEP Score'!$F$19)</f>
        <v/>
      </c>
      <c r="G21" s="16">
        <f>IF('Metrics'!$V$11="","",'Metrics'!$V$11)</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40" t="inlineStr">
        <is>
          <t>All streams (pooled)</t>
        </is>
      </c>
      <c r="G22" s="25">
        <f>IF('Metrics'!$V$12="","",'Metrics'!$V$12)</f>
        <v/>
      </c>
      <c r="H22" s="20" t="n"/>
      <c r="I22" s="26" t="n"/>
    </row>
    <row r="23">
      <c r="A23" s="37" t="inlineStr">
        <is>
          <t>Hydraulics</t>
        </is>
      </c>
      <c r="B23" s="11" t="inlineStr">
        <is>
          <t>Hyporheic connectivity</t>
        </is>
      </c>
      <c r="C23" s="12" t="inlineStr">
        <is>
          <t>Sand + fines</t>
        </is>
      </c>
      <c r="D23" s="13" t="inlineStr">
        <is>
          <t>%</t>
        </is>
      </c>
      <c r="E23" s="14" t="n"/>
      <c r="F23" s="15" t="inlineStr"/>
      <c r="G23" s="16">
        <f>IF('Metrics'!$V$13="","",'Metrics'!$V$13)</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IF('Metrics'!$V$14="","",'Metrics'!$V$14)</f>
        <v/>
      </c>
      <c r="H24" s="20" t="n"/>
      <c r="I24" s="26" t="n"/>
    </row>
    <row r="25">
      <c r="A25" s="44" t="inlineStr">
        <is>
          <t>Geomorphology</t>
        </is>
      </c>
      <c r="B25" s="11" t="inlineStr">
        <is>
          <t>Channel evolution</t>
        </is>
      </c>
      <c r="C25" s="12" t="inlineStr">
        <is>
          <t>Bankfull width:depth ratio</t>
        </is>
      </c>
      <c r="D25" s="13" t="inlineStr"/>
      <c r="E25" s="38">
        <f>IF('DEEP Score'!$E$19="","",'DEEP Score'!$E$19)</f>
        <v/>
      </c>
      <c r="F25" s="39">
        <f>IF('DEEP Score'!$F$19="","",'DEEP Score'!$F$19)</f>
        <v/>
      </c>
      <c r="G25" s="16">
        <f>IF('Metrics'!$V$11="","",'Metrics'!$V$11)</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5">
        <f>IF('DEEP Score'!$E$22="","",'DEEP Score'!$E$22)</f>
        <v/>
      </c>
      <c r="F26" s="46">
        <f>IF('DEEP Score'!$F$22="","",'DEEP Score'!$F$22)</f>
        <v/>
      </c>
      <c r="G26" s="25">
        <f>IF('Metrics'!$V$12="","",'Metrics'!$V$12)</f>
        <v/>
      </c>
      <c r="H26" s="20" t="n"/>
      <c r="I26" s="26" t="n"/>
    </row>
    <row r="27">
      <c r="A27" s="44" t="inlineStr">
        <is>
          <t>Geomorphology</t>
        </is>
      </c>
      <c r="B27" s="11" t="inlineStr">
        <is>
          <t>Channel and floodplain dynamics</t>
        </is>
      </c>
      <c r="C27" s="12" t="inlineStr">
        <is>
          <t>Sinuosity</t>
        </is>
      </c>
      <c r="D27" s="13" t="inlineStr"/>
      <c r="E27" s="14" t="n"/>
      <c r="F27" s="15" t="inlineStr"/>
      <c r="G27" s="16">
        <f>IF('Metrics'!$V$15="","",'Metrics'!$V$15)</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IF('Metrics'!$V$16="","",'Metrics'!$V$16)</f>
        <v/>
      </c>
      <c r="H28" s="20" t="n"/>
      <c r="I28" s="26" t="n"/>
    </row>
    <row r="29">
      <c r="A29" s="44" t="inlineStr">
        <is>
          <t>Geomorphology</t>
        </is>
      </c>
      <c r="B29" s="11" t="inlineStr">
        <is>
          <t>Sediment continuity</t>
        </is>
      </c>
      <c r="C29" s="12" t="inlineStr">
        <is>
          <t>Relative bed stability</t>
        </is>
      </c>
      <c r="D29" s="13" t="inlineStr">
        <is>
          <t>log</t>
        </is>
      </c>
      <c r="E29" s="14" t="n"/>
      <c r="F29" s="47" t="inlineStr">
        <is>
          <t>All streams (pooled)</t>
        </is>
      </c>
      <c r="G29" s="16">
        <f>IF('Metrics'!$V$17="","",'Metrics'!$V$17)</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5">
        <f>IF('DEEP Score'!$E$23="","",'DEEP Score'!$E$23)</f>
        <v/>
      </c>
      <c r="F30" s="46" t="inlineStr"/>
      <c r="G30" s="25">
        <f>IF('Metrics'!$V$13="","",'Metrics'!$V$13)</f>
        <v/>
      </c>
      <c r="H30" s="20" t="n"/>
      <c r="I30" s="26" t="n"/>
    </row>
    <row r="31">
      <c r="A31" s="44" t="inlineStr">
        <is>
          <t>Geomorphology</t>
        </is>
      </c>
      <c r="B31" s="11" t="inlineStr">
        <is>
          <t>Bed composition and bedform dynamics</t>
        </is>
      </c>
      <c r="C31" s="12" t="inlineStr">
        <is>
          <t>Substrate size</t>
        </is>
      </c>
      <c r="D31" s="13" t="inlineStr">
        <is>
          <t>log mm</t>
        </is>
      </c>
      <c r="E31" s="14" t="n"/>
      <c r="F31" s="15" t="inlineStr"/>
      <c r="G31" s="16">
        <f>IF('Metrics'!$V$18="","",'Metrics'!$V$18)</f>
        <v/>
      </c>
      <c r="H31" s="17">
        <f>IF('Results'!$B$15="","",'Results'!$B$15)</f>
        <v/>
      </c>
      <c r="I31" s="18">
        <f>IF('DEEP Score'!$H$31="","",IF('DEEP Score'!$H$31&lt;=5,"Non-Functioning",IF('DEEP Score'!$H$31&lt;=10,"Functioning At-Risk","Functioning")))</f>
        <v/>
      </c>
    </row>
    <row r="32">
      <c r="A32" s="19" t="n"/>
      <c r="B32" s="20" t="n"/>
      <c r="C32" s="21" t="inlineStr">
        <is>
          <t>Embeddedness</t>
        </is>
      </c>
      <c r="D32" s="22" t="inlineStr">
        <is>
          <t>%</t>
        </is>
      </c>
      <c r="E32" s="45">
        <f>IF('DEEP Score'!$E$24="","",'DEEP Score'!$E$24)</f>
        <v/>
      </c>
      <c r="F32" s="46" t="inlineStr"/>
      <c r="G32" s="25">
        <f>IF('Metrics'!$V$14="","",'Metrics'!$V$14)</f>
        <v/>
      </c>
      <c r="H32" s="20" t="n"/>
      <c r="I32" s="26" t="n"/>
    </row>
    <row r="33">
      <c r="A33" s="48" t="inlineStr">
        <is>
          <t>Physicochemistry</t>
        </is>
      </c>
      <c r="B33" s="11" t="inlineStr">
        <is>
          <t>Light &amp; thermal regime</t>
        </is>
      </c>
      <c r="C33" s="12" t="inlineStr">
        <is>
          <t>Chlorophyll a</t>
        </is>
      </c>
      <c r="D33" s="13" t="inlineStr">
        <is>
          <t>ug/L</t>
        </is>
      </c>
      <c r="E33" s="14" t="n"/>
      <c r="F33" s="15" t="inlineStr"/>
      <c r="G33" s="16">
        <f>IF('Metrics'!$V$19="","",'Metrics'!$V$19)</f>
        <v/>
      </c>
      <c r="H33" s="17">
        <f>IF('Results'!$B$16="","",'Results'!$B$16)</f>
        <v/>
      </c>
      <c r="I33" s="18">
        <f>IF('DEEP Score'!$H$33="","",IF('DEEP Score'!$H$33&lt;=5,"Non-Functioning",IF('DEEP Score'!$H$33&lt;=10,"Functioning At-Risk","Functioning")))</f>
        <v/>
      </c>
    </row>
    <row r="34">
      <c r="A34" s="19" t="n"/>
      <c r="B34" s="20" t="n"/>
      <c r="C34" s="21" t="inlineStr">
        <is>
          <t>Canopy density, mid-channel</t>
        </is>
      </c>
      <c r="D34" s="22" t="inlineStr">
        <is>
          <t>%</t>
        </is>
      </c>
      <c r="E34" s="23" t="n"/>
      <c r="F34" s="40" t="inlineStr">
        <is>
          <t>All streams (pooled)</t>
        </is>
      </c>
      <c r="G34" s="25">
        <f>IF('Metrics'!$V$20="","",'Metrics'!$V$20)</f>
        <v/>
      </c>
      <c r="H34" s="20" t="n"/>
      <c r="I34" s="26" t="n"/>
    </row>
    <row r="35">
      <c r="A35" s="49" t="inlineStr">
        <is>
          <t>Physicochemistry</t>
        </is>
      </c>
      <c r="B35" s="28" t="inlineStr">
        <is>
          <t>Carbon processing</t>
        </is>
      </c>
      <c r="C35" s="29" t="inlineStr">
        <is>
          <t>Riparian veg cover, woody</t>
        </is>
      </c>
      <c r="D35" s="30" t="inlineStr">
        <is>
          <t>frac</t>
        </is>
      </c>
      <c r="E35" s="31" t="n"/>
      <c r="F35" s="36" t="inlineStr"/>
      <c r="G35" s="33">
        <f>IF('Metrics'!$V$21="","",'Metrics'!$V$21)</f>
        <v/>
      </c>
      <c r="H35" s="34">
        <f>IF('Results'!$B$17="","",'Results'!$B$17)</f>
        <v/>
      </c>
      <c r="I35" s="35">
        <f>IF('DEEP Score'!$H$35="","",IF('DEEP Score'!$H$35&lt;=5,"Non-Functioning",IF('DEEP Score'!$H$35&lt;=10,"Functioning At-Risk","Functioning")))</f>
        <v/>
      </c>
    </row>
    <row r="36">
      <c r="A36" s="48" t="inlineStr">
        <is>
          <t>Physicochemistry</t>
        </is>
      </c>
      <c r="B36" s="11" t="inlineStr">
        <is>
          <t>Nutrient cycling</t>
        </is>
      </c>
      <c r="C36" s="12" t="inlineStr">
        <is>
          <t>Total nitrogen</t>
        </is>
      </c>
      <c r="D36" s="13" t="inlineStr">
        <is>
          <t>mg N/L</t>
        </is>
      </c>
      <c r="E36" s="14" t="n"/>
      <c r="F36" s="15" t="inlineStr"/>
      <c r="G36" s="16">
        <f>IF('Metrics'!$V$22="","",'Metrics'!$V$22)</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IF('Metrics'!$V$23="","",'Metrics'!$V$23)</f>
        <v/>
      </c>
      <c r="H37" s="20" t="n"/>
      <c r="I37" s="26" t="n"/>
    </row>
    <row r="38">
      <c r="A38" s="48" t="inlineStr">
        <is>
          <t>Physicochemistry</t>
        </is>
      </c>
      <c r="B38" s="11" t="inlineStr">
        <is>
          <t>Water &amp; soil quality</t>
        </is>
      </c>
      <c r="C38" s="12" t="inlineStr">
        <is>
          <t>Specific conductivity</t>
        </is>
      </c>
      <c r="D38" s="13" t="inlineStr">
        <is>
          <t>uS/cm</t>
        </is>
      </c>
      <c r="E38" s="14" t="n"/>
      <c r="F38" s="15" t="inlineStr"/>
      <c r="G38" s="16">
        <f>IF('Metrics'!$V$24="","",'Metrics'!$V$24)</f>
        <v/>
      </c>
      <c r="H38" s="17">
        <f>IF('Results'!$B$19="","",'Results'!$B$19)</f>
        <v/>
      </c>
      <c r="I38" s="18">
        <f>IF('DEEP Score'!$H$38="","",IF('DEEP Score'!$H$38&lt;=5,"Non-Functioning",IF('DEEP Score'!$H$38&lt;=10,"Functioning At-Risk","Functioning")))</f>
        <v/>
      </c>
    </row>
    <row r="39">
      <c r="A39" s="19" t="n"/>
      <c r="B39" s="20" t="n"/>
      <c r="C39" s="21" t="inlineStr">
        <is>
          <t>Turbidity</t>
        </is>
      </c>
      <c r="D39" s="22" t="inlineStr">
        <is>
          <t>NTU</t>
        </is>
      </c>
      <c r="E39" s="23" t="n"/>
      <c r="F39" s="24" t="inlineStr"/>
      <c r="G39" s="25">
        <f>IF('Metrics'!$V$25="","",'Metrics'!$V$25)</f>
        <v/>
      </c>
      <c r="H39" s="20" t="n"/>
      <c r="I39" s="26" t="n"/>
    </row>
    <row r="40">
      <c r="A40" s="50" t="inlineStr">
        <is>
          <t>Biology</t>
        </is>
      </c>
      <c r="B40" s="11" t="inlineStr">
        <is>
          <t>Habitat provision</t>
        </is>
      </c>
      <c r="C40" s="12" t="inlineStr">
        <is>
          <t>Fast-water / riffle habitat</t>
        </is>
      </c>
      <c r="D40" s="13" t="inlineStr">
        <is>
          <t>%</t>
        </is>
      </c>
      <c r="E40" s="14" t="n"/>
      <c r="F40" s="47" t="inlineStr">
        <is>
          <t>All streams (pooled)</t>
        </is>
      </c>
      <c r="G40" s="16">
        <f>IF('Metrics'!$V$26="","",'Metrics'!$V$26)</f>
        <v/>
      </c>
      <c r="H40" s="17">
        <f>IF('Results'!$B$20="","",'Results'!$B$20)</f>
        <v/>
      </c>
      <c r="I40" s="18">
        <f>IF('DEEP Score'!$H$40="","",IF('DEEP Score'!$H$40&lt;=5,"Non-Functioning",IF('DEEP Score'!$H$40&lt;=10,"Functioning At-Risk","Functioning")))</f>
        <v/>
      </c>
    </row>
    <row r="41">
      <c r="A41" s="19" t="n"/>
      <c r="B41" s="20" t="n"/>
      <c r="C41" s="21" t="inlineStr">
        <is>
          <t>Natural fish cover</t>
        </is>
      </c>
      <c r="D41" s="22" t="inlineStr">
        <is>
          <t>frac</t>
        </is>
      </c>
      <c r="E41" s="23" t="n"/>
      <c r="F41" s="40" t="inlineStr">
        <is>
          <t>All streams (pooled)</t>
        </is>
      </c>
      <c r="G41" s="25">
        <f>IF('Metrics'!$V$27="","",'Metrics'!$V$27)</f>
        <v/>
      </c>
      <c r="H41" s="20" t="n"/>
      <c r="I41" s="26" t="n"/>
    </row>
    <row r="42">
      <c r="A42" s="51" t="inlineStr">
        <is>
          <t>Biology</t>
        </is>
      </c>
      <c r="B42" s="28" t="inlineStr">
        <is>
          <t>Population support</t>
        </is>
      </c>
      <c r="C42" s="29" t="inlineStr">
        <is>
          <t>Benthic total taxa richness</t>
        </is>
      </c>
      <c r="D42" s="30" t="inlineStr"/>
      <c r="E42" s="31" t="n"/>
      <c r="F42" s="36" t="inlineStr"/>
      <c r="G42" s="33">
        <f>IF('Metrics'!$V$28="","",'Metrics'!$V$28)</f>
        <v/>
      </c>
      <c r="H42" s="34">
        <f>IF('Results'!$B$21="","",'Results'!$B$21)</f>
        <v/>
      </c>
      <c r="I42" s="35">
        <f>IF('DEEP Score'!$H$42="","",IF('DEEP Score'!$H$42&lt;=5,"Non-Functioning",IF('DEEP Score'!$H$42&lt;=10,"Functioning At-Risk","Functioning")))</f>
        <v/>
      </c>
    </row>
    <row r="43">
      <c r="A43" s="50" t="inlineStr">
        <is>
          <t>Biology</t>
        </is>
      </c>
      <c r="B43" s="11" t="inlineStr">
        <is>
          <t>Community dynamics</t>
        </is>
      </c>
      <c r="C43" s="12" t="inlineStr">
        <is>
          <t>Shannon diversity (H')</t>
        </is>
      </c>
      <c r="D43" s="13" t="inlineStr">
        <is>
          <t>H'</t>
        </is>
      </c>
      <c r="E43" s="14" t="n"/>
      <c r="F43" s="15" t="inlineStr"/>
      <c r="G43" s="16">
        <f>IF('Metrics'!$V$29="","",'Metrics'!$V$29)</f>
        <v/>
      </c>
      <c r="H43" s="17">
        <f>IF('Results'!$B$22="","",'Results'!$B$22)</f>
        <v/>
      </c>
      <c r="I43" s="18">
        <f>IF('DEEP Score'!$H$43="","",IF('DEEP Score'!$H$43&lt;=5,"Non-Functioning",IF('DEEP Score'!$H$43&lt;=10,"Functioning At-Risk","Functioning")))</f>
        <v/>
      </c>
    </row>
    <row r="44">
      <c r="A44" s="19" t="n"/>
      <c r="B44" s="20" t="n"/>
      <c r="C44" s="21" t="inlineStr">
        <is>
          <t>Tolerant individuals (%) ~ HBI</t>
        </is>
      </c>
      <c r="D44" s="22" t="inlineStr"/>
      <c r="E44" s="23" t="n"/>
      <c r="F44" s="24" t="inlineStr"/>
      <c r="G44" s="25">
        <f>IF('Metrics'!$V$30="","",'Metrics'!$V$30)</f>
        <v/>
      </c>
      <c r="H44" s="20" t="n"/>
      <c r="I44" s="26" t="n"/>
    </row>
    <row r="45">
      <c r="A45" s="51" t="inlineStr">
        <is>
          <t>Biology</t>
        </is>
      </c>
      <c r="B45" s="28" t="inlineStr">
        <is>
          <t>Watershed connectivity</t>
        </is>
      </c>
      <c r="C45" s="29" t="inlineStr">
        <is>
          <t>Mapped dams within one mile</t>
        </is>
      </c>
      <c r="D45" s="30" t="inlineStr">
        <is>
          <t>dams</t>
        </is>
      </c>
      <c r="E45" s="31" t="n"/>
      <c r="F45" s="36" t="inlineStr"/>
      <c r="G45" s="33">
        <f>IF('Metrics'!$V$31="","",'Metrics'!$V$31)</f>
        <v/>
      </c>
      <c r="H45" s="34">
        <f>IF('Results'!$B$23="","",'Results'!$B$23)</f>
        <v/>
      </c>
      <c r="I45" s="35">
        <f>IF('DEEP Score'!$H$45="","",IF('DEEP Score'!$H$45&lt;=5,"Non-Functioning",IF('DEEP Score'!$H$45&lt;=10,"Functioning At-Risk","Functioning")))</f>
        <v/>
      </c>
    </row>
    <row r="47">
      <c r="A47" s="52" t="inlineStr">
        <is>
          <t>Summary</t>
        </is>
      </c>
    </row>
    <row r="48">
      <c r="A48" s="9" t="inlineStr">
        <is>
          <t>Outcome</t>
        </is>
      </c>
      <c r="B48" s="9" t="inlineStr">
        <is>
          <t>Sub-index (0 to 1)</t>
        </is>
      </c>
      <c r="C48" s="9"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8" t="inlineStr">
        <is>
          <t>Withheld for insufficient reference support (not scored)</t>
        </is>
      </c>
    </row>
    <row r="57">
      <c r="A57" t="inlineStr">
        <is>
          <t>Native fish taxa richness</t>
        </is>
      </c>
      <c r="C57" s="4" t="inlineStr">
        <is>
          <t>Population support</t>
        </is>
      </c>
    </row>
    <row r="58">
      <c r="A58" t="inlineStr">
        <is>
          <t>Residual pool depth</t>
        </is>
      </c>
      <c r="C58" s="4" t="inlineStr">
        <is>
          <t>Low flow and baseflow dynamics</t>
        </is>
      </c>
    </row>
    <row r="60">
      <c r="A60" s="5" t="inlineStr">
        <is>
          <t>Notes</t>
        </is>
      </c>
    </row>
    <row r="61">
      <c r="A61" s="59" t="n"/>
      <c r="B61" s="60" t="n"/>
      <c r="C61" s="60" t="n"/>
      <c r="D61" s="60" t="n"/>
      <c r="E61" s="60" t="n"/>
      <c r="F61" s="60" t="n"/>
      <c r="G61" s="60" t="n"/>
      <c r="H61" s="60" t="n"/>
      <c r="I61" s="61"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2" t="n"/>
      <c r="B65" s="63" t="n"/>
      <c r="C65" s="63" t="n"/>
      <c r="D65" s="63" t="n"/>
      <c r="E65" s="63" t="n"/>
      <c r="F65" s="63" t="n"/>
      <c r="G65" s="63" t="n"/>
      <c r="H65" s="63" t="n"/>
      <c r="I65" s="64" t="n"/>
    </row>
    <row r="66">
      <c r="A66" s="65" t="n"/>
      <c r="B66" s="66" t="n"/>
      <c r="C66" s="66" t="n"/>
      <c r="D66" s="66" t="n"/>
      <c r="E66" s="66" t="n"/>
      <c r="F66" s="66" t="n"/>
      <c r="G66" s="66" t="n"/>
      <c r="H66" s="66" t="n"/>
      <c r="I66" s="67"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7">
    <dataValidation sqref="F14" showDropDown="0" showInputMessage="0" showErrorMessage="1" allowBlank="1" errorTitle="Curve set" error="Choose a curve set from the list." type="list">
      <formula1>=strata_spring_pctwet2019ws</formula1>
    </dataValidation>
    <dataValidation sqref="F19"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34" showDropDown="0" showInputMessage="0" showErrorMessage="1" allowBlank="1" errorTitle="Curve set" error="Choose a curve set from the list." type="list">
      <formula1>=strata_spring_phab_xcdenmid</formula1>
    </dataValidation>
    <dataValidation sqref="F40" showDropDown="0" showInputMessage="0" showErrorMessage="1" allowBlank="1" errorTitle="Curve set" error="Choose a curve set from the list." type="list">
      <formula1>=strata_spring_phab_pct_fast</formula1>
    </dataValidation>
    <dataValidation sqref="F41"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IF('DEEP Score'!$F$14="","All streams (pooled)",'DEEP Score'!$F$14)</f>
        <v/>
      </c>
      <c r="D7" s="70">
        <f>"spring_pctwet2019ws|"&amp;'Metrics'!$C$7</f>
        <v/>
      </c>
      <c r="E7" s="70">
        <f>IFERROR(MATCH('Metrics'!$D$7,curve_key,0),MATCH("spring_pctwet2019ws|All streams (pooled)",curve_key,0))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Bankfull width:depth ratio</t>
        </is>
      </c>
      <c r="B11" s="70">
        <f>IF('DEEP Score'!$E$19="","",'DEEP Score'!$E$19)</f>
        <v/>
      </c>
      <c r="C11" s="70">
        <f>IF('DEEP Score'!$F$19="","All streams (pooled)",'DEEP Score'!$F$19)</f>
        <v/>
      </c>
      <c r="D11" s="70">
        <f>"spring_phab_bfwd_rat|"&amp;'Metrics'!$C$11</f>
        <v/>
      </c>
      <c r="E11" s="70">
        <f>IFERROR(MATCH('Metrics'!$D$11,curve_key,0),MATCH("spring_phab_bfwd_rat|All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height above channel</t>
        </is>
      </c>
      <c r="B12" s="70">
        <f>IF('DEEP Score'!$E$22="","",'DEEP Score'!$E$22)</f>
        <v/>
      </c>
      <c r="C12" s="70">
        <f>IF('DEEP Score'!$F$22="","All streams (pooled)",'DEEP Score'!$F$22)</f>
        <v/>
      </c>
      <c r="D12" s="70">
        <f>"spring_phab_xbkf_h|"&amp;'Metrics'!$C$12</f>
        <v/>
      </c>
      <c r="E12" s="70">
        <f>IFERROR(MATCH('Metrics'!$D$12,curve_key,0),MATCH("spring_phab_xbkf_h|All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Sand + fines</t>
        </is>
      </c>
      <c r="B13" s="70">
        <f>IF('DEEP Score'!$E$23="","",'DEEP Score'!$E$23)</f>
        <v/>
      </c>
      <c r="C13" s="70">
        <f>""</f>
        <v/>
      </c>
      <c r="D13" s="70">
        <f>"spring_phab_pct_safn|"&amp;'Metrics'!$C$13</f>
        <v/>
      </c>
      <c r="E13" s="70">
        <f>IFERROR(MATCH('Metrics'!$D$13,curve_key,0),MATCH("spring_phab_pct_safn|",curve_key,0))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Embeddedness</t>
        </is>
      </c>
      <c r="B14" s="70">
        <f>IF('DEEP Score'!$E$24="","",'DEEP Score'!$E$24)</f>
        <v/>
      </c>
      <c r="C14" s="70">
        <f>""</f>
        <v/>
      </c>
      <c r="D14" s="70">
        <f>"spring_phab_xembed|"&amp;'Metrics'!$C$14</f>
        <v/>
      </c>
      <c r="E14" s="70">
        <f>IFERROR(MATCH('Metrics'!$D$14,curve_key,0),MATCH("spring_phab_xembed|",curve_key,0))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Sinuosity</t>
        </is>
      </c>
      <c r="B15" s="70">
        <f>IF('DEEP Score'!$E$27="","",'DEEP Score'!$E$27)</f>
        <v/>
      </c>
      <c r="C15" s="70">
        <f>""</f>
        <v/>
      </c>
      <c r="D15" s="70">
        <f>"spring_phab_sinu|"&amp;'Metrics'!$C$15</f>
        <v/>
      </c>
      <c r="E15" s="70">
        <f>IFERROR(MATCH('Metrics'!$D$15,curve_key,0),MATCH("spring_phab_sinu|",curve_key,0))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Bank angle</t>
        </is>
      </c>
      <c r="B16" s="70">
        <f>IF('DEEP Score'!$E$28="","",'DEEP Score'!$E$28)</f>
        <v/>
      </c>
      <c r="C16" s="70">
        <f>""</f>
        <v/>
      </c>
      <c r="D16" s="70">
        <f>"spring_phab_xbka|"&amp;'Metrics'!$C$16</f>
        <v/>
      </c>
      <c r="E16" s="70">
        <f>IFERROR(MATCH('Metrics'!$D$16,curve_key,0),MATCH("spring_phab_xbka|",curve_key,0))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Relative bed stability</t>
        </is>
      </c>
      <c r="B17" s="70">
        <f>IF('DEEP Score'!$E$29="","",'DEEP Score'!$E$29)</f>
        <v/>
      </c>
      <c r="C17" s="70">
        <f>IF('DEEP Score'!$F$29="","All streams (pooled)",'DEEP Score'!$F$29)</f>
        <v/>
      </c>
      <c r="D17" s="70">
        <f>"spring_phab_lrbs_use|"&amp;'Metrics'!$C$17</f>
        <v/>
      </c>
      <c r="E17" s="70">
        <f>IFERROR(MATCH('Metrics'!$D$17,curve_key,0),MATCH("spring_phab_lrbs_use|All streams (pooled)",curve_key,0))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Substrate size</t>
        </is>
      </c>
      <c r="B18" s="70">
        <f>IF('DEEP Score'!$E$31="","",'DEEP Score'!$E$31)</f>
        <v/>
      </c>
      <c r="C18" s="70">
        <f>""</f>
        <v/>
      </c>
      <c r="D18" s="70">
        <f>"spring_phab_lsub_dmm|"&amp;'Metrics'!$C$18</f>
        <v/>
      </c>
      <c r="E18" s="70">
        <f>IFERROR(MATCH('Metrics'!$D$18,curve_key,0),MATCH("spring_phab_lsub_dmm|",curve_key,0))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Chlorophyll a</t>
        </is>
      </c>
      <c r="B19" s="70">
        <f>IF('DEEP Score'!$E$33="","",'DEEP Score'!$E$33)</f>
        <v/>
      </c>
      <c r="C19" s="70">
        <f>""</f>
        <v/>
      </c>
      <c r="D19" s="70">
        <f>"spring_chem_chla|"&amp;'Metrics'!$C$19</f>
        <v/>
      </c>
      <c r="E19" s="70">
        <f>IFERROR(MATCH('Metrics'!$D$19,curve_key,0),MATCH("spring_chem_chla|",curve_key,0))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Score'!$E$34="","",'DEEP Score'!$E$34)</f>
        <v/>
      </c>
      <c r="C20" s="70">
        <f>IF('DEEP Score'!$F$34="","All streams (pooled)",'DEEP Score'!$F$34)</f>
        <v/>
      </c>
      <c r="D20" s="70">
        <f>"spring_phab_xcdenmid|"&amp;'Metrics'!$C$20</f>
        <v/>
      </c>
      <c r="E20" s="70">
        <f>IFERROR(MATCH('Metrics'!$D$20,curve_key,0),MATCH("spring_phab_xcdenmid|All streams (pooled)",curve_key,0))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Riparian veg cover, woody</t>
        </is>
      </c>
      <c r="B21" s="70">
        <f>IF('DEEP Score'!$E$35="","",'DEEP Score'!$E$35)</f>
        <v/>
      </c>
      <c r="C21" s="70">
        <f>""</f>
        <v/>
      </c>
      <c r="D21" s="70">
        <f>"spring_phab_xcmgw|"&amp;'Metrics'!$C$21</f>
        <v/>
      </c>
      <c r="E21" s="70">
        <f>IFERROR(MATCH('Metrics'!$D$21,curve_key,0),MATCH("spring_phab_xcmgw|",curve_key,0))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Total nitrogen</t>
        </is>
      </c>
      <c r="B22" s="70">
        <f>IF('DEEP Score'!$E$36="","",'DEEP Score'!$E$36)</f>
        <v/>
      </c>
      <c r="C22" s="70">
        <f>""</f>
        <v/>
      </c>
      <c r="D22" s="70">
        <f>"spring_chem_ntl|"&amp;'Metrics'!$C$22</f>
        <v/>
      </c>
      <c r="E22" s="70">
        <f>IFERROR(MATCH('Metrics'!$D$22,curve_key,0),MATCH("spring_chem_ntl|",curve_key,0))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phosphorus</t>
        </is>
      </c>
      <c r="B23" s="70">
        <f>IF('DEEP Score'!$E$37="","",'DEEP Score'!$E$37)</f>
        <v/>
      </c>
      <c r="C23" s="70">
        <f>""</f>
        <v/>
      </c>
      <c r="D23" s="70">
        <f>"spring_chem_ptl|"&amp;'Metrics'!$C$23</f>
        <v/>
      </c>
      <c r="E23" s="70">
        <f>IFERROR(MATCH('Metrics'!$D$23,curve_key,0),MATCH("spring_chem_ptl|",curve_key,0))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Specific conductivity</t>
        </is>
      </c>
      <c r="B24" s="70">
        <f>IF('DEEP Score'!$E$38="","",'DEEP Score'!$E$38)</f>
        <v/>
      </c>
      <c r="C24" s="70">
        <f>""</f>
        <v/>
      </c>
      <c r="D24" s="70">
        <f>"spring_chem_cond|"&amp;'Metrics'!$C$24</f>
        <v/>
      </c>
      <c r="E24" s="70">
        <f>IFERROR(MATCH('Metrics'!$D$24,curve_key,0),MATCH("spring_chem_cond|",curve_key,0))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Turbidity</t>
        </is>
      </c>
      <c r="B25" s="70">
        <f>IF('DEEP Score'!$E$39="","",'DEEP Score'!$E$39)</f>
        <v/>
      </c>
      <c r="C25" s="70">
        <f>""</f>
        <v/>
      </c>
      <c r="D25" s="70">
        <f>"spring_chem_turb|"&amp;'Metrics'!$C$25</f>
        <v/>
      </c>
      <c r="E25" s="70">
        <f>IFERROR(MATCH('Metrics'!$D$25,curve_key,0),MATCH("spring_chem_turb|",curve_key,0))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Fast-water / riffle habitat</t>
        </is>
      </c>
      <c r="B26" s="70">
        <f>IF('DEEP Score'!$E$40="","",'DEEP Score'!$E$40)</f>
        <v/>
      </c>
      <c r="C26" s="70">
        <f>IF('DEEP Score'!$F$40="","All streams (pooled)",'DEEP Score'!$F$40)</f>
        <v/>
      </c>
      <c r="D26" s="70">
        <f>"spring_phab_pct_fast|"&amp;'Metrics'!$C$26</f>
        <v/>
      </c>
      <c r="E26" s="70">
        <f>IFERROR(MATCH('Metrics'!$D$26,curve_key,0),MATCH("spring_phab_pct_fast|All streams (pooled)",curve_key,0))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Score'!$E$41="","",'DEEP Score'!$E$41)</f>
        <v/>
      </c>
      <c r="C27" s="70">
        <f>IF('DEEP Score'!$F$41="","All streams (pooled)",'DEEP Score'!$F$41)</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Benthic total taxa richness</t>
        </is>
      </c>
      <c r="B28" s="70">
        <f>IF('DEEP Score'!$E$42="","",'DEEP Score'!$E$42)</f>
        <v/>
      </c>
      <c r="C28" s="70">
        <f>""</f>
        <v/>
      </c>
      <c r="D28" s="70">
        <f>"spring_bent_totlntax|"&amp;'Metrics'!$C$28</f>
        <v/>
      </c>
      <c r="E28" s="70">
        <f>IFERROR(MATCH('Metrics'!$D$28,curve_key,0),MATCH("spring_bent_totlntax|",curve_key,0))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Shannon diversity (H')</t>
        </is>
      </c>
      <c r="B29" s="70">
        <f>IF('DEEP Score'!$E$43="","",'DEEP Score'!$E$43)</f>
        <v/>
      </c>
      <c r="C29" s="70">
        <f>""</f>
        <v/>
      </c>
      <c r="D29" s="70">
        <f>"spring_bent_hprime|"&amp;'Metrics'!$C$29</f>
        <v/>
      </c>
      <c r="E29" s="70">
        <f>IFERROR(MATCH('Metrics'!$D$29,curve_key,0),MATCH("spring_bent_hprime|",curve_key,0))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Tolerant individuals (%) ~ HBI</t>
        </is>
      </c>
      <c r="B30" s="70">
        <f>IF('DEEP Score'!$E$44="","",'DEEP Score'!$E$44)</f>
        <v/>
      </c>
      <c r="C30" s="70">
        <f>""</f>
        <v/>
      </c>
      <c r="D30" s="70">
        <f>"spring_bent_tolrpind|"&amp;'Metrics'!$C$30</f>
        <v/>
      </c>
      <c r="E30" s="70">
        <f>IFERROR(MATCH('Metrics'!$D$30,curve_key,0),MATCH("spring_bent_tolrpind|",curve_key,0))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Mapped dams within one mile</t>
        </is>
      </c>
      <c r="B31" s="70">
        <f>IF('DEEP Score'!$E$45="","",'DEEP Score'!$E$45)</f>
        <v/>
      </c>
      <c r="C31" s="70">
        <f>""</f>
        <v/>
      </c>
      <c r="D31" s="70">
        <f>"spring_nid_dams_1mi|"&amp;'Metrics'!$C$31</f>
        <v/>
      </c>
      <c r="E31" s="70">
        <f>IFERROR(MATCH('Metrics'!$D$31,curve_key,0),MATCH("spring_nid_dams_1mi|",curve_key,0))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Score'!G40:G41)=0,"",SUM('DEEP Score'!G40:G41)/COUNT('DEEP Score'!G40:G41)*15)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Score'!G42:G42)=0,"",SUM('DEEP Score'!G42:G42)/COUNT('DEEP Score'!G42:G42)*15)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5" t="inlineStr">
        <is>
          <t>Outcome</t>
        </is>
      </c>
      <c r="B25" s="5"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83"/>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spring_pctwet2019ws|All streams (pooled)</t>
        </is>
      </c>
      <c r="B7" s="69" t="inlineStr">
        <is>
          <t>spring-pctwet2019ws</t>
        </is>
      </c>
      <c r="C7" s="69" t="inlineStr">
        <is>
          <t>Wetland</t>
        </is>
      </c>
      <c r="D7" s="69" t="inlineStr">
        <is>
          <t>All streams (pooled)</t>
        </is>
      </c>
      <c r="E7" s="69" t="n">
        <v>5</v>
      </c>
      <c r="F7" s="69" t="inlineStr">
        <is>
          <t>206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0.02678571428571428</v>
      </c>
      <c r="I7" s="69" t="n">
        <v>0.0625</v>
      </c>
      <c r="J7" s="69" t="n">
        <v>1.935</v>
      </c>
      <c r="K7" s="69" t="n">
        <v>2.87125</v>
      </c>
      <c r="L7" s="69" t="n">
        <v>2.87125</v>
      </c>
      <c r="M7" s="69" t="n">
        <v>2.87125</v>
      </c>
      <c r="N7" s="69" t="n">
        <v>2.87125</v>
      </c>
      <c r="O7" s="69" t="n">
        <v>0</v>
      </c>
      <c r="P7" s="69" t="n">
        <v>0.3</v>
      </c>
      <c r="Q7" s="69" t="n">
        <v>0.7</v>
      </c>
      <c r="R7" s="69" t="n">
        <v>1</v>
      </c>
      <c r="S7" s="69" t="n">
        <v>1</v>
      </c>
      <c r="T7" s="69" t="n">
        <v>1</v>
      </c>
      <c r="U7" s="69" t="n">
        <v>1</v>
      </c>
      <c r="V7" s="69" t="n">
        <v>1</v>
      </c>
    </row>
    <row r="8">
      <c r="A8" s="69" t="inlineStr">
        <is>
          <t>spring_pctwet2019ws|Low gradient (under 0.5 percent)</t>
        </is>
      </c>
      <c r="B8" s="69" t="inlineStr">
        <is>
          <t>spring-pctwet2019ws</t>
        </is>
      </c>
      <c r="C8" s="69" t="inlineStr">
        <is>
          <t>Wetland</t>
        </is>
      </c>
      <c r="D8" s="69" t="inlineStr">
        <is>
          <t>Low gradient (under 0.5 percent)</t>
        </is>
      </c>
      <c r="E8" s="69" t="n">
        <v>5</v>
      </c>
      <c r="F8" s="69" t="inlineStr">
        <is>
          <t>206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8" s="69" t="n">
        <v>0</v>
      </c>
      <c r="H8" s="69" t="n">
        <v>0.1885714285714286</v>
      </c>
      <c r="I8" s="69" t="n">
        <v>0.44</v>
      </c>
      <c r="J8" s="69" t="n">
        <v>4.055</v>
      </c>
      <c r="K8" s="69" t="n">
        <v>5.8625</v>
      </c>
      <c r="L8" s="69" t="n">
        <v>5.8625</v>
      </c>
      <c r="M8" s="69" t="n">
        <v>5.8625</v>
      </c>
      <c r="N8" s="69" t="n">
        <v>5.8625</v>
      </c>
      <c r="O8" s="69" t="n">
        <v>0</v>
      </c>
      <c r="P8" s="69" t="n">
        <v>0.3</v>
      </c>
      <c r="Q8" s="69" t="n">
        <v>0.7</v>
      </c>
      <c r="R8" s="69" t="n">
        <v>1</v>
      </c>
      <c r="S8" s="69" t="n">
        <v>1</v>
      </c>
      <c r="T8" s="69" t="n">
        <v>1</v>
      </c>
      <c r="U8" s="69" t="n">
        <v>1</v>
      </c>
      <c r="V8" s="69" t="n">
        <v>1</v>
      </c>
    </row>
    <row r="9">
      <c r="A9" s="69" t="inlineStr">
        <is>
          <t>spring_pctwet2019ws|Moderate gradient (0.5 to 2 percent)</t>
        </is>
      </c>
      <c r="B9" s="69" t="inlineStr">
        <is>
          <t>spring-pctwet2019ws</t>
        </is>
      </c>
      <c r="C9" s="69" t="inlineStr">
        <is>
          <t>Wetland</t>
        </is>
      </c>
      <c r="D9" s="69" t="inlineStr">
        <is>
          <t>Moderate gradient (0.5 to 2 percent)</t>
        </is>
      </c>
      <c r="E9" s="69" t="n">
        <v>5</v>
      </c>
      <c r="F9" s="69" t="inlineStr">
        <is>
          <t>206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9" s="69" t="n">
        <v>0</v>
      </c>
      <c r="H9" s="69" t="n">
        <v>0.135</v>
      </c>
      <c r="I9" s="69" t="n">
        <v>0.315</v>
      </c>
      <c r="J9" s="69" t="n">
        <v>2.155</v>
      </c>
      <c r="K9" s="69" t="n">
        <v>3.075</v>
      </c>
      <c r="L9" s="69" t="n">
        <v>3.075</v>
      </c>
      <c r="M9" s="69" t="n">
        <v>3.075</v>
      </c>
      <c r="N9" s="69" t="n">
        <v>3.075</v>
      </c>
      <c r="O9" s="69" t="n">
        <v>0</v>
      </c>
      <c r="P9" s="69" t="n">
        <v>0.3</v>
      </c>
      <c r="Q9" s="69" t="n">
        <v>0.7</v>
      </c>
      <c r="R9" s="69" t="n">
        <v>1</v>
      </c>
      <c r="S9" s="69" t="n">
        <v>1</v>
      </c>
      <c r="T9" s="69" t="n">
        <v>1</v>
      </c>
      <c r="U9" s="69" t="n">
        <v>1</v>
      </c>
      <c r="V9" s="69" t="n">
        <v>1</v>
      </c>
    </row>
    <row r="10">
      <c r="A10" s="69" t="inlineStr">
        <is>
          <t>spring_rddensws|</t>
        </is>
      </c>
      <c r="B10" s="69" t="inlineStr">
        <is>
          <t>spring-rddensws</t>
        </is>
      </c>
      <c r="C10" s="69" t="inlineStr">
        <is>
          <t>Road density</t>
        </is>
      </c>
      <c r="D10" s="69" t="inlineStr"/>
      <c r="E10" s="69" t="n">
        <v>4</v>
      </c>
      <c r="F10" s="69" t="inlineStr">
        <is>
          <t>Fixed criteria, the same in every region</t>
        </is>
      </c>
      <c r="G10" s="69" t="n">
        <v>0</v>
      </c>
      <c r="H10" s="69" t="n">
        <v>1</v>
      </c>
      <c r="I10" s="69" t="n">
        <v>3</v>
      </c>
      <c r="J10" s="69" t="n">
        <v>5.6</v>
      </c>
      <c r="K10" s="69" t="n">
        <v>5.6</v>
      </c>
      <c r="L10" s="69" t="n">
        <v>5.6</v>
      </c>
      <c r="M10" s="69" t="n">
        <v>5.6</v>
      </c>
      <c r="N10" s="69" t="n">
        <v>5.6</v>
      </c>
      <c r="O10" s="69" t="n">
        <v>1</v>
      </c>
      <c r="P10" s="69" t="n">
        <v>0.6899999999999999</v>
      </c>
      <c r="Q10" s="69" t="n">
        <v>0.39</v>
      </c>
      <c r="R10" s="69" t="n">
        <v>0</v>
      </c>
      <c r="S10" s="69" t="n">
        <v>0</v>
      </c>
      <c r="T10" s="69" t="n">
        <v>0</v>
      </c>
      <c r="U10" s="69" t="n">
        <v>0</v>
      </c>
      <c r="V10" s="69" t="n">
        <v>0</v>
      </c>
    </row>
    <row r="11">
      <c r="A11" s="69" t="inlineStr">
        <is>
          <t>spring_bfiws|</t>
        </is>
      </c>
      <c r="B11" s="69" t="inlineStr">
        <is>
          <t>spring-bfiws</t>
        </is>
      </c>
      <c r="C11" s="69" t="inlineStr">
        <is>
          <t>Base flow index</t>
        </is>
      </c>
      <c r="D11" s="69" t="inlineStr"/>
      <c r="E11" s="69" t="n">
        <v>5</v>
      </c>
      <c r="F11" s="69" t="inlineStr">
        <is>
          <t>206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11" s="69" t="n">
        <v>0</v>
      </c>
      <c r="H11" s="69" t="n">
        <v>27.01519285714286</v>
      </c>
      <c r="I11" s="69" t="n">
        <v>63.03545</v>
      </c>
      <c r="J11" s="69" t="n">
        <v>74</v>
      </c>
      <c r="K11" s="69" t="n">
        <v>79.482275</v>
      </c>
      <c r="L11" s="69" t="n">
        <v>79.482275</v>
      </c>
      <c r="M11" s="69" t="n">
        <v>79.482275</v>
      </c>
      <c r="N11" s="69" t="n">
        <v>79.482275</v>
      </c>
      <c r="O11" s="69" t="n">
        <v>0</v>
      </c>
      <c r="P11" s="69" t="n">
        <v>0.3</v>
      </c>
      <c r="Q11" s="69" t="n">
        <v>0.7</v>
      </c>
      <c r="R11" s="69" t="n">
        <v>1</v>
      </c>
      <c r="S11" s="69" t="n">
        <v>1</v>
      </c>
      <c r="T11" s="69" t="n">
        <v>1</v>
      </c>
      <c r="U11" s="69" t="n">
        <v>1</v>
      </c>
      <c r="V11" s="69" t="n">
        <v>1</v>
      </c>
    </row>
    <row r="12">
      <c r="A12" s="69" t="inlineStr">
        <is>
          <t>spring_dorws|</t>
        </is>
      </c>
      <c r="B12" s="69" t="inlineStr">
        <is>
          <t>spring-dorws</t>
        </is>
      </c>
      <c r="C12" s="69" t="inlineStr">
        <is>
          <t>Degree of regulation</t>
        </is>
      </c>
      <c r="D12" s="69" t="inlineStr"/>
      <c r="E12" s="69" t="n">
        <v>4</v>
      </c>
      <c r="F12" s="69" t="inlineStr">
        <is>
          <t>Fixed criteria, the same in every region</t>
        </is>
      </c>
      <c r="G12" s="69" t="n">
        <v>0</v>
      </c>
      <c r="H12" s="69" t="n">
        <v>2</v>
      </c>
      <c r="I12" s="69" t="n">
        <v>15.005</v>
      </c>
      <c r="J12" s="69" t="n">
        <v>31.9115</v>
      </c>
      <c r="K12" s="69" t="n">
        <v>31.9115</v>
      </c>
      <c r="L12" s="69" t="n">
        <v>31.9115</v>
      </c>
      <c r="M12" s="69" t="n">
        <v>31.9115</v>
      </c>
      <c r="N12" s="69" t="n">
        <v>31.9115</v>
      </c>
      <c r="O12" s="69" t="n">
        <v>1</v>
      </c>
      <c r="P12" s="69" t="n">
        <v>0.6899999999999999</v>
      </c>
      <c r="Q12" s="69" t="n">
        <v>0.39</v>
      </c>
      <c r="R12" s="69" t="n">
        <v>0</v>
      </c>
      <c r="S12" s="69" t="n">
        <v>0</v>
      </c>
      <c r="T12" s="69" t="n">
        <v>0</v>
      </c>
      <c r="U12" s="69" t="n">
        <v>0</v>
      </c>
      <c r="V12" s="69" t="n">
        <v>0</v>
      </c>
    </row>
    <row r="13">
      <c r="A13" s="69" t="inlineStr">
        <is>
          <t>spring_phab_bfwd_rat|All streams (pooled)</t>
        </is>
      </c>
      <c r="B13" s="69" t="inlineStr">
        <is>
          <t>spring-phab-bfwd-rat</t>
        </is>
      </c>
      <c r="C13" s="69" t="inlineStr">
        <is>
          <t>Bankfull width:depth ratio</t>
        </is>
      </c>
      <c r="D13" s="69" t="inlineStr">
        <is>
          <t>All streams (pooled)</t>
        </is>
      </c>
      <c r="E13" s="69" t="n">
        <v>7</v>
      </c>
      <c r="F13" s="69" t="inlineStr">
        <is>
          <t>60 least-disturbed stations of this ecoregion</t>
        </is>
      </c>
      <c r="G13" s="69" t="n">
        <v>0</v>
      </c>
      <c r="H13" s="69" t="n">
        <v>2.688609910011292</v>
      </c>
      <c r="I13" s="69" t="n">
        <v>5.337717771530151</v>
      </c>
      <c r="J13" s="69" t="n">
        <v>12.90659737586975</v>
      </c>
      <c r="K13" s="69" t="n">
        <v>15.55570523738861</v>
      </c>
      <c r="L13" s="69" t="n">
        <v>20.47547698020935</v>
      </c>
      <c r="M13" s="69" t="n">
        <v>28.04435658454895</v>
      </c>
      <c r="N13" s="69" t="n">
        <v>28.04435658454895</v>
      </c>
      <c r="O13" s="69" t="n">
        <v>0</v>
      </c>
      <c r="P13" s="69" t="n">
        <v>0.7</v>
      </c>
      <c r="Q13" s="69" t="n">
        <v>1</v>
      </c>
      <c r="R13" s="69" t="n">
        <v>1</v>
      </c>
      <c r="S13" s="69" t="n">
        <v>0.7</v>
      </c>
      <c r="T13" s="69" t="n">
        <v>0.3</v>
      </c>
      <c r="U13" s="69" t="n">
        <v>0</v>
      </c>
      <c r="V13" s="69" t="n">
        <v>0</v>
      </c>
    </row>
    <row r="14">
      <c r="A14" s="69" t="inlineStr">
        <is>
          <t>spring_phab_bfwd_rat|Headwater (10 km2 and under)</t>
        </is>
      </c>
      <c r="B14" s="69" t="inlineStr">
        <is>
          <t>spring-phab-bfwd-rat</t>
        </is>
      </c>
      <c r="C14" s="69" t="inlineStr">
        <is>
          <t>Bankfull width:depth ratio</t>
        </is>
      </c>
      <c r="D14" s="69" t="inlineStr">
        <is>
          <t>Headwater (10 km2 and under)</t>
        </is>
      </c>
      <c r="E14" s="69" t="n">
        <v>8</v>
      </c>
      <c r="F14" s="69" t="inlineStr">
        <is>
          <t>60 least-disturbed stations of this ecoregion</t>
        </is>
      </c>
      <c r="G14" s="69" t="n">
        <v>0</v>
      </c>
      <c r="H14" s="69" t="n">
        <v>1.918877363204956</v>
      </c>
      <c r="I14" s="69" t="n">
        <v>4.053179377317429</v>
      </c>
      <c r="J14" s="69" t="n">
        <v>5.202418923377991</v>
      </c>
      <c r="K14" s="69" t="n">
        <v>8.485960483551025</v>
      </c>
      <c r="L14" s="69" t="n">
        <v>9.635200029611587</v>
      </c>
      <c r="M14" s="69" t="n">
        <v>11.76950204372406</v>
      </c>
      <c r="N14" s="69" t="n">
        <v>15.05304360389709</v>
      </c>
      <c r="O14" s="69" t="n">
        <v>0</v>
      </c>
      <c r="P14" s="69" t="n">
        <v>0.3</v>
      </c>
      <c r="Q14" s="69" t="n">
        <v>0.7</v>
      </c>
      <c r="R14" s="69" t="n">
        <v>1</v>
      </c>
      <c r="S14" s="69" t="n">
        <v>1</v>
      </c>
      <c r="T14" s="69" t="n">
        <v>0.7</v>
      </c>
      <c r="U14" s="69" t="n">
        <v>0.3</v>
      </c>
      <c r="V14" s="69" t="n">
        <v>0</v>
      </c>
    </row>
    <row r="15">
      <c r="A15" s="69" t="inlineStr">
        <is>
          <t>spring_phab_bfwd_rat|Small stream (10 to 100 km2)</t>
        </is>
      </c>
      <c r="B15" s="69" t="inlineStr">
        <is>
          <t>spring-phab-bfwd-rat</t>
        </is>
      </c>
      <c r="C15" s="69" t="inlineStr">
        <is>
          <t>Bankfull width:depth ratio</t>
        </is>
      </c>
      <c r="D15" s="69" t="inlineStr">
        <is>
          <t>Small stream (10 to 100 km2)</t>
        </is>
      </c>
      <c r="E15" s="69" t="n">
        <v>7</v>
      </c>
      <c r="F15" s="69" t="inlineStr">
        <is>
          <t>60 least-disturbed stations of this ecoregion</t>
        </is>
      </c>
      <c r="G15" s="69" t="n">
        <v>0</v>
      </c>
      <c r="H15" s="69" t="n">
        <v>1.533758401870728</v>
      </c>
      <c r="I15" s="69" t="n">
        <v>4.029998779296875</v>
      </c>
      <c r="J15" s="69" t="n">
        <v>11.16211414337158</v>
      </c>
      <c r="K15" s="69" t="n">
        <v>13.65835452079773</v>
      </c>
      <c r="L15" s="69" t="n">
        <v>18.29422950744629</v>
      </c>
      <c r="M15" s="69" t="n">
        <v>25.426344871521</v>
      </c>
      <c r="N15" s="69" t="n">
        <v>25.426344871521</v>
      </c>
      <c r="O15" s="69" t="n">
        <v>0</v>
      </c>
      <c r="P15" s="69" t="n">
        <v>0.7</v>
      </c>
      <c r="Q15" s="69" t="n">
        <v>1</v>
      </c>
      <c r="R15" s="69" t="n">
        <v>1</v>
      </c>
      <c r="S15" s="69" t="n">
        <v>0.7</v>
      </c>
      <c r="T15" s="69" t="n">
        <v>0.3</v>
      </c>
      <c r="U15" s="69" t="n">
        <v>0</v>
      </c>
      <c r="V15" s="69" t="n">
        <v>0</v>
      </c>
    </row>
    <row r="16">
      <c r="A16" s="69" t="inlineStr">
        <is>
          <t>spring_phab_bfwd_rat|Large stream (over 100 km2)</t>
        </is>
      </c>
      <c r="B16" s="69" t="inlineStr">
        <is>
          <t>spring-phab-bfwd-rat</t>
        </is>
      </c>
      <c r="C16" s="69" t="inlineStr">
        <is>
          <t>Bankfull width:depth ratio</t>
        </is>
      </c>
      <c r="D16" s="69" t="inlineStr">
        <is>
          <t>Large stream (over 100 km2)</t>
        </is>
      </c>
      <c r="E16" s="69" t="n">
        <v>7</v>
      </c>
      <c r="F16" s="69" t="inlineStr">
        <is>
          <t>60 least-disturbed stations of this ecoregion</t>
        </is>
      </c>
      <c r="G16" s="69" t="n">
        <v>0</v>
      </c>
      <c r="H16" s="69" t="n">
        <v>7.990505361557007</v>
      </c>
      <c r="I16" s="69" t="n">
        <v>12.77657985687256</v>
      </c>
      <c r="J16" s="69" t="n">
        <v>26.45107841491699</v>
      </c>
      <c r="K16" s="69" t="n">
        <v>31.23715291023255</v>
      </c>
      <c r="L16" s="69" t="n">
        <v>40.12557697296143</v>
      </c>
      <c r="M16" s="69" t="n">
        <v>53.80007553100586</v>
      </c>
      <c r="N16" s="69" t="n">
        <v>53.80007553100586</v>
      </c>
      <c r="O16" s="69" t="n">
        <v>0</v>
      </c>
      <c r="P16" s="69" t="n">
        <v>0.7</v>
      </c>
      <c r="Q16" s="69" t="n">
        <v>1</v>
      </c>
      <c r="R16" s="69" t="n">
        <v>1</v>
      </c>
      <c r="S16" s="69" t="n">
        <v>0.7</v>
      </c>
      <c r="T16" s="69" t="n">
        <v>0.3</v>
      </c>
      <c r="U16" s="69" t="n">
        <v>0</v>
      </c>
      <c r="V16" s="69" t="n">
        <v>0</v>
      </c>
    </row>
    <row r="17">
      <c r="A17" s="69" t="inlineStr">
        <is>
          <t>spring_phab_xbkf_h|All streams (pooled)</t>
        </is>
      </c>
      <c r="B17" s="69" t="inlineStr">
        <is>
          <t>spring-phab-xbkf-h</t>
        </is>
      </c>
      <c r="C17" s="69" t="inlineStr">
        <is>
          <t>Bankfull height above channel</t>
        </is>
      </c>
      <c r="D17" s="69" t="inlineStr">
        <is>
          <t>All streams (pooled)</t>
        </is>
      </c>
      <c r="E17" s="69" t="n">
        <v>7</v>
      </c>
      <c r="F17" s="69" t="inlineStr">
        <is>
          <t>60 least-disturbed stations of this ecoregion</t>
        </is>
      </c>
      <c r="G17" s="69" t="n">
        <v>0</v>
      </c>
      <c r="H17" s="69" t="n">
        <v>0.128886366635561</v>
      </c>
      <c r="I17" s="69" t="n">
        <v>0.2000000029802322</v>
      </c>
      <c r="J17" s="69" t="n">
        <v>0.4031818211078644</v>
      </c>
      <c r="K17" s="69" t="n">
        <v>0.4742954574525357</v>
      </c>
      <c r="L17" s="69" t="n">
        <v>0.6063636392354965</v>
      </c>
      <c r="M17" s="69" t="n">
        <v>0.8095454573631287</v>
      </c>
      <c r="N17" s="69" t="n">
        <v>0.8095454573631287</v>
      </c>
      <c r="O17" s="69" t="n">
        <v>0</v>
      </c>
      <c r="P17" s="69" t="n">
        <v>0.7</v>
      </c>
      <c r="Q17" s="69" t="n">
        <v>1</v>
      </c>
      <c r="R17" s="69" t="n">
        <v>1</v>
      </c>
      <c r="S17" s="69" t="n">
        <v>0.7</v>
      </c>
      <c r="T17" s="69" t="n">
        <v>0.3</v>
      </c>
      <c r="U17" s="69" t="n">
        <v>0</v>
      </c>
      <c r="V17" s="69" t="n">
        <v>0</v>
      </c>
    </row>
    <row r="18">
      <c r="A18" s="69" t="inlineStr">
        <is>
          <t>spring_phab_xbkf_h|Headwater (10 km2 and under)</t>
        </is>
      </c>
      <c r="B18" s="69" t="inlineStr">
        <is>
          <t>spring-phab-xbkf-h</t>
        </is>
      </c>
      <c r="C18" s="69" t="inlineStr">
        <is>
          <t>Bankfull height above channel</t>
        </is>
      </c>
      <c r="D18" s="69" t="inlineStr">
        <is>
          <t>Headwater (10 km2 and under)</t>
        </is>
      </c>
      <c r="E18" s="69" t="n">
        <v>7</v>
      </c>
      <c r="F18" s="69" t="inlineStr">
        <is>
          <t>60 least-disturbed stations of this ecoregion</t>
        </is>
      </c>
      <c r="G18" s="69" t="n">
        <v>0</v>
      </c>
      <c r="H18" s="69" t="n">
        <v>0.09814772494137287</v>
      </c>
      <c r="I18" s="69" t="n">
        <v>0.165681816637516</v>
      </c>
      <c r="J18" s="69" t="n">
        <v>0.3586363643407822</v>
      </c>
      <c r="K18" s="69" t="n">
        <v>0.4261704560369253</v>
      </c>
      <c r="L18" s="69" t="n">
        <v>0.5515909120440483</v>
      </c>
      <c r="M18" s="69" t="n">
        <v>0.7445454597473145</v>
      </c>
      <c r="N18" s="69" t="n">
        <v>0.7445454597473145</v>
      </c>
      <c r="O18" s="69" t="n">
        <v>0</v>
      </c>
      <c r="P18" s="69" t="n">
        <v>0.7</v>
      </c>
      <c r="Q18" s="69" t="n">
        <v>1</v>
      </c>
      <c r="R18" s="69" t="n">
        <v>1</v>
      </c>
      <c r="S18" s="69" t="n">
        <v>0.7</v>
      </c>
      <c r="T18" s="69" t="n">
        <v>0.3</v>
      </c>
      <c r="U18" s="69" t="n">
        <v>0</v>
      </c>
      <c r="V18" s="69" t="n">
        <v>0</v>
      </c>
    </row>
    <row r="19">
      <c r="A19" s="69" t="inlineStr">
        <is>
          <t>spring_phab_xbkf_h|Small stream (10 to 100 km2)</t>
        </is>
      </c>
      <c r="B19" s="69" t="inlineStr">
        <is>
          <t>spring-phab-xbkf-h</t>
        </is>
      </c>
      <c r="C19" s="69" t="inlineStr">
        <is>
          <t>Bankfull height above channel</t>
        </is>
      </c>
      <c r="D19" s="69" t="inlineStr">
        <is>
          <t>Small stream (10 to 100 km2)</t>
        </is>
      </c>
      <c r="E19" s="69" t="n">
        <v>8</v>
      </c>
      <c r="F19" s="69" t="inlineStr">
        <is>
          <t>60 least-disturbed stations of this ecoregion</t>
        </is>
      </c>
      <c r="G19" s="69" t="n">
        <v>0.01159089803695679</v>
      </c>
      <c r="H19" s="69" t="n">
        <v>0.1331818103790283</v>
      </c>
      <c r="I19" s="69" t="n">
        <v>0.2122159034013748</v>
      </c>
      <c r="J19" s="69" t="n">
        <v>0.2547727227210999</v>
      </c>
      <c r="K19" s="69" t="n">
        <v>0.3763636350631714</v>
      </c>
      <c r="L19" s="69" t="n">
        <v>0.4189204543828964</v>
      </c>
      <c r="M19" s="69" t="n">
        <v>0.4979545474052429</v>
      </c>
      <c r="N19" s="69" t="n">
        <v>0.6195454597473145</v>
      </c>
      <c r="O19" s="69" t="n">
        <v>0</v>
      </c>
      <c r="P19" s="69" t="n">
        <v>0.3</v>
      </c>
      <c r="Q19" s="69" t="n">
        <v>0.7</v>
      </c>
      <c r="R19" s="69" t="n">
        <v>1</v>
      </c>
      <c r="S19" s="69" t="n">
        <v>1</v>
      </c>
      <c r="T19" s="69" t="n">
        <v>0.7</v>
      </c>
      <c r="U19" s="69" t="n">
        <v>0.3</v>
      </c>
      <c r="V19" s="69" t="n">
        <v>0</v>
      </c>
    </row>
    <row r="20">
      <c r="A20" s="69" t="inlineStr">
        <is>
          <t>spring_phab_xbkf_h|Large stream (over 100 km2)</t>
        </is>
      </c>
      <c r="B20" s="69" t="inlineStr">
        <is>
          <t>spring-phab-xbkf-h</t>
        </is>
      </c>
      <c r="C20" s="69" t="inlineStr">
        <is>
          <t>Bankfull height above channel</t>
        </is>
      </c>
      <c r="D20" s="69" t="inlineStr">
        <is>
          <t>Large stream (over 100 km2)</t>
        </is>
      </c>
      <c r="E20" s="69" t="n">
        <v>8</v>
      </c>
      <c r="F20" s="69" t="inlineStr">
        <is>
          <t>60 least-disturbed stations of this ecoregion</t>
        </is>
      </c>
      <c r="G20" s="69" t="n">
        <v>0</v>
      </c>
      <c r="H20" s="69" t="n">
        <v>0.1045454740524292</v>
      </c>
      <c r="I20" s="69" t="n">
        <v>0.266159101575613</v>
      </c>
      <c r="J20" s="69" t="n">
        <v>0.3531818240880966</v>
      </c>
      <c r="K20" s="69" t="n">
        <v>0.601818174123764</v>
      </c>
      <c r="L20" s="69" t="n">
        <v>0.6888408966362476</v>
      </c>
      <c r="M20" s="69" t="n">
        <v>0.8504545241594315</v>
      </c>
      <c r="N20" s="69" t="n">
        <v>1.099090874195099</v>
      </c>
      <c r="O20" s="69" t="n">
        <v>0</v>
      </c>
      <c r="P20" s="69" t="n">
        <v>0.3</v>
      </c>
      <c r="Q20" s="69" t="n">
        <v>0.7</v>
      </c>
      <c r="R20" s="69" t="n">
        <v>1</v>
      </c>
      <c r="S20" s="69" t="n">
        <v>1</v>
      </c>
      <c r="T20" s="69" t="n">
        <v>0.7</v>
      </c>
      <c r="U20" s="69" t="n">
        <v>0.3</v>
      </c>
      <c r="V20" s="69" t="n">
        <v>0</v>
      </c>
    </row>
    <row r="21">
      <c r="A21" s="69" t="inlineStr">
        <is>
          <t>spring_phab_pct_safn|</t>
        </is>
      </c>
      <c r="B21" s="69" t="inlineStr">
        <is>
          <t>spring-phab-pct-safn</t>
        </is>
      </c>
      <c r="C21" s="69" t="inlineStr">
        <is>
          <t>Sand + fines</t>
        </is>
      </c>
      <c r="D21" s="69" t="inlineStr"/>
      <c r="E21" s="69" t="n">
        <v>5</v>
      </c>
      <c r="F21" s="69" t="inlineStr">
        <is>
          <t>296 least-disturbed stations borrowed from Level II ecoregion 6.2 (Western Cordillera) under the regional screen (agriculture at most 25 percent), transfer risk low</t>
        </is>
      </c>
      <c r="G21" s="69" t="n">
        <v>0</v>
      </c>
      <c r="H21" s="69" t="n">
        <v>3.952380955219269</v>
      </c>
      <c r="I21" s="69" t="n">
        <v>28.48901081085205</v>
      </c>
      <c r="J21" s="69" t="n">
        <v>65.29395559430122</v>
      </c>
      <c r="K21" s="69" t="n">
        <v>89.83058544993401</v>
      </c>
      <c r="L21" s="69" t="n">
        <v>89.83058544993401</v>
      </c>
      <c r="M21" s="69" t="n">
        <v>89.83058544993401</v>
      </c>
      <c r="N21" s="69" t="n">
        <v>89.83058544993401</v>
      </c>
      <c r="O21" s="69" t="n">
        <v>1</v>
      </c>
      <c r="P21" s="69" t="n">
        <v>1</v>
      </c>
      <c r="Q21" s="69" t="n">
        <v>0.7</v>
      </c>
      <c r="R21" s="69" t="n">
        <v>0.3</v>
      </c>
      <c r="S21" s="69" t="n">
        <v>0</v>
      </c>
      <c r="T21" s="69" t="n">
        <v>0</v>
      </c>
      <c r="U21" s="69" t="n">
        <v>0</v>
      </c>
      <c r="V21" s="69" t="n">
        <v>0</v>
      </c>
    </row>
    <row r="22">
      <c r="A22" s="69" t="inlineStr">
        <is>
          <t>spring_phab_xembed|</t>
        </is>
      </c>
      <c r="B22" s="69" t="inlineStr">
        <is>
          <t>spring-phab-xembed</t>
        </is>
      </c>
      <c r="C22" s="69" t="inlineStr">
        <is>
          <t>Embeddedness</t>
        </is>
      </c>
      <c r="D22" s="69" t="inlineStr"/>
      <c r="E22" s="69" t="n">
        <v>4</v>
      </c>
      <c r="F22" s="69" t="inlineStr">
        <is>
          <t>56 least-disturbed stations of this ecoregion</t>
        </is>
      </c>
      <c r="G22" s="69" t="n">
        <v>8.477272748947144</v>
      </c>
      <c r="H22" s="69" t="n">
        <v>27.18181848526001</v>
      </c>
      <c r="I22" s="69" t="n">
        <v>64.59090995788574</v>
      </c>
      <c r="J22" s="69" t="n">
        <v>100</v>
      </c>
      <c r="K22" s="69" t="n">
        <v>100</v>
      </c>
      <c r="L22" s="69" t="n">
        <v>100</v>
      </c>
      <c r="M22" s="69" t="n">
        <v>100</v>
      </c>
      <c r="N22" s="69" t="n">
        <v>100</v>
      </c>
      <c r="O22" s="69" t="n">
        <v>1</v>
      </c>
      <c r="P22" s="69" t="n">
        <v>1</v>
      </c>
      <c r="Q22" s="69" t="n">
        <v>0.7</v>
      </c>
      <c r="R22" s="69" t="n">
        <v>0</v>
      </c>
      <c r="S22" s="69" t="n">
        <v>0</v>
      </c>
      <c r="T22" s="69" t="n">
        <v>0</v>
      </c>
      <c r="U22" s="69" t="n">
        <v>0</v>
      </c>
      <c r="V22" s="69" t="n">
        <v>0</v>
      </c>
    </row>
    <row r="23">
      <c r="A23" s="69" t="inlineStr">
        <is>
          <t>spring_phab_sinu|</t>
        </is>
      </c>
      <c r="B23" s="69" t="inlineStr">
        <is>
          <t>spring-phab-sinu</t>
        </is>
      </c>
      <c r="C23" s="69" t="inlineStr">
        <is>
          <t>Sinuosity</t>
        </is>
      </c>
      <c r="D23" s="69" t="inlineStr"/>
      <c r="E23" s="69" t="n">
        <v>4</v>
      </c>
      <c r="F23" s="69" t="inlineStr">
        <is>
          <t>56 least-disturbed stations of this ecoregion</t>
        </is>
      </c>
      <c r="G23" s="69" t="n">
        <v>1</v>
      </c>
      <c r="H23" s="69" t="n">
        <v>1.097015231847763</v>
      </c>
      <c r="I23" s="69" t="n">
        <v>1.461662203073502</v>
      </c>
      <c r="J23" s="69" t="n">
        <v>1.643985688686371</v>
      </c>
      <c r="K23" s="69" t="n">
        <v>1.643985688686371</v>
      </c>
      <c r="L23" s="69" t="n">
        <v>1.643985688686371</v>
      </c>
      <c r="M23" s="69" t="n">
        <v>1.643985688686371</v>
      </c>
      <c r="N23" s="69" t="n">
        <v>1.643985688686371</v>
      </c>
      <c r="O23" s="69" t="n">
        <v>0</v>
      </c>
      <c r="P23" s="69" t="n">
        <v>0.7</v>
      </c>
      <c r="Q23" s="69" t="n">
        <v>1</v>
      </c>
      <c r="R23" s="69" t="n">
        <v>1</v>
      </c>
      <c r="S23" s="69" t="n">
        <v>1</v>
      </c>
      <c r="T23" s="69" t="n">
        <v>1</v>
      </c>
      <c r="U23" s="69" t="n">
        <v>1</v>
      </c>
      <c r="V23" s="69" t="n">
        <v>1</v>
      </c>
    </row>
    <row r="24">
      <c r="A24" s="69" t="inlineStr">
        <is>
          <t>spring_phab_xbka|</t>
        </is>
      </c>
      <c r="B24" s="69" t="inlineStr">
        <is>
          <t>spring-phab-xbka</t>
        </is>
      </c>
      <c r="C24" s="69" t="inlineStr">
        <is>
          <t>Bank angle</t>
        </is>
      </c>
      <c r="D24" s="69" t="inlineStr"/>
      <c r="E24" s="69" t="n">
        <v>7</v>
      </c>
      <c r="F24" s="69" t="inlineStr">
        <is>
          <t>295 least-disturbed stations borrowed from NARS-9 region WMT under the regional screen (agriculture at most 25 percent), transfer risk moderate</t>
        </is>
      </c>
      <c r="G24" s="69" t="n">
        <v>0</v>
      </c>
      <c r="H24" s="69" t="n">
        <v>16.51986713409424</v>
      </c>
      <c r="I24" s="69" t="n">
        <v>22.1136360168457</v>
      </c>
      <c r="J24" s="69" t="n">
        <v>38.09583282470703</v>
      </c>
      <c r="K24" s="69" t="n">
        <v>43.68960170745849</v>
      </c>
      <c r="L24" s="69" t="n">
        <v>54.07802963256836</v>
      </c>
      <c r="M24" s="69" t="n">
        <v>70.06022644042969</v>
      </c>
      <c r="N24" s="69" t="n">
        <v>70.06022644042969</v>
      </c>
      <c r="O24" s="69" t="n">
        <v>0.7</v>
      </c>
      <c r="P24" s="69" t="n">
        <v>0.7</v>
      </c>
      <c r="Q24" s="69" t="n">
        <v>1</v>
      </c>
      <c r="R24" s="69" t="n">
        <v>1</v>
      </c>
      <c r="S24" s="69" t="n">
        <v>0.7</v>
      </c>
      <c r="T24" s="69" t="n">
        <v>0.3</v>
      </c>
      <c r="U24" s="69" t="n">
        <v>0</v>
      </c>
      <c r="V24" s="69" t="n">
        <v>0</v>
      </c>
    </row>
    <row r="25">
      <c r="A25" s="69" t="inlineStr">
        <is>
          <t>spring_phab_lrbs_use|All streams (pooled)</t>
        </is>
      </c>
      <c r="B25" s="69" t="inlineStr">
        <is>
          <t>spring-phab-lrbs-use</t>
        </is>
      </c>
      <c r="C25" s="69" t="inlineStr">
        <is>
          <t>Relative bed stability</t>
        </is>
      </c>
      <c r="D25" s="69" t="inlineStr">
        <is>
          <t>All streams (pooled)</t>
        </is>
      </c>
      <c r="E25" s="69" t="n">
        <v>8</v>
      </c>
      <c r="F25" s="69" t="inlineStr">
        <is>
          <t>60 least-disturbed stations of this ecoregion</t>
        </is>
      </c>
      <c r="G25" s="69" t="n">
        <v>-3.645411588251591</v>
      </c>
      <c r="H25" s="69" t="n">
        <v>-2.505064059048891</v>
      </c>
      <c r="I25" s="69" t="n">
        <v>-1.763838165067136</v>
      </c>
      <c r="J25" s="69" t="n">
        <v>-1.364716529846191</v>
      </c>
      <c r="K25" s="69" t="n">
        <v>-0.2243690006434917</v>
      </c>
      <c r="L25" s="69" t="n">
        <v>0.1747526345774531</v>
      </c>
      <c r="M25" s="69" t="n">
        <v>0.9159785285592079</v>
      </c>
      <c r="N25" s="69" t="n">
        <v>2.056326057761908</v>
      </c>
      <c r="O25" s="69" t="n">
        <v>0</v>
      </c>
      <c r="P25" s="69" t="n">
        <v>0.3</v>
      </c>
      <c r="Q25" s="69" t="n">
        <v>0.7</v>
      </c>
      <c r="R25" s="69" t="n">
        <v>1</v>
      </c>
      <c r="S25" s="69" t="n">
        <v>1</v>
      </c>
      <c r="T25" s="69" t="n">
        <v>0.7</v>
      </c>
      <c r="U25" s="69" t="n">
        <v>0.3</v>
      </c>
      <c r="V25" s="69" t="n">
        <v>0</v>
      </c>
    </row>
    <row r="26">
      <c r="A26" s="69" t="inlineStr">
        <is>
          <t>spring_phab_lrbs_use|Headwater (10 km2 and under)</t>
        </is>
      </c>
      <c r="B26" s="69" t="inlineStr">
        <is>
          <t>spring-phab-lrbs-use</t>
        </is>
      </c>
      <c r="C26" s="69" t="inlineStr">
        <is>
          <t>Relative bed stability</t>
        </is>
      </c>
      <c r="D26" s="69" t="inlineStr">
        <is>
          <t>Headwater (10 km2 and under)</t>
        </is>
      </c>
      <c r="E26" s="69" t="n">
        <v>8</v>
      </c>
      <c r="F26" s="69" t="inlineStr">
        <is>
          <t>60 least-disturbed stations of this ecoregion</t>
        </is>
      </c>
      <c r="G26" s="69" t="n">
        <v>-2.366931319236755</v>
      </c>
      <c r="H26" s="69" t="n">
        <v>-1.78436616063118</v>
      </c>
      <c r="I26" s="69" t="n">
        <v>-1.405698807537556</v>
      </c>
      <c r="J26" s="69" t="n">
        <v>-1.201801002025604</v>
      </c>
      <c r="K26" s="69" t="n">
        <v>-0.6192358434200287</v>
      </c>
      <c r="L26" s="69" t="n">
        <v>-0.4153380379080772</v>
      </c>
      <c r="M26" s="69" t="n">
        <v>-0.03667068481445312</v>
      </c>
      <c r="N26" s="69" t="n">
        <v>0.5458944737911224</v>
      </c>
      <c r="O26" s="69" t="n">
        <v>0</v>
      </c>
      <c r="P26" s="69" t="n">
        <v>0.3</v>
      </c>
      <c r="Q26" s="69" t="n">
        <v>0.7</v>
      </c>
      <c r="R26" s="69" t="n">
        <v>1</v>
      </c>
      <c r="S26" s="69" t="n">
        <v>1</v>
      </c>
      <c r="T26" s="69" t="n">
        <v>0.7</v>
      </c>
      <c r="U26" s="69" t="n">
        <v>0.3</v>
      </c>
      <c r="V26" s="69" t="n">
        <v>0</v>
      </c>
    </row>
    <row r="27">
      <c r="A27" s="69" t="inlineStr">
        <is>
          <t>spring_phab_lrbs_use|Small stream (10 to 100 km2)</t>
        </is>
      </c>
      <c r="B27" s="69" t="inlineStr">
        <is>
          <t>spring-phab-lrbs-use</t>
        </is>
      </c>
      <c r="C27" s="69" t="inlineStr">
        <is>
          <t>Relative bed stability</t>
        </is>
      </c>
      <c r="D27" s="69" t="inlineStr">
        <is>
          <t>Small stream (10 to 100 km2)</t>
        </is>
      </c>
      <c r="E27" s="69" t="n">
        <v>8</v>
      </c>
      <c r="F27" s="69" t="inlineStr">
        <is>
          <t>60 least-disturbed stations of this ecoregion</t>
        </is>
      </c>
      <c r="G27" s="69" t="n">
        <v>-3.448379635810852</v>
      </c>
      <c r="H27" s="69" t="n">
        <v>-2.482179403305054</v>
      </c>
      <c r="I27" s="69" t="n">
        <v>-1.854149252176285</v>
      </c>
      <c r="J27" s="69" t="n">
        <v>-1.515979170799255</v>
      </c>
      <c r="K27" s="69" t="n">
        <v>-0.549778938293457</v>
      </c>
      <c r="L27" s="69" t="n">
        <v>-0.2116088569164276</v>
      </c>
      <c r="M27" s="69" t="n">
        <v>0.4164212942123413</v>
      </c>
      <c r="N27" s="69" t="n">
        <v>1.38262152671814</v>
      </c>
      <c r="O27" s="69" t="n">
        <v>0</v>
      </c>
      <c r="P27" s="69" t="n">
        <v>0.3</v>
      </c>
      <c r="Q27" s="69" t="n">
        <v>0.7</v>
      </c>
      <c r="R27" s="69" t="n">
        <v>1</v>
      </c>
      <c r="S27" s="69" t="n">
        <v>1</v>
      </c>
      <c r="T27" s="69" t="n">
        <v>0.7</v>
      </c>
      <c r="U27" s="69" t="n">
        <v>0.3</v>
      </c>
      <c r="V27" s="69" t="n">
        <v>0</v>
      </c>
    </row>
    <row r="28">
      <c r="A28" s="69" t="inlineStr">
        <is>
          <t>spring_phab_lrbs_use|Large stream (over 100 km2)</t>
        </is>
      </c>
      <c r="B28" s="69" t="inlineStr">
        <is>
          <t>spring-phab-lrbs-use</t>
        </is>
      </c>
      <c r="C28" s="69" t="inlineStr">
        <is>
          <t>Relative bed stability</t>
        </is>
      </c>
      <c r="D28" s="69" t="inlineStr">
        <is>
          <t>Large stream (over 100 km2)</t>
        </is>
      </c>
      <c r="E28" s="69" t="n">
        <v>8</v>
      </c>
      <c r="F28" s="69" t="inlineStr">
        <is>
          <t>60 least-disturbed stations of this ecoregion</t>
        </is>
      </c>
      <c r="G28" s="69" t="n">
        <v>-2.119607150554657</v>
      </c>
      <c r="H28" s="69" t="n">
        <v>-1.344900161027908</v>
      </c>
      <c r="I28" s="69" t="n">
        <v>-0.8413406178355216</v>
      </c>
      <c r="J28" s="69" t="n">
        <v>-0.5701931715011597</v>
      </c>
      <c r="K28" s="69" t="n">
        <v>0.204513818025589</v>
      </c>
      <c r="L28" s="69" t="n">
        <v>0.475661264359951</v>
      </c>
      <c r="M28" s="69" t="n">
        <v>0.9792208075523376</v>
      </c>
      <c r="N28" s="69" t="n">
        <v>1.753927797079086</v>
      </c>
      <c r="O28" s="69" t="n">
        <v>0</v>
      </c>
      <c r="P28" s="69" t="n">
        <v>0.3</v>
      </c>
      <c r="Q28" s="69" t="n">
        <v>0.7</v>
      </c>
      <c r="R28" s="69" t="n">
        <v>1</v>
      </c>
      <c r="S28" s="69" t="n">
        <v>1</v>
      </c>
      <c r="T28" s="69" t="n">
        <v>0.7</v>
      </c>
      <c r="U28" s="69" t="n">
        <v>0.3</v>
      </c>
      <c r="V28" s="69" t="n">
        <v>0</v>
      </c>
    </row>
    <row r="29">
      <c r="A29" s="69" t="inlineStr">
        <is>
          <t>spring_phab_lsub_dmm|</t>
        </is>
      </c>
      <c r="B29" s="69" t="inlineStr">
        <is>
          <t>spring-phab-lsub-dmm</t>
        </is>
      </c>
      <c r="C29" s="69" t="inlineStr">
        <is>
          <t>Substrate size</t>
        </is>
      </c>
      <c r="D29" s="69" t="inlineStr"/>
      <c r="E29" s="69" t="n">
        <v>5</v>
      </c>
      <c r="F29" s="69" t="inlineStr">
        <is>
          <t>60 least-disturbed stations of this ecoregion</t>
        </is>
      </c>
      <c r="G29" s="69" t="n">
        <v>-2.385220445692539</v>
      </c>
      <c r="H29" s="69" t="n">
        <v>-1.242948167026043</v>
      </c>
      <c r="I29" s="69" t="n">
        <v>0.4704602509737015</v>
      </c>
      <c r="J29" s="69" t="n">
        <v>1.612732529640198</v>
      </c>
      <c r="K29" s="69" t="n">
        <v>2.183868668973446</v>
      </c>
      <c r="L29" s="69" t="n">
        <v>2.183868668973446</v>
      </c>
      <c r="M29" s="69" t="n">
        <v>2.183868668973446</v>
      </c>
      <c r="N29" s="69" t="n">
        <v>2.183868668973446</v>
      </c>
      <c r="O29" s="69" t="n">
        <v>0</v>
      </c>
      <c r="P29" s="69" t="n">
        <v>0.3</v>
      </c>
      <c r="Q29" s="69" t="n">
        <v>0.7</v>
      </c>
      <c r="R29" s="69" t="n">
        <v>1</v>
      </c>
      <c r="S29" s="69" t="n">
        <v>1</v>
      </c>
      <c r="T29" s="69" t="n">
        <v>1</v>
      </c>
      <c r="U29" s="69" t="n">
        <v>1</v>
      </c>
      <c r="V29" s="69" t="n">
        <v>1</v>
      </c>
    </row>
    <row r="30">
      <c r="A30" s="69" t="inlineStr">
        <is>
          <t>spring_chem_chla|</t>
        </is>
      </c>
      <c r="B30" s="69" t="inlineStr">
        <is>
          <t>spring-chem-chla</t>
        </is>
      </c>
      <c r="C30" s="69" t="inlineStr">
        <is>
          <t>Chlorophyll a</t>
        </is>
      </c>
      <c r="D30" s="69" t="inlineStr"/>
      <c r="E30" s="69" t="n">
        <v>5</v>
      </c>
      <c r="F30" s="69" t="inlineStr">
        <is>
          <t>60 least-disturbed stations of this ecoregion</t>
        </is>
      </c>
      <c r="G30" s="69" t="n">
        <v>0</v>
      </c>
      <c r="H30" s="69" t="n">
        <v>0.4522500038146973</v>
      </c>
      <c r="I30" s="69" t="n">
        <v>1.652499973773956</v>
      </c>
      <c r="J30" s="69" t="n">
        <v>3.452874928712845</v>
      </c>
      <c r="K30" s="69" t="n">
        <v>4.653124898672104</v>
      </c>
      <c r="L30" s="69" t="n">
        <v>4.653124898672104</v>
      </c>
      <c r="M30" s="69" t="n">
        <v>4.653124898672104</v>
      </c>
      <c r="N30" s="69" t="n">
        <v>4.653124898672104</v>
      </c>
      <c r="O30" s="69" t="n">
        <v>1</v>
      </c>
      <c r="P30" s="69" t="n">
        <v>1</v>
      </c>
      <c r="Q30" s="69" t="n">
        <v>0.7</v>
      </c>
      <c r="R30" s="69" t="n">
        <v>0.3</v>
      </c>
      <c r="S30" s="69" t="n">
        <v>0</v>
      </c>
      <c r="T30" s="69" t="n">
        <v>0</v>
      </c>
      <c r="U30" s="69" t="n">
        <v>0</v>
      </c>
      <c r="V30" s="69" t="n">
        <v>0</v>
      </c>
    </row>
    <row r="31">
      <c r="A31" s="69" t="inlineStr">
        <is>
          <t>spring_phab_xcdenmid|All streams (pooled)</t>
        </is>
      </c>
      <c r="B31" s="69" t="inlineStr">
        <is>
          <t>spring-phab-xcdenmid</t>
        </is>
      </c>
      <c r="C31" s="69" t="inlineStr">
        <is>
          <t>Canopy density, mid-channel</t>
        </is>
      </c>
      <c r="D31" s="69" t="inlineStr">
        <is>
          <t>All streams (pooled)</t>
        </is>
      </c>
      <c r="E31" s="69" t="n">
        <v>5</v>
      </c>
      <c r="F31" s="69" t="inlineStr">
        <is>
          <t>56 least-disturbed stations of this ecoregion</t>
        </is>
      </c>
      <c r="G31" s="69" t="n">
        <v>0</v>
      </c>
      <c r="H31" s="69" t="n">
        <v>4.798510244914463</v>
      </c>
      <c r="I31" s="69" t="n">
        <v>11.19652390480042</v>
      </c>
      <c r="J31" s="69" t="n">
        <v>65.87566566467285</v>
      </c>
      <c r="K31" s="69" t="n">
        <v>93.21523654460907</v>
      </c>
      <c r="L31" s="69" t="n">
        <v>93.21523654460907</v>
      </c>
      <c r="M31" s="69" t="n">
        <v>93.21523654460907</v>
      </c>
      <c r="N31" s="69" t="n">
        <v>93.21523654460907</v>
      </c>
      <c r="O31" s="69" t="n">
        <v>0</v>
      </c>
      <c r="P31" s="69" t="n">
        <v>0.3</v>
      </c>
      <c r="Q31" s="69" t="n">
        <v>0.7</v>
      </c>
      <c r="R31" s="69" t="n">
        <v>1</v>
      </c>
      <c r="S31" s="69" t="n">
        <v>1</v>
      </c>
      <c r="T31" s="69" t="n">
        <v>1</v>
      </c>
      <c r="U31" s="69" t="n">
        <v>1</v>
      </c>
      <c r="V31" s="69" t="n">
        <v>1</v>
      </c>
    </row>
    <row r="32">
      <c r="A32" s="69" t="inlineStr">
        <is>
          <t>spring_phab_xcdenmid|Headwater (10 km2 and under)</t>
        </is>
      </c>
      <c r="B32" s="69" t="inlineStr">
        <is>
          <t>spring-phab-xcdenmid</t>
        </is>
      </c>
      <c r="C32" s="69" t="inlineStr">
        <is>
          <t>Canopy density, mid-channel</t>
        </is>
      </c>
      <c r="D32" s="69" t="inlineStr">
        <is>
          <t>Headwater (10 km2 and under)</t>
        </is>
      </c>
      <c r="E32" s="69" t="n">
        <v>5</v>
      </c>
      <c r="F32" s="69" t="inlineStr">
        <is>
          <t>56 least-disturbed stations of this ecoregion</t>
        </is>
      </c>
      <c r="G32" s="69" t="n">
        <v>0</v>
      </c>
      <c r="H32" s="69" t="n">
        <v>15.94251332964216</v>
      </c>
      <c r="I32" s="69" t="n">
        <v>37.19919776916504</v>
      </c>
      <c r="J32" s="69" t="n">
        <v>68.68315315246582</v>
      </c>
      <c r="K32" s="69" t="n">
        <v>84.42513084411621</v>
      </c>
      <c r="L32" s="69" t="n">
        <v>84.42513084411621</v>
      </c>
      <c r="M32" s="69" t="n">
        <v>84.42513084411621</v>
      </c>
      <c r="N32" s="69" t="n">
        <v>84.42513084411621</v>
      </c>
      <c r="O32" s="69" t="n">
        <v>0</v>
      </c>
      <c r="P32" s="69" t="n">
        <v>0.3</v>
      </c>
      <c r="Q32" s="69" t="n">
        <v>0.7</v>
      </c>
      <c r="R32" s="69" t="n">
        <v>1</v>
      </c>
      <c r="S32" s="69" t="n">
        <v>1</v>
      </c>
      <c r="T32" s="69" t="n">
        <v>1</v>
      </c>
      <c r="U32" s="69" t="n">
        <v>1</v>
      </c>
      <c r="V32" s="69" t="n">
        <v>1</v>
      </c>
    </row>
    <row r="33">
      <c r="A33" s="69" t="inlineStr">
        <is>
          <t>spring_phab_xcdenmid|Small stream (10 to 100 km2)</t>
        </is>
      </c>
      <c r="B33" s="69" t="inlineStr">
        <is>
          <t>spring-phab-xcdenmid</t>
        </is>
      </c>
      <c r="C33" s="69" t="inlineStr">
        <is>
          <t>Canopy density, mid-channel</t>
        </is>
      </c>
      <c r="D33" s="69" t="inlineStr">
        <is>
          <t>Small stream (10 to 100 km2)</t>
        </is>
      </c>
      <c r="E33" s="69" t="n">
        <v>5</v>
      </c>
      <c r="F33" s="69" t="inlineStr">
        <is>
          <t>56 least-disturbed stations of this ecoregion</t>
        </is>
      </c>
      <c r="G33" s="69" t="n">
        <v>0</v>
      </c>
      <c r="H33" s="69" t="n">
        <v>8.422460011073522</v>
      </c>
      <c r="I33" s="69" t="n">
        <v>19.65240669250488</v>
      </c>
      <c r="J33" s="69" t="n">
        <v>68.04812622070312</v>
      </c>
      <c r="K33" s="69" t="n">
        <v>92.24598598480225</v>
      </c>
      <c r="L33" s="69" t="n">
        <v>92.24598598480225</v>
      </c>
      <c r="M33" s="69" t="n">
        <v>92.24598598480225</v>
      </c>
      <c r="N33" s="69" t="n">
        <v>92.24598598480225</v>
      </c>
      <c r="O33" s="69" t="n">
        <v>0</v>
      </c>
      <c r="P33" s="69" t="n">
        <v>0.3</v>
      </c>
      <c r="Q33" s="69" t="n">
        <v>0.7</v>
      </c>
      <c r="R33" s="69" t="n">
        <v>1</v>
      </c>
      <c r="S33" s="69" t="n">
        <v>1</v>
      </c>
      <c r="T33" s="69" t="n">
        <v>1</v>
      </c>
      <c r="U33" s="69" t="n">
        <v>1</v>
      </c>
      <c r="V33" s="69" t="n">
        <v>1</v>
      </c>
    </row>
    <row r="34">
      <c r="A34" s="69" t="inlineStr">
        <is>
          <t>spring_phab_xcmgw|</t>
        </is>
      </c>
      <c r="B34" s="69" t="inlineStr">
        <is>
          <t>spring-phab-xcmgw</t>
        </is>
      </c>
      <c r="C34" s="69" t="inlineStr">
        <is>
          <t>Riparian veg cover, woody</t>
        </is>
      </c>
      <c r="D34" s="69" t="inlineStr"/>
      <c r="E34" s="69" t="n">
        <v>5</v>
      </c>
      <c r="F34" s="69" t="inlineStr">
        <is>
          <t>60 least-disturbed stations of this ecoregion</t>
        </is>
      </c>
      <c r="G34" s="69" t="n">
        <v>0</v>
      </c>
      <c r="H34" s="69" t="n">
        <v>0.1788555149521147</v>
      </c>
      <c r="I34" s="69" t="n">
        <v>0.4173295348882675</v>
      </c>
      <c r="J34" s="69" t="n">
        <v>0.9659090638160706</v>
      </c>
      <c r="K34" s="69" t="n">
        <v>1.240198828279972</v>
      </c>
      <c r="L34" s="69" t="n">
        <v>1.240198828279972</v>
      </c>
      <c r="M34" s="69" t="n">
        <v>1.240198828279972</v>
      </c>
      <c r="N34" s="69" t="n">
        <v>1.240198828279972</v>
      </c>
      <c r="O34" s="69" t="n">
        <v>0</v>
      </c>
      <c r="P34" s="69" t="n">
        <v>0.3</v>
      </c>
      <c r="Q34" s="69" t="n">
        <v>0.7</v>
      </c>
      <c r="R34" s="69" t="n">
        <v>1</v>
      </c>
      <c r="S34" s="69" t="n">
        <v>1</v>
      </c>
      <c r="T34" s="69" t="n">
        <v>1</v>
      </c>
      <c r="U34" s="69" t="n">
        <v>1</v>
      </c>
      <c r="V34" s="69" t="n">
        <v>1</v>
      </c>
    </row>
    <row r="35">
      <c r="A35" s="69" t="inlineStr">
        <is>
          <t>spring_chem_ntl|</t>
        </is>
      </c>
      <c r="B35" s="69" t="inlineStr">
        <is>
          <t>spring-chem-ntl</t>
        </is>
      </c>
      <c r="C35" s="69" t="inlineStr">
        <is>
          <t>Total nitrogen</t>
        </is>
      </c>
      <c r="D35" s="69" t="inlineStr"/>
      <c r="E35" s="69" t="n">
        <v>5</v>
      </c>
      <c r="F35" s="69" t="inlineStr">
        <is>
          <t>60 least-disturbed stations of this ecoregion</t>
        </is>
      </c>
      <c r="G35" s="69" t="n">
        <v>0</v>
      </c>
      <c r="H35" s="69" t="n">
        <v>0.06874999962747097</v>
      </c>
      <c r="I35" s="69" t="n">
        <v>0.2127499952912331</v>
      </c>
      <c r="J35" s="69" t="n">
        <v>0.4287499887868762</v>
      </c>
      <c r="K35" s="69" t="n">
        <v>0.5727499844506383</v>
      </c>
      <c r="L35" s="69" t="n">
        <v>0.5727499844506383</v>
      </c>
      <c r="M35" s="69" t="n">
        <v>0.5727499844506383</v>
      </c>
      <c r="N35" s="69" t="n">
        <v>0.5727499844506383</v>
      </c>
      <c r="O35" s="69" t="n">
        <v>1</v>
      </c>
      <c r="P35" s="69" t="n">
        <v>1</v>
      </c>
      <c r="Q35" s="69" t="n">
        <v>0.7</v>
      </c>
      <c r="R35" s="69" t="n">
        <v>0.3</v>
      </c>
      <c r="S35" s="69" t="n">
        <v>0</v>
      </c>
      <c r="T35" s="69" t="n">
        <v>0</v>
      </c>
      <c r="U35" s="69" t="n">
        <v>0</v>
      </c>
      <c r="V35" s="69" t="n">
        <v>0</v>
      </c>
    </row>
    <row r="36">
      <c r="A36" s="69" t="inlineStr">
        <is>
          <t>spring_chem_ptl|</t>
        </is>
      </c>
      <c r="B36" s="69" t="inlineStr">
        <is>
          <t>spring-chem-ptl</t>
        </is>
      </c>
      <c r="C36" s="69" t="inlineStr">
        <is>
          <t>Total phosphorus</t>
        </is>
      </c>
      <c r="D36" s="69" t="inlineStr"/>
      <c r="E36" s="69" t="n">
        <v>5</v>
      </c>
      <c r="F36" s="69" t="inlineStr">
        <is>
          <t>60 least-disturbed stations of this ecoregion</t>
        </is>
      </c>
      <c r="G36" s="69" t="n">
        <v>0</v>
      </c>
      <c r="H36" s="69" t="n">
        <v>13.9322497844696</v>
      </c>
      <c r="I36" s="69" t="n">
        <v>57.94999885559082</v>
      </c>
      <c r="J36" s="69" t="n">
        <v>123.9766224622726</v>
      </c>
      <c r="K36" s="69" t="n">
        <v>167.9943715333939</v>
      </c>
      <c r="L36" s="69" t="n">
        <v>167.9943715333939</v>
      </c>
      <c r="M36" s="69" t="n">
        <v>167.9943715333939</v>
      </c>
      <c r="N36" s="69" t="n">
        <v>167.9943715333939</v>
      </c>
      <c r="O36" s="69" t="n">
        <v>1</v>
      </c>
      <c r="P36" s="69" t="n">
        <v>1</v>
      </c>
      <c r="Q36" s="69" t="n">
        <v>0.7</v>
      </c>
      <c r="R36" s="69" t="n">
        <v>0.3</v>
      </c>
      <c r="S36" s="69" t="n">
        <v>0</v>
      </c>
      <c r="T36" s="69" t="n">
        <v>0</v>
      </c>
      <c r="U36" s="69" t="n">
        <v>0</v>
      </c>
      <c r="V36" s="69" t="n">
        <v>0</v>
      </c>
    </row>
    <row r="37">
      <c r="A37" s="69" t="inlineStr">
        <is>
          <t>spring_chem_cond|</t>
        </is>
      </c>
      <c r="B37" s="69" t="inlineStr">
        <is>
          <t>spring-chem-cond</t>
        </is>
      </c>
      <c r="C37" s="69" t="inlineStr">
        <is>
          <t>Specific conductivity</t>
        </is>
      </c>
      <c r="D37" s="69" t="inlineStr"/>
      <c r="E37" s="69" t="n">
        <v>5</v>
      </c>
      <c r="F37" s="69" t="inlineStr">
        <is>
          <t>60 least-disturbed stations of this ecoregion</t>
        </is>
      </c>
      <c r="G37" s="69" t="n">
        <v>0</v>
      </c>
      <c r="H37" s="69" t="n">
        <v>71.17500305175781</v>
      </c>
      <c r="I37" s="69" t="n">
        <v>300</v>
      </c>
      <c r="J37" s="69" t="n">
        <v>643.2374954223633</v>
      </c>
      <c r="K37" s="69" t="n">
        <v>872.0624923706055</v>
      </c>
      <c r="L37" s="69" t="n">
        <v>872.0624923706055</v>
      </c>
      <c r="M37" s="69" t="n">
        <v>872.0624923706055</v>
      </c>
      <c r="N37" s="69" t="n">
        <v>872.0624923706055</v>
      </c>
      <c r="O37" s="69" t="n">
        <v>1</v>
      </c>
      <c r="P37" s="69" t="n">
        <v>1</v>
      </c>
      <c r="Q37" s="69" t="n">
        <v>0.7</v>
      </c>
      <c r="R37" s="69" t="n">
        <v>0.3</v>
      </c>
      <c r="S37" s="69" t="n">
        <v>0</v>
      </c>
      <c r="T37" s="69" t="n">
        <v>0</v>
      </c>
      <c r="U37" s="69" t="n">
        <v>0</v>
      </c>
      <c r="V37" s="69" t="n">
        <v>0</v>
      </c>
    </row>
    <row r="38">
      <c r="A38" s="69" t="inlineStr">
        <is>
          <t>spring_chem_turb|</t>
        </is>
      </c>
      <c r="B38" s="69" t="inlineStr">
        <is>
          <t>spring-chem-turb</t>
        </is>
      </c>
      <c r="C38" s="69" t="inlineStr">
        <is>
          <t>Turbidity</t>
        </is>
      </c>
      <c r="D38" s="69" t="inlineStr"/>
      <c r="E38" s="69" t="n">
        <v>5</v>
      </c>
      <c r="F38" s="69" t="inlineStr">
        <is>
          <t>59 least-disturbed stations of this ecoregion</t>
        </is>
      </c>
      <c r="G38" s="69" t="n">
        <v>0</v>
      </c>
      <c r="H38" s="69" t="n">
        <v>0.4149999916553497</v>
      </c>
      <c r="I38" s="69" t="n">
        <v>2.900000095367432</v>
      </c>
      <c r="J38" s="69" t="n">
        <v>6.627500250935555</v>
      </c>
      <c r="K38" s="69" t="n">
        <v>9.112500354647636</v>
      </c>
      <c r="L38" s="69" t="n">
        <v>9.112500354647636</v>
      </c>
      <c r="M38" s="69" t="n">
        <v>9.112500354647636</v>
      </c>
      <c r="N38" s="69" t="n">
        <v>9.112500354647636</v>
      </c>
      <c r="O38" s="69" t="n">
        <v>1</v>
      </c>
      <c r="P38" s="69" t="n">
        <v>1</v>
      </c>
      <c r="Q38" s="69" t="n">
        <v>0.7</v>
      </c>
      <c r="R38" s="69" t="n">
        <v>0.3</v>
      </c>
      <c r="S38" s="69" t="n">
        <v>0</v>
      </c>
      <c r="T38" s="69" t="n">
        <v>0</v>
      </c>
      <c r="U38" s="69" t="n">
        <v>0</v>
      </c>
      <c r="V38" s="69" t="n">
        <v>0</v>
      </c>
    </row>
    <row r="39">
      <c r="A39" s="69" t="inlineStr">
        <is>
          <t>spring_phab_pct_fast|All streams (pooled)</t>
        </is>
      </c>
      <c r="B39" s="69" t="inlineStr">
        <is>
          <t>spring-phab-pct-fast</t>
        </is>
      </c>
      <c r="C39" s="69" t="inlineStr">
        <is>
          <t>Fast-water / riffle habitat</t>
        </is>
      </c>
      <c r="D39" s="69" t="inlineStr">
        <is>
          <t>All streams (pooled)</t>
        </is>
      </c>
      <c r="E39" s="69" t="n">
        <v>5</v>
      </c>
      <c r="F39" s="69" t="inlineStr">
        <is>
          <t>60 least-disturbed stations of this ecoregion</t>
        </is>
      </c>
      <c r="G39" s="69" t="n">
        <v>0</v>
      </c>
      <c r="H39" s="69" t="n">
        <v>17.60119015829904</v>
      </c>
      <c r="I39" s="69" t="n">
        <v>41.06944370269775</v>
      </c>
      <c r="J39" s="69" t="n">
        <v>85.08333396911621</v>
      </c>
      <c r="K39" s="69" t="n">
        <v>100</v>
      </c>
      <c r="L39" s="69" t="n">
        <v>100</v>
      </c>
      <c r="M39" s="69" t="n">
        <v>100</v>
      </c>
      <c r="N39" s="69" t="n">
        <v>100</v>
      </c>
      <c r="O39" s="69" t="n">
        <v>0</v>
      </c>
      <c r="P39" s="69" t="n">
        <v>0.3</v>
      </c>
      <c r="Q39" s="69" t="n">
        <v>0.7</v>
      </c>
      <c r="R39" s="69" t="n">
        <v>1</v>
      </c>
      <c r="S39" s="69" t="n">
        <v>1</v>
      </c>
      <c r="T39" s="69" t="n">
        <v>1</v>
      </c>
      <c r="U39" s="69" t="n">
        <v>1</v>
      </c>
      <c r="V39" s="69" t="n">
        <v>1</v>
      </c>
    </row>
    <row r="40">
      <c r="A40" s="69" t="inlineStr">
        <is>
          <t>spring_phab_pct_fast|Moderate gradient (0.5 to 2 percent)</t>
        </is>
      </c>
      <c r="B40" s="69" t="inlineStr">
        <is>
          <t>spring-phab-pct-fast</t>
        </is>
      </c>
      <c r="C40" s="69" t="inlineStr">
        <is>
          <t>Fast-water / riffle habitat</t>
        </is>
      </c>
      <c r="D40" s="69" t="inlineStr">
        <is>
          <t>Moderate gradient (0.5 to 2 percent)</t>
        </is>
      </c>
      <c r="E40" s="69" t="n">
        <v>5</v>
      </c>
      <c r="F40" s="69" t="inlineStr">
        <is>
          <t>60 least-disturbed stations of this ecoregion</t>
        </is>
      </c>
      <c r="G40" s="69" t="n">
        <v>0</v>
      </c>
      <c r="H40" s="69" t="n">
        <v>18.11315386635917</v>
      </c>
      <c r="I40" s="69" t="n">
        <v>42.26402568817139</v>
      </c>
      <c r="J40" s="69" t="n">
        <v>84.25510215759277</v>
      </c>
      <c r="K40" s="69" t="n">
        <v>100</v>
      </c>
      <c r="L40" s="69" t="n">
        <v>100</v>
      </c>
      <c r="M40" s="69" t="n">
        <v>100</v>
      </c>
      <c r="N40" s="69" t="n">
        <v>100</v>
      </c>
      <c r="O40" s="69" t="n">
        <v>0</v>
      </c>
      <c r="P40" s="69" t="n">
        <v>0.3</v>
      </c>
      <c r="Q40" s="69" t="n">
        <v>0.7</v>
      </c>
      <c r="R40" s="69" t="n">
        <v>1</v>
      </c>
      <c r="S40" s="69" t="n">
        <v>1</v>
      </c>
      <c r="T40" s="69" t="n">
        <v>1</v>
      </c>
      <c r="U40" s="69" t="n">
        <v>1</v>
      </c>
      <c r="V40" s="69" t="n">
        <v>1</v>
      </c>
    </row>
    <row r="41">
      <c r="A41" s="69" t="inlineStr">
        <is>
          <t>spring_phab_pct_fast|Steep (2 percent and above)</t>
        </is>
      </c>
      <c r="B41" s="69" t="inlineStr">
        <is>
          <t>spring-phab-pct-fast</t>
        </is>
      </c>
      <c r="C41" s="69" t="inlineStr">
        <is>
          <t>Fast-water / riffle habitat</t>
        </is>
      </c>
      <c r="D41" s="69" t="inlineStr">
        <is>
          <t>Steep (2 percent and above)</t>
        </is>
      </c>
      <c r="E41" s="69" t="n">
        <v>5</v>
      </c>
      <c r="F41" s="69" t="inlineStr">
        <is>
          <t>60 least-disturbed stations of this ecoregion</t>
        </is>
      </c>
      <c r="G41" s="69" t="n">
        <v>0</v>
      </c>
      <c r="H41" s="69" t="n">
        <v>20.07142802647182</v>
      </c>
      <c r="I41" s="69" t="n">
        <v>46.83333206176758</v>
      </c>
      <c r="J41" s="69" t="n">
        <v>83.24999809265137</v>
      </c>
      <c r="K41" s="69" t="n">
        <v>100</v>
      </c>
      <c r="L41" s="69" t="n">
        <v>100</v>
      </c>
      <c r="M41" s="69" t="n">
        <v>100</v>
      </c>
      <c r="N41" s="69" t="n">
        <v>100</v>
      </c>
      <c r="O41" s="69" t="n">
        <v>0</v>
      </c>
      <c r="P41" s="69" t="n">
        <v>0.3</v>
      </c>
      <c r="Q41" s="69" t="n">
        <v>0.7</v>
      </c>
      <c r="R41" s="69" t="n">
        <v>1</v>
      </c>
      <c r="S41" s="69" t="n">
        <v>1</v>
      </c>
      <c r="T41" s="69" t="n">
        <v>1</v>
      </c>
      <c r="U41" s="69" t="n">
        <v>1</v>
      </c>
      <c r="V41" s="69" t="n">
        <v>1</v>
      </c>
    </row>
    <row r="42">
      <c r="A42" s="69" t="inlineStr">
        <is>
          <t>spring_phab_xfc_nat|All streams (pooled)</t>
        </is>
      </c>
      <c r="B42" s="69" t="inlineStr">
        <is>
          <t>spring-phab-xfc-nat</t>
        </is>
      </c>
      <c r="C42" s="69" t="inlineStr">
        <is>
          <t>Natural fish cover</t>
        </is>
      </c>
      <c r="D42" s="69" t="inlineStr">
        <is>
          <t>All streams (pooled)</t>
        </is>
      </c>
      <c r="E42" s="69" t="n">
        <v>5</v>
      </c>
      <c r="F42" s="69" t="inlineStr">
        <is>
          <t>60 least-disturbed stations of this ecoregion</t>
        </is>
      </c>
      <c r="G42" s="69" t="n">
        <v>0</v>
      </c>
      <c r="H42" s="69" t="n">
        <v>0.1093344198805945</v>
      </c>
      <c r="I42" s="69" t="n">
        <v>0.2551136463880539</v>
      </c>
      <c r="J42" s="69" t="n">
        <v>0.6852272748947144</v>
      </c>
      <c r="K42" s="69" t="n">
        <v>0.9002840891480446</v>
      </c>
      <c r="L42" s="69" t="n">
        <v>0.9002840891480446</v>
      </c>
      <c r="M42" s="69" t="n">
        <v>0.9002840891480446</v>
      </c>
      <c r="N42" s="69" t="n">
        <v>0.9002840891480446</v>
      </c>
      <c r="O42" s="69" t="n">
        <v>0</v>
      </c>
      <c r="P42" s="69" t="n">
        <v>0.3</v>
      </c>
      <c r="Q42" s="69" t="n">
        <v>0.7</v>
      </c>
      <c r="R42" s="69" t="n">
        <v>1</v>
      </c>
      <c r="S42" s="69" t="n">
        <v>1</v>
      </c>
      <c r="T42" s="69" t="n">
        <v>1</v>
      </c>
      <c r="U42" s="69" t="n">
        <v>1</v>
      </c>
      <c r="V42" s="69" t="n">
        <v>1</v>
      </c>
    </row>
    <row r="43">
      <c r="A43" s="69" t="inlineStr">
        <is>
          <t>spring_phab_xfc_nat|Headwater (10 km2 and under)</t>
        </is>
      </c>
      <c r="B43" s="69" t="inlineStr">
        <is>
          <t>spring-phab-xfc-nat</t>
        </is>
      </c>
      <c r="C43" s="69" t="inlineStr">
        <is>
          <t>Natural fish cover</t>
        </is>
      </c>
      <c r="D43" s="69" t="inlineStr">
        <is>
          <t>Headwater (10 km2 and under)</t>
        </is>
      </c>
      <c r="E43" s="69" t="n">
        <v>5</v>
      </c>
      <c r="F43" s="69" t="inlineStr">
        <is>
          <t>60 least-disturbed stations of this ecoregion</t>
        </is>
      </c>
      <c r="G43" s="69" t="n">
        <v>0</v>
      </c>
      <c r="H43" s="69" t="n">
        <v>0.1478084410939898</v>
      </c>
      <c r="I43" s="69" t="n">
        <v>0.3448863625526428</v>
      </c>
      <c r="J43" s="69" t="n">
        <v>0.7153409272432327</v>
      </c>
      <c r="K43" s="69" t="n">
        <v>0.9005682095885277</v>
      </c>
      <c r="L43" s="69" t="n">
        <v>0.9005682095885277</v>
      </c>
      <c r="M43" s="69" t="n">
        <v>0.9005682095885277</v>
      </c>
      <c r="N43" s="69" t="n">
        <v>0.9005682095885277</v>
      </c>
      <c r="O43" s="69" t="n">
        <v>0</v>
      </c>
      <c r="P43" s="69" t="n">
        <v>0.3</v>
      </c>
      <c r="Q43" s="69" t="n">
        <v>0.7</v>
      </c>
      <c r="R43" s="69" t="n">
        <v>1</v>
      </c>
      <c r="S43" s="69" t="n">
        <v>1</v>
      </c>
      <c r="T43" s="69" t="n">
        <v>1</v>
      </c>
      <c r="U43" s="69" t="n">
        <v>1</v>
      </c>
      <c r="V43" s="69" t="n">
        <v>1</v>
      </c>
    </row>
    <row r="44">
      <c r="A44" s="69" t="inlineStr">
        <is>
          <t>spring_phab_xfc_nat|Small stream (10 to 100 km2)</t>
        </is>
      </c>
      <c r="B44" s="69" t="inlineStr">
        <is>
          <t>spring-phab-xfc-nat</t>
        </is>
      </c>
      <c r="C44" s="69" t="inlineStr">
        <is>
          <t>Natural fish cover</t>
        </is>
      </c>
      <c r="D44" s="69" t="inlineStr">
        <is>
          <t>Small stream (10 to 100 km2)</t>
        </is>
      </c>
      <c r="E44" s="69" t="n">
        <v>5</v>
      </c>
      <c r="F44" s="69" t="inlineStr">
        <is>
          <t>60 least-disturbed stations of this ecoregion</t>
        </is>
      </c>
      <c r="G44" s="69" t="n">
        <v>0</v>
      </c>
      <c r="H44" s="69" t="n">
        <v>0.1314935088157654</v>
      </c>
      <c r="I44" s="69" t="n">
        <v>0.3068181872367859</v>
      </c>
      <c r="J44" s="69" t="n">
        <v>0.7897727191448212</v>
      </c>
      <c r="K44" s="69" t="n">
        <v>1.031249985098839</v>
      </c>
      <c r="L44" s="69" t="n">
        <v>1.031249985098839</v>
      </c>
      <c r="M44" s="69" t="n">
        <v>1.031249985098839</v>
      </c>
      <c r="N44" s="69" t="n">
        <v>1.031249985098839</v>
      </c>
      <c r="O44" s="69" t="n">
        <v>0</v>
      </c>
      <c r="P44" s="69" t="n">
        <v>0.3</v>
      </c>
      <c r="Q44" s="69" t="n">
        <v>0.7</v>
      </c>
      <c r="R44" s="69" t="n">
        <v>1</v>
      </c>
      <c r="S44" s="69" t="n">
        <v>1</v>
      </c>
      <c r="T44" s="69" t="n">
        <v>1</v>
      </c>
      <c r="U44" s="69" t="n">
        <v>1</v>
      </c>
      <c r="V44" s="69" t="n">
        <v>1</v>
      </c>
    </row>
    <row r="45">
      <c r="A45" s="69" t="inlineStr">
        <is>
          <t>spring_phab_xfc_nat|Large stream (over 100 km2)</t>
        </is>
      </c>
      <c r="B45" s="69" t="inlineStr">
        <is>
          <t>spring-phab-xfc-nat</t>
        </is>
      </c>
      <c r="C45" s="69" t="inlineStr">
        <is>
          <t>Natural fish cover</t>
        </is>
      </c>
      <c r="D45" s="69" t="inlineStr">
        <is>
          <t>Large stream (over 100 km2)</t>
        </is>
      </c>
      <c r="E45" s="69" t="n">
        <v>5</v>
      </c>
      <c r="F45" s="69" t="inlineStr">
        <is>
          <t>60 least-disturbed stations of this ecoregion</t>
        </is>
      </c>
      <c r="G45" s="69" t="n">
        <v>0</v>
      </c>
      <c r="H45" s="69" t="n">
        <v>0.07353896115507398</v>
      </c>
      <c r="I45" s="69" t="n">
        <v>0.1715909093618393</v>
      </c>
      <c r="J45" s="69" t="n">
        <v>0.2884469777345657</v>
      </c>
      <c r="K45" s="69" t="n">
        <v>0.346875011920929</v>
      </c>
      <c r="L45" s="69" t="n">
        <v>0.346875011920929</v>
      </c>
      <c r="M45" s="69" t="n">
        <v>0.346875011920929</v>
      </c>
      <c r="N45" s="69" t="n">
        <v>0.346875011920929</v>
      </c>
      <c r="O45" s="69" t="n">
        <v>0</v>
      </c>
      <c r="P45" s="69" t="n">
        <v>0.3</v>
      </c>
      <c r="Q45" s="69" t="n">
        <v>0.7</v>
      </c>
      <c r="R45" s="69" t="n">
        <v>1</v>
      </c>
      <c r="S45" s="69" t="n">
        <v>1</v>
      </c>
      <c r="T45" s="69" t="n">
        <v>1</v>
      </c>
      <c r="U45" s="69" t="n">
        <v>1</v>
      </c>
      <c r="V45" s="69" t="n">
        <v>1</v>
      </c>
    </row>
    <row r="46">
      <c r="A46" s="69" t="inlineStr">
        <is>
          <t>spring_bent_totlntax|</t>
        </is>
      </c>
      <c r="B46" s="69" t="inlineStr">
        <is>
          <t>spring-bent-totlntax</t>
        </is>
      </c>
      <c r="C46" s="69" t="inlineStr">
        <is>
          <t>Benthic total taxa richness</t>
        </is>
      </c>
      <c r="D46" s="69" t="inlineStr"/>
      <c r="E46" s="69" t="n">
        <v>5</v>
      </c>
      <c r="F46" s="69" t="inlineStr">
        <is>
          <t>Reference curve fitted to comparable least-disturbed stations drawn from the national pool, because this ecoregion and its parents hold too few of their own.</t>
        </is>
      </c>
      <c r="G46" s="69" t="n">
        <v>0</v>
      </c>
      <c r="H46" s="69" t="n">
        <v>14.14285714285714</v>
      </c>
      <c r="I46" s="69" t="n">
        <v>33</v>
      </c>
      <c r="J46" s="69" t="n">
        <v>42</v>
      </c>
      <c r="K46" s="69" t="n">
        <v>46.5</v>
      </c>
      <c r="L46" s="69" t="n">
        <v>46.5</v>
      </c>
      <c r="M46" s="69" t="n">
        <v>46.5</v>
      </c>
      <c r="N46" s="69" t="n">
        <v>46.5</v>
      </c>
      <c r="O46" s="69" t="n">
        <v>0</v>
      </c>
      <c r="P46" s="69" t="n">
        <v>0.3</v>
      </c>
      <c r="Q46" s="69" t="n">
        <v>0.7</v>
      </c>
      <c r="R46" s="69" t="n">
        <v>1</v>
      </c>
      <c r="S46" s="69" t="n">
        <v>1</v>
      </c>
      <c r="T46" s="69" t="n">
        <v>1</v>
      </c>
      <c r="U46" s="69" t="n">
        <v>1</v>
      </c>
      <c r="V46" s="69" t="n">
        <v>1</v>
      </c>
    </row>
    <row r="47">
      <c r="A47" s="69" t="inlineStr">
        <is>
          <t>spring_bent_hprime|</t>
        </is>
      </c>
      <c r="B47" s="69" t="inlineStr">
        <is>
          <t>spring-bent-hprime</t>
        </is>
      </c>
      <c r="C47" s="69" t="inlineStr">
        <is>
          <t>Shannon diversity (H')</t>
        </is>
      </c>
      <c r="D47" s="69" t="inlineStr"/>
      <c r="E47" s="69" t="n">
        <v>5</v>
      </c>
      <c r="F47" s="69" t="inlineStr">
        <is>
          <t>60 least-disturbed stations of this ecoregion</t>
        </is>
      </c>
      <c r="G47" s="69" t="n">
        <v>0</v>
      </c>
      <c r="H47" s="69" t="n">
        <v>0.9503571561404637</v>
      </c>
      <c r="I47" s="69" t="n">
        <v>2.217500030994415</v>
      </c>
      <c r="J47" s="69" t="n">
        <v>2.812499940395355</v>
      </c>
      <c r="K47" s="69" t="n">
        <v>3.109999895095825</v>
      </c>
      <c r="L47" s="69" t="n">
        <v>3.109999895095825</v>
      </c>
      <c r="M47" s="69" t="n">
        <v>3.109999895095825</v>
      </c>
      <c r="N47" s="69" t="n">
        <v>3.109999895095825</v>
      </c>
      <c r="O47" s="69" t="n">
        <v>0</v>
      </c>
      <c r="P47" s="69" t="n">
        <v>0.3</v>
      </c>
      <c r="Q47" s="69" t="n">
        <v>0.7</v>
      </c>
      <c r="R47" s="69" t="n">
        <v>1</v>
      </c>
      <c r="S47" s="69" t="n">
        <v>1</v>
      </c>
      <c r="T47" s="69" t="n">
        <v>1</v>
      </c>
      <c r="U47" s="69" t="n">
        <v>1</v>
      </c>
      <c r="V47" s="69" t="n">
        <v>1</v>
      </c>
    </row>
    <row r="48">
      <c r="A48" s="69" t="inlineStr">
        <is>
          <t>spring_bent_tolrpind|</t>
        </is>
      </c>
      <c r="B48" s="69" t="inlineStr">
        <is>
          <t>spring-bent-tolrpind</t>
        </is>
      </c>
      <c r="C48" s="69" t="inlineStr">
        <is>
          <t>Tolerant individuals (%) ~ HBI</t>
        </is>
      </c>
      <c r="D48" s="69" t="inlineStr"/>
      <c r="E48" s="69" t="n">
        <v>5</v>
      </c>
      <c r="F48" s="69" t="inlineStr">
        <is>
          <t>60 least-disturbed stations of this ecoregion</t>
        </is>
      </c>
      <c r="G48" s="69" t="n">
        <v>0</v>
      </c>
      <c r="H48" s="69" t="n">
        <v>6</v>
      </c>
      <c r="I48" s="69" t="n">
        <v>20.32999992370605</v>
      </c>
      <c r="J48" s="69" t="n">
        <v>41.82499980926514</v>
      </c>
      <c r="K48" s="69" t="n">
        <v>56.15499973297119</v>
      </c>
      <c r="L48" s="69" t="n">
        <v>56.15499973297119</v>
      </c>
      <c r="M48" s="69" t="n">
        <v>56.15499973297119</v>
      </c>
      <c r="N48" s="69" t="n">
        <v>56.15499973297119</v>
      </c>
      <c r="O48" s="69" t="n">
        <v>1</v>
      </c>
      <c r="P48" s="69" t="n">
        <v>1</v>
      </c>
      <c r="Q48" s="69" t="n">
        <v>0.7</v>
      </c>
      <c r="R48" s="69" t="n">
        <v>0.3</v>
      </c>
      <c r="S48" s="69" t="n">
        <v>0</v>
      </c>
      <c r="T48" s="69" t="n">
        <v>0</v>
      </c>
      <c r="U48" s="69" t="n">
        <v>0</v>
      </c>
      <c r="V48" s="69" t="n">
        <v>0</v>
      </c>
    </row>
    <row r="49">
      <c r="A49" s="69" t="inlineStr">
        <is>
          <t>spring_nid_dams_1mi|</t>
        </is>
      </c>
      <c r="B49" s="69" t="inlineStr">
        <is>
          <t>spring-nid-dams-1mi</t>
        </is>
      </c>
      <c r="C49" s="69" t="inlineStr">
        <is>
          <t>Mapped dams within one mile</t>
        </is>
      </c>
      <c r="D49" s="69" t="inlineStr"/>
      <c r="E49" s="69" t="n">
        <v>4</v>
      </c>
      <c r="F49" s="69" t="inlineStr">
        <is>
          <t>Fixed criteria, the same in every region</t>
        </is>
      </c>
      <c r="G49" s="69" t="n">
        <v>0</v>
      </c>
      <c r="H49" s="69" t="n">
        <v>1</v>
      </c>
      <c r="I49" s="69" t="n">
        <v>2</v>
      </c>
      <c r="J49" s="69" t="n">
        <v>3</v>
      </c>
      <c r="K49" s="69" t="n">
        <v>3</v>
      </c>
      <c r="L49" s="69" t="n">
        <v>3</v>
      </c>
      <c r="M49" s="69" t="n">
        <v>3</v>
      </c>
      <c r="N49" s="69" t="n">
        <v>3</v>
      </c>
      <c r="O49" s="69" t="n">
        <v>1</v>
      </c>
      <c r="P49" s="69" t="n">
        <v>0.545</v>
      </c>
      <c r="Q49" s="69" t="n">
        <v>0.195</v>
      </c>
      <c r="R49" s="69" t="n">
        <v>0</v>
      </c>
      <c r="S49" s="69" t="n">
        <v>0</v>
      </c>
      <c r="T49" s="69" t="n">
        <v>0</v>
      </c>
      <c r="U49" s="69" t="n">
        <v>0</v>
      </c>
      <c r="V49" s="69" t="n">
        <v>0</v>
      </c>
    </row>
    <row r="52">
      <c r="A52" s="58" t="inlineStr">
        <is>
          <t>Curve sets by metric</t>
        </is>
      </c>
    </row>
    <row r="53">
      <c r="A53" s="69" t="inlineStr">
        <is>
          <t>All streams (pooled)</t>
        </is>
      </c>
      <c r="B53" s="4" t="inlineStr">
        <is>
          <t>Wetland</t>
        </is>
      </c>
    </row>
    <row r="54">
      <c r="A54" s="69" t="inlineStr">
        <is>
          <t>Low gradient (under 0.5 percent)</t>
        </is>
      </c>
      <c r="B54" s="4" t="inlineStr">
        <is>
          <t>Wetland</t>
        </is>
      </c>
    </row>
    <row r="55">
      <c r="A55" s="69" t="inlineStr">
        <is>
          <t>Moderate gradient (0.5 to 2 percent)</t>
        </is>
      </c>
      <c r="B55" s="4" t="inlineStr">
        <is>
          <t>Wetland</t>
        </is>
      </c>
    </row>
    <row r="56">
      <c r="A56" s="69" t="inlineStr">
        <is>
          <t>All streams (pooled)</t>
        </is>
      </c>
      <c r="B56" s="4" t="inlineStr">
        <is>
          <t>Bankfull width:depth ratio</t>
        </is>
      </c>
    </row>
    <row r="57">
      <c r="A57" s="69" t="inlineStr">
        <is>
          <t>Headwater (10 km2 and under)</t>
        </is>
      </c>
      <c r="B57" s="4" t="inlineStr">
        <is>
          <t>Bankfull width:depth ratio</t>
        </is>
      </c>
    </row>
    <row r="58">
      <c r="A58" s="69" t="inlineStr">
        <is>
          <t>Small stream (10 to 100 km2)</t>
        </is>
      </c>
      <c r="B58" s="4" t="inlineStr">
        <is>
          <t>Bankfull width:depth ratio</t>
        </is>
      </c>
    </row>
    <row r="59">
      <c r="A59" s="69" t="inlineStr">
        <is>
          <t>Large stream (over 100 km2)</t>
        </is>
      </c>
      <c r="B59" s="4" t="inlineStr">
        <is>
          <t>Bankfull width:depth ratio</t>
        </is>
      </c>
    </row>
    <row r="60">
      <c r="A60" s="69" t="inlineStr">
        <is>
          <t>All streams (pooled)</t>
        </is>
      </c>
      <c r="B60" s="4" t="inlineStr">
        <is>
          <t>Bankfull height above channel</t>
        </is>
      </c>
    </row>
    <row r="61">
      <c r="A61" s="69" t="inlineStr">
        <is>
          <t>Headwater (10 km2 and under)</t>
        </is>
      </c>
      <c r="B61" s="4" t="inlineStr">
        <is>
          <t>Bankfull height above channel</t>
        </is>
      </c>
    </row>
    <row r="62">
      <c r="A62" s="69" t="inlineStr">
        <is>
          <t>Small stream (10 to 100 km2)</t>
        </is>
      </c>
      <c r="B62" s="4" t="inlineStr">
        <is>
          <t>Bankfull height above channel</t>
        </is>
      </c>
    </row>
    <row r="63">
      <c r="A63" s="69" t="inlineStr">
        <is>
          <t>Large stream (over 100 km2)</t>
        </is>
      </c>
      <c r="B63" s="4" t="inlineStr">
        <is>
          <t>Bankfull height above channel</t>
        </is>
      </c>
    </row>
    <row r="64">
      <c r="A64" s="69" t="inlineStr">
        <is>
          <t>All streams (pooled)</t>
        </is>
      </c>
      <c r="B64" s="4" t="inlineStr">
        <is>
          <t>Relative bed stability</t>
        </is>
      </c>
    </row>
    <row r="65">
      <c r="A65" s="69" t="inlineStr">
        <is>
          <t>Headwater (10 km2 and under)</t>
        </is>
      </c>
      <c r="B65" s="4" t="inlineStr">
        <is>
          <t>Relative bed stability</t>
        </is>
      </c>
    </row>
    <row r="66">
      <c r="A66" s="69" t="inlineStr">
        <is>
          <t>Small stream (10 to 100 km2)</t>
        </is>
      </c>
      <c r="B66" s="4" t="inlineStr">
        <is>
          <t>Relative bed stability</t>
        </is>
      </c>
    </row>
    <row r="67">
      <c r="A67" s="69" t="inlineStr">
        <is>
          <t>Large stream (over 100 km2)</t>
        </is>
      </c>
      <c r="B67" s="4" t="inlineStr">
        <is>
          <t>Relative bed stability</t>
        </is>
      </c>
    </row>
    <row r="68">
      <c r="A68" s="69" t="inlineStr">
        <is>
          <t>All streams (pooled)</t>
        </is>
      </c>
      <c r="B68" s="4" t="inlineStr">
        <is>
          <t>Canopy density, mid-channel</t>
        </is>
      </c>
    </row>
    <row r="69">
      <c r="A69" s="69" t="inlineStr">
        <is>
          <t>Headwater (10 km2 and under)</t>
        </is>
      </c>
      <c r="B69" s="4" t="inlineStr">
        <is>
          <t>Canopy density, mid-channel</t>
        </is>
      </c>
    </row>
    <row r="70">
      <c r="A70" s="69" t="inlineStr">
        <is>
          <t>Small stream (10 to 100 km2)</t>
        </is>
      </c>
      <c r="B70" s="4" t="inlineStr">
        <is>
          <t>Canopy density, mid-channel</t>
        </is>
      </c>
    </row>
    <row r="71">
      <c r="A71" s="69" t="inlineStr">
        <is>
          <t>All streams (pooled)</t>
        </is>
      </c>
      <c r="B71" s="4" t="inlineStr">
        <is>
          <t>Fast-water / riffle habitat</t>
        </is>
      </c>
    </row>
    <row r="72">
      <c r="A72" s="69" t="inlineStr">
        <is>
          <t>Moderate gradient (0.5 to 2 percent)</t>
        </is>
      </c>
      <c r="B72" s="4" t="inlineStr">
        <is>
          <t>Fast-water / riffle habitat</t>
        </is>
      </c>
    </row>
    <row r="73">
      <c r="A73" s="69" t="inlineStr">
        <is>
          <t>Steep (2 percent and above)</t>
        </is>
      </c>
      <c r="B73" s="4" t="inlineStr">
        <is>
          <t>Fast-water / riffle habitat</t>
        </is>
      </c>
    </row>
    <row r="74">
      <c r="A74" s="69" t="inlineStr">
        <is>
          <t>All streams (pooled)</t>
        </is>
      </c>
      <c r="B74" s="4" t="inlineStr">
        <is>
          <t>Natural fish cover</t>
        </is>
      </c>
    </row>
    <row r="75">
      <c r="A75" s="69" t="inlineStr">
        <is>
          <t>Headwater (10 km2 and under)</t>
        </is>
      </c>
      <c r="B75" s="4" t="inlineStr">
        <is>
          <t>Natural fish cover</t>
        </is>
      </c>
    </row>
    <row r="76">
      <c r="A76" s="69" t="inlineStr">
        <is>
          <t>Small stream (10 to 100 km2)</t>
        </is>
      </c>
      <c r="B76" s="4" t="inlineStr">
        <is>
          <t>Natural fish cover</t>
        </is>
      </c>
    </row>
    <row r="77">
      <c r="A77" s="69" t="inlineStr">
        <is>
          <t>Large stream (over 100 km2)</t>
        </is>
      </c>
      <c r="B77" s="4" t="inlineStr">
        <is>
          <t>Natural fish cover</t>
        </is>
      </c>
    </row>
    <row r="80">
      <c r="A80" s="58" t="inlineStr">
        <is>
          <t>Condition classes</t>
        </is>
      </c>
    </row>
    <row r="81">
      <c r="A81" t="inlineStr">
        <is>
          <t>Metric index: at or below 0.39 Non-Functioning, at or below 0.69 Functioning At-Risk, above Functioning.</t>
        </is>
      </c>
    </row>
    <row r="82">
      <c r="A82" t="inlineStr">
        <is>
          <t>Function score (0 to 15): at or below 5 Non-Functioning, at or below 10 Functioning At-Risk, above Functioning.</t>
        </is>
      </c>
    </row>
    <row r="83">
      <c r="A83"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3">
      <c r="A3" s="5" t="inlineStr">
        <is>
          <t>Item</t>
        </is>
      </c>
      <c r="B3" s="5" t="inlineStr">
        <is>
          <t>Value</t>
        </is>
      </c>
    </row>
    <row r="4">
      <c r="A4" s="69" t="inlineStr">
        <is>
          <t>Assessment id</t>
        </is>
      </c>
      <c r="B4" s="69" t="inlineStr">
        <is>
          <t>middle-rockies</t>
        </is>
      </c>
    </row>
    <row r="5">
      <c r="A5" s="69" t="inlineStr">
        <is>
          <t>Assessment name</t>
        </is>
      </c>
      <c r="B5" s="69" t="inlineStr">
        <is>
          <t>Middle Rockies reference assessment</t>
        </is>
      </c>
    </row>
    <row r="6">
      <c r="A6" s="69" t="inlineStr">
        <is>
          <t>Version</t>
        </is>
      </c>
      <c r="B6" s="69" t="n">
        <v>1</v>
      </c>
    </row>
    <row r="7">
      <c r="A7" s="69" t="inlineStr">
        <is>
          <t>Lifecycle status</t>
        </is>
      </c>
      <c r="B7" s="69" t="inlineStr"/>
    </row>
    <row r="8">
      <c r="A8" s="69" t="inlineStr">
        <is>
          <t>Content digest</t>
        </is>
      </c>
      <c r="B8" s="69" t="inlineStr">
        <is>
          <t>sha256:339fff1f7ffbb4a19aa8b413de8622374061211fd9b377a482b8137e717f0040</t>
        </is>
      </c>
    </row>
    <row r="9">
      <c r="A9" s="69" t="inlineStr">
        <is>
          <t>Region</t>
        </is>
      </c>
      <c r="B9" s="69" t="inlineStr">
        <is>
          <t>ecoregion 17 Middle Rockies</t>
        </is>
      </c>
    </row>
    <row r="10">
      <c r="A10" s="69" t="inlineStr">
        <is>
          <t>Source</t>
        </is>
      </c>
      <c r="B10" s="69" t="inlineStr">
        <is>
          <t>USEPA NRSA 2013-24 (L3 ecoregion 17),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27</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1.0</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2026-09-30T07:06:14Z</dcterms:created>
  <dcterms:modified xmlns:dcterms="http://purl.org/dc/terms/" xmlns:xsi="http://www.w3.org/2001/XMLSchema-instance" xsi:type="dcterms:W3CDTF">2026-09-30T07:06:14Z</dcterms:modified>
  <cp:lastModifiedBy>DEEP</cp:lastModifiedBy>
</cp:coreProperties>
</file>