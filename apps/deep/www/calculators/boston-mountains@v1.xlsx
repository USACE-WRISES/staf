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'Reference'!$A$5:$A$36</definedName>
    <definedName name="curve_x1">'Reference'!$G$5:$G$36</definedName>
    <definedName name="curve_y1">'Reference'!$O$5:$O$36</definedName>
    <definedName name="curve_x2">'Reference'!$H$5:$H$36</definedName>
    <definedName name="curve_y2">'Reference'!$P$5:$P$36</definedName>
    <definedName name="curve_x3">'Reference'!$I$5:$I$36</definedName>
    <definedName name="curve_y3">'Reference'!$Q$5:$Q$36</definedName>
    <definedName name="curve_x4">'Reference'!$J$5:$J$36</definedName>
    <definedName name="curve_y4">'Reference'!$R$5:$R$36</definedName>
    <definedName name="curve_x5">'Reference'!$K$5:$K$36</definedName>
    <definedName name="curve_y5">'Reference'!$S$5:$S$36</definedName>
    <definedName name="curve_x6">'Reference'!$L$5:$L$36</definedName>
    <definedName name="curve_y6">'Reference'!$T$5:$T$36</definedName>
    <definedName name="curve_x7">'Reference'!$M$5:$M$36</definedName>
    <definedName name="curve_y7">'Reference'!$U$5:$U$36</definedName>
    <definedName name="curve_x8">'Reference'!$N$5:$N$36</definedName>
    <definedName name="curve_y8">'Reference'!$V$5:$V$36</definedName>
    <definedName name="strata_spring_phab_lrbs_use">'Reference'!$A$40:$A$42</definedName>
    <definedName name="strata_spring_phab_xcdenmid">'Reference'!$A$43:$A$45</definedName>
    <definedName name="strata_spring_phab_xfc_nat">'Reference'!$A$46:$A$48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dorws">'Metrics'!$V$9</definedName>
    <definedName name="idx_spring_phab_bfwd_rat">'Metrics'!$V$10</definedName>
    <definedName name="idx_spring_phab_rp100_cm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xcdenmid">'Metrics'!$V$19</definedName>
    <definedName name="idx_spring_phab_xcmgw">'Metrics'!$V$20</definedName>
    <definedName name="idx_spring_chem_ntl">'Metrics'!$V$21</definedName>
    <definedName name="idx_spring_chem_ptl">'Metrics'!$V$22</definedName>
    <definedName name="idx_spring_chem_turb">'Metrics'!$V$23</definedName>
    <definedName name="idx_spring_chem_cond">'Metrics'!$V$24</definedName>
    <definedName name="idx_spring_phab_pct_fast">'Metrics'!$V$25</definedName>
    <definedName name="idx_spring_phab_xfc_nat">'Metrics'!$V$26</definedName>
    <definedName name="idx_spring_fish_mmi_fish">'Metrics'!$V$27</definedName>
    <definedName name="idx_spring_bent_hprime">'Metrics'!$V$28</definedName>
    <definedName name="idx_spring_bent_mmi_bent">'Metrics'!$V$29</definedName>
    <definedName name="idx_spring_nid_dams_1mi">'Metrics'!$V$30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dorws">'DEEP Score'!$E$16</definedName>
    <definedName name="in_spring_phab_bfwd_rat">'DEEP Score'!$E$17</definedName>
    <definedName name="in_spring_phab_rp100_cm">'DEEP Score'!$E$18</definedName>
    <definedName name="in_spring_phab_xbkf_h">'DEEP Score'!$E$21</definedName>
    <definedName name="in_spring_phab_pct_safn">'DEEP Score'!$E$22</definedName>
    <definedName name="in_spring_phab_xembed">'DEEP Score'!$E$23</definedName>
    <definedName name="in_spring_phab_sinu">'DEEP Score'!$E$26</definedName>
    <definedName name="in_spring_phab_xbka">'DEEP Score'!$E$27</definedName>
    <definedName name="in_spring_phab_lrbs_use">'DEEP Score'!$E$28</definedName>
    <definedName name="st_spring_phab_lrbs_use">'DEEP Score'!$F$28</definedName>
    <definedName name="in_spring_phab_lsub_dmm">'DEEP Score'!$E$30</definedName>
    <definedName name="in_spring_phab_xcdenmid">'DEEP Score'!$E$32</definedName>
    <definedName name="st_spring_phab_xcdenmid">'DEEP Score'!$F$32</definedName>
    <definedName name="in_spring_phab_xcmgw">'DEEP Score'!$E$33</definedName>
    <definedName name="in_spring_chem_ntl">'DEEP Score'!$E$34</definedName>
    <definedName name="in_spring_chem_ptl">'DEEP Score'!$E$35</definedName>
    <definedName name="in_spring_chem_turb">'DEEP Score'!$E$36</definedName>
    <definedName name="in_spring_chem_cond">'DEEP Score'!$E$37</definedName>
    <definedName name="in_spring_phab_pct_fast">'DEEP Score'!$E$38</definedName>
    <definedName name="in_spring_phab_xfc_nat">'DEEP Score'!$E$39</definedName>
    <definedName name="st_spring_phab_xfc_nat">'DEEP Score'!$F$39</definedName>
    <definedName name="in_spring_fish_mmi_fish">'DEEP Score'!$E$40</definedName>
    <definedName name="in_spring_bent_hprime">'DEEP Score'!$E$41</definedName>
    <definedName name="in_spring_bent_mmi_bent">'DEEP Score'!$E$42</definedName>
    <definedName name="in_spring_nid_dams_1mi">'DEEP Score'!$E$43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Boston Mountains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4" t="inlineStr">
        <is>
          <t>Reference condition. Reference condition is set by a fixed landscape-pressure screen, never by a score. 16 borrow comparable least-disturbed stations from a wider region, stating the region and the transfer risk. 5 carry the published benchmark label: scored against a published criterion rather than against stations from this ecoregion. The criterion carries its own definition of reference, which need not match this assessment's. 9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Boston Mountains reference assessment</t>
        </is>
      </c>
    </row>
    <row r="3">
      <c r="A3" s="5" t="inlineStr">
        <is>
          <t>Version 1 | Draft | USEPA NRSA 2013-24 (L3 ecoregion 38),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28" t="inlineStr">
        <is>
          <t>Hydrology</t>
        </is>
      </c>
      <c r="B16" s="29" t="inlineStr">
        <is>
          <t>Streamflow regime</t>
        </is>
      </c>
      <c r="C16" s="30" t="inlineStr">
        <is>
          <t>Degree of regulation</t>
        </is>
      </c>
      <c r="D16" s="31" t="inlineStr">
        <is>
          <t>%</t>
        </is>
      </c>
      <c r="E16" s="32" t="n"/>
      <c r="F16" s="33" t="inlineStr"/>
      <c r="G16" s="34">
        <f>IF('Metrics'!$V$9="","",'Metrics'!$V$9)</f>
        <v/>
      </c>
      <c r="H16" s="35">
        <f>IF('Results'!$B$7="","",'Results'!$B$7)</f>
        <v/>
      </c>
      <c r="I16" s="36">
        <f>IF('DEEP Score'!$H$16="","",IF('DEEP Score'!$H$16&lt;=5,"Non-Functioning",IF('DEEP Score'!$H$16&lt;=10,"Functioning At-Risk","Functioning")))</f>
        <v/>
      </c>
    </row>
    <row r="17">
      <c r="A17" s="37" t="inlineStr">
        <is>
          <t>Hydraulics</t>
        </is>
      </c>
      <c r="B17" s="12" t="inlineStr">
        <is>
          <t>Low flow and baseflow dynamics</t>
        </is>
      </c>
      <c r="C17" s="13" t="inlineStr">
        <is>
          <t>Bankfull width:depth ratio</t>
        </is>
      </c>
      <c r="D17" s="14" t="inlineStr"/>
      <c r="E17" s="15" t="n"/>
      <c r="F17" s="16" t="inlineStr"/>
      <c r="G17" s="17">
        <f>IF('Metrics'!$V$10="","",'Metrics'!$V$10)</f>
        <v/>
      </c>
      <c r="H17" s="18">
        <f>IF('Results'!$B$8="","",'Results'!$B$8)</f>
        <v/>
      </c>
      <c r="I17" s="19">
        <f>IF('DEEP Score'!$H$17="","",IF('DEEP Score'!$H$17&lt;=5,"Non-Functioning",IF('DEEP Score'!$H$17&lt;=10,"Functioning At-Risk","Functioning")))</f>
        <v/>
      </c>
    </row>
    <row r="18">
      <c r="A18" s="20" t="n"/>
      <c r="B18" s="21" t="n"/>
      <c r="C18" s="22" t="inlineStr">
        <is>
          <t>Residual pool depth</t>
        </is>
      </c>
      <c r="D18" s="23" t="inlineStr">
        <is>
          <t>cm</t>
        </is>
      </c>
      <c r="E18" s="24" t="n"/>
      <c r="F18" s="25" t="inlineStr"/>
      <c r="G18" s="26">
        <f>IF('Metrics'!$V$11="","",'Metrics'!$V$11)</f>
        <v/>
      </c>
      <c r="H18" s="21" t="n"/>
      <c r="I18" s="27" t="n"/>
    </row>
    <row r="19">
      <c r="A19" s="38" t="inlineStr">
        <is>
          <t>Hydraulics</t>
        </is>
      </c>
      <c r="B19" s="29" t="inlineStr">
        <is>
          <t>High flow dynamics</t>
        </is>
      </c>
      <c r="C19" s="30" t="inlineStr">
        <is>
          <t>Impervious surface</t>
        </is>
      </c>
      <c r="D19" s="31" t="inlineStr">
        <is>
          <t>%</t>
        </is>
      </c>
      <c r="E19" s="39">
        <f>IF('DEEP Score'!$E$12="","",'DEEP Score'!$E$12)</f>
        <v/>
      </c>
      <c r="F19" s="40" t="inlineStr"/>
      <c r="G19" s="34">
        <f>IF('Metrics'!$V$5="","",'Metrics'!$V$5)</f>
        <v/>
      </c>
      <c r="H19" s="35">
        <f>IF('Results'!$B$9="","",'Results'!$B$9)</f>
        <v/>
      </c>
      <c r="I19" s="36">
        <f>IF('DEEP Score'!$H$19="","",IF('DEEP Score'!$H$19&lt;=5,"Non-Functioning",IF('DEEP Score'!$H$19&lt;=10,"Functioning At-Risk","Functioning")))</f>
        <v/>
      </c>
    </row>
    <row r="20">
      <c r="A20" s="37" t="inlineStr">
        <is>
          <t>Hydraulics</t>
        </is>
      </c>
      <c r="B20" s="12" t="inlineStr">
        <is>
          <t>Floodplain connectivity</t>
        </is>
      </c>
      <c r="C20" s="13" t="inlineStr">
        <is>
          <t>Bankfull width:depth ratio</t>
        </is>
      </c>
      <c r="D20" s="14" t="inlineStr"/>
      <c r="E20" s="41">
        <f>IF('DEEP Score'!$E$17="","",'DEEP Score'!$E$17)</f>
        <v/>
      </c>
      <c r="F20" s="42" t="inlineStr"/>
      <c r="G20" s="17">
        <f>IF('Metrics'!$V$10="","",'Metrics'!$V$10)</f>
        <v/>
      </c>
      <c r="H20" s="18">
        <f>IF('Results'!$B$10="","",'Results'!$B$10)</f>
        <v/>
      </c>
      <c r="I20" s="19">
        <f>IF('DEEP Score'!$H$20="","",IF('DEEP Score'!$H$20&lt;=5,"Non-Functioning",IF('DEEP Score'!$H$20&lt;=10,"Functioning At-Risk","Functioning")))</f>
        <v/>
      </c>
    </row>
    <row r="21">
      <c r="A21" s="20" t="n"/>
      <c r="B21" s="21" t="n"/>
      <c r="C21" s="22" t="inlineStr">
        <is>
          <t>Bankfull height above channel</t>
        </is>
      </c>
      <c r="D21" s="23" t="inlineStr">
        <is>
          <t>m</t>
        </is>
      </c>
      <c r="E21" s="24" t="n"/>
      <c r="F21" s="25" t="inlineStr"/>
      <c r="G21" s="26">
        <f>IF('Metrics'!$V$12="","",'Metrics'!$V$12)</f>
        <v/>
      </c>
      <c r="H21" s="21" t="n"/>
      <c r="I21" s="27" t="n"/>
    </row>
    <row r="22">
      <c r="A22" s="37" t="inlineStr">
        <is>
          <t>Hydraulics</t>
        </is>
      </c>
      <c r="B22" s="12" t="inlineStr">
        <is>
          <t>Hyporheic connectivity</t>
        </is>
      </c>
      <c r="C22" s="13" t="inlineStr">
        <is>
          <t>Sand + fines</t>
        </is>
      </c>
      <c r="D22" s="14" t="inlineStr">
        <is>
          <t>%</t>
        </is>
      </c>
      <c r="E22" s="15" t="n"/>
      <c r="F22" s="16" t="inlineStr"/>
      <c r="G22" s="17">
        <f>IF('Metrics'!$V$13="","",'Metrics'!$V$13)</f>
        <v/>
      </c>
      <c r="H22" s="18">
        <f>IF('Results'!$B$11="","",'Results'!$B$11)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Embeddedness</t>
        </is>
      </c>
      <c r="D23" s="23" t="inlineStr">
        <is>
          <t>%</t>
        </is>
      </c>
      <c r="E23" s="24" t="n"/>
      <c r="F23" s="25" t="inlineStr"/>
      <c r="G23" s="26">
        <f>IF('Metrics'!$V$14="","",'Metrics'!$V$14)</f>
        <v/>
      </c>
      <c r="H23" s="21" t="n"/>
      <c r="I23" s="27" t="n"/>
    </row>
    <row r="24">
      <c r="A24" s="43" t="inlineStr">
        <is>
          <t>Geomorphology</t>
        </is>
      </c>
      <c r="B24" s="12" t="inlineStr">
        <is>
          <t>Channel evolution</t>
        </is>
      </c>
      <c r="C24" s="13" t="inlineStr">
        <is>
          <t>Bankfull width:depth ratio</t>
        </is>
      </c>
      <c r="D24" s="14" t="inlineStr"/>
      <c r="E24" s="41">
        <f>IF('DEEP Score'!$E$17="","",'DEEP Score'!$E$17)</f>
        <v/>
      </c>
      <c r="F24" s="42" t="inlineStr"/>
      <c r="G24" s="17">
        <f>IF('Metrics'!$V$10="","",'Metrics'!$V$10)</f>
        <v/>
      </c>
      <c r="H24" s="18">
        <f>IF('Results'!$B$12="","",'Results'!$B$12)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Bankfull height above channel</t>
        </is>
      </c>
      <c r="D25" s="23" t="inlineStr">
        <is>
          <t>m</t>
        </is>
      </c>
      <c r="E25" s="44">
        <f>IF('DEEP Score'!$E$21="","",'DEEP Score'!$E$21)</f>
        <v/>
      </c>
      <c r="F25" s="45" t="inlineStr"/>
      <c r="G25" s="26">
        <f>IF('Metrics'!$V$12="","",'Metrics'!$V$12)</f>
        <v/>
      </c>
      <c r="H25" s="21" t="n"/>
      <c r="I25" s="27" t="n"/>
    </row>
    <row r="26">
      <c r="A26" s="43" t="inlineStr">
        <is>
          <t>Geomorphology</t>
        </is>
      </c>
      <c r="B26" s="12" t="inlineStr">
        <is>
          <t>Channel and floodplain dynamics</t>
        </is>
      </c>
      <c r="C26" s="13" t="inlineStr">
        <is>
          <t>Sinuosity</t>
        </is>
      </c>
      <c r="D26" s="14" t="inlineStr"/>
      <c r="E26" s="15" t="n"/>
      <c r="F26" s="16" t="inlineStr"/>
      <c r="G26" s="17">
        <f>IF('Metrics'!$V$15="","",'Metrics'!$V$15)</f>
        <v/>
      </c>
      <c r="H26" s="18">
        <f>IF('Results'!$B$13="","",'Results'!$B$13)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 angle</t>
        </is>
      </c>
      <c r="D27" s="23" t="inlineStr">
        <is>
          <t>degrees</t>
        </is>
      </c>
      <c r="E27" s="24" t="n"/>
      <c r="F27" s="25" t="inlineStr"/>
      <c r="G27" s="26">
        <f>IF('Metrics'!$V$16="","",'Metrics'!$V$16)</f>
        <v/>
      </c>
      <c r="H27" s="21" t="n"/>
      <c r="I27" s="27" t="n"/>
    </row>
    <row r="28">
      <c r="A28" s="43" t="inlineStr">
        <is>
          <t>Geomorphology</t>
        </is>
      </c>
      <c r="B28" s="12" t="inlineStr">
        <is>
          <t>Sediment continuity</t>
        </is>
      </c>
      <c r="C28" s="13" t="inlineStr">
        <is>
          <t>Relative bed stability</t>
        </is>
      </c>
      <c r="D28" s="14" t="inlineStr">
        <is>
          <t>log</t>
        </is>
      </c>
      <c r="E28" s="15" t="n"/>
      <c r="F28" s="46" t="inlineStr">
        <is>
          <t>All streams (pooled)</t>
        </is>
      </c>
      <c r="G28" s="17">
        <f>IF('Metrics'!$V$17="","",'Metrics'!$V$17)</f>
        <v/>
      </c>
      <c r="H28" s="18">
        <f>IF('Results'!$B$14="","",'Results'!$B$14)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Sand + fines</t>
        </is>
      </c>
      <c r="D29" s="23" t="inlineStr">
        <is>
          <t>%</t>
        </is>
      </c>
      <c r="E29" s="44">
        <f>IF('DEEP Score'!$E$22="","",'DEEP Score'!$E$22)</f>
        <v/>
      </c>
      <c r="F29" s="45" t="inlineStr"/>
      <c r="G29" s="26">
        <f>IF('Metrics'!$V$13="","",'Metrics'!$V$13)</f>
        <v/>
      </c>
      <c r="H29" s="21" t="n"/>
      <c r="I29" s="27" t="n"/>
    </row>
    <row r="30">
      <c r="A30" s="43" t="inlineStr">
        <is>
          <t>Geomorphology</t>
        </is>
      </c>
      <c r="B30" s="12" t="inlineStr">
        <is>
          <t>Bed composition and bedform dynamics</t>
        </is>
      </c>
      <c r="C30" s="13" t="inlineStr">
        <is>
          <t>Substrate size</t>
        </is>
      </c>
      <c r="D30" s="14" t="inlineStr">
        <is>
          <t>log mm</t>
        </is>
      </c>
      <c r="E30" s="15" t="n"/>
      <c r="F30" s="16" t="inlineStr"/>
      <c r="G30" s="17">
        <f>IF('Metrics'!$V$18="","",'Metrics'!$V$18)</f>
        <v/>
      </c>
      <c r="H30" s="18">
        <f>IF('Results'!$B$15="","",'Results'!$B$15)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Embeddedness</t>
        </is>
      </c>
      <c r="D31" s="23" t="inlineStr">
        <is>
          <t>%</t>
        </is>
      </c>
      <c r="E31" s="44">
        <f>IF('DEEP Score'!$E$23="","",'DEEP Score'!$E$23)</f>
        <v/>
      </c>
      <c r="F31" s="45" t="inlineStr"/>
      <c r="G31" s="26">
        <f>IF('Metrics'!$V$14="","",'Metrics'!$V$14)</f>
        <v/>
      </c>
      <c r="H31" s="21" t="n"/>
      <c r="I31" s="27" t="n"/>
    </row>
    <row r="32">
      <c r="A32" s="47" t="inlineStr">
        <is>
          <t>Physicochemistry</t>
        </is>
      </c>
      <c r="B32" s="29" t="inlineStr">
        <is>
          <t>Light &amp; thermal regime</t>
        </is>
      </c>
      <c r="C32" s="30" t="inlineStr">
        <is>
          <t>Canopy density, mid-channel</t>
        </is>
      </c>
      <c r="D32" s="31" t="inlineStr">
        <is>
          <t>%</t>
        </is>
      </c>
      <c r="E32" s="32" t="n"/>
      <c r="F32" s="48" t="inlineStr">
        <is>
          <t>All streams (pooled)</t>
        </is>
      </c>
      <c r="G32" s="34">
        <f>IF('Metrics'!$V$19="","",'Metrics'!$V$19)</f>
        <v/>
      </c>
      <c r="H32" s="35">
        <f>IF('Results'!$B$16="","",'Results'!$B$16)</f>
        <v/>
      </c>
      <c r="I32" s="36">
        <f>IF('DEEP Score'!$H$32="","",IF('DEEP Score'!$H$32&lt;=5,"Non-Functioning",IF('DEEP Score'!$H$32&lt;=10,"Functioning At-Risk","Functioning")))</f>
        <v/>
      </c>
    </row>
    <row r="33">
      <c r="A33" s="47" t="inlineStr">
        <is>
          <t>Physicochemistry</t>
        </is>
      </c>
      <c r="B33" s="29" t="inlineStr">
        <is>
          <t>Carbon processing</t>
        </is>
      </c>
      <c r="C33" s="30" t="inlineStr">
        <is>
          <t>Riparian veg cover, woody</t>
        </is>
      </c>
      <c r="D33" s="31" t="inlineStr">
        <is>
          <t>frac</t>
        </is>
      </c>
      <c r="E33" s="32" t="n"/>
      <c r="F33" s="33" t="inlineStr"/>
      <c r="G33" s="34">
        <f>IF('Metrics'!$V$20="","",'Metrics'!$V$20)</f>
        <v/>
      </c>
      <c r="H33" s="35">
        <f>IF('Results'!$B$17="","",'Results'!$B$17)</f>
        <v/>
      </c>
      <c r="I33" s="36">
        <f>IF('DEEP Score'!$H$33="","",IF('DEEP Score'!$H$33&lt;=5,"Non-Functioning",IF('DEEP Score'!$H$33&lt;=10,"Functioning At-Risk","Functioning")))</f>
        <v/>
      </c>
    </row>
    <row r="34">
      <c r="A34" s="49" t="inlineStr">
        <is>
          <t>Physicochemistry</t>
        </is>
      </c>
      <c r="B34" s="12" t="inlineStr">
        <is>
          <t>Nutrient cycling</t>
        </is>
      </c>
      <c r="C34" s="13" t="inlineStr">
        <is>
          <t>Total nitrogen</t>
        </is>
      </c>
      <c r="D34" s="14" t="inlineStr">
        <is>
          <t>mg N/L</t>
        </is>
      </c>
      <c r="E34" s="15" t="n"/>
      <c r="F34" s="16" t="inlineStr"/>
      <c r="G34" s="17">
        <f>IF('Metrics'!$V$21="","",'Metrics'!$V$21)</f>
        <v/>
      </c>
      <c r="H34" s="18">
        <f>IF('Results'!$B$18="","",'Results'!$B$18)</f>
        <v/>
      </c>
      <c r="I34" s="19">
        <f>IF('DEEP Score'!$H$34="","",IF('DEEP Score'!$H$34&lt;=5,"Non-Functioning",IF('DEEP Score'!$H$34&lt;=10,"Functioning At-Risk","Functioning")))</f>
        <v/>
      </c>
    </row>
    <row r="35">
      <c r="A35" s="20" t="n"/>
      <c r="B35" s="21" t="n"/>
      <c r="C35" s="22" t="inlineStr">
        <is>
          <t>Total phosphorus</t>
        </is>
      </c>
      <c r="D35" s="23" t="inlineStr">
        <is>
          <t>ug/L</t>
        </is>
      </c>
      <c r="E35" s="24" t="n"/>
      <c r="F35" s="25" t="inlineStr"/>
      <c r="G35" s="26">
        <f>IF('Metrics'!$V$22="","",'Metrics'!$V$22)</f>
        <v/>
      </c>
      <c r="H35" s="21" t="n"/>
      <c r="I35" s="27" t="n"/>
    </row>
    <row r="36">
      <c r="A36" s="49" t="inlineStr">
        <is>
          <t>Physicochemistry</t>
        </is>
      </c>
      <c r="B36" s="12" t="inlineStr">
        <is>
          <t>Water &amp; soil quality</t>
        </is>
      </c>
      <c r="C36" s="13" t="inlineStr">
        <is>
          <t>Turbidity</t>
        </is>
      </c>
      <c r="D36" s="14" t="inlineStr">
        <is>
          <t>NTU</t>
        </is>
      </c>
      <c r="E36" s="15" t="n"/>
      <c r="F36" s="16" t="inlineStr"/>
      <c r="G36" s="17">
        <f>IF('Metrics'!$V$23="","",'Metrics'!$V$23)</f>
        <v/>
      </c>
      <c r="H36" s="18">
        <f>IF('Results'!$B$19="","",'Results'!$B$19)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Specific conductivity</t>
        </is>
      </c>
      <c r="D37" s="23" t="inlineStr">
        <is>
          <t>uS/cm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50" t="inlineStr">
        <is>
          <t>Biology</t>
        </is>
      </c>
      <c r="B38" s="12" t="inlineStr">
        <is>
          <t>Habitat provision</t>
        </is>
      </c>
      <c r="C38" s="13" t="inlineStr">
        <is>
          <t>Fast-water / riffle habitat</t>
        </is>
      </c>
      <c r="D38" s="14" t="inlineStr">
        <is>
          <t>%</t>
        </is>
      </c>
      <c r="E38" s="15" t="n"/>
      <c r="F38" s="16" t="inlineStr"/>
      <c r="G38" s="17">
        <f>IF('Metrics'!$V$25="","",'Metrics'!$V$25)</f>
        <v/>
      </c>
      <c r="H38" s="18">
        <f>IF('Results'!$B$20="","",'Results'!$B$20)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Natural fish cover</t>
        </is>
      </c>
      <c r="D39" s="23" t="inlineStr">
        <is>
          <t>frac</t>
        </is>
      </c>
      <c r="E39" s="24" t="n"/>
      <c r="F39" s="51" t="inlineStr">
        <is>
          <t>All streams (pooled)</t>
        </is>
      </c>
      <c r="G39" s="26">
        <f>IF('Metrics'!$V$26="","",'Metrics'!$V$26)</f>
        <v/>
      </c>
      <c r="H39" s="21" t="n"/>
      <c r="I39" s="27" t="n"/>
    </row>
    <row r="40">
      <c r="A40" s="52" t="inlineStr">
        <is>
          <t>Biology</t>
        </is>
      </c>
      <c r="B40" s="29" t="inlineStr">
        <is>
          <t>Population support</t>
        </is>
      </c>
      <c r="C40" s="30" t="inlineStr">
        <is>
          <t>Fish MMI</t>
        </is>
      </c>
      <c r="D40" s="31" t="inlineStr">
        <is>
          <t>MMI points</t>
        </is>
      </c>
      <c r="E40" s="32" t="n"/>
      <c r="F40" s="33" t="inlineStr"/>
      <c r="G40" s="34">
        <f>IF('Metrics'!$V$27="","",'Metrics'!$V$27)</f>
        <v/>
      </c>
      <c r="H40" s="35">
        <f>IF('Results'!$B$21="","",'Results'!$B$21)</f>
        <v/>
      </c>
      <c r="I40" s="36">
        <f>IF('DEEP Score'!$H$40="","",IF('DEEP Score'!$H$40&lt;=5,"Non-Functioning",IF('DEEP Score'!$H$40&lt;=10,"Functioning At-Risk","Functioning")))</f>
        <v/>
      </c>
    </row>
    <row r="41">
      <c r="A41" s="50" t="inlineStr">
        <is>
          <t>Biology</t>
        </is>
      </c>
      <c r="B41" s="12" t="inlineStr">
        <is>
          <t>Community dynamics</t>
        </is>
      </c>
      <c r="C41" s="13" t="inlineStr">
        <is>
          <t>Shannon diversity (H')</t>
        </is>
      </c>
      <c r="D41" s="14" t="inlineStr">
        <is>
          <t>H'</t>
        </is>
      </c>
      <c r="E41" s="15" t="n"/>
      <c r="F41" s="16" t="inlineStr"/>
      <c r="G41" s="17">
        <f>IF('Metrics'!$V$28="","",'Metrics'!$V$28)</f>
        <v/>
      </c>
      <c r="H41" s="18">
        <f>IF('Results'!$B$22="","",'Results'!$B$22)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Benthic macroinvertebrate MMI</t>
        </is>
      </c>
      <c r="D42" s="23" t="inlineStr">
        <is>
          <t>MMI points</t>
        </is>
      </c>
      <c r="E42" s="24" t="n"/>
      <c r="F42" s="25" t="inlineStr"/>
      <c r="G42" s="26">
        <f>IF('Metrics'!$V$29="","",'Metrics'!$V$29)</f>
        <v/>
      </c>
      <c r="H42" s="21" t="n"/>
      <c r="I42" s="27" t="n"/>
    </row>
    <row r="43">
      <c r="A43" s="52" t="inlineStr">
        <is>
          <t>Biology</t>
        </is>
      </c>
      <c r="B43" s="29" t="inlineStr">
        <is>
          <t>Watershed connectivity</t>
        </is>
      </c>
      <c r="C43" s="30" t="inlineStr">
        <is>
          <t>Mapped dams within one mile</t>
        </is>
      </c>
      <c r="D43" s="31" t="inlineStr">
        <is>
          <t>dams</t>
        </is>
      </c>
      <c r="E43" s="32" t="n"/>
      <c r="F43" s="33" t="inlineStr"/>
      <c r="G43" s="34">
        <f>IF('Metrics'!$V$30="","",'Metrics'!$V$30)</f>
        <v/>
      </c>
      <c r="H43" s="35">
        <f>IF('Results'!$B$23="","",'Results'!$B$23)</f>
        <v/>
      </c>
      <c r="I43" s="36">
        <f>IF('DEEP Score'!$H$43="","",IF('DEEP Score'!$H$43&lt;=5,"Non-Functioning",IF('DEEP Score'!$H$43&lt;=10,"Functioning At-Risk","Functioning")))</f>
        <v/>
      </c>
    </row>
    <row r="45">
      <c r="A45" s="53" t="inlineStr">
        <is>
          <t>Summary</t>
        </is>
      </c>
    </row>
    <row r="46">
      <c r="A46" s="10" t="inlineStr">
        <is>
          <t>Outcome</t>
        </is>
      </c>
      <c r="B46" s="10" t="inlineStr">
        <is>
          <t>Sub-index (0 to 1)</t>
        </is>
      </c>
      <c r="C46" s="10" t="inlineStr">
        <is>
          <t>Condition</t>
        </is>
      </c>
    </row>
    <row r="47">
      <c r="A47" s="54" t="inlineStr">
        <is>
          <t>Physical</t>
        </is>
      </c>
      <c r="B47" s="55">
        <f>'Results'!$B$26</f>
        <v/>
      </c>
      <c r="C47" s="56">
        <f>IF('DEEP Score'!$B$47&lt;=0.39,"Non-Functioning",IF('DEEP Score'!$B$47&lt;=0.69,"Functioning At-Risk","Functioning"))</f>
        <v/>
      </c>
    </row>
    <row r="48">
      <c r="A48" s="54" t="inlineStr">
        <is>
          <t>Chemical</t>
        </is>
      </c>
      <c r="B48" s="55">
        <f>'Results'!$B$27</f>
        <v/>
      </c>
      <c r="C48" s="56">
        <f>IF('DEEP Score'!$B$48&lt;=0.39,"Non-Functioning",IF('DEEP Score'!$B$48&lt;=0.69,"Functioning At-Risk","Functioning"))</f>
        <v/>
      </c>
    </row>
    <row r="49">
      <c r="A49" s="54" t="inlineStr">
        <is>
          <t>Biological</t>
        </is>
      </c>
      <c r="B49" s="55">
        <f>'Results'!$B$28</f>
        <v/>
      </c>
      <c r="C49" s="56">
        <f>IF('DEEP Score'!$B$49&lt;=0.39,"Non-Functioning",IF('DEEP Score'!$B$49&lt;=0.69,"Functioning At-Risk","Functioning"))</f>
        <v/>
      </c>
    </row>
    <row r="50" ht="30" customHeight="1">
      <c r="A50" s="57" t="inlineStr">
        <is>
          <t>Ecosystem Condition Index</t>
        </is>
      </c>
      <c r="B50" s="58">
        <f>'Results'!$B$29</f>
        <v/>
      </c>
      <c r="C50" s="56">
        <f>IF('DEEP Score'!$B$50&lt;=0.39,"Non-Functioning",IF('DEEP Score'!$B$50&lt;=0.69,"Functioning At-Risk","Functioning"))</f>
        <v/>
      </c>
    </row>
    <row r="51">
      <c r="A51" s="5" t="inlineStr">
        <is>
          <t xml:space="preserve">Functions with a score: </t>
        </is>
      </c>
      <c r="B51" s="5">
        <f>COUNT('Results'!$B$4:$B$23)&amp;" of 20"</f>
        <v/>
      </c>
    </row>
    <row r="52">
      <c r="A52" s="5" t="inlineStr">
        <is>
          <t>This assessment covers 20 of 20 STAF functions.</t>
        </is>
      </c>
    </row>
    <row r="54">
      <c r="A54" s="59" t="inlineStr">
        <is>
          <t>Withheld for insufficient reference support (not scored)</t>
        </is>
      </c>
    </row>
    <row r="55">
      <c r="A55" t="inlineStr">
        <is>
          <t>EPT taxa richness</t>
        </is>
      </c>
      <c r="C55" s="5" t="inlineStr">
        <is>
          <t>Community dynamics</t>
        </is>
      </c>
    </row>
    <row r="56">
      <c r="A56" t="inlineStr">
        <is>
          <t>Tolerant individuals (%) ~ HBI</t>
        </is>
      </c>
      <c r="C56" s="5" t="inlineStr">
        <is>
          <t>Community dynamics</t>
        </is>
      </c>
    </row>
    <row r="57">
      <c r="A57" t="inlineStr">
        <is>
          <t>Benthic total taxa richness</t>
        </is>
      </c>
      <c r="C57" s="5" t="inlineStr">
        <is>
          <t>Population support</t>
        </is>
      </c>
    </row>
    <row r="58">
      <c r="A58" t="inlineStr">
        <is>
          <t>Base flow index</t>
        </is>
      </c>
      <c r="C58" s="5" t="inlineStr">
        <is>
          <t>Streamflow regime, Low flow and baseflow dynamics</t>
        </is>
      </c>
    </row>
    <row r="59">
      <c r="A59" t="inlineStr">
        <is>
          <t>Chlorophyll a</t>
        </is>
      </c>
      <c r="C59" s="5" t="inlineStr">
        <is>
          <t>Light and thermal regime</t>
        </is>
      </c>
    </row>
    <row r="60">
      <c r="A60" t="inlineStr">
        <is>
          <t>pH</t>
        </is>
      </c>
      <c r="C60" s="5" t="inlineStr">
        <is>
          <t>Water and soil quality</t>
        </is>
      </c>
    </row>
    <row r="61">
      <c r="A61" t="inlineStr">
        <is>
          <t>Native fish taxa richness</t>
        </is>
      </c>
      <c r="C61" s="5" t="inlineStr">
        <is>
          <t>Population support</t>
        </is>
      </c>
    </row>
    <row r="63">
      <c r="A63" s="6" t="inlineStr">
        <is>
          <t>Notes</t>
        </is>
      </c>
    </row>
    <row r="64">
      <c r="A64" s="60" t="n"/>
      <c r="B64" s="61" t="n"/>
      <c r="C64" s="61" t="n"/>
      <c r="D64" s="61" t="n"/>
      <c r="E64" s="61" t="n"/>
      <c r="F64" s="61" t="n"/>
      <c r="G64" s="61" t="n"/>
      <c r="H64" s="61" t="n"/>
      <c r="I64" s="62" t="n"/>
    </row>
    <row r="65">
      <c r="A65" s="63" t="n"/>
      <c r="B65" s="64" t="n"/>
      <c r="C65" s="64" t="n"/>
      <c r="D65" s="64" t="n"/>
      <c r="E65" s="64" t="n"/>
      <c r="F65" s="64" t="n"/>
      <c r="G65" s="64" t="n"/>
      <c r="H65" s="64" t="n"/>
      <c r="I65" s="65" t="n"/>
    </row>
    <row r="66">
      <c r="A66" s="63" t="n"/>
      <c r="B66" s="64" t="n"/>
      <c r="C66" s="64" t="n"/>
      <c r="D66" s="64" t="n"/>
      <c r="E66" s="64" t="n"/>
      <c r="F66" s="64" t="n"/>
      <c r="G66" s="64" t="n"/>
      <c r="H66" s="64" t="n"/>
      <c r="I66" s="65" t="n"/>
    </row>
    <row r="67">
      <c r="A67" s="63" t="n"/>
      <c r="B67" s="64" t="n"/>
      <c r="C67" s="64" t="n"/>
      <c r="D67" s="64" t="n"/>
      <c r="E67" s="64" t="n"/>
      <c r="F67" s="64" t="n"/>
      <c r="G67" s="64" t="n"/>
      <c r="H67" s="64" t="n"/>
      <c r="I67" s="65" t="n"/>
    </row>
    <row r="68">
      <c r="A68" s="63" t="n"/>
      <c r="B68" s="64" t="n"/>
      <c r="C68" s="64" t="n"/>
      <c r="D68" s="64" t="n"/>
      <c r="E68" s="64" t="n"/>
      <c r="F68" s="64" t="n"/>
      <c r="G68" s="64" t="n"/>
      <c r="H68" s="64" t="n"/>
      <c r="I68" s="65" t="n"/>
    </row>
    <row r="69">
      <c r="A69" s="66" t="n"/>
      <c r="B69" s="67" t="n"/>
      <c r="C69" s="67" t="n"/>
      <c r="D69" s="67" t="n"/>
      <c r="E69" s="67" t="n"/>
      <c r="F69" s="67" t="n"/>
      <c r="G69" s="67" t="n"/>
      <c r="H69" s="67" t="n"/>
      <c r="I69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5">
    <mergeCell ref="H26:H27"/>
    <mergeCell ref="I30:I31"/>
    <mergeCell ref="A24:A25"/>
    <mergeCell ref="B12:B13"/>
    <mergeCell ref="H38:H39"/>
    <mergeCell ref="B8:D8"/>
    <mergeCell ref="B17:B18"/>
    <mergeCell ref="I36:I37"/>
    <mergeCell ref="A41:A42"/>
    <mergeCell ref="A36:A37"/>
    <mergeCell ref="H41:H42"/>
    <mergeCell ref="I41:I42"/>
    <mergeCell ref="B38:B39"/>
    <mergeCell ref="I26:I27"/>
    <mergeCell ref="H34:H35"/>
    <mergeCell ref="I22:I23"/>
    <mergeCell ref="I28:I29"/>
    <mergeCell ref="A12:A13"/>
    <mergeCell ref="H17:H18"/>
    <mergeCell ref="A26:A27"/>
    <mergeCell ref="I12:I13"/>
    <mergeCell ref="H22:H23"/>
    <mergeCell ref="B9:D9"/>
    <mergeCell ref="H36:H37"/>
    <mergeCell ref="I17:I18"/>
    <mergeCell ref="B34:B35"/>
    <mergeCell ref="B28:B29"/>
    <mergeCell ref="A4:I4"/>
    <mergeCell ref="B6:D6"/>
    <mergeCell ref="B24:B25"/>
    <mergeCell ref="I24:I25"/>
    <mergeCell ref="A64:I69"/>
    <mergeCell ref="B5:D5"/>
    <mergeCell ref="A22:A23"/>
    <mergeCell ref="A17:A18"/>
    <mergeCell ref="B36:B37"/>
    <mergeCell ref="H12:H13"/>
    <mergeCell ref="I20:I21"/>
    <mergeCell ref="I38:I39"/>
    <mergeCell ref="H28:H29"/>
    <mergeCell ref="A20:A21"/>
    <mergeCell ref="B20:B21"/>
    <mergeCell ref="B7:D7"/>
    <mergeCell ref="I34:I35"/>
    <mergeCell ref="H24:H25"/>
    <mergeCell ref="B30:B31"/>
    <mergeCell ref="A38:A39"/>
    <mergeCell ref="H30:H31"/>
    <mergeCell ref="A34:A35"/>
    <mergeCell ref="B22:B23"/>
    <mergeCell ref="A28:A29"/>
    <mergeCell ref="H20:H21"/>
    <mergeCell ref="B41:B42"/>
    <mergeCell ref="B26:B27"/>
    <mergeCell ref="A30:A31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3">
    <dataValidation sqref="F28" showDropDown="0" showInputMessage="0" showErrorMessage="1" allowBlank="1" errorTitle="Curve set" error="Choose a curve set from the list." type="list">
      <formula1>=strata_spring_phab_lrbs_use</formula1>
    </dataValidation>
    <dataValidation sqref="F32" showDropDown="0" showInputMessage="0" showErrorMessage="1" allowBlank="1" errorTitle="Curve set" error="Choose a curve set from the list." type="list">
      <formula1>=strata_spring_phab_xcdenmid</formula1>
    </dataValidation>
    <dataValidation sqref="F39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70" t="inlineStr">
        <is>
          <t>Impervious surface</t>
        </is>
      </c>
      <c r="B5" s="71">
        <f>IF('DEEP Score'!$E$12="","",'DEEP Score'!$E$12)</f>
        <v/>
      </c>
      <c r="C5" s="71">
        <f>""</f>
        <v/>
      </c>
      <c r="D5" s="71">
        <f>"spring_pctimp2019ws|"&amp;'Metrics'!$C$5</f>
        <v/>
      </c>
      <c r="E5" s="71">
        <f>IFERROR(MATCH('Metrics'!$D$5,curve_key,0),MATCH("spring_pctimp2019ws|",curve_key,0))</f>
        <v/>
      </c>
      <c r="F5" s="71">
        <f>INDEX(curve_x1,'Metrics'!$E$5)</f>
        <v/>
      </c>
      <c r="G5" s="71">
        <f>INDEX(curve_x2,'Metrics'!$E$5)</f>
        <v/>
      </c>
      <c r="H5" s="71">
        <f>INDEX(curve_x3,'Metrics'!$E$5)</f>
        <v/>
      </c>
      <c r="I5" s="71">
        <f>INDEX(curve_x4,'Metrics'!$E$5)</f>
        <v/>
      </c>
      <c r="J5" s="71">
        <f>INDEX(curve_x5,'Metrics'!$E$5)</f>
        <v/>
      </c>
      <c r="K5" s="71">
        <f>INDEX(curve_x6,'Metrics'!$E$5)</f>
        <v/>
      </c>
      <c r="L5" s="71">
        <f>INDEX(curve_x7,'Metrics'!$E$5)</f>
        <v/>
      </c>
      <c r="M5" s="71">
        <f>INDEX(curve_x8,'Metrics'!$E$5)</f>
        <v/>
      </c>
      <c r="N5" s="71">
        <f>INDEX(curve_y1,'Metrics'!$E$5)</f>
        <v/>
      </c>
      <c r="O5" s="71">
        <f>INDEX(curve_y2,'Metrics'!$E$5)</f>
        <v/>
      </c>
      <c r="P5" s="71">
        <f>INDEX(curve_y3,'Metrics'!$E$5)</f>
        <v/>
      </c>
      <c r="Q5" s="71">
        <f>INDEX(curve_y4,'Metrics'!$E$5)</f>
        <v/>
      </c>
      <c r="R5" s="71">
        <f>INDEX(curve_y5,'Metrics'!$E$5)</f>
        <v/>
      </c>
      <c r="S5" s="71">
        <f>INDEX(curve_y6,'Metrics'!$E$5)</f>
        <v/>
      </c>
      <c r="T5" s="71">
        <f>INDEX(curve_y7,'Metrics'!$E$5)</f>
        <v/>
      </c>
      <c r="U5" s="71">
        <f>INDEX(curve_y8,'Metrics'!$E$5)</f>
        <v/>
      </c>
      <c r="V5" s="72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70" t="inlineStr">
        <is>
          <t>Agriculture, crop and hay</t>
        </is>
      </c>
      <c r="B6" s="71">
        <f>IF('DEEP Score'!$E$13="","",'DEEP Score'!$E$13)</f>
        <v/>
      </c>
      <c r="C6" s="71">
        <f>""</f>
        <v/>
      </c>
      <c r="D6" s="71">
        <f>"spring_pctag2019ws|"&amp;'Metrics'!$C$6</f>
        <v/>
      </c>
      <c r="E6" s="71">
        <f>IFERROR(MATCH('Metrics'!$D$6,curve_key,0),MATCH("spring_pctag2019ws|",curve_key,0))</f>
        <v/>
      </c>
      <c r="F6" s="71">
        <f>INDEX(curve_x1,'Metrics'!$E$6)</f>
        <v/>
      </c>
      <c r="G6" s="71">
        <f>INDEX(curve_x2,'Metrics'!$E$6)</f>
        <v/>
      </c>
      <c r="H6" s="71">
        <f>INDEX(curve_x3,'Metrics'!$E$6)</f>
        <v/>
      </c>
      <c r="I6" s="71">
        <f>INDEX(curve_x4,'Metrics'!$E$6)</f>
        <v/>
      </c>
      <c r="J6" s="71">
        <f>INDEX(curve_x5,'Metrics'!$E$6)</f>
        <v/>
      </c>
      <c r="K6" s="71">
        <f>INDEX(curve_x6,'Metrics'!$E$6)</f>
        <v/>
      </c>
      <c r="L6" s="71">
        <f>INDEX(curve_x7,'Metrics'!$E$6)</f>
        <v/>
      </c>
      <c r="M6" s="71">
        <f>INDEX(curve_x8,'Metrics'!$E$6)</f>
        <v/>
      </c>
      <c r="N6" s="71">
        <f>INDEX(curve_y1,'Metrics'!$E$6)</f>
        <v/>
      </c>
      <c r="O6" s="71">
        <f>INDEX(curve_y2,'Metrics'!$E$6)</f>
        <v/>
      </c>
      <c r="P6" s="71">
        <f>INDEX(curve_y3,'Metrics'!$E$6)</f>
        <v/>
      </c>
      <c r="Q6" s="71">
        <f>INDEX(curve_y4,'Metrics'!$E$6)</f>
        <v/>
      </c>
      <c r="R6" s="71">
        <f>INDEX(curve_y5,'Metrics'!$E$6)</f>
        <v/>
      </c>
      <c r="S6" s="71">
        <f>INDEX(curve_y6,'Metrics'!$E$6)</f>
        <v/>
      </c>
      <c r="T6" s="71">
        <f>INDEX(curve_y7,'Metrics'!$E$6)</f>
        <v/>
      </c>
      <c r="U6" s="71">
        <f>INDEX(curve_y8,'Metrics'!$E$6)</f>
        <v/>
      </c>
      <c r="V6" s="72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70" t="inlineStr">
        <is>
          <t>Wetland cover of the watershed</t>
        </is>
      </c>
      <c r="B7" s="71">
        <f>IF('DEEP Score'!$E$14="","",'DEEP Score'!$E$14)</f>
        <v/>
      </c>
      <c r="C7" s="71">
        <f>""</f>
        <v/>
      </c>
      <c r="D7" s="71">
        <f>"spring_pctwet2019ws|"&amp;'Metrics'!$C$7</f>
        <v/>
      </c>
      <c r="E7" s="71">
        <f>IFERROR(MATCH('Metrics'!$D$7,curve_key,0),MATCH("spring_pctwet2019ws|",curve_key,0))</f>
        <v/>
      </c>
      <c r="F7" s="71">
        <f>INDEX(curve_x1,'Metrics'!$E$7)</f>
        <v/>
      </c>
      <c r="G7" s="71">
        <f>INDEX(curve_x2,'Metrics'!$E$7)</f>
        <v/>
      </c>
      <c r="H7" s="71">
        <f>INDEX(curve_x3,'Metrics'!$E$7)</f>
        <v/>
      </c>
      <c r="I7" s="71">
        <f>INDEX(curve_x4,'Metrics'!$E$7)</f>
        <v/>
      </c>
      <c r="J7" s="71">
        <f>INDEX(curve_x5,'Metrics'!$E$7)</f>
        <v/>
      </c>
      <c r="K7" s="71">
        <f>INDEX(curve_x6,'Metrics'!$E$7)</f>
        <v/>
      </c>
      <c r="L7" s="71">
        <f>INDEX(curve_x7,'Metrics'!$E$7)</f>
        <v/>
      </c>
      <c r="M7" s="71">
        <f>INDEX(curve_x8,'Metrics'!$E$7)</f>
        <v/>
      </c>
      <c r="N7" s="71">
        <f>INDEX(curve_y1,'Metrics'!$E$7)</f>
        <v/>
      </c>
      <c r="O7" s="71">
        <f>INDEX(curve_y2,'Metrics'!$E$7)</f>
        <v/>
      </c>
      <c r="P7" s="71">
        <f>INDEX(curve_y3,'Metrics'!$E$7)</f>
        <v/>
      </c>
      <c r="Q7" s="71">
        <f>INDEX(curve_y4,'Metrics'!$E$7)</f>
        <v/>
      </c>
      <c r="R7" s="71">
        <f>INDEX(curve_y5,'Metrics'!$E$7)</f>
        <v/>
      </c>
      <c r="S7" s="71">
        <f>INDEX(curve_y6,'Metrics'!$E$7)</f>
        <v/>
      </c>
      <c r="T7" s="71">
        <f>INDEX(curve_y7,'Metrics'!$E$7)</f>
        <v/>
      </c>
      <c r="U7" s="71">
        <f>INDEX(curve_y8,'Metrics'!$E$7)</f>
        <v/>
      </c>
      <c r="V7" s="72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70" t="inlineStr">
        <is>
          <t>Road density</t>
        </is>
      </c>
      <c r="B8" s="71">
        <f>IF('DEEP Score'!$E$15="","",'DEEP Score'!$E$15)</f>
        <v/>
      </c>
      <c r="C8" s="71">
        <f>""</f>
        <v/>
      </c>
      <c r="D8" s="71">
        <f>"spring_rddensws|"&amp;'Metrics'!$C$8</f>
        <v/>
      </c>
      <c r="E8" s="71">
        <f>IFERROR(MATCH('Metrics'!$D$8,curve_key,0),MATCH("spring_rddensws|",curve_key,0))</f>
        <v/>
      </c>
      <c r="F8" s="71">
        <f>INDEX(curve_x1,'Metrics'!$E$8)</f>
        <v/>
      </c>
      <c r="G8" s="71">
        <f>INDEX(curve_x2,'Metrics'!$E$8)</f>
        <v/>
      </c>
      <c r="H8" s="71">
        <f>INDEX(curve_x3,'Metrics'!$E$8)</f>
        <v/>
      </c>
      <c r="I8" s="71">
        <f>INDEX(curve_x4,'Metrics'!$E$8)</f>
        <v/>
      </c>
      <c r="J8" s="71">
        <f>INDEX(curve_x5,'Metrics'!$E$8)</f>
        <v/>
      </c>
      <c r="K8" s="71">
        <f>INDEX(curve_x6,'Metrics'!$E$8)</f>
        <v/>
      </c>
      <c r="L8" s="71">
        <f>INDEX(curve_x7,'Metrics'!$E$8)</f>
        <v/>
      </c>
      <c r="M8" s="71">
        <f>INDEX(curve_x8,'Metrics'!$E$8)</f>
        <v/>
      </c>
      <c r="N8" s="71">
        <f>INDEX(curve_y1,'Metrics'!$E$8)</f>
        <v/>
      </c>
      <c r="O8" s="71">
        <f>INDEX(curve_y2,'Metrics'!$E$8)</f>
        <v/>
      </c>
      <c r="P8" s="71">
        <f>INDEX(curve_y3,'Metrics'!$E$8)</f>
        <v/>
      </c>
      <c r="Q8" s="71">
        <f>INDEX(curve_y4,'Metrics'!$E$8)</f>
        <v/>
      </c>
      <c r="R8" s="71">
        <f>INDEX(curve_y5,'Metrics'!$E$8)</f>
        <v/>
      </c>
      <c r="S8" s="71">
        <f>INDEX(curve_y6,'Metrics'!$E$8)</f>
        <v/>
      </c>
      <c r="T8" s="71">
        <f>INDEX(curve_y7,'Metrics'!$E$8)</f>
        <v/>
      </c>
      <c r="U8" s="71">
        <f>INDEX(curve_y8,'Metrics'!$E$8)</f>
        <v/>
      </c>
      <c r="V8" s="72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70" t="inlineStr">
        <is>
          <t>Degree of regulation</t>
        </is>
      </c>
      <c r="B9" s="71">
        <f>IF('DEEP Score'!$E$16="","",'DEEP Score'!$E$16)</f>
        <v/>
      </c>
      <c r="C9" s="71">
        <f>""</f>
        <v/>
      </c>
      <c r="D9" s="71">
        <f>"spring_dorws|"&amp;'Metrics'!$C$9</f>
        <v/>
      </c>
      <c r="E9" s="71">
        <f>IFERROR(MATCH('Metrics'!$D$9,curve_key,0),MATCH("spring_dorws|",curve_key,0))</f>
        <v/>
      </c>
      <c r="F9" s="71">
        <f>INDEX(curve_x1,'Metrics'!$E$9)</f>
        <v/>
      </c>
      <c r="G9" s="71">
        <f>INDEX(curve_x2,'Metrics'!$E$9)</f>
        <v/>
      </c>
      <c r="H9" s="71">
        <f>INDEX(curve_x3,'Metrics'!$E$9)</f>
        <v/>
      </c>
      <c r="I9" s="71">
        <f>INDEX(curve_x4,'Metrics'!$E$9)</f>
        <v/>
      </c>
      <c r="J9" s="71">
        <f>INDEX(curve_x5,'Metrics'!$E$9)</f>
        <v/>
      </c>
      <c r="K9" s="71">
        <f>INDEX(curve_x6,'Metrics'!$E$9)</f>
        <v/>
      </c>
      <c r="L9" s="71">
        <f>INDEX(curve_x7,'Metrics'!$E$9)</f>
        <v/>
      </c>
      <c r="M9" s="71">
        <f>INDEX(curve_x8,'Metrics'!$E$9)</f>
        <v/>
      </c>
      <c r="N9" s="71">
        <f>INDEX(curve_y1,'Metrics'!$E$9)</f>
        <v/>
      </c>
      <c r="O9" s="71">
        <f>INDEX(curve_y2,'Metrics'!$E$9)</f>
        <v/>
      </c>
      <c r="P9" s="71">
        <f>INDEX(curve_y3,'Metrics'!$E$9)</f>
        <v/>
      </c>
      <c r="Q9" s="71">
        <f>INDEX(curve_y4,'Metrics'!$E$9)</f>
        <v/>
      </c>
      <c r="R9" s="71">
        <f>INDEX(curve_y5,'Metrics'!$E$9)</f>
        <v/>
      </c>
      <c r="S9" s="71">
        <f>INDEX(curve_y6,'Metrics'!$E$9)</f>
        <v/>
      </c>
      <c r="T9" s="71">
        <f>INDEX(curve_y7,'Metrics'!$E$9)</f>
        <v/>
      </c>
      <c r="U9" s="71">
        <f>INDEX(curve_y8,'Metrics'!$E$9)</f>
        <v/>
      </c>
      <c r="V9" s="72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70" t="inlineStr">
        <is>
          <t>Bankfull width:depth ratio</t>
        </is>
      </c>
      <c r="B10" s="71">
        <f>IF('DEEP Score'!$E$17="","",'DEEP Score'!$E$17)</f>
        <v/>
      </c>
      <c r="C10" s="71">
        <f>""</f>
        <v/>
      </c>
      <c r="D10" s="71">
        <f>"spring_phab_bfwd_rat|"&amp;'Metrics'!$C$10</f>
        <v/>
      </c>
      <c r="E10" s="71">
        <f>IFERROR(MATCH('Metrics'!$D$10,curve_key,0),MATCH("spring_phab_bfwd_rat|",curve_key,0))</f>
        <v/>
      </c>
      <c r="F10" s="71">
        <f>INDEX(curve_x1,'Metrics'!$E$10)</f>
        <v/>
      </c>
      <c r="G10" s="71">
        <f>INDEX(curve_x2,'Metrics'!$E$10)</f>
        <v/>
      </c>
      <c r="H10" s="71">
        <f>INDEX(curve_x3,'Metrics'!$E$10)</f>
        <v/>
      </c>
      <c r="I10" s="71">
        <f>INDEX(curve_x4,'Metrics'!$E$10)</f>
        <v/>
      </c>
      <c r="J10" s="71">
        <f>INDEX(curve_x5,'Metrics'!$E$10)</f>
        <v/>
      </c>
      <c r="K10" s="71">
        <f>INDEX(curve_x6,'Metrics'!$E$10)</f>
        <v/>
      </c>
      <c r="L10" s="71">
        <f>INDEX(curve_x7,'Metrics'!$E$10)</f>
        <v/>
      </c>
      <c r="M10" s="71">
        <f>INDEX(curve_x8,'Metrics'!$E$10)</f>
        <v/>
      </c>
      <c r="N10" s="71">
        <f>INDEX(curve_y1,'Metrics'!$E$10)</f>
        <v/>
      </c>
      <c r="O10" s="71">
        <f>INDEX(curve_y2,'Metrics'!$E$10)</f>
        <v/>
      </c>
      <c r="P10" s="71">
        <f>INDEX(curve_y3,'Metrics'!$E$10)</f>
        <v/>
      </c>
      <c r="Q10" s="71">
        <f>INDEX(curve_y4,'Metrics'!$E$10)</f>
        <v/>
      </c>
      <c r="R10" s="71">
        <f>INDEX(curve_y5,'Metrics'!$E$10)</f>
        <v/>
      </c>
      <c r="S10" s="71">
        <f>INDEX(curve_y6,'Metrics'!$E$10)</f>
        <v/>
      </c>
      <c r="T10" s="71">
        <f>INDEX(curve_y7,'Metrics'!$E$10)</f>
        <v/>
      </c>
      <c r="U10" s="71">
        <f>INDEX(curve_y8,'Metrics'!$E$10)</f>
        <v/>
      </c>
      <c r="V10" s="72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70" t="inlineStr">
        <is>
          <t>Residual pool depth</t>
        </is>
      </c>
      <c r="B11" s="71">
        <f>IF('DEEP Score'!$E$18="","",'DEEP Score'!$E$18)</f>
        <v/>
      </c>
      <c r="C11" s="71">
        <f>""</f>
        <v/>
      </c>
      <c r="D11" s="71">
        <f>"spring_phab_rp100_cm|"&amp;'Metrics'!$C$11</f>
        <v/>
      </c>
      <c r="E11" s="71">
        <f>IFERROR(MATCH('Metrics'!$D$11,curve_key,0),MATCH("spring_phab_rp100_cm|",curve_key,0))</f>
        <v/>
      </c>
      <c r="F11" s="71">
        <f>INDEX(curve_x1,'Metrics'!$E$11)</f>
        <v/>
      </c>
      <c r="G11" s="71">
        <f>INDEX(curve_x2,'Metrics'!$E$11)</f>
        <v/>
      </c>
      <c r="H11" s="71">
        <f>INDEX(curve_x3,'Metrics'!$E$11)</f>
        <v/>
      </c>
      <c r="I11" s="71">
        <f>INDEX(curve_x4,'Metrics'!$E$11)</f>
        <v/>
      </c>
      <c r="J11" s="71">
        <f>INDEX(curve_x5,'Metrics'!$E$11)</f>
        <v/>
      </c>
      <c r="K11" s="71">
        <f>INDEX(curve_x6,'Metrics'!$E$11)</f>
        <v/>
      </c>
      <c r="L11" s="71">
        <f>INDEX(curve_x7,'Metrics'!$E$11)</f>
        <v/>
      </c>
      <c r="M11" s="71">
        <f>INDEX(curve_x8,'Metrics'!$E$11)</f>
        <v/>
      </c>
      <c r="N11" s="71">
        <f>INDEX(curve_y1,'Metrics'!$E$11)</f>
        <v/>
      </c>
      <c r="O11" s="71">
        <f>INDEX(curve_y2,'Metrics'!$E$11)</f>
        <v/>
      </c>
      <c r="P11" s="71">
        <f>INDEX(curve_y3,'Metrics'!$E$11)</f>
        <v/>
      </c>
      <c r="Q11" s="71">
        <f>INDEX(curve_y4,'Metrics'!$E$11)</f>
        <v/>
      </c>
      <c r="R11" s="71">
        <f>INDEX(curve_y5,'Metrics'!$E$11)</f>
        <v/>
      </c>
      <c r="S11" s="71">
        <f>INDEX(curve_y6,'Metrics'!$E$11)</f>
        <v/>
      </c>
      <c r="T11" s="71">
        <f>INDEX(curve_y7,'Metrics'!$E$11)</f>
        <v/>
      </c>
      <c r="U11" s="71">
        <f>INDEX(curve_y8,'Metrics'!$E$11)</f>
        <v/>
      </c>
      <c r="V11" s="72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70" t="inlineStr">
        <is>
          <t>Bankfull height above channel</t>
        </is>
      </c>
      <c r="B12" s="71">
        <f>IF('DEEP Score'!$E$21="","",'DEEP Score'!$E$21)</f>
        <v/>
      </c>
      <c r="C12" s="71">
        <f>""</f>
        <v/>
      </c>
      <c r="D12" s="71">
        <f>"spring_phab_xbkf_h|"&amp;'Metrics'!$C$12</f>
        <v/>
      </c>
      <c r="E12" s="71">
        <f>IFERROR(MATCH('Metrics'!$D$12,curve_key,0),MATCH("spring_phab_xbkf_h|",curve_key,0))</f>
        <v/>
      </c>
      <c r="F12" s="71">
        <f>INDEX(curve_x1,'Metrics'!$E$12)</f>
        <v/>
      </c>
      <c r="G12" s="71">
        <f>INDEX(curve_x2,'Metrics'!$E$12)</f>
        <v/>
      </c>
      <c r="H12" s="71">
        <f>INDEX(curve_x3,'Metrics'!$E$12)</f>
        <v/>
      </c>
      <c r="I12" s="71">
        <f>INDEX(curve_x4,'Metrics'!$E$12)</f>
        <v/>
      </c>
      <c r="J12" s="71">
        <f>INDEX(curve_x5,'Metrics'!$E$12)</f>
        <v/>
      </c>
      <c r="K12" s="71">
        <f>INDEX(curve_x6,'Metrics'!$E$12)</f>
        <v/>
      </c>
      <c r="L12" s="71">
        <f>INDEX(curve_x7,'Metrics'!$E$12)</f>
        <v/>
      </c>
      <c r="M12" s="71">
        <f>INDEX(curve_x8,'Metrics'!$E$12)</f>
        <v/>
      </c>
      <c r="N12" s="71">
        <f>INDEX(curve_y1,'Metrics'!$E$12)</f>
        <v/>
      </c>
      <c r="O12" s="71">
        <f>INDEX(curve_y2,'Metrics'!$E$12)</f>
        <v/>
      </c>
      <c r="P12" s="71">
        <f>INDEX(curve_y3,'Metrics'!$E$12)</f>
        <v/>
      </c>
      <c r="Q12" s="71">
        <f>INDEX(curve_y4,'Metrics'!$E$12)</f>
        <v/>
      </c>
      <c r="R12" s="71">
        <f>INDEX(curve_y5,'Metrics'!$E$12)</f>
        <v/>
      </c>
      <c r="S12" s="71">
        <f>INDEX(curve_y6,'Metrics'!$E$12)</f>
        <v/>
      </c>
      <c r="T12" s="71">
        <f>INDEX(curve_y7,'Metrics'!$E$12)</f>
        <v/>
      </c>
      <c r="U12" s="71">
        <f>INDEX(curve_y8,'Metrics'!$E$12)</f>
        <v/>
      </c>
      <c r="V12" s="72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70" t="inlineStr">
        <is>
          <t>Sand + fines</t>
        </is>
      </c>
      <c r="B13" s="71">
        <f>IF('DEEP Score'!$E$22="","",'DEEP Score'!$E$22)</f>
        <v/>
      </c>
      <c r="C13" s="71">
        <f>""</f>
        <v/>
      </c>
      <c r="D13" s="71">
        <f>"spring_phab_pct_safn|"&amp;'Metrics'!$C$13</f>
        <v/>
      </c>
      <c r="E13" s="71">
        <f>IFERROR(MATCH('Metrics'!$D$13,curve_key,0),MATCH("spring_phab_pct_safn|",curve_key,0))</f>
        <v/>
      </c>
      <c r="F13" s="71">
        <f>INDEX(curve_x1,'Metrics'!$E$13)</f>
        <v/>
      </c>
      <c r="G13" s="71">
        <f>INDEX(curve_x2,'Metrics'!$E$13)</f>
        <v/>
      </c>
      <c r="H13" s="71">
        <f>INDEX(curve_x3,'Metrics'!$E$13)</f>
        <v/>
      </c>
      <c r="I13" s="71">
        <f>INDEX(curve_x4,'Metrics'!$E$13)</f>
        <v/>
      </c>
      <c r="J13" s="71">
        <f>INDEX(curve_x5,'Metrics'!$E$13)</f>
        <v/>
      </c>
      <c r="K13" s="71">
        <f>INDEX(curve_x6,'Metrics'!$E$13)</f>
        <v/>
      </c>
      <c r="L13" s="71">
        <f>INDEX(curve_x7,'Metrics'!$E$13)</f>
        <v/>
      </c>
      <c r="M13" s="71">
        <f>INDEX(curve_x8,'Metrics'!$E$13)</f>
        <v/>
      </c>
      <c r="N13" s="71">
        <f>INDEX(curve_y1,'Metrics'!$E$13)</f>
        <v/>
      </c>
      <c r="O13" s="71">
        <f>INDEX(curve_y2,'Metrics'!$E$13)</f>
        <v/>
      </c>
      <c r="P13" s="71">
        <f>INDEX(curve_y3,'Metrics'!$E$13)</f>
        <v/>
      </c>
      <c r="Q13" s="71">
        <f>INDEX(curve_y4,'Metrics'!$E$13)</f>
        <v/>
      </c>
      <c r="R13" s="71">
        <f>INDEX(curve_y5,'Metrics'!$E$13)</f>
        <v/>
      </c>
      <c r="S13" s="71">
        <f>INDEX(curve_y6,'Metrics'!$E$13)</f>
        <v/>
      </c>
      <c r="T13" s="71">
        <f>INDEX(curve_y7,'Metrics'!$E$13)</f>
        <v/>
      </c>
      <c r="U13" s="71">
        <f>INDEX(curve_y8,'Metrics'!$E$13)</f>
        <v/>
      </c>
      <c r="V13" s="72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70" t="inlineStr">
        <is>
          <t>Embeddedness</t>
        </is>
      </c>
      <c r="B14" s="71">
        <f>IF('DEEP Score'!$E$23="","",'DEEP Score'!$E$23)</f>
        <v/>
      </c>
      <c r="C14" s="71">
        <f>""</f>
        <v/>
      </c>
      <c r="D14" s="71">
        <f>"spring_phab_xembed|"&amp;'Metrics'!$C$14</f>
        <v/>
      </c>
      <c r="E14" s="71">
        <f>IFERROR(MATCH('Metrics'!$D$14,curve_key,0),MATCH("spring_phab_xembed|",curve_key,0))</f>
        <v/>
      </c>
      <c r="F14" s="71">
        <f>INDEX(curve_x1,'Metrics'!$E$14)</f>
        <v/>
      </c>
      <c r="G14" s="71">
        <f>INDEX(curve_x2,'Metrics'!$E$14)</f>
        <v/>
      </c>
      <c r="H14" s="71">
        <f>INDEX(curve_x3,'Metrics'!$E$14)</f>
        <v/>
      </c>
      <c r="I14" s="71">
        <f>INDEX(curve_x4,'Metrics'!$E$14)</f>
        <v/>
      </c>
      <c r="J14" s="71">
        <f>INDEX(curve_x5,'Metrics'!$E$14)</f>
        <v/>
      </c>
      <c r="K14" s="71">
        <f>INDEX(curve_x6,'Metrics'!$E$14)</f>
        <v/>
      </c>
      <c r="L14" s="71">
        <f>INDEX(curve_x7,'Metrics'!$E$14)</f>
        <v/>
      </c>
      <c r="M14" s="71">
        <f>INDEX(curve_x8,'Metrics'!$E$14)</f>
        <v/>
      </c>
      <c r="N14" s="71">
        <f>INDEX(curve_y1,'Metrics'!$E$14)</f>
        <v/>
      </c>
      <c r="O14" s="71">
        <f>INDEX(curve_y2,'Metrics'!$E$14)</f>
        <v/>
      </c>
      <c r="P14" s="71">
        <f>INDEX(curve_y3,'Metrics'!$E$14)</f>
        <v/>
      </c>
      <c r="Q14" s="71">
        <f>INDEX(curve_y4,'Metrics'!$E$14)</f>
        <v/>
      </c>
      <c r="R14" s="71">
        <f>INDEX(curve_y5,'Metrics'!$E$14)</f>
        <v/>
      </c>
      <c r="S14" s="71">
        <f>INDEX(curve_y6,'Metrics'!$E$14)</f>
        <v/>
      </c>
      <c r="T14" s="71">
        <f>INDEX(curve_y7,'Metrics'!$E$14)</f>
        <v/>
      </c>
      <c r="U14" s="71">
        <f>INDEX(curve_y8,'Metrics'!$E$14)</f>
        <v/>
      </c>
      <c r="V14" s="72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70" t="inlineStr">
        <is>
          <t>Sinuosity</t>
        </is>
      </c>
      <c r="B15" s="71">
        <f>IF('DEEP Score'!$E$26="","",'DEEP Score'!$E$26)</f>
        <v/>
      </c>
      <c r="C15" s="71">
        <f>""</f>
        <v/>
      </c>
      <c r="D15" s="71">
        <f>"spring_phab_sinu|"&amp;'Metrics'!$C$15</f>
        <v/>
      </c>
      <c r="E15" s="71">
        <f>IFERROR(MATCH('Metrics'!$D$15,curve_key,0),MATCH("spring_phab_sinu|",curve_key,0))</f>
        <v/>
      </c>
      <c r="F15" s="71">
        <f>INDEX(curve_x1,'Metrics'!$E$15)</f>
        <v/>
      </c>
      <c r="G15" s="71">
        <f>INDEX(curve_x2,'Metrics'!$E$15)</f>
        <v/>
      </c>
      <c r="H15" s="71">
        <f>INDEX(curve_x3,'Metrics'!$E$15)</f>
        <v/>
      </c>
      <c r="I15" s="71">
        <f>INDEX(curve_x4,'Metrics'!$E$15)</f>
        <v/>
      </c>
      <c r="J15" s="71">
        <f>INDEX(curve_x5,'Metrics'!$E$15)</f>
        <v/>
      </c>
      <c r="K15" s="71">
        <f>INDEX(curve_x6,'Metrics'!$E$15)</f>
        <v/>
      </c>
      <c r="L15" s="71">
        <f>INDEX(curve_x7,'Metrics'!$E$15)</f>
        <v/>
      </c>
      <c r="M15" s="71">
        <f>INDEX(curve_x8,'Metrics'!$E$15)</f>
        <v/>
      </c>
      <c r="N15" s="71">
        <f>INDEX(curve_y1,'Metrics'!$E$15)</f>
        <v/>
      </c>
      <c r="O15" s="71">
        <f>INDEX(curve_y2,'Metrics'!$E$15)</f>
        <v/>
      </c>
      <c r="P15" s="71">
        <f>INDEX(curve_y3,'Metrics'!$E$15)</f>
        <v/>
      </c>
      <c r="Q15" s="71">
        <f>INDEX(curve_y4,'Metrics'!$E$15)</f>
        <v/>
      </c>
      <c r="R15" s="71">
        <f>INDEX(curve_y5,'Metrics'!$E$15)</f>
        <v/>
      </c>
      <c r="S15" s="71">
        <f>INDEX(curve_y6,'Metrics'!$E$15)</f>
        <v/>
      </c>
      <c r="T15" s="71">
        <f>INDEX(curve_y7,'Metrics'!$E$15)</f>
        <v/>
      </c>
      <c r="U15" s="71">
        <f>INDEX(curve_y8,'Metrics'!$E$15)</f>
        <v/>
      </c>
      <c r="V15" s="72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70" t="inlineStr">
        <is>
          <t>Bank angle</t>
        </is>
      </c>
      <c r="B16" s="71">
        <f>IF('DEEP Score'!$E$27="","",'DEEP Score'!$E$27)</f>
        <v/>
      </c>
      <c r="C16" s="71">
        <f>""</f>
        <v/>
      </c>
      <c r="D16" s="71">
        <f>"spring_phab_xbka|"&amp;'Metrics'!$C$16</f>
        <v/>
      </c>
      <c r="E16" s="71">
        <f>IFERROR(MATCH('Metrics'!$D$16,curve_key,0),MATCH("spring_phab_xbka|",curve_key,0))</f>
        <v/>
      </c>
      <c r="F16" s="71">
        <f>INDEX(curve_x1,'Metrics'!$E$16)</f>
        <v/>
      </c>
      <c r="G16" s="71">
        <f>INDEX(curve_x2,'Metrics'!$E$16)</f>
        <v/>
      </c>
      <c r="H16" s="71">
        <f>INDEX(curve_x3,'Metrics'!$E$16)</f>
        <v/>
      </c>
      <c r="I16" s="71">
        <f>INDEX(curve_x4,'Metrics'!$E$16)</f>
        <v/>
      </c>
      <c r="J16" s="71">
        <f>INDEX(curve_x5,'Metrics'!$E$16)</f>
        <v/>
      </c>
      <c r="K16" s="71">
        <f>INDEX(curve_x6,'Metrics'!$E$16)</f>
        <v/>
      </c>
      <c r="L16" s="71">
        <f>INDEX(curve_x7,'Metrics'!$E$16)</f>
        <v/>
      </c>
      <c r="M16" s="71">
        <f>INDEX(curve_x8,'Metrics'!$E$16)</f>
        <v/>
      </c>
      <c r="N16" s="71">
        <f>INDEX(curve_y1,'Metrics'!$E$16)</f>
        <v/>
      </c>
      <c r="O16" s="71">
        <f>INDEX(curve_y2,'Metrics'!$E$16)</f>
        <v/>
      </c>
      <c r="P16" s="71">
        <f>INDEX(curve_y3,'Metrics'!$E$16)</f>
        <v/>
      </c>
      <c r="Q16" s="71">
        <f>INDEX(curve_y4,'Metrics'!$E$16)</f>
        <v/>
      </c>
      <c r="R16" s="71">
        <f>INDEX(curve_y5,'Metrics'!$E$16)</f>
        <v/>
      </c>
      <c r="S16" s="71">
        <f>INDEX(curve_y6,'Metrics'!$E$16)</f>
        <v/>
      </c>
      <c r="T16" s="71">
        <f>INDEX(curve_y7,'Metrics'!$E$16)</f>
        <v/>
      </c>
      <c r="U16" s="71">
        <f>INDEX(curve_y8,'Metrics'!$E$16)</f>
        <v/>
      </c>
      <c r="V16" s="72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70" t="inlineStr">
        <is>
          <t>Relative bed stability</t>
        </is>
      </c>
      <c r="B17" s="71">
        <f>IF('DEEP Score'!$E$28="","",'DEEP Score'!$E$28)</f>
        <v/>
      </c>
      <c r="C17" s="71">
        <f>IF('DEEP Score'!$F$28="","All streams (pooled)",'DEEP Score'!$F$28)</f>
        <v/>
      </c>
      <c r="D17" s="71">
        <f>"spring_phab_lrbs_use|"&amp;'Metrics'!$C$17</f>
        <v/>
      </c>
      <c r="E17" s="71">
        <f>IFERROR(MATCH('Metrics'!$D$17,curve_key,0),MATCH("spring_phab_lrbs_use|All streams (pooled)",curve_key,0))</f>
        <v/>
      </c>
      <c r="F17" s="71">
        <f>INDEX(curve_x1,'Metrics'!$E$17)</f>
        <v/>
      </c>
      <c r="G17" s="71">
        <f>INDEX(curve_x2,'Metrics'!$E$17)</f>
        <v/>
      </c>
      <c r="H17" s="71">
        <f>INDEX(curve_x3,'Metrics'!$E$17)</f>
        <v/>
      </c>
      <c r="I17" s="71">
        <f>INDEX(curve_x4,'Metrics'!$E$17)</f>
        <v/>
      </c>
      <c r="J17" s="71">
        <f>INDEX(curve_x5,'Metrics'!$E$17)</f>
        <v/>
      </c>
      <c r="K17" s="71">
        <f>INDEX(curve_x6,'Metrics'!$E$17)</f>
        <v/>
      </c>
      <c r="L17" s="71">
        <f>INDEX(curve_x7,'Metrics'!$E$17)</f>
        <v/>
      </c>
      <c r="M17" s="71">
        <f>INDEX(curve_x8,'Metrics'!$E$17)</f>
        <v/>
      </c>
      <c r="N17" s="71">
        <f>INDEX(curve_y1,'Metrics'!$E$17)</f>
        <v/>
      </c>
      <c r="O17" s="71">
        <f>INDEX(curve_y2,'Metrics'!$E$17)</f>
        <v/>
      </c>
      <c r="P17" s="71">
        <f>INDEX(curve_y3,'Metrics'!$E$17)</f>
        <v/>
      </c>
      <c r="Q17" s="71">
        <f>INDEX(curve_y4,'Metrics'!$E$17)</f>
        <v/>
      </c>
      <c r="R17" s="71">
        <f>INDEX(curve_y5,'Metrics'!$E$17)</f>
        <v/>
      </c>
      <c r="S17" s="71">
        <f>INDEX(curve_y6,'Metrics'!$E$17)</f>
        <v/>
      </c>
      <c r="T17" s="71">
        <f>INDEX(curve_y7,'Metrics'!$E$17)</f>
        <v/>
      </c>
      <c r="U17" s="71">
        <f>INDEX(curve_y8,'Metrics'!$E$17)</f>
        <v/>
      </c>
      <c r="V17" s="72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70" t="inlineStr">
        <is>
          <t>Substrate size</t>
        </is>
      </c>
      <c r="B18" s="71">
        <f>IF('DEEP Score'!$E$30="","",'DEEP Score'!$E$30)</f>
        <v/>
      </c>
      <c r="C18" s="71">
        <f>""</f>
        <v/>
      </c>
      <c r="D18" s="71">
        <f>"spring_phab_lsub_dmm|"&amp;'Metrics'!$C$18</f>
        <v/>
      </c>
      <c r="E18" s="71">
        <f>IFERROR(MATCH('Metrics'!$D$18,curve_key,0),MATCH("spring_phab_lsub_dmm|",curve_key,0))</f>
        <v/>
      </c>
      <c r="F18" s="71">
        <f>INDEX(curve_x1,'Metrics'!$E$18)</f>
        <v/>
      </c>
      <c r="G18" s="71">
        <f>INDEX(curve_x2,'Metrics'!$E$18)</f>
        <v/>
      </c>
      <c r="H18" s="71">
        <f>INDEX(curve_x3,'Metrics'!$E$18)</f>
        <v/>
      </c>
      <c r="I18" s="71">
        <f>INDEX(curve_x4,'Metrics'!$E$18)</f>
        <v/>
      </c>
      <c r="J18" s="71">
        <f>INDEX(curve_x5,'Metrics'!$E$18)</f>
        <v/>
      </c>
      <c r="K18" s="71">
        <f>INDEX(curve_x6,'Metrics'!$E$18)</f>
        <v/>
      </c>
      <c r="L18" s="71">
        <f>INDEX(curve_x7,'Metrics'!$E$18)</f>
        <v/>
      </c>
      <c r="M18" s="71">
        <f>INDEX(curve_x8,'Metrics'!$E$18)</f>
        <v/>
      </c>
      <c r="N18" s="71">
        <f>INDEX(curve_y1,'Metrics'!$E$18)</f>
        <v/>
      </c>
      <c r="O18" s="71">
        <f>INDEX(curve_y2,'Metrics'!$E$18)</f>
        <v/>
      </c>
      <c r="P18" s="71">
        <f>INDEX(curve_y3,'Metrics'!$E$18)</f>
        <v/>
      </c>
      <c r="Q18" s="71">
        <f>INDEX(curve_y4,'Metrics'!$E$18)</f>
        <v/>
      </c>
      <c r="R18" s="71">
        <f>INDEX(curve_y5,'Metrics'!$E$18)</f>
        <v/>
      </c>
      <c r="S18" s="71">
        <f>INDEX(curve_y6,'Metrics'!$E$18)</f>
        <v/>
      </c>
      <c r="T18" s="71">
        <f>INDEX(curve_y7,'Metrics'!$E$18)</f>
        <v/>
      </c>
      <c r="U18" s="71">
        <f>INDEX(curve_y8,'Metrics'!$E$18)</f>
        <v/>
      </c>
      <c r="V18" s="72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70" t="inlineStr">
        <is>
          <t>Canopy density, mid-channel</t>
        </is>
      </c>
      <c r="B19" s="71">
        <f>IF('DEEP Score'!$E$32="","",'DEEP Score'!$E$32)</f>
        <v/>
      </c>
      <c r="C19" s="71">
        <f>IF('DEEP Score'!$F$32="","All streams (pooled)",'DEEP Score'!$F$32)</f>
        <v/>
      </c>
      <c r="D19" s="71">
        <f>"spring_phab_xcdenmid|"&amp;'Metrics'!$C$19</f>
        <v/>
      </c>
      <c r="E19" s="71">
        <f>IFERROR(MATCH('Metrics'!$D$19,curve_key,0),MATCH("spring_phab_xcdenmid|All streams (pooled)",curve_key,0))</f>
        <v/>
      </c>
      <c r="F19" s="71">
        <f>INDEX(curve_x1,'Metrics'!$E$19)</f>
        <v/>
      </c>
      <c r="G19" s="71">
        <f>INDEX(curve_x2,'Metrics'!$E$19)</f>
        <v/>
      </c>
      <c r="H19" s="71">
        <f>INDEX(curve_x3,'Metrics'!$E$19)</f>
        <v/>
      </c>
      <c r="I19" s="71">
        <f>INDEX(curve_x4,'Metrics'!$E$19)</f>
        <v/>
      </c>
      <c r="J19" s="71">
        <f>INDEX(curve_x5,'Metrics'!$E$19)</f>
        <v/>
      </c>
      <c r="K19" s="71">
        <f>INDEX(curve_x6,'Metrics'!$E$19)</f>
        <v/>
      </c>
      <c r="L19" s="71">
        <f>INDEX(curve_x7,'Metrics'!$E$19)</f>
        <v/>
      </c>
      <c r="M19" s="71">
        <f>INDEX(curve_x8,'Metrics'!$E$19)</f>
        <v/>
      </c>
      <c r="N19" s="71">
        <f>INDEX(curve_y1,'Metrics'!$E$19)</f>
        <v/>
      </c>
      <c r="O19" s="71">
        <f>INDEX(curve_y2,'Metrics'!$E$19)</f>
        <v/>
      </c>
      <c r="P19" s="71">
        <f>INDEX(curve_y3,'Metrics'!$E$19)</f>
        <v/>
      </c>
      <c r="Q19" s="71">
        <f>INDEX(curve_y4,'Metrics'!$E$19)</f>
        <v/>
      </c>
      <c r="R19" s="71">
        <f>INDEX(curve_y5,'Metrics'!$E$19)</f>
        <v/>
      </c>
      <c r="S19" s="71">
        <f>INDEX(curve_y6,'Metrics'!$E$19)</f>
        <v/>
      </c>
      <c r="T19" s="71">
        <f>INDEX(curve_y7,'Metrics'!$E$19)</f>
        <v/>
      </c>
      <c r="U19" s="71">
        <f>INDEX(curve_y8,'Metrics'!$E$19)</f>
        <v/>
      </c>
      <c r="V19" s="72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70" t="inlineStr">
        <is>
          <t>Riparian veg cover, woody</t>
        </is>
      </c>
      <c r="B20" s="71">
        <f>IF('DEEP Score'!$E$33="","",'DEEP Score'!$E$33)</f>
        <v/>
      </c>
      <c r="C20" s="71">
        <f>""</f>
        <v/>
      </c>
      <c r="D20" s="71">
        <f>"spring_phab_xcmgw|"&amp;'Metrics'!$C$20</f>
        <v/>
      </c>
      <c r="E20" s="71">
        <f>IFERROR(MATCH('Metrics'!$D$20,curve_key,0),MATCH("spring_phab_xcmgw|",curve_key,0))</f>
        <v/>
      </c>
      <c r="F20" s="71">
        <f>INDEX(curve_x1,'Metrics'!$E$20)</f>
        <v/>
      </c>
      <c r="G20" s="71">
        <f>INDEX(curve_x2,'Metrics'!$E$20)</f>
        <v/>
      </c>
      <c r="H20" s="71">
        <f>INDEX(curve_x3,'Metrics'!$E$20)</f>
        <v/>
      </c>
      <c r="I20" s="71">
        <f>INDEX(curve_x4,'Metrics'!$E$20)</f>
        <v/>
      </c>
      <c r="J20" s="71">
        <f>INDEX(curve_x5,'Metrics'!$E$20)</f>
        <v/>
      </c>
      <c r="K20" s="71">
        <f>INDEX(curve_x6,'Metrics'!$E$20)</f>
        <v/>
      </c>
      <c r="L20" s="71">
        <f>INDEX(curve_x7,'Metrics'!$E$20)</f>
        <v/>
      </c>
      <c r="M20" s="71">
        <f>INDEX(curve_x8,'Metrics'!$E$20)</f>
        <v/>
      </c>
      <c r="N20" s="71">
        <f>INDEX(curve_y1,'Metrics'!$E$20)</f>
        <v/>
      </c>
      <c r="O20" s="71">
        <f>INDEX(curve_y2,'Metrics'!$E$20)</f>
        <v/>
      </c>
      <c r="P20" s="71">
        <f>INDEX(curve_y3,'Metrics'!$E$20)</f>
        <v/>
      </c>
      <c r="Q20" s="71">
        <f>INDEX(curve_y4,'Metrics'!$E$20)</f>
        <v/>
      </c>
      <c r="R20" s="71">
        <f>INDEX(curve_y5,'Metrics'!$E$20)</f>
        <v/>
      </c>
      <c r="S20" s="71">
        <f>INDEX(curve_y6,'Metrics'!$E$20)</f>
        <v/>
      </c>
      <c r="T20" s="71">
        <f>INDEX(curve_y7,'Metrics'!$E$20)</f>
        <v/>
      </c>
      <c r="U20" s="71">
        <f>INDEX(curve_y8,'Metrics'!$E$20)</f>
        <v/>
      </c>
      <c r="V20" s="72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70" t="inlineStr">
        <is>
          <t>Total nitrogen</t>
        </is>
      </c>
      <c r="B21" s="71">
        <f>IF('DEEP Score'!$E$34="","",'DEEP Score'!$E$34)</f>
        <v/>
      </c>
      <c r="C21" s="71">
        <f>""</f>
        <v/>
      </c>
      <c r="D21" s="71">
        <f>"spring_chem_ntl|"&amp;'Metrics'!$C$21</f>
        <v/>
      </c>
      <c r="E21" s="71">
        <f>IFERROR(MATCH('Metrics'!$D$21,curve_key,0),MATCH("spring_chem_ntl|",curve_key,0))</f>
        <v/>
      </c>
      <c r="F21" s="71">
        <f>INDEX(curve_x1,'Metrics'!$E$21)</f>
        <v/>
      </c>
      <c r="G21" s="71">
        <f>INDEX(curve_x2,'Metrics'!$E$21)</f>
        <v/>
      </c>
      <c r="H21" s="71">
        <f>INDEX(curve_x3,'Metrics'!$E$21)</f>
        <v/>
      </c>
      <c r="I21" s="71">
        <f>INDEX(curve_x4,'Metrics'!$E$21)</f>
        <v/>
      </c>
      <c r="J21" s="71">
        <f>INDEX(curve_x5,'Metrics'!$E$21)</f>
        <v/>
      </c>
      <c r="K21" s="71">
        <f>INDEX(curve_x6,'Metrics'!$E$21)</f>
        <v/>
      </c>
      <c r="L21" s="71">
        <f>INDEX(curve_x7,'Metrics'!$E$21)</f>
        <v/>
      </c>
      <c r="M21" s="71">
        <f>INDEX(curve_x8,'Metrics'!$E$21)</f>
        <v/>
      </c>
      <c r="N21" s="71">
        <f>INDEX(curve_y1,'Metrics'!$E$21)</f>
        <v/>
      </c>
      <c r="O21" s="71">
        <f>INDEX(curve_y2,'Metrics'!$E$21)</f>
        <v/>
      </c>
      <c r="P21" s="71">
        <f>INDEX(curve_y3,'Metrics'!$E$21)</f>
        <v/>
      </c>
      <c r="Q21" s="71">
        <f>INDEX(curve_y4,'Metrics'!$E$21)</f>
        <v/>
      </c>
      <c r="R21" s="71">
        <f>INDEX(curve_y5,'Metrics'!$E$21)</f>
        <v/>
      </c>
      <c r="S21" s="71">
        <f>INDEX(curve_y6,'Metrics'!$E$21)</f>
        <v/>
      </c>
      <c r="T21" s="71">
        <f>INDEX(curve_y7,'Metrics'!$E$21)</f>
        <v/>
      </c>
      <c r="U21" s="71">
        <f>INDEX(curve_y8,'Metrics'!$E$21)</f>
        <v/>
      </c>
      <c r="V21" s="72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70" t="inlineStr">
        <is>
          <t>Total phosphorus</t>
        </is>
      </c>
      <c r="B22" s="71">
        <f>IF('DEEP Score'!$E$35="","",'DEEP Score'!$E$35)</f>
        <v/>
      </c>
      <c r="C22" s="71">
        <f>""</f>
        <v/>
      </c>
      <c r="D22" s="71">
        <f>"spring_chem_ptl|"&amp;'Metrics'!$C$22</f>
        <v/>
      </c>
      <c r="E22" s="71">
        <f>IFERROR(MATCH('Metrics'!$D$22,curve_key,0),MATCH("spring_chem_ptl|",curve_key,0))</f>
        <v/>
      </c>
      <c r="F22" s="71">
        <f>INDEX(curve_x1,'Metrics'!$E$22)</f>
        <v/>
      </c>
      <c r="G22" s="71">
        <f>INDEX(curve_x2,'Metrics'!$E$22)</f>
        <v/>
      </c>
      <c r="H22" s="71">
        <f>INDEX(curve_x3,'Metrics'!$E$22)</f>
        <v/>
      </c>
      <c r="I22" s="71">
        <f>INDEX(curve_x4,'Metrics'!$E$22)</f>
        <v/>
      </c>
      <c r="J22" s="71">
        <f>INDEX(curve_x5,'Metrics'!$E$22)</f>
        <v/>
      </c>
      <c r="K22" s="71">
        <f>INDEX(curve_x6,'Metrics'!$E$22)</f>
        <v/>
      </c>
      <c r="L22" s="71">
        <f>INDEX(curve_x7,'Metrics'!$E$22)</f>
        <v/>
      </c>
      <c r="M22" s="71">
        <f>INDEX(curve_x8,'Metrics'!$E$22)</f>
        <v/>
      </c>
      <c r="N22" s="71">
        <f>INDEX(curve_y1,'Metrics'!$E$22)</f>
        <v/>
      </c>
      <c r="O22" s="71">
        <f>INDEX(curve_y2,'Metrics'!$E$22)</f>
        <v/>
      </c>
      <c r="P22" s="71">
        <f>INDEX(curve_y3,'Metrics'!$E$22)</f>
        <v/>
      </c>
      <c r="Q22" s="71">
        <f>INDEX(curve_y4,'Metrics'!$E$22)</f>
        <v/>
      </c>
      <c r="R22" s="71">
        <f>INDEX(curve_y5,'Metrics'!$E$22)</f>
        <v/>
      </c>
      <c r="S22" s="71">
        <f>INDEX(curve_y6,'Metrics'!$E$22)</f>
        <v/>
      </c>
      <c r="T22" s="71">
        <f>INDEX(curve_y7,'Metrics'!$E$22)</f>
        <v/>
      </c>
      <c r="U22" s="71">
        <f>INDEX(curve_y8,'Metrics'!$E$22)</f>
        <v/>
      </c>
      <c r="V22" s="72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70" t="inlineStr">
        <is>
          <t>Turbidity</t>
        </is>
      </c>
      <c r="B23" s="71">
        <f>IF('DEEP Score'!$E$36="","",'DEEP Score'!$E$36)</f>
        <v/>
      </c>
      <c r="C23" s="71">
        <f>""</f>
        <v/>
      </c>
      <c r="D23" s="71">
        <f>"spring_chem_turb|"&amp;'Metrics'!$C$23</f>
        <v/>
      </c>
      <c r="E23" s="71">
        <f>IFERROR(MATCH('Metrics'!$D$23,curve_key,0),MATCH("spring_chem_turb|",curve_key,0))</f>
        <v/>
      </c>
      <c r="F23" s="71">
        <f>INDEX(curve_x1,'Metrics'!$E$23)</f>
        <v/>
      </c>
      <c r="G23" s="71">
        <f>INDEX(curve_x2,'Metrics'!$E$23)</f>
        <v/>
      </c>
      <c r="H23" s="71">
        <f>INDEX(curve_x3,'Metrics'!$E$23)</f>
        <v/>
      </c>
      <c r="I23" s="71">
        <f>INDEX(curve_x4,'Metrics'!$E$23)</f>
        <v/>
      </c>
      <c r="J23" s="71">
        <f>INDEX(curve_x5,'Metrics'!$E$23)</f>
        <v/>
      </c>
      <c r="K23" s="71">
        <f>INDEX(curve_x6,'Metrics'!$E$23)</f>
        <v/>
      </c>
      <c r="L23" s="71">
        <f>INDEX(curve_x7,'Metrics'!$E$23)</f>
        <v/>
      </c>
      <c r="M23" s="71">
        <f>INDEX(curve_x8,'Metrics'!$E$23)</f>
        <v/>
      </c>
      <c r="N23" s="71">
        <f>INDEX(curve_y1,'Metrics'!$E$23)</f>
        <v/>
      </c>
      <c r="O23" s="71">
        <f>INDEX(curve_y2,'Metrics'!$E$23)</f>
        <v/>
      </c>
      <c r="P23" s="71">
        <f>INDEX(curve_y3,'Metrics'!$E$23)</f>
        <v/>
      </c>
      <c r="Q23" s="71">
        <f>INDEX(curve_y4,'Metrics'!$E$23)</f>
        <v/>
      </c>
      <c r="R23" s="71">
        <f>INDEX(curve_y5,'Metrics'!$E$23)</f>
        <v/>
      </c>
      <c r="S23" s="71">
        <f>INDEX(curve_y6,'Metrics'!$E$23)</f>
        <v/>
      </c>
      <c r="T23" s="71">
        <f>INDEX(curve_y7,'Metrics'!$E$23)</f>
        <v/>
      </c>
      <c r="U23" s="71">
        <f>INDEX(curve_y8,'Metrics'!$E$23)</f>
        <v/>
      </c>
      <c r="V23" s="72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70" t="inlineStr">
        <is>
          <t>Specific conductivity</t>
        </is>
      </c>
      <c r="B24" s="71">
        <f>IF('DEEP Score'!$E$37="","",'DEEP Score'!$E$37)</f>
        <v/>
      </c>
      <c r="C24" s="71">
        <f>""</f>
        <v/>
      </c>
      <c r="D24" s="71">
        <f>"spring_chem_cond|"&amp;'Metrics'!$C$24</f>
        <v/>
      </c>
      <c r="E24" s="71">
        <f>IFERROR(MATCH('Metrics'!$D$24,curve_key,0),MATCH("spring_chem_cond|",curve_key,0))</f>
        <v/>
      </c>
      <c r="F24" s="71">
        <f>INDEX(curve_x1,'Metrics'!$E$24)</f>
        <v/>
      </c>
      <c r="G24" s="71">
        <f>INDEX(curve_x2,'Metrics'!$E$24)</f>
        <v/>
      </c>
      <c r="H24" s="71">
        <f>INDEX(curve_x3,'Metrics'!$E$24)</f>
        <v/>
      </c>
      <c r="I24" s="71">
        <f>INDEX(curve_x4,'Metrics'!$E$24)</f>
        <v/>
      </c>
      <c r="J24" s="71">
        <f>INDEX(curve_x5,'Metrics'!$E$24)</f>
        <v/>
      </c>
      <c r="K24" s="71">
        <f>INDEX(curve_x6,'Metrics'!$E$24)</f>
        <v/>
      </c>
      <c r="L24" s="71">
        <f>INDEX(curve_x7,'Metrics'!$E$24)</f>
        <v/>
      </c>
      <c r="M24" s="71">
        <f>INDEX(curve_x8,'Metrics'!$E$24)</f>
        <v/>
      </c>
      <c r="N24" s="71">
        <f>INDEX(curve_y1,'Metrics'!$E$24)</f>
        <v/>
      </c>
      <c r="O24" s="71">
        <f>INDEX(curve_y2,'Metrics'!$E$24)</f>
        <v/>
      </c>
      <c r="P24" s="71">
        <f>INDEX(curve_y3,'Metrics'!$E$24)</f>
        <v/>
      </c>
      <c r="Q24" s="71">
        <f>INDEX(curve_y4,'Metrics'!$E$24)</f>
        <v/>
      </c>
      <c r="R24" s="71">
        <f>INDEX(curve_y5,'Metrics'!$E$24)</f>
        <v/>
      </c>
      <c r="S24" s="71">
        <f>INDEX(curve_y6,'Metrics'!$E$24)</f>
        <v/>
      </c>
      <c r="T24" s="71">
        <f>INDEX(curve_y7,'Metrics'!$E$24)</f>
        <v/>
      </c>
      <c r="U24" s="71">
        <f>INDEX(curve_y8,'Metrics'!$E$24)</f>
        <v/>
      </c>
      <c r="V24" s="72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70" t="inlineStr">
        <is>
          <t>Fast-water / riffle habitat</t>
        </is>
      </c>
      <c r="B25" s="71">
        <f>IF('DEEP Score'!$E$38="","",'DEEP Score'!$E$38)</f>
        <v/>
      </c>
      <c r="C25" s="71">
        <f>""</f>
        <v/>
      </c>
      <c r="D25" s="71">
        <f>"spring_phab_pct_fast|"&amp;'Metrics'!$C$25</f>
        <v/>
      </c>
      <c r="E25" s="71">
        <f>IFERROR(MATCH('Metrics'!$D$25,curve_key,0),MATCH("spring_phab_pct_fast|",curve_key,0))</f>
        <v/>
      </c>
      <c r="F25" s="71">
        <f>INDEX(curve_x1,'Metrics'!$E$25)</f>
        <v/>
      </c>
      <c r="G25" s="71">
        <f>INDEX(curve_x2,'Metrics'!$E$25)</f>
        <v/>
      </c>
      <c r="H25" s="71">
        <f>INDEX(curve_x3,'Metrics'!$E$25)</f>
        <v/>
      </c>
      <c r="I25" s="71">
        <f>INDEX(curve_x4,'Metrics'!$E$25)</f>
        <v/>
      </c>
      <c r="J25" s="71">
        <f>INDEX(curve_x5,'Metrics'!$E$25)</f>
        <v/>
      </c>
      <c r="K25" s="71">
        <f>INDEX(curve_x6,'Metrics'!$E$25)</f>
        <v/>
      </c>
      <c r="L25" s="71">
        <f>INDEX(curve_x7,'Metrics'!$E$25)</f>
        <v/>
      </c>
      <c r="M25" s="71">
        <f>INDEX(curve_x8,'Metrics'!$E$25)</f>
        <v/>
      </c>
      <c r="N25" s="71">
        <f>INDEX(curve_y1,'Metrics'!$E$25)</f>
        <v/>
      </c>
      <c r="O25" s="71">
        <f>INDEX(curve_y2,'Metrics'!$E$25)</f>
        <v/>
      </c>
      <c r="P25" s="71">
        <f>INDEX(curve_y3,'Metrics'!$E$25)</f>
        <v/>
      </c>
      <c r="Q25" s="71">
        <f>INDEX(curve_y4,'Metrics'!$E$25)</f>
        <v/>
      </c>
      <c r="R25" s="71">
        <f>INDEX(curve_y5,'Metrics'!$E$25)</f>
        <v/>
      </c>
      <c r="S25" s="71">
        <f>INDEX(curve_y6,'Metrics'!$E$25)</f>
        <v/>
      </c>
      <c r="T25" s="71">
        <f>INDEX(curve_y7,'Metrics'!$E$25)</f>
        <v/>
      </c>
      <c r="U25" s="71">
        <f>INDEX(curve_y8,'Metrics'!$E$25)</f>
        <v/>
      </c>
      <c r="V25" s="72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70" t="inlineStr">
        <is>
          <t>Natural fish cover</t>
        </is>
      </c>
      <c r="B26" s="71">
        <f>IF('DEEP Score'!$E$39="","",'DEEP Score'!$E$39)</f>
        <v/>
      </c>
      <c r="C26" s="71">
        <f>IF('DEEP Score'!$F$39="","All streams (pooled)",'DEEP Score'!$F$39)</f>
        <v/>
      </c>
      <c r="D26" s="71">
        <f>"spring_phab_xfc_nat|"&amp;'Metrics'!$C$26</f>
        <v/>
      </c>
      <c r="E26" s="71">
        <f>IFERROR(MATCH('Metrics'!$D$26,curve_key,0),MATCH("spring_phab_xfc_nat|All streams (pooled)",curve_key,0))</f>
        <v/>
      </c>
      <c r="F26" s="71">
        <f>INDEX(curve_x1,'Metrics'!$E$26)</f>
        <v/>
      </c>
      <c r="G26" s="71">
        <f>INDEX(curve_x2,'Metrics'!$E$26)</f>
        <v/>
      </c>
      <c r="H26" s="71">
        <f>INDEX(curve_x3,'Metrics'!$E$26)</f>
        <v/>
      </c>
      <c r="I26" s="71">
        <f>INDEX(curve_x4,'Metrics'!$E$26)</f>
        <v/>
      </c>
      <c r="J26" s="71">
        <f>INDEX(curve_x5,'Metrics'!$E$26)</f>
        <v/>
      </c>
      <c r="K26" s="71">
        <f>INDEX(curve_x6,'Metrics'!$E$26)</f>
        <v/>
      </c>
      <c r="L26" s="71">
        <f>INDEX(curve_x7,'Metrics'!$E$26)</f>
        <v/>
      </c>
      <c r="M26" s="71">
        <f>INDEX(curve_x8,'Metrics'!$E$26)</f>
        <v/>
      </c>
      <c r="N26" s="71">
        <f>INDEX(curve_y1,'Metrics'!$E$26)</f>
        <v/>
      </c>
      <c r="O26" s="71">
        <f>INDEX(curve_y2,'Metrics'!$E$26)</f>
        <v/>
      </c>
      <c r="P26" s="71">
        <f>INDEX(curve_y3,'Metrics'!$E$26)</f>
        <v/>
      </c>
      <c r="Q26" s="71">
        <f>INDEX(curve_y4,'Metrics'!$E$26)</f>
        <v/>
      </c>
      <c r="R26" s="71">
        <f>INDEX(curve_y5,'Metrics'!$E$26)</f>
        <v/>
      </c>
      <c r="S26" s="71">
        <f>INDEX(curve_y6,'Metrics'!$E$26)</f>
        <v/>
      </c>
      <c r="T26" s="71">
        <f>INDEX(curve_y7,'Metrics'!$E$26)</f>
        <v/>
      </c>
      <c r="U26" s="71">
        <f>INDEX(curve_y8,'Metrics'!$E$26)</f>
        <v/>
      </c>
      <c r="V26" s="72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70" t="inlineStr">
        <is>
          <t>Fish MMI</t>
        </is>
      </c>
      <c r="B27" s="71">
        <f>IF('DEEP Score'!$E$40="","",'DEEP Score'!$E$40)</f>
        <v/>
      </c>
      <c r="C27" s="71">
        <f>""</f>
        <v/>
      </c>
      <c r="D27" s="71">
        <f>"spring_fish_mmi_fish|"&amp;'Metrics'!$C$27</f>
        <v/>
      </c>
      <c r="E27" s="71">
        <f>IFERROR(MATCH('Metrics'!$D$27,curve_key,0),MATCH("spring_fish_mmi_fish|",curve_key,0))</f>
        <v/>
      </c>
      <c r="F27" s="71">
        <f>INDEX(curve_x1,'Metrics'!$E$27)</f>
        <v/>
      </c>
      <c r="G27" s="71">
        <f>INDEX(curve_x2,'Metrics'!$E$27)</f>
        <v/>
      </c>
      <c r="H27" s="71">
        <f>INDEX(curve_x3,'Metrics'!$E$27)</f>
        <v/>
      </c>
      <c r="I27" s="71">
        <f>INDEX(curve_x4,'Metrics'!$E$27)</f>
        <v/>
      </c>
      <c r="J27" s="71">
        <f>INDEX(curve_x5,'Metrics'!$E$27)</f>
        <v/>
      </c>
      <c r="K27" s="71">
        <f>INDEX(curve_x6,'Metrics'!$E$27)</f>
        <v/>
      </c>
      <c r="L27" s="71">
        <f>INDEX(curve_x7,'Metrics'!$E$27)</f>
        <v/>
      </c>
      <c r="M27" s="71">
        <f>INDEX(curve_x8,'Metrics'!$E$27)</f>
        <v/>
      </c>
      <c r="N27" s="71">
        <f>INDEX(curve_y1,'Metrics'!$E$27)</f>
        <v/>
      </c>
      <c r="O27" s="71">
        <f>INDEX(curve_y2,'Metrics'!$E$27)</f>
        <v/>
      </c>
      <c r="P27" s="71">
        <f>INDEX(curve_y3,'Metrics'!$E$27)</f>
        <v/>
      </c>
      <c r="Q27" s="71">
        <f>INDEX(curve_y4,'Metrics'!$E$27)</f>
        <v/>
      </c>
      <c r="R27" s="71">
        <f>INDEX(curve_y5,'Metrics'!$E$27)</f>
        <v/>
      </c>
      <c r="S27" s="71">
        <f>INDEX(curve_y6,'Metrics'!$E$27)</f>
        <v/>
      </c>
      <c r="T27" s="71">
        <f>INDEX(curve_y7,'Metrics'!$E$27)</f>
        <v/>
      </c>
      <c r="U27" s="71">
        <f>INDEX(curve_y8,'Metrics'!$E$27)</f>
        <v/>
      </c>
      <c r="V27" s="72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70" t="inlineStr">
        <is>
          <t>Shannon diversity (H')</t>
        </is>
      </c>
      <c r="B28" s="71">
        <f>IF('DEEP Score'!$E$41="","",'DEEP Score'!$E$41)</f>
        <v/>
      </c>
      <c r="C28" s="71">
        <f>""</f>
        <v/>
      </c>
      <c r="D28" s="71">
        <f>"spring_bent_hprime|"&amp;'Metrics'!$C$28</f>
        <v/>
      </c>
      <c r="E28" s="71">
        <f>IFERROR(MATCH('Metrics'!$D$28,curve_key,0),MATCH("spring_bent_hprime|",curve_key,0))</f>
        <v/>
      </c>
      <c r="F28" s="71">
        <f>INDEX(curve_x1,'Metrics'!$E$28)</f>
        <v/>
      </c>
      <c r="G28" s="71">
        <f>INDEX(curve_x2,'Metrics'!$E$28)</f>
        <v/>
      </c>
      <c r="H28" s="71">
        <f>INDEX(curve_x3,'Metrics'!$E$28)</f>
        <v/>
      </c>
      <c r="I28" s="71">
        <f>INDEX(curve_x4,'Metrics'!$E$28)</f>
        <v/>
      </c>
      <c r="J28" s="71">
        <f>INDEX(curve_x5,'Metrics'!$E$28)</f>
        <v/>
      </c>
      <c r="K28" s="71">
        <f>INDEX(curve_x6,'Metrics'!$E$28)</f>
        <v/>
      </c>
      <c r="L28" s="71">
        <f>INDEX(curve_x7,'Metrics'!$E$28)</f>
        <v/>
      </c>
      <c r="M28" s="71">
        <f>INDEX(curve_x8,'Metrics'!$E$28)</f>
        <v/>
      </c>
      <c r="N28" s="71">
        <f>INDEX(curve_y1,'Metrics'!$E$28)</f>
        <v/>
      </c>
      <c r="O28" s="71">
        <f>INDEX(curve_y2,'Metrics'!$E$28)</f>
        <v/>
      </c>
      <c r="P28" s="71">
        <f>INDEX(curve_y3,'Metrics'!$E$28)</f>
        <v/>
      </c>
      <c r="Q28" s="71">
        <f>INDEX(curve_y4,'Metrics'!$E$28)</f>
        <v/>
      </c>
      <c r="R28" s="71">
        <f>INDEX(curve_y5,'Metrics'!$E$28)</f>
        <v/>
      </c>
      <c r="S28" s="71">
        <f>INDEX(curve_y6,'Metrics'!$E$28)</f>
        <v/>
      </c>
      <c r="T28" s="71">
        <f>INDEX(curve_y7,'Metrics'!$E$28)</f>
        <v/>
      </c>
      <c r="U28" s="71">
        <f>INDEX(curve_y8,'Metrics'!$E$28)</f>
        <v/>
      </c>
      <c r="V28" s="72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70" t="inlineStr">
        <is>
          <t>Benthic macroinvertebrate MMI</t>
        </is>
      </c>
      <c r="B29" s="71">
        <f>IF('DEEP Score'!$E$42="","",'DEEP Score'!$E$42)</f>
        <v/>
      </c>
      <c r="C29" s="71">
        <f>""</f>
        <v/>
      </c>
      <c r="D29" s="71">
        <f>"spring_bent_mmi_bent|"&amp;'Metrics'!$C$29</f>
        <v/>
      </c>
      <c r="E29" s="71">
        <f>IFERROR(MATCH('Metrics'!$D$29,curve_key,0),MATCH("spring_bent_mmi_bent|",curve_key,0))</f>
        <v/>
      </c>
      <c r="F29" s="71">
        <f>INDEX(curve_x1,'Metrics'!$E$29)</f>
        <v/>
      </c>
      <c r="G29" s="71">
        <f>INDEX(curve_x2,'Metrics'!$E$29)</f>
        <v/>
      </c>
      <c r="H29" s="71">
        <f>INDEX(curve_x3,'Metrics'!$E$29)</f>
        <v/>
      </c>
      <c r="I29" s="71">
        <f>INDEX(curve_x4,'Metrics'!$E$29)</f>
        <v/>
      </c>
      <c r="J29" s="71">
        <f>INDEX(curve_x5,'Metrics'!$E$29)</f>
        <v/>
      </c>
      <c r="K29" s="71">
        <f>INDEX(curve_x6,'Metrics'!$E$29)</f>
        <v/>
      </c>
      <c r="L29" s="71">
        <f>INDEX(curve_x7,'Metrics'!$E$29)</f>
        <v/>
      </c>
      <c r="M29" s="71">
        <f>INDEX(curve_x8,'Metrics'!$E$29)</f>
        <v/>
      </c>
      <c r="N29" s="71">
        <f>INDEX(curve_y1,'Metrics'!$E$29)</f>
        <v/>
      </c>
      <c r="O29" s="71">
        <f>INDEX(curve_y2,'Metrics'!$E$29)</f>
        <v/>
      </c>
      <c r="P29" s="71">
        <f>INDEX(curve_y3,'Metrics'!$E$29)</f>
        <v/>
      </c>
      <c r="Q29" s="71">
        <f>INDEX(curve_y4,'Metrics'!$E$29)</f>
        <v/>
      </c>
      <c r="R29" s="71">
        <f>INDEX(curve_y5,'Metrics'!$E$29)</f>
        <v/>
      </c>
      <c r="S29" s="71">
        <f>INDEX(curve_y6,'Metrics'!$E$29)</f>
        <v/>
      </c>
      <c r="T29" s="71">
        <f>INDEX(curve_y7,'Metrics'!$E$29)</f>
        <v/>
      </c>
      <c r="U29" s="71">
        <f>INDEX(curve_y8,'Metrics'!$E$29)</f>
        <v/>
      </c>
      <c r="V29" s="72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70" t="inlineStr">
        <is>
          <t>Mapped dams within one mile</t>
        </is>
      </c>
      <c r="B30" s="71">
        <f>IF('DEEP Score'!$E$43="","",'DEEP Score'!$E$43)</f>
        <v/>
      </c>
      <c r="C30" s="71">
        <f>""</f>
        <v/>
      </c>
      <c r="D30" s="71">
        <f>"spring_nid_dams_1mi|"&amp;'Metrics'!$C$30</f>
        <v/>
      </c>
      <c r="E30" s="71">
        <f>IFERROR(MATCH('Metrics'!$D$30,curve_key,0),MATCH("spring_nid_dams_1mi|",curve_key,0))</f>
        <v/>
      </c>
      <c r="F30" s="71">
        <f>INDEX(curve_x1,'Metrics'!$E$30)</f>
        <v/>
      </c>
      <c r="G30" s="71">
        <f>INDEX(curve_x2,'Metrics'!$E$30)</f>
        <v/>
      </c>
      <c r="H30" s="71">
        <f>INDEX(curve_x3,'Metrics'!$E$30)</f>
        <v/>
      </c>
      <c r="I30" s="71">
        <f>INDEX(curve_x4,'Metrics'!$E$30)</f>
        <v/>
      </c>
      <c r="J30" s="71">
        <f>INDEX(curve_x5,'Metrics'!$E$30)</f>
        <v/>
      </c>
      <c r="K30" s="71">
        <f>INDEX(curve_x6,'Metrics'!$E$30)</f>
        <v/>
      </c>
      <c r="L30" s="71">
        <f>INDEX(curve_x7,'Metrics'!$E$30)</f>
        <v/>
      </c>
      <c r="M30" s="71">
        <f>INDEX(curve_x8,'Metrics'!$E$30)</f>
        <v/>
      </c>
      <c r="N30" s="71">
        <f>INDEX(curve_y1,'Metrics'!$E$30)</f>
        <v/>
      </c>
      <c r="O30" s="71">
        <f>INDEX(curve_y2,'Metrics'!$E$30)</f>
        <v/>
      </c>
      <c r="P30" s="71">
        <f>INDEX(curve_y3,'Metrics'!$E$30)</f>
        <v/>
      </c>
      <c r="Q30" s="71">
        <f>INDEX(curve_y4,'Metrics'!$E$30)</f>
        <v/>
      </c>
      <c r="R30" s="71">
        <f>INDEX(curve_y5,'Metrics'!$E$30)</f>
        <v/>
      </c>
      <c r="S30" s="71">
        <f>INDEX(curve_y6,'Metrics'!$E$30)</f>
        <v/>
      </c>
      <c r="T30" s="71">
        <f>INDEX(curve_y7,'Metrics'!$E$30)</f>
        <v/>
      </c>
      <c r="U30" s="71">
        <f>INDEX(curve_y8,'Metrics'!$E$30)</f>
        <v/>
      </c>
      <c r="V30" s="72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70" t="inlineStr">
        <is>
          <t>Catchment hydrology</t>
        </is>
      </c>
      <c r="B4" s="71">
        <f>IF(COUNT('DEEP Score'!G12:G13)=0,"",SUM('DEEP Score'!G12:G13)/COUNT('DEEP Score'!G12:G13)*15)</f>
        <v/>
      </c>
      <c r="C4" s="70" t="n">
        <v>1</v>
      </c>
      <c r="D4" s="70" t="n">
        <v>0.1</v>
      </c>
      <c r="E4" s="70" t="n">
        <v>0.1</v>
      </c>
      <c r="F4" s="71">
        <f>IF(ISNUMBER('Results'!$B$4),'Results'!$B$4*'Results'!$C$4,0)</f>
        <v/>
      </c>
      <c r="G4" s="71">
        <f>IF(ISNUMBER('Results'!$B$4),'Results'!$B$4*'Results'!$D$4,0)</f>
        <v/>
      </c>
      <c r="H4" s="71">
        <f>IF(ISNUMBER('Results'!$B$4),'Results'!$B$4*'Results'!$E$4,0)</f>
        <v/>
      </c>
      <c r="I4" s="71">
        <f>IF(ISNUMBER('Results'!$B$4),15*'Results'!$C$4,0)</f>
        <v/>
      </c>
      <c r="J4" s="71">
        <f>IF(ISNUMBER('Results'!$B$4),15*'Results'!$D$4,0)</f>
        <v/>
      </c>
      <c r="K4" s="71">
        <f>IF(ISNUMBER('Results'!$B$4),15*'Results'!$E$4,0)</f>
        <v/>
      </c>
    </row>
    <row r="5">
      <c r="A5" s="70" t="inlineStr">
        <is>
          <t>Surface water storage</t>
        </is>
      </c>
      <c r="B5" s="71">
        <f>IF(COUNT('DEEP Score'!G14:G14)=0,"",SUM('DEEP Score'!G14:G14)/COUNT('DEEP Score'!G14:G14)*15)</f>
        <v/>
      </c>
      <c r="C5" s="70" t="n">
        <v>1</v>
      </c>
      <c r="D5" s="70" t="n">
        <v>0.1</v>
      </c>
      <c r="E5" s="70" t="n">
        <v>0.1</v>
      </c>
      <c r="F5" s="71">
        <f>IF(ISNUMBER('Results'!$B$5),'Results'!$B$5*'Results'!$C$5,0)</f>
        <v/>
      </c>
      <c r="G5" s="71">
        <f>IF(ISNUMBER('Results'!$B$5),'Results'!$B$5*'Results'!$D$5,0)</f>
        <v/>
      </c>
      <c r="H5" s="71">
        <f>IF(ISNUMBER('Results'!$B$5),'Results'!$B$5*'Results'!$E$5,0)</f>
        <v/>
      </c>
      <c r="I5" s="71">
        <f>IF(ISNUMBER('Results'!$B$5),15*'Results'!$C$5,0)</f>
        <v/>
      </c>
      <c r="J5" s="71">
        <f>IF(ISNUMBER('Results'!$B$5),15*'Results'!$D$5,0)</f>
        <v/>
      </c>
      <c r="K5" s="71">
        <f>IF(ISNUMBER('Results'!$B$5),15*'Results'!$E$5,0)</f>
        <v/>
      </c>
    </row>
    <row r="6">
      <c r="A6" s="70" t="inlineStr">
        <is>
          <t>Reach inflow</t>
        </is>
      </c>
      <c r="B6" s="71">
        <f>IF(COUNT('DEEP Score'!G15:G15)=0,"",SUM('DEEP Score'!G15:G15)/COUNT('DEEP Score'!G15:G15)*15)</f>
        <v/>
      </c>
      <c r="C6" s="70" t="n">
        <v>1</v>
      </c>
      <c r="D6" s="70" t="n">
        <v>0.1</v>
      </c>
      <c r="E6" s="70" t="n">
        <v>0.1</v>
      </c>
      <c r="F6" s="71">
        <f>IF(ISNUMBER('Results'!$B$6),'Results'!$B$6*'Results'!$C$6,0)</f>
        <v/>
      </c>
      <c r="G6" s="71">
        <f>IF(ISNUMBER('Results'!$B$6),'Results'!$B$6*'Results'!$D$6,0)</f>
        <v/>
      </c>
      <c r="H6" s="71">
        <f>IF(ISNUMBER('Results'!$B$6),'Results'!$B$6*'Results'!$E$6,0)</f>
        <v/>
      </c>
      <c r="I6" s="71">
        <f>IF(ISNUMBER('Results'!$B$6),15*'Results'!$C$6,0)</f>
        <v/>
      </c>
      <c r="J6" s="71">
        <f>IF(ISNUMBER('Results'!$B$6),15*'Results'!$D$6,0)</f>
        <v/>
      </c>
      <c r="K6" s="71">
        <f>IF(ISNUMBER('Results'!$B$6),15*'Results'!$E$6,0)</f>
        <v/>
      </c>
    </row>
    <row r="7">
      <c r="A7" s="70" t="inlineStr">
        <is>
          <t>Streamflow regime</t>
        </is>
      </c>
      <c r="B7" s="71">
        <f>IF(COUNT('DEEP Score'!G16:G16)=0,"",SUM('DEEP Score'!G16:G16)/COUNT('DEEP Score'!G16:G16)*15)</f>
        <v/>
      </c>
      <c r="C7" s="70" t="n">
        <v>1</v>
      </c>
      <c r="D7" s="70" t="n">
        <v>0.1</v>
      </c>
      <c r="E7" s="70" t="n">
        <v>0.1</v>
      </c>
      <c r="F7" s="71">
        <f>IF(ISNUMBER('Results'!$B$7),'Results'!$B$7*'Results'!$C$7,0)</f>
        <v/>
      </c>
      <c r="G7" s="71">
        <f>IF(ISNUMBER('Results'!$B$7),'Results'!$B$7*'Results'!$D$7,0)</f>
        <v/>
      </c>
      <c r="H7" s="71">
        <f>IF(ISNUMBER('Results'!$B$7),'Results'!$B$7*'Results'!$E$7,0)</f>
        <v/>
      </c>
      <c r="I7" s="71">
        <f>IF(ISNUMBER('Results'!$B$7),15*'Results'!$C$7,0)</f>
        <v/>
      </c>
      <c r="J7" s="71">
        <f>IF(ISNUMBER('Results'!$B$7),15*'Results'!$D$7,0)</f>
        <v/>
      </c>
      <c r="K7" s="71">
        <f>IF(ISNUMBER('Results'!$B$7),15*'Results'!$E$7,0)</f>
        <v/>
      </c>
    </row>
    <row r="8">
      <c r="A8" s="70" t="inlineStr">
        <is>
          <t>Low flow and baseflow dynamics</t>
        </is>
      </c>
      <c r="B8" s="71">
        <f>IF(COUNT('DEEP Score'!G17:G18)=0,"",SUM('DEEP Score'!G17:G18)/COUNT('DEEP Score'!G17:G18)*15)</f>
        <v/>
      </c>
      <c r="C8" s="70" t="n">
        <v>1</v>
      </c>
      <c r="D8" s="70" t="n">
        <v>0.1</v>
      </c>
      <c r="E8" s="70" t="n">
        <v>0.1</v>
      </c>
      <c r="F8" s="71">
        <f>IF(ISNUMBER('Results'!$B$8),'Results'!$B$8*'Results'!$C$8,0)</f>
        <v/>
      </c>
      <c r="G8" s="71">
        <f>IF(ISNUMBER('Results'!$B$8),'Results'!$B$8*'Results'!$D$8,0)</f>
        <v/>
      </c>
      <c r="H8" s="71">
        <f>IF(ISNUMBER('Results'!$B$8),'Results'!$B$8*'Results'!$E$8,0)</f>
        <v/>
      </c>
      <c r="I8" s="71">
        <f>IF(ISNUMBER('Results'!$B$8),15*'Results'!$C$8,0)</f>
        <v/>
      </c>
      <c r="J8" s="71">
        <f>IF(ISNUMBER('Results'!$B$8),15*'Results'!$D$8,0)</f>
        <v/>
      </c>
      <c r="K8" s="71">
        <f>IF(ISNUMBER('Results'!$B$8),15*'Results'!$E$8,0)</f>
        <v/>
      </c>
    </row>
    <row r="9">
      <c r="A9" s="70" t="inlineStr">
        <is>
          <t>High flow dynamics</t>
        </is>
      </c>
      <c r="B9" s="71">
        <f>IF(COUNT('DEEP Score'!G19:G19)=0,"",SUM('DEEP Score'!G19:G19)/COUNT('DEEP Score'!G19:G19)*15)</f>
        <v/>
      </c>
      <c r="C9" s="70" t="n">
        <v>1</v>
      </c>
      <c r="D9" s="70" t="n">
        <v>0.1</v>
      </c>
      <c r="E9" s="70" t="n">
        <v>0.1</v>
      </c>
      <c r="F9" s="71">
        <f>IF(ISNUMBER('Results'!$B$9),'Results'!$B$9*'Results'!$C$9,0)</f>
        <v/>
      </c>
      <c r="G9" s="71">
        <f>IF(ISNUMBER('Results'!$B$9),'Results'!$B$9*'Results'!$D$9,0)</f>
        <v/>
      </c>
      <c r="H9" s="71">
        <f>IF(ISNUMBER('Results'!$B$9),'Results'!$B$9*'Results'!$E$9,0)</f>
        <v/>
      </c>
      <c r="I9" s="71">
        <f>IF(ISNUMBER('Results'!$B$9),15*'Results'!$C$9,0)</f>
        <v/>
      </c>
      <c r="J9" s="71">
        <f>IF(ISNUMBER('Results'!$B$9),15*'Results'!$D$9,0)</f>
        <v/>
      </c>
      <c r="K9" s="71">
        <f>IF(ISNUMBER('Results'!$B$9),15*'Results'!$E$9,0)</f>
        <v/>
      </c>
    </row>
    <row r="10">
      <c r="A10" s="70" t="inlineStr">
        <is>
          <t>Floodplain connectivity</t>
        </is>
      </c>
      <c r="B10" s="71">
        <f>IF(COUNT('DEEP Score'!G20:G21)=0,"",SUM('DEEP Score'!G20:G21)/COUNT('DEEP Score'!G20:G21)*15)</f>
        <v/>
      </c>
      <c r="C10" s="70" t="n">
        <v>1</v>
      </c>
      <c r="D10" s="70" t="n">
        <v>0.1</v>
      </c>
      <c r="E10" s="70" t="n">
        <v>0.1</v>
      </c>
      <c r="F10" s="71">
        <f>IF(ISNUMBER('Results'!$B$10),'Results'!$B$10*'Results'!$C$10,0)</f>
        <v/>
      </c>
      <c r="G10" s="71">
        <f>IF(ISNUMBER('Results'!$B$10),'Results'!$B$10*'Results'!$D$10,0)</f>
        <v/>
      </c>
      <c r="H10" s="71">
        <f>IF(ISNUMBER('Results'!$B$10),'Results'!$B$10*'Results'!$E$10,0)</f>
        <v/>
      </c>
      <c r="I10" s="71">
        <f>IF(ISNUMBER('Results'!$B$10),15*'Results'!$C$10,0)</f>
        <v/>
      </c>
      <c r="J10" s="71">
        <f>IF(ISNUMBER('Results'!$B$10),15*'Results'!$D$10,0)</f>
        <v/>
      </c>
      <c r="K10" s="71">
        <f>IF(ISNUMBER('Results'!$B$10),15*'Results'!$E$10,0)</f>
        <v/>
      </c>
    </row>
    <row r="11">
      <c r="A11" s="70" t="inlineStr">
        <is>
          <t>Hyporheic connectivity</t>
        </is>
      </c>
      <c r="B11" s="71">
        <f>IF(COUNT('DEEP Score'!G22:G23)=0,"",SUM('DEEP Score'!G22:G23)/COUNT('DEEP Score'!G22:G23)*15)</f>
        <v/>
      </c>
      <c r="C11" s="70" t="n">
        <v>1</v>
      </c>
      <c r="D11" s="70" t="n">
        <v>0.1</v>
      </c>
      <c r="E11" s="70" t="n">
        <v>0.1</v>
      </c>
      <c r="F11" s="71">
        <f>IF(ISNUMBER('Results'!$B$11),'Results'!$B$11*'Results'!$C$11,0)</f>
        <v/>
      </c>
      <c r="G11" s="71">
        <f>IF(ISNUMBER('Results'!$B$11),'Results'!$B$11*'Results'!$D$11,0)</f>
        <v/>
      </c>
      <c r="H11" s="71">
        <f>IF(ISNUMBER('Results'!$B$11),'Results'!$B$11*'Results'!$E$11,0)</f>
        <v/>
      </c>
      <c r="I11" s="71">
        <f>IF(ISNUMBER('Results'!$B$11),15*'Results'!$C$11,0)</f>
        <v/>
      </c>
      <c r="J11" s="71">
        <f>IF(ISNUMBER('Results'!$B$11),15*'Results'!$D$11,0)</f>
        <v/>
      </c>
      <c r="K11" s="71">
        <f>IF(ISNUMBER('Results'!$B$11),15*'Results'!$E$11,0)</f>
        <v/>
      </c>
    </row>
    <row r="12">
      <c r="A12" s="70" t="inlineStr">
        <is>
          <t>Channel evolution</t>
        </is>
      </c>
      <c r="B12" s="71">
        <f>IF(COUNT('DEEP Score'!G24:G25)=0,"",SUM('DEEP Score'!G24:G25)/COUNT('DEEP Score'!G24:G25)*15)</f>
        <v/>
      </c>
      <c r="C12" s="70" t="n">
        <v>1</v>
      </c>
      <c r="D12" s="70" t="n">
        <v>0.1</v>
      </c>
      <c r="E12" s="70" t="n">
        <v>0.1</v>
      </c>
      <c r="F12" s="71">
        <f>IF(ISNUMBER('Results'!$B$12),'Results'!$B$12*'Results'!$C$12,0)</f>
        <v/>
      </c>
      <c r="G12" s="71">
        <f>IF(ISNUMBER('Results'!$B$12),'Results'!$B$12*'Results'!$D$12,0)</f>
        <v/>
      </c>
      <c r="H12" s="71">
        <f>IF(ISNUMBER('Results'!$B$12),'Results'!$B$12*'Results'!$E$12,0)</f>
        <v/>
      </c>
      <c r="I12" s="71">
        <f>IF(ISNUMBER('Results'!$B$12),15*'Results'!$C$12,0)</f>
        <v/>
      </c>
      <c r="J12" s="71">
        <f>IF(ISNUMBER('Results'!$B$12),15*'Results'!$D$12,0)</f>
        <v/>
      </c>
      <c r="K12" s="71">
        <f>IF(ISNUMBER('Results'!$B$12),15*'Results'!$E$12,0)</f>
        <v/>
      </c>
    </row>
    <row r="13">
      <c r="A13" s="70" t="inlineStr">
        <is>
          <t>Channel and floodplain dynamics</t>
        </is>
      </c>
      <c r="B13" s="71">
        <f>IF(COUNT('DEEP Score'!G26:G27)=0,"",SUM('DEEP Score'!G26:G27)/COUNT('DEEP Score'!G26:G27)*15)</f>
        <v/>
      </c>
      <c r="C13" s="70" t="n">
        <v>1</v>
      </c>
      <c r="D13" s="70" t="n">
        <v>0.1</v>
      </c>
      <c r="E13" s="70" t="n">
        <v>0.1</v>
      </c>
      <c r="F13" s="71">
        <f>IF(ISNUMBER('Results'!$B$13),'Results'!$B$13*'Results'!$C$13,0)</f>
        <v/>
      </c>
      <c r="G13" s="71">
        <f>IF(ISNUMBER('Results'!$B$13),'Results'!$B$13*'Results'!$D$13,0)</f>
        <v/>
      </c>
      <c r="H13" s="71">
        <f>IF(ISNUMBER('Results'!$B$13),'Results'!$B$13*'Results'!$E$13,0)</f>
        <v/>
      </c>
      <c r="I13" s="71">
        <f>IF(ISNUMBER('Results'!$B$13),15*'Results'!$C$13,0)</f>
        <v/>
      </c>
      <c r="J13" s="71">
        <f>IF(ISNUMBER('Results'!$B$13),15*'Results'!$D$13,0)</f>
        <v/>
      </c>
      <c r="K13" s="71">
        <f>IF(ISNUMBER('Results'!$B$13),15*'Results'!$E$13,0)</f>
        <v/>
      </c>
    </row>
    <row r="14">
      <c r="A14" s="70" t="inlineStr">
        <is>
          <t>Sediment continuity</t>
        </is>
      </c>
      <c r="B14" s="71">
        <f>IF(COUNT('DEEP Score'!G28:G29)=0,"",SUM('DEEP Score'!G28:G29)/COUNT('DEEP Score'!G28:G29)*15)</f>
        <v/>
      </c>
      <c r="C14" s="70" t="n">
        <v>1</v>
      </c>
      <c r="D14" s="70" t="n">
        <v>0.1</v>
      </c>
      <c r="E14" s="70" t="n">
        <v>0.1</v>
      </c>
      <c r="F14" s="71">
        <f>IF(ISNUMBER('Results'!$B$14),'Results'!$B$14*'Results'!$C$14,0)</f>
        <v/>
      </c>
      <c r="G14" s="71">
        <f>IF(ISNUMBER('Results'!$B$14),'Results'!$B$14*'Results'!$D$14,0)</f>
        <v/>
      </c>
      <c r="H14" s="71">
        <f>IF(ISNUMBER('Results'!$B$14),'Results'!$B$14*'Results'!$E$14,0)</f>
        <v/>
      </c>
      <c r="I14" s="71">
        <f>IF(ISNUMBER('Results'!$B$14),15*'Results'!$C$14,0)</f>
        <v/>
      </c>
      <c r="J14" s="71">
        <f>IF(ISNUMBER('Results'!$B$14),15*'Results'!$D$14,0)</f>
        <v/>
      </c>
      <c r="K14" s="71">
        <f>IF(ISNUMBER('Results'!$B$14),15*'Results'!$E$14,0)</f>
        <v/>
      </c>
    </row>
    <row r="15">
      <c r="A15" s="70" t="inlineStr">
        <is>
          <t>Bed composition and bedform dynamics</t>
        </is>
      </c>
      <c r="B15" s="71">
        <f>IF(COUNT('DEEP Score'!G30:G31)=0,"",SUM('DEEP Score'!G30:G31)/COUNT('DEEP Score'!G30:G31)*15)</f>
        <v/>
      </c>
      <c r="C15" s="70" t="n">
        <v>1</v>
      </c>
      <c r="D15" s="70" t="n">
        <v>0.1</v>
      </c>
      <c r="E15" s="70" t="n">
        <v>0.1</v>
      </c>
      <c r="F15" s="71">
        <f>IF(ISNUMBER('Results'!$B$15),'Results'!$B$15*'Results'!$C$15,0)</f>
        <v/>
      </c>
      <c r="G15" s="71">
        <f>IF(ISNUMBER('Results'!$B$15),'Results'!$B$15*'Results'!$D$15,0)</f>
        <v/>
      </c>
      <c r="H15" s="71">
        <f>IF(ISNUMBER('Results'!$B$15),'Results'!$B$15*'Results'!$E$15,0)</f>
        <v/>
      </c>
      <c r="I15" s="71">
        <f>IF(ISNUMBER('Results'!$B$15),15*'Results'!$C$15,0)</f>
        <v/>
      </c>
      <c r="J15" s="71">
        <f>IF(ISNUMBER('Results'!$B$15),15*'Results'!$D$15,0)</f>
        <v/>
      </c>
      <c r="K15" s="71">
        <f>IF(ISNUMBER('Results'!$B$15),15*'Results'!$E$15,0)</f>
        <v/>
      </c>
    </row>
    <row r="16">
      <c r="A16" s="70" t="inlineStr">
        <is>
          <t>Light &amp; thermal regime</t>
        </is>
      </c>
      <c r="B16" s="71">
        <f>IF(COUNT('DEEP Score'!G32:G32)=0,"",SUM('DEEP Score'!G32:G32)/COUNT('DEEP Score'!G32:G32)*15)</f>
        <v/>
      </c>
      <c r="C16" s="70" t="n">
        <v>0</v>
      </c>
      <c r="D16" s="70" t="n">
        <v>1</v>
      </c>
      <c r="E16" s="70" t="n">
        <v>0.1</v>
      </c>
      <c r="F16" s="71">
        <f>IF(ISNUMBER('Results'!$B$16),'Results'!$B$16*'Results'!$C$16,0)</f>
        <v/>
      </c>
      <c r="G16" s="71">
        <f>IF(ISNUMBER('Results'!$B$16),'Results'!$B$16*'Results'!$D$16,0)</f>
        <v/>
      </c>
      <c r="H16" s="71">
        <f>IF(ISNUMBER('Results'!$B$16),'Results'!$B$16*'Results'!$E$16,0)</f>
        <v/>
      </c>
      <c r="I16" s="71">
        <f>IF(ISNUMBER('Results'!$B$16),15*'Results'!$C$16,0)</f>
        <v/>
      </c>
      <c r="J16" s="71">
        <f>IF(ISNUMBER('Results'!$B$16),15*'Results'!$D$16,0)</f>
        <v/>
      </c>
      <c r="K16" s="71">
        <f>IF(ISNUMBER('Results'!$B$16),15*'Results'!$E$16,0)</f>
        <v/>
      </c>
    </row>
    <row r="17">
      <c r="A17" s="70" t="inlineStr">
        <is>
          <t>Carbon processing</t>
        </is>
      </c>
      <c r="B17" s="71">
        <f>IF(COUNT('DEEP Score'!G33:G33)=0,"",SUM('DEEP Score'!G33:G33)/COUNT('DEEP Score'!G33:G33)*15)</f>
        <v/>
      </c>
      <c r="C17" s="70" t="n">
        <v>0</v>
      </c>
      <c r="D17" s="70" t="n">
        <v>1</v>
      </c>
      <c r="E17" s="70" t="n">
        <v>0.1</v>
      </c>
      <c r="F17" s="71">
        <f>IF(ISNUMBER('Results'!$B$17),'Results'!$B$17*'Results'!$C$17,0)</f>
        <v/>
      </c>
      <c r="G17" s="71">
        <f>IF(ISNUMBER('Results'!$B$17),'Results'!$B$17*'Results'!$D$17,0)</f>
        <v/>
      </c>
      <c r="H17" s="71">
        <f>IF(ISNUMBER('Results'!$B$17),'Results'!$B$17*'Results'!$E$17,0)</f>
        <v/>
      </c>
      <c r="I17" s="71">
        <f>IF(ISNUMBER('Results'!$B$17),15*'Results'!$C$17,0)</f>
        <v/>
      </c>
      <c r="J17" s="71">
        <f>IF(ISNUMBER('Results'!$B$17),15*'Results'!$D$17,0)</f>
        <v/>
      </c>
      <c r="K17" s="71">
        <f>IF(ISNUMBER('Results'!$B$17),15*'Results'!$E$17,0)</f>
        <v/>
      </c>
    </row>
    <row r="18">
      <c r="A18" s="70" t="inlineStr">
        <is>
          <t>Nutrient cycling</t>
        </is>
      </c>
      <c r="B18" s="71">
        <f>IF(COUNT('DEEP Score'!G34:G35)=0,"",SUM('DEEP Score'!G34:G35)/COUNT('DEEP Score'!G34:G35)*15)</f>
        <v/>
      </c>
      <c r="C18" s="70" t="n">
        <v>0.1</v>
      </c>
      <c r="D18" s="70" t="n">
        <v>1</v>
      </c>
      <c r="E18" s="70" t="n">
        <v>0.1</v>
      </c>
      <c r="F18" s="71">
        <f>IF(ISNUMBER('Results'!$B$18),'Results'!$B$18*'Results'!$C$18,0)</f>
        <v/>
      </c>
      <c r="G18" s="71">
        <f>IF(ISNUMBER('Results'!$B$18),'Results'!$B$18*'Results'!$D$18,0)</f>
        <v/>
      </c>
      <c r="H18" s="71">
        <f>IF(ISNUMBER('Results'!$B$18),'Results'!$B$18*'Results'!$E$18,0)</f>
        <v/>
      </c>
      <c r="I18" s="71">
        <f>IF(ISNUMBER('Results'!$B$18),15*'Results'!$C$18,0)</f>
        <v/>
      </c>
      <c r="J18" s="71">
        <f>IF(ISNUMBER('Results'!$B$18),15*'Results'!$D$18,0)</f>
        <v/>
      </c>
      <c r="K18" s="71">
        <f>IF(ISNUMBER('Results'!$B$18),15*'Results'!$E$18,0)</f>
        <v/>
      </c>
    </row>
    <row r="19">
      <c r="A19" s="70" t="inlineStr">
        <is>
          <t>Water &amp; soil quality</t>
        </is>
      </c>
      <c r="B19" s="71">
        <f>IF(COUNT('DEEP Score'!G36:G37)=0,"",SUM('DEEP Score'!G36:G37)/COUNT('DEEP Score'!G36:G37)*15)</f>
        <v/>
      </c>
      <c r="C19" s="70" t="n">
        <v>0.1</v>
      </c>
      <c r="D19" s="70" t="n">
        <v>1</v>
      </c>
      <c r="E19" s="70" t="n">
        <v>0.1</v>
      </c>
      <c r="F19" s="71">
        <f>IF(ISNUMBER('Results'!$B$19),'Results'!$B$19*'Results'!$C$19,0)</f>
        <v/>
      </c>
      <c r="G19" s="71">
        <f>IF(ISNUMBER('Results'!$B$19),'Results'!$B$19*'Results'!$D$19,0)</f>
        <v/>
      </c>
      <c r="H19" s="71">
        <f>IF(ISNUMBER('Results'!$B$19),'Results'!$B$19*'Results'!$E$19,0)</f>
        <v/>
      </c>
      <c r="I19" s="71">
        <f>IF(ISNUMBER('Results'!$B$19),15*'Results'!$C$19,0)</f>
        <v/>
      </c>
      <c r="J19" s="71">
        <f>IF(ISNUMBER('Results'!$B$19),15*'Results'!$D$19,0)</f>
        <v/>
      </c>
      <c r="K19" s="71">
        <f>IF(ISNUMBER('Results'!$B$19),15*'Results'!$E$19,0)</f>
        <v/>
      </c>
    </row>
    <row r="20">
      <c r="A20" s="70" t="inlineStr">
        <is>
          <t>Habitat provision</t>
        </is>
      </c>
      <c r="B20" s="71">
        <f>IF(COUNT('DEEP Score'!G38:G39)=0,"",SUM('DEEP Score'!G38:G39)/COUNT('DEEP Score'!G38:G39)*15)</f>
        <v/>
      </c>
      <c r="C20" s="70" t="n">
        <v>0</v>
      </c>
      <c r="D20" s="70" t="n">
        <v>0</v>
      </c>
      <c r="E20" s="70" t="n">
        <v>1</v>
      </c>
      <c r="F20" s="71">
        <f>IF(ISNUMBER('Results'!$B$20),'Results'!$B$20*'Results'!$C$20,0)</f>
        <v/>
      </c>
      <c r="G20" s="71">
        <f>IF(ISNUMBER('Results'!$B$20),'Results'!$B$20*'Results'!$D$20,0)</f>
        <v/>
      </c>
      <c r="H20" s="71">
        <f>IF(ISNUMBER('Results'!$B$20),'Results'!$B$20*'Results'!$E$20,0)</f>
        <v/>
      </c>
      <c r="I20" s="71">
        <f>IF(ISNUMBER('Results'!$B$20),15*'Results'!$C$20,0)</f>
        <v/>
      </c>
      <c r="J20" s="71">
        <f>IF(ISNUMBER('Results'!$B$20),15*'Results'!$D$20,0)</f>
        <v/>
      </c>
      <c r="K20" s="71">
        <f>IF(ISNUMBER('Results'!$B$20),15*'Results'!$E$20,0)</f>
        <v/>
      </c>
    </row>
    <row r="21">
      <c r="A21" s="70" t="inlineStr">
        <is>
          <t>Population support</t>
        </is>
      </c>
      <c r="B21" s="71">
        <f>IF(COUNT('DEEP Score'!G40:G40)=0,"",SUM('DEEP Score'!G40:G40)/COUNT('DEEP Score'!G40:G40)*15)</f>
        <v/>
      </c>
      <c r="C21" s="70" t="n">
        <v>0.1</v>
      </c>
      <c r="D21" s="70" t="n">
        <v>0.1</v>
      </c>
      <c r="E21" s="70" t="n">
        <v>1</v>
      </c>
      <c r="F21" s="71">
        <f>IF(ISNUMBER('Results'!$B$21),'Results'!$B$21*'Results'!$C$21,0)</f>
        <v/>
      </c>
      <c r="G21" s="71">
        <f>IF(ISNUMBER('Results'!$B$21),'Results'!$B$21*'Results'!$D$21,0)</f>
        <v/>
      </c>
      <c r="H21" s="71">
        <f>IF(ISNUMBER('Results'!$B$21),'Results'!$B$21*'Results'!$E$21,0)</f>
        <v/>
      </c>
      <c r="I21" s="71">
        <f>IF(ISNUMBER('Results'!$B$21),15*'Results'!$C$21,0)</f>
        <v/>
      </c>
      <c r="J21" s="71">
        <f>IF(ISNUMBER('Results'!$B$21),15*'Results'!$D$21,0)</f>
        <v/>
      </c>
      <c r="K21" s="71">
        <f>IF(ISNUMBER('Results'!$B$21),15*'Results'!$E$21,0)</f>
        <v/>
      </c>
    </row>
    <row r="22">
      <c r="A22" s="70" t="inlineStr">
        <is>
          <t>Community dynamics</t>
        </is>
      </c>
      <c r="B22" s="71">
        <f>IF(COUNT('DEEP Score'!G41:G42)=0,"",SUM('DEEP Score'!G41:G42)/COUNT('DEEP Score'!G41:G42)*15)</f>
        <v/>
      </c>
      <c r="C22" s="70" t="n">
        <v>0.1</v>
      </c>
      <c r="D22" s="70" t="n">
        <v>0.1</v>
      </c>
      <c r="E22" s="70" t="n">
        <v>1</v>
      </c>
      <c r="F22" s="71">
        <f>IF(ISNUMBER('Results'!$B$22),'Results'!$B$22*'Results'!$C$22,0)</f>
        <v/>
      </c>
      <c r="G22" s="71">
        <f>IF(ISNUMBER('Results'!$B$22),'Results'!$B$22*'Results'!$D$22,0)</f>
        <v/>
      </c>
      <c r="H22" s="71">
        <f>IF(ISNUMBER('Results'!$B$22),'Results'!$B$22*'Results'!$E$22,0)</f>
        <v/>
      </c>
      <c r="I22" s="71">
        <f>IF(ISNUMBER('Results'!$B$22),15*'Results'!$C$22,0)</f>
        <v/>
      </c>
      <c r="J22" s="71">
        <f>IF(ISNUMBER('Results'!$B$22),15*'Results'!$D$22,0)</f>
        <v/>
      </c>
      <c r="K22" s="71">
        <f>IF(ISNUMBER('Results'!$B$22),15*'Results'!$E$22,0)</f>
        <v/>
      </c>
    </row>
    <row r="23">
      <c r="A23" s="70" t="inlineStr">
        <is>
          <t>Watershed connectivity</t>
        </is>
      </c>
      <c r="B23" s="71">
        <f>IF(COUNT('DEEP Score'!G43:G43)=0,"",SUM('DEEP Score'!G43:G43)/COUNT('DEEP Score'!G43:G43)*15)</f>
        <v/>
      </c>
      <c r="C23" s="70" t="n">
        <v>0.1</v>
      </c>
      <c r="D23" s="70" t="n">
        <v>0</v>
      </c>
      <c r="E23" s="70" t="n">
        <v>1</v>
      </c>
      <c r="F23" s="71">
        <f>IF(ISNUMBER('Results'!$B$23),'Results'!$B$23*'Results'!$C$23,0)</f>
        <v/>
      </c>
      <c r="G23" s="71">
        <f>IF(ISNUMBER('Results'!$B$23),'Results'!$B$23*'Results'!$D$23,0)</f>
        <v/>
      </c>
      <c r="H23" s="71">
        <f>IF(ISNUMBER('Results'!$B$23),'Results'!$B$23*'Results'!$E$23,0)</f>
        <v/>
      </c>
      <c r="I23" s="71">
        <f>IF(ISNUMBER('Results'!$B$23),15*'Results'!$C$23,0)</f>
        <v/>
      </c>
      <c r="J23" s="71">
        <f>IF(ISNUMBER('Results'!$B$23),15*'Results'!$D$23,0)</f>
        <v/>
      </c>
      <c r="K23" s="71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70" t="inlineStr">
        <is>
          <t>Physical</t>
        </is>
      </c>
      <c r="B26" s="71">
        <f>IF(SUM('Results'!$I$4:$I$23)=0,0,SUM('Results'!$F$4:$F$23)/SUM('Results'!$I$4:$I$23))</f>
        <v/>
      </c>
    </row>
    <row r="27">
      <c r="A27" s="70" t="inlineStr">
        <is>
          <t>Chemical</t>
        </is>
      </c>
      <c r="B27" s="71">
        <f>IF(SUM('Results'!$J$4:$J$23)=0,0,SUM('Results'!$G$4:$G$23)/SUM('Results'!$J$4:$J$23))</f>
        <v/>
      </c>
    </row>
    <row r="28">
      <c r="A28" s="70" t="inlineStr">
        <is>
          <t>Biological</t>
        </is>
      </c>
      <c r="B28" s="71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1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5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70" t="inlineStr">
        <is>
          <t>spring_pctimp2019ws|</t>
        </is>
      </c>
      <c r="B5" s="70" t="inlineStr">
        <is>
          <t>spring-pctimp2019ws</t>
        </is>
      </c>
      <c r="C5" s="70" t="inlineStr">
        <is>
          <t>Impervious surface</t>
        </is>
      </c>
      <c r="D5" s="70" t="inlineStr"/>
      <c r="E5" s="70" t="n">
        <v>4</v>
      </c>
      <c r="F5" s="70" t="inlineStr">
        <is>
          <t>Fixed criteria, the same in every region</t>
        </is>
      </c>
      <c r="G5" s="70" t="n">
        <v>0</v>
      </c>
      <c r="H5" s="70" t="n">
        <v>10</v>
      </c>
      <c r="I5" s="70" t="n">
        <v>25.005</v>
      </c>
      <c r="J5" s="70" t="n">
        <v>44.5115</v>
      </c>
      <c r="K5" s="70" t="n">
        <v>44.5115</v>
      </c>
      <c r="L5" s="70" t="n">
        <v>44.5115</v>
      </c>
      <c r="M5" s="70" t="n">
        <v>44.5115</v>
      </c>
      <c r="N5" s="70" t="n">
        <v>44.5115</v>
      </c>
      <c r="O5" s="70" t="n">
        <v>1</v>
      </c>
      <c r="P5" s="70" t="n">
        <v>0.6899999999999999</v>
      </c>
      <c r="Q5" s="70" t="n">
        <v>0.39</v>
      </c>
      <c r="R5" s="70" t="n">
        <v>0</v>
      </c>
      <c r="S5" s="70" t="n">
        <v>0</v>
      </c>
      <c r="T5" s="70" t="n">
        <v>0</v>
      </c>
      <c r="U5" s="70" t="n">
        <v>0</v>
      </c>
      <c r="V5" s="70" t="n">
        <v>0</v>
      </c>
    </row>
    <row r="6">
      <c r="A6" s="70" t="inlineStr">
        <is>
          <t>spring_pctag2019ws|</t>
        </is>
      </c>
      <c r="B6" s="70" t="inlineStr">
        <is>
          <t>spring-pctag2019ws</t>
        </is>
      </c>
      <c r="C6" s="70" t="inlineStr">
        <is>
          <t>Agriculture, crop and hay</t>
        </is>
      </c>
      <c r="D6" s="70" t="inlineStr"/>
      <c r="E6" s="70" t="n">
        <v>4</v>
      </c>
      <c r="F6" s="70" t="inlineStr">
        <is>
          <t>Fixed criteria, the same in every region</t>
        </is>
      </c>
      <c r="G6" s="70" t="n">
        <v>0</v>
      </c>
      <c r="H6" s="70" t="n">
        <v>30</v>
      </c>
      <c r="I6" s="70" t="n">
        <v>50.005</v>
      </c>
      <c r="J6" s="70" t="n">
        <v>76.0115</v>
      </c>
      <c r="K6" s="70" t="n">
        <v>76.0115</v>
      </c>
      <c r="L6" s="70" t="n">
        <v>76.0115</v>
      </c>
      <c r="M6" s="70" t="n">
        <v>76.0115</v>
      </c>
      <c r="N6" s="70" t="n">
        <v>76.0115</v>
      </c>
      <c r="O6" s="70" t="n">
        <v>1</v>
      </c>
      <c r="P6" s="70" t="n">
        <v>0.6899999999999999</v>
      </c>
      <c r="Q6" s="70" t="n">
        <v>0.39</v>
      </c>
      <c r="R6" s="70" t="n">
        <v>0</v>
      </c>
      <c r="S6" s="70" t="n">
        <v>0</v>
      </c>
      <c r="T6" s="70" t="n">
        <v>0</v>
      </c>
      <c r="U6" s="70" t="n">
        <v>0</v>
      </c>
      <c r="V6" s="70" t="n">
        <v>0</v>
      </c>
    </row>
    <row r="7">
      <c r="A7" s="70" t="inlineStr">
        <is>
          <t>spring_pctwet2019ws|</t>
        </is>
      </c>
      <c r="B7" s="70" t="inlineStr">
        <is>
          <t>spring-pctwet2019ws</t>
        </is>
      </c>
      <c r="C7" s="70" t="inlineStr">
        <is>
          <t>Wetland cover of the watershed</t>
        </is>
      </c>
      <c r="D7" s="70" t="inlineStr"/>
      <c r="E7" s="70" t="n">
        <v>4</v>
      </c>
      <c r="F7" s="70" t="inlineStr">
        <is>
          <t>Adopted from EASI's national screening method (provisional)</t>
        </is>
      </c>
      <c r="G7" s="70" t="n">
        <v>0</v>
      </c>
      <c r="H7" s="70" t="n">
        <v>0.995</v>
      </c>
      <c r="I7" s="70" t="n">
        <v>5</v>
      </c>
      <c r="J7" s="70" t="n">
        <v>9.138500000000001</v>
      </c>
      <c r="K7" s="70" t="n">
        <v>9.138500000000001</v>
      </c>
      <c r="L7" s="70" t="n">
        <v>9.138500000000001</v>
      </c>
      <c r="M7" s="70" t="n">
        <v>9.138500000000001</v>
      </c>
      <c r="N7" s="70" t="n">
        <v>9.138500000000001</v>
      </c>
      <c r="O7" s="70" t="n">
        <v>0.315468</v>
      </c>
      <c r="P7" s="70" t="n">
        <v>0.39</v>
      </c>
      <c r="Q7" s="70" t="n">
        <v>0.6899999999999999</v>
      </c>
      <c r="R7" s="70" t="n">
        <v>1</v>
      </c>
      <c r="S7" s="70" t="n">
        <v>1</v>
      </c>
      <c r="T7" s="70" t="n">
        <v>1</v>
      </c>
      <c r="U7" s="70" t="n">
        <v>1</v>
      </c>
      <c r="V7" s="70" t="n">
        <v>1</v>
      </c>
    </row>
    <row r="8">
      <c r="A8" s="70" t="inlineStr">
        <is>
          <t>spring_rddensws|</t>
        </is>
      </c>
      <c r="B8" s="70" t="inlineStr">
        <is>
          <t>spring-rddensws</t>
        </is>
      </c>
      <c r="C8" s="70" t="inlineStr">
        <is>
          <t>Road density</t>
        </is>
      </c>
      <c r="D8" s="70" t="inlineStr"/>
      <c r="E8" s="70" t="n">
        <v>4</v>
      </c>
      <c r="F8" s="70" t="inlineStr">
        <is>
          <t>Fixed criteria, the same in every region</t>
        </is>
      </c>
      <c r="G8" s="70" t="n">
        <v>0</v>
      </c>
      <c r="H8" s="70" t="n">
        <v>1</v>
      </c>
      <c r="I8" s="70" t="n">
        <v>3</v>
      </c>
      <c r="J8" s="70" t="n">
        <v>5.6</v>
      </c>
      <c r="K8" s="70" t="n">
        <v>5.6</v>
      </c>
      <c r="L8" s="70" t="n">
        <v>5.6</v>
      </c>
      <c r="M8" s="70" t="n">
        <v>5.6</v>
      </c>
      <c r="N8" s="70" t="n">
        <v>5.6</v>
      </c>
      <c r="O8" s="70" t="n">
        <v>1</v>
      </c>
      <c r="P8" s="70" t="n">
        <v>0.6899999999999999</v>
      </c>
      <c r="Q8" s="70" t="n">
        <v>0.39</v>
      </c>
      <c r="R8" s="70" t="n">
        <v>0</v>
      </c>
      <c r="S8" s="70" t="n">
        <v>0</v>
      </c>
      <c r="T8" s="70" t="n">
        <v>0</v>
      </c>
      <c r="U8" s="70" t="n">
        <v>0</v>
      </c>
      <c r="V8" s="70" t="n">
        <v>0</v>
      </c>
    </row>
    <row r="9">
      <c r="A9" s="70" t="inlineStr">
        <is>
          <t>spring_dorws|</t>
        </is>
      </c>
      <c r="B9" s="70" t="inlineStr">
        <is>
          <t>spring-dorws</t>
        </is>
      </c>
      <c r="C9" s="70" t="inlineStr">
        <is>
          <t>Degree of regulation</t>
        </is>
      </c>
      <c r="D9" s="70" t="inlineStr"/>
      <c r="E9" s="70" t="n">
        <v>4</v>
      </c>
      <c r="F9" s="70" t="inlineStr">
        <is>
          <t>Fixed criteria, the same in every region</t>
        </is>
      </c>
      <c r="G9" s="70" t="n">
        <v>0</v>
      </c>
      <c r="H9" s="70" t="n">
        <v>2</v>
      </c>
      <c r="I9" s="70" t="n">
        <v>15.005</v>
      </c>
      <c r="J9" s="70" t="n">
        <v>31.9115</v>
      </c>
      <c r="K9" s="70" t="n">
        <v>31.9115</v>
      </c>
      <c r="L9" s="70" t="n">
        <v>31.9115</v>
      </c>
      <c r="M9" s="70" t="n">
        <v>31.9115</v>
      </c>
      <c r="N9" s="70" t="n">
        <v>31.9115</v>
      </c>
      <c r="O9" s="70" t="n">
        <v>1</v>
      </c>
      <c r="P9" s="70" t="n">
        <v>0.6899999999999999</v>
      </c>
      <c r="Q9" s="70" t="n">
        <v>0.39</v>
      </c>
      <c r="R9" s="70" t="n">
        <v>0</v>
      </c>
      <c r="S9" s="70" t="n">
        <v>0</v>
      </c>
      <c r="T9" s="70" t="n">
        <v>0</v>
      </c>
      <c r="U9" s="70" t="n">
        <v>0</v>
      </c>
      <c r="V9" s="70" t="n">
        <v>0</v>
      </c>
    </row>
    <row r="10">
      <c r="A10" s="70" t="inlineStr">
        <is>
          <t>spring_phab_bfwd_rat|</t>
        </is>
      </c>
      <c r="B10" s="70" t="inlineStr">
        <is>
          <t>spring-phab-bfwd-rat</t>
        </is>
      </c>
      <c r="C10" s="70" t="inlineStr">
        <is>
          <t>Bankfull width:depth ratio</t>
        </is>
      </c>
      <c r="D10" s="70" t="inlineStr"/>
      <c r="E10" s="70" t="n">
        <v>8</v>
      </c>
      <c r="F10" s="70" t="inlineStr">
        <is>
          <t>34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0" s="70" t="n">
        <v>0</v>
      </c>
      <c r="H10" s="70" t="n">
        <v>5.986189365386963</v>
      </c>
      <c r="I10" s="70" t="n">
        <v>13.04114747047424</v>
      </c>
      <c r="J10" s="70" t="n">
        <v>16.83997106552124</v>
      </c>
      <c r="K10" s="70" t="n">
        <v>27.69375276565552</v>
      </c>
      <c r="L10" s="70" t="n">
        <v>31.49257636070251</v>
      </c>
      <c r="M10" s="70" t="n">
        <v>38.54753446578979</v>
      </c>
      <c r="N10" s="70" t="n">
        <v>49.40131616592407</v>
      </c>
      <c r="O10" s="70" t="n">
        <v>0</v>
      </c>
      <c r="P10" s="70" t="n">
        <v>0.3</v>
      </c>
      <c r="Q10" s="70" t="n">
        <v>0.7</v>
      </c>
      <c r="R10" s="70" t="n">
        <v>1</v>
      </c>
      <c r="S10" s="70" t="n">
        <v>1</v>
      </c>
      <c r="T10" s="70" t="n">
        <v>0.7</v>
      </c>
      <c r="U10" s="70" t="n">
        <v>0.3</v>
      </c>
      <c r="V10" s="70" t="n">
        <v>0</v>
      </c>
    </row>
    <row r="11">
      <c r="A11" s="70" t="inlineStr">
        <is>
          <t>spring_phab_rp100_cm|</t>
        </is>
      </c>
      <c r="B11" s="70" t="inlineStr">
        <is>
          <t>spring-phab-rp100-cm</t>
        </is>
      </c>
      <c r="C11" s="70" t="inlineStr">
        <is>
          <t>Residual pool depth</t>
        </is>
      </c>
      <c r="D11" s="70" t="inlineStr"/>
      <c r="E11" s="70" t="n">
        <v>5</v>
      </c>
      <c r="F11" s="70" t="inlineStr">
        <is>
          <t>34 least-disturbed stations borrowed from Level II ecoregion 8.4 (Ozark/Ouachita-Appalachian Forests) under the regional screen (agriculture at most 37.8 percent), transfer risk moderate</t>
        </is>
      </c>
      <c r="G11" s="70" t="n">
        <v>0</v>
      </c>
      <c r="H11" s="70" t="n">
        <v>6.272875479289463</v>
      </c>
      <c r="I11" s="70" t="n">
        <v>14.63670945167542</v>
      </c>
      <c r="J11" s="70" t="n">
        <v>39.31974220275879</v>
      </c>
      <c r="K11" s="70" t="n">
        <v>51.66125857830048</v>
      </c>
      <c r="L11" s="70" t="n">
        <v>51.66125857830048</v>
      </c>
      <c r="M11" s="70" t="n">
        <v>51.66125857830048</v>
      </c>
      <c r="N11" s="70" t="n">
        <v>51.66125857830048</v>
      </c>
      <c r="O11" s="70" t="n">
        <v>0</v>
      </c>
      <c r="P11" s="70" t="n">
        <v>0.3</v>
      </c>
      <c r="Q11" s="70" t="n">
        <v>0.7</v>
      </c>
      <c r="R11" s="70" t="n">
        <v>1</v>
      </c>
      <c r="S11" s="70" t="n">
        <v>1</v>
      </c>
      <c r="T11" s="70" t="n">
        <v>1</v>
      </c>
      <c r="U11" s="70" t="n">
        <v>1</v>
      </c>
      <c r="V11" s="70" t="n">
        <v>1</v>
      </c>
    </row>
    <row r="12">
      <c r="A12" s="70" t="inlineStr">
        <is>
          <t>spring_phab_xbkf_h|</t>
        </is>
      </c>
      <c r="B12" s="70" t="inlineStr">
        <is>
          <t>spring-phab-xbkf-h</t>
        </is>
      </c>
      <c r="C12" s="70" t="inlineStr">
        <is>
          <t>Bankfull height above channel</t>
        </is>
      </c>
      <c r="D12" s="70" t="inlineStr"/>
      <c r="E12" s="70" t="n">
        <v>7</v>
      </c>
      <c r="F12" s="70" t="inlineStr">
        <is>
          <t>34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2" s="70" t="n">
        <v>0</v>
      </c>
      <c r="H12" s="70" t="n">
        <v>0.267159091681242</v>
      </c>
      <c r="I12" s="70" t="n">
        <v>0.4318181872367859</v>
      </c>
      <c r="J12" s="70" t="n">
        <v>0.9022727459669113</v>
      </c>
      <c r="K12" s="70" t="n">
        <v>1.066931841522455</v>
      </c>
      <c r="L12" s="70" t="n">
        <v>1.372727304697037</v>
      </c>
      <c r="M12" s="70" t="n">
        <v>1.843181863427162</v>
      </c>
      <c r="N12" s="70" t="n">
        <v>1.843181863427162</v>
      </c>
      <c r="O12" s="70" t="n">
        <v>0</v>
      </c>
      <c r="P12" s="70" t="n">
        <v>0.7</v>
      </c>
      <c r="Q12" s="70" t="n">
        <v>1</v>
      </c>
      <c r="R12" s="70" t="n">
        <v>1</v>
      </c>
      <c r="S12" s="70" t="n">
        <v>0.7</v>
      </c>
      <c r="T12" s="70" t="n">
        <v>0.3</v>
      </c>
      <c r="U12" s="70" t="n">
        <v>0</v>
      </c>
      <c r="V12" s="70" t="n">
        <v>0</v>
      </c>
    </row>
    <row r="13">
      <c r="A13" s="70" t="inlineStr">
        <is>
          <t>spring_phab_pct_safn|</t>
        </is>
      </c>
      <c r="B13" s="70" t="inlineStr">
        <is>
          <t>spring-phab-pct-safn</t>
        </is>
      </c>
      <c r="C13" s="70" t="inlineStr">
        <is>
          <t>Sand + fines</t>
        </is>
      </c>
      <c r="D13" s="70" t="inlineStr"/>
      <c r="E13" s="70" t="n">
        <v>5</v>
      </c>
      <c r="F13" s="70" t="inlineStr">
        <is>
          <t>34 least-disturbed stations borrowed from Level II ecoregion 8.4 (Ozark/Ouachita-Appalachian Forests) under the regional screen (agriculture at most 37.8 percent), transfer risk low</t>
        </is>
      </c>
      <c r="G13" s="70" t="n">
        <v>0</v>
      </c>
      <c r="H13" s="70" t="n">
        <v>0.9642857164144516</v>
      </c>
      <c r="I13" s="70" t="n">
        <v>15.06493520736694</v>
      </c>
      <c r="J13" s="70" t="n">
        <v>36.21590944379568</v>
      </c>
      <c r="K13" s="70" t="n">
        <v>50.31655893474817</v>
      </c>
      <c r="L13" s="70" t="n">
        <v>50.31655893474817</v>
      </c>
      <c r="M13" s="70" t="n">
        <v>50.31655893474817</v>
      </c>
      <c r="N13" s="70" t="n">
        <v>50.31655893474817</v>
      </c>
      <c r="O13" s="70" t="n">
        <v>1</v>
      </c>
      <c r="P13" s="70" t="n">
        <v>1</v>
      </c>
      <c r="Q13" s="70" t="n">
        <v>0.7</v>
      </c>
      <c r="R13" s="70" t="n">
        <v>0.3</v>
      </c>
      <c r="S13" s="70" t="n">
        <v>0</v>
      </c>
      <c r="T13" s="70" t="n">
        <v>0</v>
      </c>
      <c r="U13" s="70" t="n">
        <v>0</v>
      </c>
      <c r="V13" s="70" t="n">
        <v>0</v>
      </c>
    </row>
    <row r="14">
      <c r="A14" s="70" t="inlineStr">
        <is>
          <t>spring_phab_xembed|</t>
        </is>
      </c>
      <c r="B14" s="70" t="inlineStr">
        <is>
          <t>spring-phab-xembed</t>
        </is>
      </c>
      <c r="C14" s="70" t="inlineStr">
        <is>
          <t>Embeddedness</t>
        </is>
      </c>
      <c r="D14" s="70" t="inlineStr"/>
      <c r="E14" s="70" t="n">
        <v>5</v>
      </c>
      <c r="F14" s="70" t="inlineStr">
        <is>
          <t>24 least-disturbed stations borrowed from Level II ecoregion 8.4 (Ozark/Ouachita-Appalachian Forests) under the regional screen (agriculture at most 37.8 percent), transfer risk low</t>
        </is>
      </c>
      <c r="G14" s="70" t="n">
        <v>11.36778688430786</v>
      </c>
      <c r="H14" s="70" t="n">
        <v>24.10171604156494</v>
      </c>
      <c r="I14" s="70" t="n">
        <v>49.5695743560791</v>
      </c>
      <c r="J14" s="70" t="n">
        <v>87.77136182785034</v>
      </c>
      <c r="K14" s="70" t="n">
        <v>100</v>
      </c>
      <c r="L14" s="70" t="n">
        <v>100</v>
      </c>
      <c r="M14" s="70" t="n">
        <v>100</v>
      </c>
      <c r="N14" s="70" t="n">
        <v>100</v>
      </c>
      <c r="O14" s="70" t="n">
        <v>1</v>
      </c>
      <c r="P14" s="70" t="n">
        <v>1</v>
      </c>
      <c r="Q14" s="70" t="n">
        <v>0.7</v>
      </c>
      <c r="R14" s="70" t="n">
        <v>0.3</v>
      </c>
      <c r="S14" s="70" t="n">
        <v>0</v>
      </c>
      <c r="T14" s="70" t="n">
        <v>0</v>
      </c>
      <c r="U14" s="70" t="n">
        <v>0</v>
      </c>
      <c r="V14" s="70" t="n">
        <v>0</v>
      </c>
    </row>
    <row r="15">
      <c r="A15" s="70" t="inlineStr">
        <is>
          <t>spring_phab_sinu|</t>
        </is>
      </c>
      <c r="B15" s="70" t="inlineStr">
        <is>
          <t>spring-phab-sinu</t>
        </is>
      </c>
      <c r="C15" s="70" t="inlineStr">
        <is>
          <t>Sinuosity</t>
        </is>
      </c>
      <c r="D15" s="70" t="inlineStr"/>
      <c r="E15" s="70" t="n">
        <v>4</v>
      </c>
      <c r="F15" s="70" t="inlineStr">
        <is>
          <t>37 least-disturbed stations borrowed from Level I ecoregion 8 (Eastern Temperate Forests) under the regional screen (agriculture at most 37.8 percent), transfer risk high</t>
        </is>
      </c>
      <c r="G15" s="70" t="n">
        <v>1</v>
      </c>
      <c r="H15" s="70" t="n">
        <v>1.066512107849121</v>
      </c>
      <c r="I15" s="70" t="n">
        <v>1.227694034576416</v>
      </c>
      <c r="J15" s="70" t="n">
        <v>1.308284997940063</v>
      </c>
      <c r="K15" s="70" t="n">
        <v>1.308284997940063</v>
      </c>
      <c r="L15" s="70" t="n">
        <v>1.308284997940063</v>
      </c>
      <c r="M15" s="70" t="n">
        <v>1.308284997940063</v>
      </c>
      <c r="N15" s="70" t="n">
        <v>1.308284997940063</v>
      </c>
      <c r="O15" s="70" t="n">
        <v>0</v>
      </c>
      <c r="P15" s="70" t="n">
        <v>0.7</v>
      </c>
      <c r="Q15" s="70" t="n">
        <v>1</v>
      </c>
      <c r="R15" s="70" t="n">
        <v>1</v>
      </c>
      <c r="S15" s="70" t="n">
        <v>1</v>
      </c>
      <c r="T15" s="70" t="n">
        <v>1</v>
      </c>
      <c r="U15" s="70" t="n">
        <v>1</v>
      </c>
      <c r="V15" s="70" t="n">
        <v>1</v>
      </c>
    </row>
    <row r="16">
      <c r="A16" s="70" t="inlineStr">
        <is>
          <t>spring_phab_xbka|</t>
        </is>
      </c>
      <c r="B16" s="70" t="inlineStr">
        <is>
          <t>spring-phab-xbka</t>
        </is>
      </c>
      <c r="C16" s="70" t="inlineStr">
        <is>
          <t>Bank angle</t>
        </is>
      </c>
      <c r="D16" s="70" t="inlineStr"/>
      <c r="E16" s="70" t="n">
        <v>7</v>
      </c>
      <c r="F16" s="70" t="inlineStr">
        <is>
          <t>38 least-disturbed stations borrowed from Level I ecoregion 8 (Eastern Temperate Forests) under the regional screen (agriculture at most 37.8 percent), transfer risk moderate</t>
        </is>
      </c>
      <c r="G16" s="70" t="n">
        <v>0</v>
      </c>
      <c r="H16" s="70" t="n">
        <v>15.67949817180634</v>
      </c>
      <c r="I16" s="70" t="n">
        <v>22.44318151473999</v>
      </c>
      <c r="J16" s="70" t="n">
        <v>41.767991065979</v>
      </c>
      <c r="K16" s="70" t="n">
        <v>48.53167440891266</v>
      </c>
      <c r="L16" s="70" t="n">
        <v>61.09280061721802</v>
      </c>
      <c r="M16" s="70" t="n">
        <v>80.41761016845703</v>
      </c>
      <c r="N16" s="70" t="n">
        <v>80.41761016845703</v>
      </c>
      <c r="O16" s="70" t="n">
        <v>0.7</v>
      </c>
      <c r="P16" s="70" t="n">
        <v>0.7</v>
      </c>
      <c r="Q16" s="70" t="n">
        <v>1</v>
      </c>
      <c r="R16" s="70" t="n">
        <v>1</v>
      </c>
      <c r="S16" s="70" t="n">
        <v>0.7</v>
      </c>
      <c r="T16" s="70" t="n">
        <v>0.3</v>
      </c>
      <c r="U16" s="70" t="n">
        <v>0</v>
      </c>
      <c r="V16" s="70" t="n">
        <v>0</v>
      </c>
    </row>
    <row r="17">
      <c r="A17" s="70" t="inlineStr">
        <is>
          <t>spring_phab_lrbs_use|All streams (pooled)</t>
        </is>
      </c>
      <c r="B17" s="70" t="inlineStr">
        <is>
          <t>spring-phab-lrbs-use</t>
        </is>
      </c>
      <c r="C17" s="70" t="inlineStr">
        <is>
          <t>Relative bed stability</t>
        </is>
      </c>
      <c r="D17" s="70" t="inlineStr">
        <is>
          <t>All streams (pooled)</t>
        </is>
      </c>
      <c r="E17" s="70" t="n">
        <v>8</v>
      </c>
      <c r="F17" s="70" t="inlineStr">
        <is>
          <t>49 least-disturbed stations borrowed from Level I ecoregion 8 (Eastern Temperate Forests) under the regional screen (agriculture at most 37.8 percent), transfer risk high</t>
        </is>
      </c>
      <c r="G17" s="70" t="n">
        <v>-3.256953954696655</v>
      </c>
      <c r="H17" s="70" t="n">
        <v>-1.911939322948456</v>
      </c>
      <c r="I17" s="70" t="n">
        <v>-1.037679812312126</v>
      </c>
      <c r="J17" s="70" t="n">
        <v>-0.5669246912002563</v>
      </c>
      <c r="K17" s="70" t="n">
        <v>0.7780899405479431</v>
      </c>
      <c r="L17" s="70" t="n">
        <v>1.248845061659813</v>
      </c>
      <c r="M17" s="70" t="n">
        <v>2.123104572296143</v>
      </c>
      <c r="N17" s="70" t="n">
        <v>3.468119204044342</v>
      </c>
      <c r="O17" s="70" t="n">
        <v>0</v>
      </c>
      <c r="P17" s="70" t="n">
        <v>0.3</v>
      </c>
      <c r="Q17" s="70" t="n">
        <v>0.7</v>
      </c>
      <c r="R17" s="70" t="n">
        <v>1</v>
      </c>
      <c r="S17" s="70" t="n">
        <v>1</v>
      </c>
      <c r="T17" s="70" t="n">
        <v>0.7</v>
      </c>
      <c r="U17" s="70" t="n">
        <v>0.3</v>
      </c>
      <c r="V17" s="70" t="n">
        <v>0</v>
      </c>
    </row>
    <row r="18">
      <c r="A18" s="70" t="inlineStr">
        <is>
          <t>spring_phab_lrbs_use|Small stream (10 to 100 km2)</t>
        </is>
      </c>
      <c r="B18" s="70" t="inlineStr">
        <is>
          <t>spring-phab-lrbs-use</t>
        </is>
      </c>
      <c r="C18" s="70" t="inlineStr">
        <is>
          <t>Relative bed stability</t>
        </is>
      </c>
      <c r="D18" s="70" t="inlineStr">
        <is>
          <t>Small stream (10 to 100 km2)</t>
        </is>
      </c>
      <c r="E18" s="70" t="n">
        <v>8</v>
      </c>
      <c r="F18" s="70" t="inlineStr">
        <is>
          <t>49 least-disturbed stations borrowed from Level I ecoregion 8 (Eastern Temperate Forests) under the regional screen (agriculture at most 37.8 percent), transfer risk high</t>
        </is>
      </c>
      <c r="G18" s="70" t="n">
        <v>-2.457082535140216</v>
      </c>
      <c r="H18" s="70" t="n">
        <v>-1.649025989230722</v>
      </c>
      <c r="I18" s="70" t="n">
        <v>-1.123789234389551</v>
      </c>
      <c r="J18" s="70" t="n">
        <v>-0.840969443321228</v>
      </c>
      <c r="K18" s="70" t="n">
        <v>-0.03291289741173387</v>
      </c>
      <c r="L18" s="70" t="n">
        <v>0.2499068936565891</v>
      </c>
      <c r="M18" s="70" t="n">
        <v>0.7751436484977603</v>
      </c>
      <c r="N18" s="70" t="n">
        <v>1.583200194407254</v>
      </c>
      <c r="O18" s="70" t="n">
        <v>0</v>
      </c>
      <c r="P18" s="70" t="n">
        <v>0.3</v>
      </c>
      <c r="Q18" s="70" t="n">
        <v>0.7</v>
      </c>
      <c r="R18" s="70" t="n">
        <v>1</v>
      </c>
      <c r="S18" s="70" t="n">
        <v>1</v>
      </c>
      <c r="T18" s="70" t="n">
        <v>0.7</v>
      </c>
      <c r="U18" s="70" t="n">
        <v>0.3</v>
      </c>
      <c r="V18" s="70" t="n">
        <v>0</v>
      </c>
    </row>
    <row r="19">
      <c r="A19" s="70" t="inlineStr">
        <is>
          <t>spring_phab_lrbs_use|Large stream (over 100 km2)</t>
        </is>
      </c>
      <c r="B19" s="70" t="inlineStr">
        <is>
          <t>spring-phab-lrbs-use</t>
        </is>
      </c>
      <c r="C19" s="70" t="inlineStr">
        <is>
          <t>Relative bed stability</t>
        </is>
      </c>
      <c r="D19" s="70" t="inlineStr">
        <is>
          <t>Large stream (over 100 km2)</t>
        </is>
      </c>
      <c r="E19" s="70" t="n">
        <v>8</v>
      </c>
      <c r="F19" s="70" t="inlineStr">
        <is>
          <t>49 least-disturbed stations borrowed from Level I ecoregion 8 (Eastern Temperate Forests) under the regional screen (agriculture at most 37.8 percent), transfer risk high</t>
        </is>
      </c>
      <c r="G19" s="70" t="n">
        <v>-1.770996924489737</v>
      </c>
      <c r="H19" s="70" t="n">
        <v>-0.9020305946469307</v>
      </c>
      <c r="I19" s="70" t="n">
        <v>-0.3372024802491069</v>
      </c>
      <c r="J19" s="70" t="n">
        <v>-0.03306426480412483</v>
      </c>
      <c r="K19" s="70" t="n">
        <v>0.835902065038681</v>
      </c>
      <c r="L19" s="70" t="n">
        <v>1.140040280483663</v>
      </c>
      <c r="M19" s="70" t="n">
        <v>1.704868394881487</v>
      </c>
      <c r="N19" s="70" t="n">
        <v>2.573834724724293</v>
      </c>
      <c r="O19" s="70" t="n">
        <v>0</v>
      </c>
      <c r="P19" s="70" t="n">
        <v>0.3</v>
      </c>
      <c r="Q19" s="70" t="n">
        <v>0.7</v>
      </c>
      <c r="R19" s="70" t="n">
        <v>1</v>
      </c>
      <c r="S19" s="70" t="n">
        <v>1</v>
      </c>
      <c r="T19" s="70" t="n">
        <v>0.7</v>
      </c>
      <c r="U19" s="70" t="n">
        <v>0.3</v>
      </c>
      <c r="V19" s="70" t="n">
        <v>0</v>
      </c>
    </row>
    <row r="20">
      <c r="A20" s="70" t="inlineStr">
        <is>
          <t>spring_phab_lsub_dmm|</t>
        </is>
      </c>
      <c r="B20" s="70" t="inlineStr">
        <is>
          <t>spring-phab-lsub-dmm</t>
        </is>
      </c>
      <c r="C20" s="70" t="inlineStr">
        <is>
          <t>Substrate size</t>
        </is>
      </c>
      <c r="D20" s="70" t="inlineStr"/>
      <c r="E20" s="70" t="n">
        <v>5</v>
      </c>
      <c r="F20" s="70" t="inlineStr">
        <is>
          <t>34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70" t="n">
        <v>0.2429265826940536</v>
      </c>
      <c r="H20" s="70" t="n">
        <v>0.7851842194795609</v>
      </c>
      <c r="I20" s="70" t="n">
        <v>1.598570674657822</v>
      </c>
      <c r="J20" s="70" t="n">
        <v>2.140828311443329</v>
      </c>
      <c r="K20" s="70" t="n">
        <v>2.411957129836082</v>
      </c>
      <c r="L20" s="70" t="n">
        <v>2.411957129836082</v>
      </c>
      <c r="M20" s="70" t="n">
        <v>2.411957129836082</v>
      </c>
      <c r="N20" s="70" t="n">
        <v>2.411957129836082</v>
      </c>
      <c r="O20" s="70" t="n">
        <v>0</v>
      </c>
      <c r="P20" s="70" t="n">
        <v>0.3</v>
      </c>
      <c r="Q20" s="70" t="n">
        <v>0.7</v>
      </c>
      <c r="R20" s="70" t="n">
        <v>1</v>
      </c>
      <c r="S20" s="70" t="n">
        <v>1</v>
      </c>
      <c r="T20" s="70" t="n">
        <v>1</v>
      </c>
      <c r="U20" s="70" t="n">
        <v>1</v>
      </c>
      <c r="V20" s="70" t="n">
        <v>1</v>
      </c>
    </row>
    <row r="21">
      <c r="A21" s="70" t="inlineStr">
        <is>
          <t>spring_phab_xcdenmid|All streams (pooled)</t>
        </is>
      </c>
      <c r="B21" s="70" t="inlineStr">
        <is>
          <t>spring-phab-xcdenmid</t>
        </is>
      </c>
      <c r="C21" s="70" t="inlineStr">
        <is>
          <t>Canopy density, mid-channel</t>
        </is>
      </c>
      <c r="D21" s="70" t="inlineStr">
        <is>
          <t>All streams (pooled)</t>
        </is>
      </c>
      <c r="E21" s="70" t="n">
        <v>5</v>
      </c>
      <c r="F21" s="70" t="inlineStr">
        <is>
          <t>43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1" s="70" t="n">
        <v>0</v>
      </c>
      <c r="H21" s="70" t="n">
        <v>25.7257445199149</v>
      </c>
      <c r="I21" s="70" t="n">
        <v>60.02673721313477</v>
      </c>
      <c r="J21" s="70" t="n">
        <v>92.98128128051758</v>
      </c>
      <c r="K21" s="70" t="n">
        <v>100</v>
      </c>
      <c r="L21" s="70" t="n">
        <v>100</v>
      </c>
      <c r="M21" s="70" t="n">
        <v>100</v>
      </c>
      <c r="N21" s="70" t="n">
        <v>100</v>
      </c>
      <c r="O21" s="70" t="n">
        <v>0</v>
      </c>
      <c r="P21" s="70" t="n">
        <v>0.3</v>
      </c>
      <c r="Q21" s="70" t="n">
        <v>0.7</v>
      </c>
      <c r="R21" s="70" t="n">
        <v>1</v>
      </c>
      <c r="S21" s="70" t="n">
        <v>1</v>
      </c>
      <c r="T21" s="70" t="n">
        <v>1</v>
      </c>
      <c r="U21" s="70" t="n">
        <v>1</v>
      </c>
      <c r="V21" s="70" t="n">
        <v>1</v>
      </c>
    </row>
    <row r="22">
      <c r="A22" s="70" t="inlineStr">
        <is>
          <t>spring_phab_xcdenmid|Small stream (10 to 100 km2)</t>
        </is>
      </c>
      <c r="B22" s="70" t="inlineStr">
        <is>
          <t>spring-phab-xcdenmid</t>
        </is>
      </c>
      <c r="C22" s="70" t="inlineStr">
        <is>
          <t>Canopy density, mid-channel</t>
        </is>
      </c>
      <c r="D22" s="70" t="inlineStr">
        <is>
          <t>Small stream (10 to 100 km2)</t>
        </is>
      </c>
      <c r="E22" s="70" t="n">
        <v>5</v>
      </c>
      <c r="F22" s="70" t="inlineStr">
        <is>
          <t>43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2" s="70" t="n">
        <v>0</v>
      </c>
      <c r="H22" s="70" t="n">
        <v>34.87872505187988</v>
      </c>
      <c r="I22" s="70" t="n">
        <v>81.38369178771973</v>
      </c>
      <c r="J22" s="70" t="n">
        <v>96.62433052062988</v>
      </c>
      <c r="K22" s="70" t="n">
        <v>100</v>
      </c>
      <c r="L22" s="70" t="n">
        <v>100</v>
      </c>
      <c r="M22" s="70" t="n">
        <v>100</v>
      </c>
      <c r="N22" s="70" t="n">
        <v>100</v>
      </c>
      <c r="O22" s="70" t="n">
        <v>0</v>
      </c>
      <c r="P22" s="70" t="n">
        <v>0.3</v>
      </c>
      <c r="Q22" s="70" t="n">
        <v>0.7</v>
      </c>
      <c r="R22" s="70" t="n">
        <v>1</v>
      </c>
      <c r="S22" s="70" t="n">
        <v>1</v>
      </c>
      <c r="T22" s="70" t="n">
        <v>1</v>
      </c>
      <c r="U22" s="70" t="n">
        <v>1</v>
      </c>
      <c r="V22" s="70" t="n">
        <v>1</v>
      </c>
    </row>
    <row r="23">
      <c r="A23" s="70" t="inlineStr">
        <is>
          <t>spring_phab_xcdenmid|Large stream (over 100 km2)</t>
        </is>
      </c>
      <c r="B23" s="70" t="inlineStr">
        <is>
          <t>spring-phab-xcdenmid</t>
        </is>
      </c>
      <c r="C23" s="70" t="inlineStr">
        <is>
          <t>Canopy density, mid-channel</t>
        </is>
      </c>
      <c r="D23" s="70" t="inlineStr">
        <is>
          <t>Large stream (over 100 km2)</t>
        </is>
      </c>
      <c r="E23" s="70" t="n">
        <v>5</v>
      </c>
      <c r="F23" s="70" t="inlineStr">
        <is>
          <t>43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3" s="70" t="n">
        <v>0</v>
      </c>
      <c r="H23" s="70" t="n">
        <v>7.620320728846958</v>
      </c>
      <c r="I23" s="70" t="n">
        <v>17.78074836730957</v>
      </c>
      <c r="J23" s="70" t="n">
        <v>80.61497497558594</v>
      </c>
      <c r="K23" s="70" t="n">
        <v>100</v>
      </c>
      <c r="L23" s="70" t="n">
        <v>100</v>
      </c>
      <c r="M23" s="70" t="n">
        <v>100</v>
      </c>
      <c r="N23" s="70" t="n">
        <v>100</v>
      </c>
      <c r="O23" s="70" t="n">
        <v>0</v>
      </c>
      <c r="P23" s="70" t="n">
        <v>0.3</v>
      </c>
      <c r="Q23" s="70" t="n">
        <v>0.7</v>
      </c>
      <c r="R23" s="70" t="n">
        <v>1</v>
      </c>
      <c r="S23" s="70" t="n">
        <v>1</v>
      </c>
      <c r="T23" s="70" t="n">
        <v>1</v>
      </c>
      <c r="U23" s="70" t="n">
        <v>1</v>
      </c>
      <c r="V23" s="70" t="n">
        <v>1</v>
      </c>
    </row>
    <row r="24">
      <c r="A24" s="70" t="inlineStr">
        <is>
          <t>spring_phab_xcmgw|</t>
        </is>
      </c>
      <c r="B24" s="70" t="inlineStr">
        <is>
          <t>spring-phab-xcmgw</t>
        </is>
      </c>
      <c r="C24" s="70" t="inlineStr">
        <is>
          <t>Riparian veg cover, woody</t>
        </is>
      </c>
      <c r="D24" s="70" t="inlineStr"/>
      <c r="E24" s="70" t="n">
        <v>5</v>
      </c>
      <c r="F24" s="70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4" s="70" t="n">
        <v>0</v>
      </c>
      <c r="H24" s="70" t="n">
        <v>0.3622646161488124</v>
      </c>
      <c r="I24" s="70" t="n">
        <v>0.845284104347229</v>
      </c>
      <c r="J24" s="70" t="n">
        <v>1.519047617912292</v>
      </c>
      <c r="K24" s="70" t="n">
        <v>1.855929374694824</v>
      </c>
      <c r="L24" s="70" t="n">
        <v>1.855929374694824</v>
      </c>
      <c r="M24" s="70" t="n">
        <v>1.855929374694824</v>
      </c>
      <c r="N24" s="70" t="n">
        <v>1.855929374694824</v>
      </c>
      <c r="O24" s="70" t="n">
        <v>0</v>
      </c>
      <c r="P24" s="70" t="n">
        <v>0.3</v>
      </c>
      <c r="Q24" s="70" t="n">
        <v>0.7</v>
      </c>
      <c r="R24" s="70" t="n">
        <v>1</v>
      </c>
      <c r="S24" s="70" t="n">
        <v>1</v>
      </c>
      <c r="T24" s="70" t="n">
        <v>1</v>
      </c>
      <c r="U24" s="70" t="n">
        <v>1</v>
      </c>
      <c r="V24" s="70" t="n">
        <v>1</v>
      </c>
    </row>
    <row r="25">
      <c r="A25" s="70" t="inlineStr">
        <is>
          <t>spring_chem_ntl|</t>
        </is>
      </c>
      <c r="B25" s="70" t="inlineStr">
        <is>
          <t>spring-chem-ntl</t>
        </is>
      </c>
      <c r="C25" s="70" t="inlineStr">
        <is>
          <t>Total nitrogen</t>
        </is>
      </c>
      <c r="D25" s="70" t="inlineStr"/>
      <c r="E25" s="70" t="n">
        <v>4</v>
      </c>
      <c r="F25" s="70" t="inlineStr">
        <is>
          <t>Scored against a published criterion rather than against stations from this ecoregion. The criterion carries its own definition of reference, which need not match this assessment's.</t>
        </is>
      </c>
      <c r="G25" s="70" t="n">
        <v>0</v>
      </c>
      <c r="H25" s="70" t="n">
        <v>0.2405</v>
      </c>
      <c r="I25" s="70" t="n">
        <v>0.456</v>
      </c>
      <c r="J25" s="70" t="n">
        <v>0.73615</v>
      </c>
      <c r="K25" s="70" t="n">
        <v>0.73615</v>
      </c>
      <c r="L25" s="70" t="n">
        <v>0.73615</v>
      </c>
      <c r="M25" s="70" t="n">
        <v>0.73615</v>
      </c>
      <c r="N25" s="70" t="n">
        <v>0.73615</v>
      </c>
      <c r="O25" s="70" t="n">
        <v>1</v>
      </c>
      <c r="P25" s="70" t="n">
        <v>0.6899999999999999</v>
      </c>
      <c r="Q25" s="70" t="n">
        <v>0.39</v>
      </c>
      <c r="R25" s="70" t="n">
        <v>0</v>
      </c>
      <c r="S25" s="70" t="n">
        <v>0</v>
      </c>
      <c r="T25" s="70" t="n">
        <v>0</v>
      </c>
      <c r="U25" s="70" t="n">
        <v>0</v>
      </c>
      <c r="V25" s="70" t="n">
        <v>0</v>
      </c>
    </row>
    <row r="26">
      <c r="A26" s="70" t="inlineStr">
        <is>
          <t>spring_chem_ptl|</t>
        </is>
      </c>
      <c r="B26" s="70" t="inlineStr">
        <is>
          <t>spring-chem-ptl</t>
        </is>
      </c>
      <c r="C26" s="70" t="inlineStr">
        <is>
          <t>Total phosphorus</t>
        </is>
      </c>
      <c r="D26" s="70" t="inlineStr"/>
      <c r="E26" s="70" t="n">
        <v>4</v>
      </c>
      <c r="F26" s="70" t="inlineStr">
        <is>
          <t>Scored against a published criterion rather than against stations from this ecoregion. The criterion carries its own definition of reference, which need not match this assessment's.</t>
        </is>
      </c>
      <c r="G26" s="70" t="n">
        <v>0</v>
      </c>
      <c r="H26" s="70" t="n">
        <v>14.85</v>
      </c>
      <c r="I26" s="70" t="n">
        <v>24.4</v>
      </c>
      <c r="J26" s="70" t="n">
        <v>36.815</v>
      </c>
      <c r="K26" s="70" t="n">
        <v>36.815</v>
      </c>
      <c r="L26" s="70" t="n">
        <v>36.815</v>
      </c>
      <c r="M26" s="70" t="n">
        <v>36.815</v>
      </c>
      <c r="N26" s="70" t="n">
        <v>36.815</v>
      </c>
      <c r="O26" s="70" t="n">
        <v>1</v>
      </c>
      <c r="P26" s="70" t="n">
        <v>0.6899999999999999</v>
      </c>
      <c r="Q26" s="70" t="n">
        <v>0.39</v>
      </c>
      <c r="R26" s="70" t="n">
        <v>0</v>
      </c>
      <c r="S26" s="70" t="n">
        <v>0</v>
      </c>
      <c r="T26" s="70" t="n">
        <v>0</v>
      </c>
      <c r="U26" s="70" t="n">
        <v>0</v>
      </c>
      <c r="V26" s="70" t="n">
        <v>0</v>
      </c>
    </row>
    <row r="27">
      <c r="A27" s="70" t="inlineStr">
        <is>
          <t>spring_chem_turb|</t>
        </is>
      </c>
      <c r="B27" s="70" t="inlineStr">
        <is>
          <t>spring-chem-turb</t>
        </is>
      </c>
      <c r="C27" s="70" t="inlineStr">
        <is>
          <t>Turbidity</t>
        </is>
      </c>
      <c r="D27" s="70" t="inlineStr"/>
      <c r="E27" s="70" t="n">
        <v>5</v>
      </c>
      <c r="F27" s="70" t="inlineStr">
        <is>
          <t>13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7" s="70" t="n">
        <v>0.3900002241134644</v>
      </c>
      <c r="H27" s="70" t="n">
        <v>2.160000085830688</v>
      </c>
      <c r="I27" s="70" t="n">
        <v>5.699999809265137</v>
      </c>
      <c r="J27" s="70" t="n">
        <v>11.00999939441681</v>
      </c>
      <c r="K27" s="70" t="n">
        <v>14.54999911785126</v>
      </c>
      <c r="L27" s="70" t="n">
        <v>14.54999911785126</v>
      </c>
      <c r="M27" s="70" t="n">
        <v>14.54999911785126</v>
      </c>
      <c r="N27" s="70" t="n">
        <v>14.54999911785126</v>
      </c>
      <c r="O27" s="70" t="n">
        <v>1</v>
      </c>
      <c r="P27" s="70" t="n">
        <v>1</v>
      </c>
      <c r="Q27" s="70" t="n">
        <v>0.7</v>
      </c>
      <c r="R27" s="70" t="n">
        <v>0.3</v>
      </c>
      <c r="S27" s="70" t="n">
        <v>0</v>
      </c>
      <c r="T27" s="70" t="n">
        <v>0</v>
      </c>
      <c r="U27" s="70" t="n">
        <v>0</v>
      </c>
      <c r="V27" s="70" t="n">
        <v>0</v>
      </c>
    </row>
    <row r="28">
      <c r="A28" s="70" t="inlineStr">
        <is>
          <t>spring_chem_cond|</t>
        </is>
      </c>
      <c r="B28" s="70" t="inlineStr">
        <is>
          <t>spring-chem-cond</t>
        </is>
      </c>
      <c r="C28" s="70" t="inlineStr">
        <is>
          <t>Specific conductivity</t>
        </is>
      </c>
      <c r="D28" s="70" t="inlineStr"/>
      <c r="E28" s="70" t="n">
        <v>4</v>
      </c>
      <c r="F28" s="70" t="inlineStr">
        <is>
          <t>Scored against a published criterion rather than against stations from this ecoregion. The criterion carries its own definition of reference, which need not match this assessment's.</t>
        </is>
      </c>
      <c r="G28" s="70" t="n">
        <v>0</v>
      </c>
      <c r="H28" s="70" t="n">
        <v>500.05</v>
      </c>
      <c r="I28" s="70" t="n">
        <v>1000.05</v>
      </c>
      <c r="J28" s="70" t="n">
        <v>1650.05</v>
      </c>
      <c r="K28" s="70" t="n">
        <v>1650.05</v>
      </c>
      <c r="L28" s="70" t="n">
        <v>1650.05</v>
      </c>
      <c r="M28" s="70" t="n">
        <v>1650.05</v>
      </c>
      <c r="N28" s="70" t="n">
        <v>1650.05</v>
      </c>
      <c r="O28" s="70" t="n">
        <v>1</v>
      </c>
      <c r="P28" s="70" t="n">
        <v>0.6899999999999999</v>
      </c>
      <c r="Q28" s="70" t="n">
        <v>0.39</v>
      </c>
      <c r="R28" s="70" t="n">
        <v>0</v>
      </c>
      <c r="S28" s="70" t="n">
        <v>0</v>
      </c>
      <c r="T28" s="70" t="n">
        <v>0</v>
      </c>
      <c r="U28" s="70" t="n">
        <v>0</v>
      </c>
      <c r="V28" s="70" t="n">
        <v>0</v>
      </c>
    </row>
    <row r="29">
      <c r="A29" s="70" t="inlineStr">
        <is>
          <t>spring_phab_pct_fast|</t>
        </is>
      </c>
      <c r="B29" s="70" t="inlineStr">
        <is>
          <t>spring-phab-pct-fast</t>
        </is>
      </c>
      <c r="C29" s="70" t="inlineStr">
        <is>
          <t>Fast-water / riffle habitat</t>
        </is>
      </c>
      <c r="D29" s="70" t="inlineStr"/>
      <c r="E29" s="70" t="n">
        <v>5</v>
      </c>
      <c r="F29" s="70" t="inlineStr">
        <is>
          <t>34 least-disturbed stations borrowed from Level II ecoregion 8.4 (Ozark/Ouachita-Appalachian Forests) under the regional screen (agriculture at most 37.8 percent), transfer risk low</t>
        </is>
      </c>
      <c r="G29" s="70" t="n">
        <v>0</v>
      </c>
      <c r="H29" s="70" t="n">
        <v>6.072739158357892</v>
      </c>
      <c r="I29" s="70" t="n">
        <v>14.16972470283508</v>
      </c>
      <c r="J29" s="70" t="n">
        <v>43.25</v>
      </c>
      <c r="K29" s="70" t="n">
        <v>57.79013764858246</v>
      </c>
      <c r="L29" s="70" t="n">
        <v>57.79013764858246</v>
      </c>
      <c r="M29" s="70" t="n">
        <v>57.79013764858246</v>
      </c>
      <c r="N29" s="70" t="n">
        <v>57.79013764858246</v>
      </c>
      <c r="O29" s="70" t="n">
        <v>0</v>
      </c>
      <c r="P29" s="70" t="n">
        <v>0.3</v>
      </c>
      <c r="Q29" s="70" t="n">
        <v>0.7</v>
      </c>
      <c r="R29" s="70" t="n">
        <v>1</v>
      </c>
      <c r="S29" s="70" t="n">
        <v>1</v>
      </c>
      <c r="T29" s="70" t="n">
        <v>1</v>
      </c>
      <c r="U29" s="70" t="n">
        <v>1</v>
      </c>
      <c r="V29" s="70" t="n">
        <v>1</v>
      </c>
    </row>
    <row r="30">
      <c r="A30" s="70" t="inlineStr">
        <is>
          <t>spring_phab_xfc_nat|All streams (pooled)</t>
        </is>
      </c>
      <c r="B30" s="70" t="inlineStr">
        <is>
          <t>spring-phab-xfc-nat</t>
        </is>
      </c>
      <c r="C30" s="70" t="inlineStr">
        <is>
          <t>Natural fish cover</t>
        </is>
      </c>
      <c r="D30" s="70" t="inlineStr">
        <is>
          <t>All streams (pooled)</t>
        </is>
      </c>
      <c r="E30" s="70" t="n">
        <v>5</v>
      </c>
      <c r="F30" s="70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0" s="70" t="n">
        <v>0</v>
      </c>
      <c r="H30" s="70" t="n">
        <v>0.09545454382896423</v>
      </c>
      <c r="I30" s="70" t="n">
        <v>0.2227272689342499</v>
      </c>
      <c r="J30" s="70" t="n">
        <v>0.5079545378684998</v>
      </c>
      <c r="K30" s="70" t="n">
        <v>0.6505681723356247</v>
      </c>
      <c r="L30" s="70" t="n">
        <v>0.6505681723356247</v>
      </c>
      <c r="M30" s="70" t="n">
        <v>0.6505681723356247</v>
      </c>
      <c r="N30" s="70" t="n">
        <v>0.6505681723356247</v>
      </c>
      <c r="O30" s="70" t="n">
        <v>0</v>
      </c>
      <c r="P30" s="70" t="n">
        <v>0.3</v>
      </c>
      <c r="Q30" s="70" t="n">
        <v>0.7</v>
      </c>
      <c r="R30" s="70" t="n">
        <v>1</v>
      </c>
      <c r="S30" s="70" t="n">
        <v>1</v>
      </c>
      <c r="T30" s="70" t="n">
        <v>1</v>
      </c>
      <c r="U30" s="70" t="n">
        <v>1</v>
      </c>
      <c r="V30" s="70" t="n">
        <v>1</v>
      </c>
    </row>
    <row r="31">
      <c r="A31" s="70" t="inlineStr">
        <is>
          <t>spring_phab_xfc_nat|Small stream (10 to 100 km2)</t>
        </is>
      </c>
      <c r="B31" s="70" t="inlineStr">
        <is>
          <t>spring-phab-xfc-nat</t>
        </is>
      </c>
      <c r="C31" s="70" t="inlineStr">
        <is>
          <t>Natural fish cover</t>
        </is>
      </c>
      <c r="D31" s="70" t="inlineStr">
        <is>
          <t>Small stream (10 to 100 km2)</t>
        </is>
      </c>
      <c r="E31" s="70" t="n">
        <v>5</v>
      </c>
      <c r="F31" s="70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1" s="70" t="n">
        <v>0</v>
      </c>
      <c r="H31" s="70" t="n">
        <v>0.09764610497014863</v>
      </c>
      <c r="I31" s="70" t="n">
        <v>0.2278409115970135</v>
      </c>
      <c r="J31" s="70" t="n">
        <v>0.6801136434078217</v>
      </c>
      <c r="K31" s="70" t="n">
        <v>0.9062500093132257</v>
      </c>
      <c r="L31" s="70" t="n">
        <v>0.9062500093132257</v>
      </c>
      <c r="M31" s="70" t="n">
        <v>0.9062500093132257</v>
      </c>
      <c r="N31" s="70" t="n">
        <v>0.9062500093132257</v>
      </c>
      <c r="O31" s="70" t="n">
        <v>0</v>
      </c>
      <c r="P31" s="70" t="n">
        <v>0.3</v>
      </c>
      <c r="Q31" s="70" t="n">
        <v>0.7</v>
      </c>
      <c r="R31" s="70" t="n">
        <v>1</v>
      </c>
      <c r="S31" s="70" t="n">
        <v>1</v>
      </c>
      <c r="T31" s="70" t="n">
        <v>1</v>
      </c>
      <c r="U31" s="70" t="n">
        <v>1</v>
      </c>
      <c r="V31" s="70" t="n">
        <v>1</v>
      </c>
    </row>
    <row r="32">
      <c r="A32" s="70" t="inlineStr">
        <is>
          <t>spring_phab_xfc_nat|Large stream (over 100 km2)</t>
        </is>
      </c>
      <c r="B32" s="70" t="inlineStr">
        <is>
          <t>spring-phab-xfc-nat</t>
        </is>
      </c>
      <c r="C32" s="70" t="inlineStr">
        <is>
          <t>Natural fish cover</t>
        </is>
      </c>
      <c r="D32" s="70" t="inlineStr">
        <is>
          <t>Large stream (over 100 km2)</t>
        </is>
      </c>
      <c r="E32" s="70" t="n">
        <v>5</v>
      </c>
      <c r="F32" s="70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2" s="70" t="n">
        <v>0</v>
      </c>
      <c r="H32" s="70" t="n">
        <v>0.07987013033458165</v>
      </c>
      <c r="I32" s="70" t="n">
        <v>0.1863636374473572</v>
      </c>
      <c r="J32" s="70" t="n">
        <v>0.4136363565921783</v>
      </c>
      <c r="K32" s="70" t="n">
        <v>0.5272727161645889</v>
      </c>
      <c r="L32" s="70" t="n">
        <v>0.5272727161645889</v>
      </c>
      <c r="M32" s="70" t="n">
        <v>0.5272727161645889</v>
      </c>
      <c r="N32" s="70" t="n">
        <v>0.5272727161645889</v>
      </c>
      <c r="O32" s="70" t="n">
        <v>0</v>
      </c>
      <c r="P32" s="70" t="n">
        <v>0.3</v>
      </c>
      <c r="Q32" s="70" t="n">
        <v>0.7</v>
      </c>
      <c r="R32" s="70" t="n">
        <v>1</v>
      </c>
      <c r="S32" s="70" t="n">
        <v>1</v>
      </c>
      <c r="T32" s="70" t="n">
        <v>1</v>
      </c>
      <c r="U32" s="70" t="n">
        <v>1</v>
      </c>
      <c r="V32" s="70" t="n">
        <v>1</v>
      </c>
    </row>
    <row r="33">
      <c r="A33" s="70" t="inlineStr">
        <is>
          <t>spring_fish_mmi_fish|</t>
        </is>
      </c>
      <c r="B33" s="70" t="inlineStr">
        <is>
          <t>spring-fish-mmi-fish</t>
        </is>
      </c>
      <c r="C33" s="70" t="inlineStr">
        <is>
          <t>Fish MMI</t>
        </is>
      </c>
      <c r="D33" s="70" t="inlineStr"/>
      <c r="E33" s="70" t="n">
        <v>4</v>
      </c>
      <c r="F33" s="70" t="inlineStr">
        <is>
          <t>Scored against a published criterion rather than against stations from this ecoregion. The criterion carries its own definition of reference, which need not match this assessment's.</t>
        </is>
      </c>
      <c r="G33" s="70" t="n">
        <v>36.145</v>
      </c>
      <c r="H33" s="70" t="n">
        <v>49.795</v>
      </c>
      <c r="I33" s="70" t="n">
        <v>60.295</v>
      </c>
      <c r="J33" s="70" t="n">
        <v>71.145</v>
      </c>
      <c r="K33" s="70" t="n">
        <v>71.145</v>
      </c>
      <c r="L33" s="70" t="n">
        <v>71.145</v>
      </c>
      <c r="M33" s="70" t="n">
        <v>71.145</v>
      </c>
      <c r="N33" s="70" t="n">
        <v>71.145</v>
      </c>
      <c r="O33" s="70" t="n">
        <v>0</v>
      </c>
      <c r="P33" s="70" t="n">
        <v>0.39</v>
      </c>
      <c r="Q33" s="70" t="n">
        <v>0.6899999999999999</v>
      </c>
      <c r="R33" s="70" t="n">
        <v>1</v>
      </c>
      <c r="S33" s="70" t="n">
        <v>1</v>
      </c>
      <c r="T33" s="70" t="n">
        <v>1</v>
      </c>
      <c r="U33" s="70" t="n">
        <v>1</v>
      </c>
      <c r="V33" s="70" t="n">
        <v>1</v>
      </c>
    </row>
    <row r="34">
      <c r="A34" s="70" t="inlineStr">
        <is>
          <t>spring_bent_hprime|</t>
        </is>
      </c>
      <c r="B34" s="70" t="inlineStr">
        <is>
          <t>spring-bent-hprime</t>
        </is>
      </c>
      <c r="C34" s="70" t="inlineStr">
        <is>
          <t>Shannon diversity (H')</t>
        </is>
      </c>
      <c r="D34" s="70" t="inlineStr"/>
      <c r="E34" s="70" t="n">
        <v>5</v>
      </c>
      <c r="F34" s="70" t="inlineStr">
        <is>
          <t>11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4" s="70" t="n">
        <v>0</v>
      </c>
      <c r="H34" s="70" t="n">
        <v>1.112142818314689</v>
      </c>
      <c r="I34" s="70" t="n">
        <v>2.59499990940094</v>
      </c>
      <c r="J34" s="70" t="n">
        <v>3.044999957084656</v>
      </c>
      <c r="K34" s="70" t="n">
        <v>3.269999980926514</v>
      </c>
      <c r="L34" s="70" t="n">
        <v>3.269999980926514</v>
      </c>
      <c r="M34" s="70" t="n">
        <v>3.269999980926514</v>
      </c>
      <c r="N34" s="70" t="n">
        <v>3.269999980926514</v>
      </c>
      <c r="O34" s="70" t="n">
        <v>0</v>
      </c>
      <c r="P34" s="70" t="n">
        <v>0.3</v>
      </c>
      <c r="Q34" s="70" t="n">
        <v>0.7</v>
      </c>
      <c r="R34" s="70" t="n">
        <v>1</v>
      </c>
      <c r="S34" s="70" t="n">
        <v>1</v>
      </c>
      <c r="T34" s="70" t="n">
        <v>1</v>
      </c>
      <c r="U34" s="70" t="n">
        <v>1</v>
      </c>
      <c r="V34" s="70" t="n">
        <v>1</v>
      </c>
    </row>
    <row r="35">
      <c r="A35" s="70" t="inlineStr">
        <is>
          <t>spring_bent_mmi_bent|</t>
        </is>
      </c>
      <c r="B35" s="70" t="inlineStr">
        <is>
          <t>spring-bent-mmi-bent</t>
        </is>
      </c>
      <c r="C35" s="70" t="inlineStr">
        <is>
          <t>Benthic macroinvertebrate MMI</t>
        </is>
      </c>
      <c r="D35" s="70" t="inlineStr"/>
      <c r="E35" s="70" t="n">
        <v>4</v>
      </c>
      <c r="F35" s="70" t="inlineStr">
        <is>
          <t>Scored against a published criterion rather than against stations from this ecoregion. The criterion carries its own definition of reference, which need not match this assessment's.</t>
        </is>
      </c>
      <c r="G35" s="70" t="n">
        <v>12.335</v>
      </c>
      <c r="H35" s="70" t="n">
        <v>30.795</v>
      </c>
      <c r="I35" s="70" t="n">
        <v>44.995</v>
      </c>
      <c r="J35" s="70" t="n">
        <v>59.668333</v>
      </c>
      <c r="K35" s="70" t="n">
        <v>59.668333</v>
      </c>
      <c r="L35" s="70" t="n">
        <v>59.668333</v>
      </c>
      <c r="M35" s="70" t="n">
        <v>59.668333</v>
      </c>
      <c r="N35" s="70" t="n">
        <v>59.668333</v>
      </c>
      <c r="O35" s="70" t="n">
        <v>0</v>
      </c>
      <c r="P35" s="70" t="n">
        <v>0.39</v>
      </c>
      <c r="Q35" s="70" t="n">
        <v>0.6899999999999999</v>
      </c>
      <c r="R35" s="70" t="n">
        <v>1</v>
      </c>
      <c r="S35" s="70" t="n">
        <v>1</v>
      </c>
      <c r="T35" s="70" t="n">
        <v>1</v>
      </c>
      <c r="U35" s="70" t="n">
        <v>1</v>
      </c>
      <c r="V35" s="70" t="n">
        <v>1</v>
      </c>
    </row>
    <row r="36">
      <c r="A36" s="70" t="inlineStr">
        <is>
          <t>spring_nid_dams_1mi|</t>
        </is>
      </c>
      <c r="B36" s="70" t="inlineStr">
        <is>
          <t>spring-nid-dams-1mi</t>
        </is>
      </c>
      <c r="C36" s="70" t="inlineStr">
        <is>
          <t>Mapped dams within one mile</t>
        </is>
      </c>
      <c r="D36" s="70" t="inlineStr"/>
      <c r="E36" s="70" t="n">
        <v>4</v>
      </c>
      <c r="F36" s="70" t="inlineStr">
        <is>
          <t>Fixed criteria, the same in every region</t>
        </is>
      </c>
      <c r="G36" s="70" t="n">
        <v>0</v>
      </c>
      <c r="H36" s="70" t="n">
        <v>1</v>
      </c>
      <c r="I36" s="70" t="n">
        <v>2</v>
      </c>
      <c r="J36" s="70" t="n">
        <v>3</v>
      </c>
      <c r="K36" s="70" t="n">
        <v>3</v>
      </c>
      <c r="L36" s="70" t="n">
        <v>3</v>
      </c>
      <c r="M36" s="70" t="n">
        <v>3</v>
      </c>
      <c r="N36" s="70" t="n">
        <v>3</v>
      </c>
      <c r="O36" s="70" t="n">
        <v>1</v>
      </c>
      <c r="P36" s="70" t="n">
        <v>0.545</v>
      </c>
      <c r="Q36" s="70" t="n">
        <v>0.195</v>
      </c>
      <c r="R36" s="70" t="n">
        <v>0</v>
      </c>
      <c r="S36" s="70" t="n">
        <v>0</v>
      </c>
      <c r="T36" s="70" t="n">
        <v>0</v>
      </c>
      <c r="U36" s="70" t="n">
        <v>0</v>
      </c>
      <c r="V36" s="70" t="n">
        <v>0</v>
      </c>
    </row>
    <row r="39">
      <c r="A39" s="59" t="inlineStr">
        <is>
          <t>Curve sets by metric</t>
        </is>
      </c>
    </row>
    <row r="40">
      <c r="A40" s="70" t="inlineStr">
        <is>
          <t>All streams (pooled)</t>
        </is>
      </c>
      <c r="B40" s="5" t="inlineStr">
        <is>
          <t>Relative bed stability</t>
        </is>
      </c>
    </row>
    <row r="41">
      <c r="A41" s="70" t="inlineStr">
        <is>
          <t>Small stream (10 to 100 km2)</t>
        </is>
      </c>
      <c r="B41" s="5" t="inlineStr">
        <is>
          <t>Relative bed stability</t>
        </is>
      </c>
    </row>
    <row r="42">
      <c r="A42" s="70" t="inlineStr">
        <is>
          <t>Large stream (over 100 km2)</t>
        </is>
      </c>
      <c r="B42" s="5" t="inlineStr">
        <is>
          <t>Relative bed stability</t>
        </is>
      </c>
    </row>
    <row r="43">
      <c r="A43" s="70" t="inlineStr">
        <is>
          <t>All streams (pooled)</t>
        </is>
      </c>
      <c r="B43" s="5" t="inlineStr">
        <is>
          <t>Canopy density, mid-channel</t>
        </is>
      </c>
    </row>
    <row r="44">
      <c r="A44" s="70" t="inlineStr">
        <is>
          <t>Small stream (10 to 100 km2)</t>
        </is>
      </c>
      <c r="B44" s="5" t="inlineStr">
        <is>
          <t>Canopy density, mid-channel</t>
        </is>
      </c>
    </row>
    <row r="45">
      <c r="A45" s="70" t="inlineStr">
        <is>
          <t>Large stream (over 100 km2)</t>
        </is>
      </c>
      <c r="B45" s="5" t="inlineStr">
        <is>
          <t>Canopy density, mid-channel</t>
        </is>
      </c>
    </row>
    <row r="46">
      <c r="A46" s="70" t="inlineStr">
        <is>
          <t>All streams (pooled)</t>
        </is>
      </c>
      <c r="B46" s="5" t="inlineStr">
        <is>
          <t>Natural fish cover</t>
        </is>
      </c>
    </row>
    <row r="47">
      <c r="A47" s="70" t="inlineStr">
        <is>
          <t>Small stream (10 to 100 km2)</t>
        </is>
      </c>
      <c r="B47" s="5" t="inlineStr">
        <is>
          <t>Natural fish cover</t>
        </is>
      </c>
    </row>
    <row r="48">
      <c r="A48" s="70" t="inlineStr">
        <is>
          <t>Large stream (over 100 km2)</t>
        </is>
      </c>
      <c r="B48" s="5" t="inlineStr">
        <is>
          <t>Natural fish cover</t>
        </is>
      </c>
    </row>
    <row r="51">
      <c r="A51" s="59" t="inlineStr">
        <is>
          <t>Condition classes</t>
        </is>
      </c>
    </row>
    <row r="52">
      <c r="A52" t="inlineStr">
        <is>
          <t>Metric index: at or below 0.39 Non-Functioning, at or below 0.69 Functioning At-Risk, above Functioning.</t>
        </is>
      </c>
    </row>
    <row r="53">
      <c r="A53" t="inlineStr">
        <is>
          <t>Function score (0 to 15): at or below 5 Non-Functioning, at or below 10 Functioning At-Risk, above Functioning.</t>
        </is>
      </c>
    </row>
    <row r="54">
      <c r="A5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70" t="inlineStr">
        <is>
          <t>Assessment id</t>
        </is>
      </c>
      <c r="B4" s="70" t="inlineStr">
        <is>
          <t>boston-mountains</t>
        </is>
      </c>
    </row>
    <row r="5">
      <c r="A5" s="70" t="inlineStr">
        <is>
          <t>Assessment name</t>
        </is>
      </c>
      <c r="B5" s="70" t="inlineStr">
        <is>
          <t>Boston Mountains reference assessment</t>
        </is>
      </c>
    </row>
    <row r="6">
      <c r="A6" s="70" t="inlineStr">
        <is>
          <t>Version</t>
        </is>
      </c>
      <c r="B6" s="70" t="n">
        <v>1</v>
      </c>
    </row>
    <row r="7">
      <c r="A7" s="70" t="inlineStr">
        <is>
          <t>Lifecycle status</t>
        </is>
      </c>
      <c r="B7" s="70" t="inlineStr">
        <is>
          <t>Draft</t>
        </is>
      </c>
    </row>
    <row r="8">
      <c r="A8" s="70" t="inlineStr">
        <is>
          <t>Content digest</t>
        </is>
      </c>
      <c r="B8" s="70" t="inlineStr">
        <is>
          <t>sha256:397e2ca5c762906ce6fe27fa3bde50aafd2dfa89e66f34d2a907838257d34f1a</t>
        </is>
      </c>
    </row>
    <row r="9">
      <c r="A9" s="70" t="inlineStr">
        <is>
          <t>Region</t>
        </is>
      </c>
      <c r="B9" s="70" t="inlineStr">
        <is>
          <t>ecoregion 38 Boston Mountains</t>
        </is>
      </c>
    </row>
    <row r="10">
      <c r="A10" s="70" t="inlineStr">
        <is>
          <t>Source</t>
        </is>
      </c>
      <c r="B10" s="70" t="inlineStr">
        <is>
          <t>USEPA NRSA 2013-24 (L3 ecoregion 38), StreamCurves regional analysis, methodology 0.16-provisional</t>
        </is>
      </c>
    </row>
    <row r="11">
      <c r="A11" s="70" t="inlineStr">
        <is>
          <t>Reference method</t>
        </is>
      </c>
      <c r="B11" s="70" t="inlineStr">
        <is>
          <t>pressure-screen</t>
        </is>
      </c>
    </row>
    <row r="12">
      <c r="A12" s="70" t="inlineStr">
        <is>
          <t>Reference screen</t>
        </is>
      </c>
      <c r="B12" s="70" t="inlineStr">
        <is>
          <t>least-disturbed-v1 (strict), wadeable non-canal frame</t>
        </is>
      </c>
    </row>
    <row r="13">
      <c r="A13" s="70" t="inlineStr">
        <is>
          <t>Scoring method</t>
        </is>
      </c>
      <c r="B13" s="70" t="inlineStr">
        <is>
          <t>iqr-seed-v2</t>
        </is>
      </c>
    </row>
    <row r="14">
      <c r="A14" s="70" t="inlineStr">
        <is>
          <t>Functions scored</t>
        </is>
      </c>
      <c r="B14" s="70" t="n">
        <v>20</v>
      </c>
    </row>
    <row r="15">
      <c r="A15" s="70" t="inlineStr">
        <is>
          <t>Metrics</t>
        </is>
      </c>
      <c r="B15" s="70" t="n">
        <v>26</v>
      </c>
    </row>
    <row r="16">
      <c r="A16" s="70" t="inlineStr">
        <is>
          <t>Function coverage</t>
        </is>
      </c>
      <c r="B16" s="70" t="inlineStr">
        <is>
          <t>This assessment covers 20 of 20 STAF functions.</t>
        </is>
      </c>
    </row>
    <row r="17">
      <c r="A17" s="70" t="inlineStr">
        <is>
          <t>Generator</t>
        </is>
      </c>
      <c r="B17" s="70" t="inlineStr">
        <is>
          <t>streamcurves.deep_calculator</t>
        </is>
      </c>
    </row>
    <row r="18">
      <c r="A18" s="70" t="inlineStr">
        <is>
          <t>Generator version</t>
        </is>
      </c>
      <c r="B18" s="70" t="inlineStr">
        <is>
          <t>1.1</t>
        </is>
      </c>
    </row>
    <row r="19">
      <c r="A19" s="70" t="inlineStr">
        <is>
          <t>Formula vocabulary</t>
        </is>
      </c>
      <c r="B19" s="7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9" t="inlineStr">
        <is>
          <t>Function</t>
        </is>
      </c>
      <c r="B2" s="59" t="inlineStr">
        <is>
          <t>Score</t>
        </is>
      </c>
      <c r="C2" s="59" t="inlineStr">
        <is>
          <t>Non-Functioning (0-5)</t>
        </is>
      </c>
      <c r="D2" s="59" t="inlineStr">
        <is>
          <t>Functioning At-Risk (6-10)</t>
        </is>
      </c>
      <c r="E2" s="5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59" t="inlineStr">
        <is>
          <t>Outcome</t>
        </is>
      </c>
      <c r="B24" s="59" t="inlineStr">
        <is>
          <t>Score</t>
        </is>
      </c>
      <c r="C24" s="59" t="inlineStr">
        <is>
          <t>Non-Functioning (0.00-0.39)</t>
        </is>
      </c>
      <c r="D24" s="59" t="inlineStr">
        <is>
          <t>Functioning At-Risk (0.40-0.69)</t>
        </is>
      </c>
      <c r="E24" s="5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2026-09-30T07:05:16Z</dcterms:created>
  <dcterms:modified xmlns:dcterms="http://purl.org/dc/terms/" xmlns:xsi="http://www.w3.org/2001/XMLSchema-instance" xsi:type="dcterms:W3CDTF">2026-09-30T07:05:16Z</dcterms:modified>
  <cp:lastModifiedBy>DEEP</cp:lastModifiedBy>
  <cp:contentStatus>Draft</cp:contentStatus>
</cp:coreProperties>
</file>