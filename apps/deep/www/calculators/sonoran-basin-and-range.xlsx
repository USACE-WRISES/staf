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'Reference'!$A$5:$A$45</definedName>
    <definedName name="curve_x1">'Reference'!$G$5:$G$45</definedName>
    <definedName name="curve_y1">'Reference'!$O$5:$O$45</definedName>
    <definedName name="curve_x2">'Reference'!$H$5:$H$45</definedName>
    <definedName name="curve_y2">'Reference'!$P$5:$P$45</definedName>
    <definedName name="curve_x3">'Reference'!$I$5:$I$45</definedName>
    <definedName name="curve_y3">'Reference'!$Q$5:$Q$45</definedName>
    <definedName name="curve_x4">'Reference'!$J$5:$J$45</definedName>
    <definedName name="curve_y4">'Reference'!$R$5:$R$45</definedName>
    <definedName name="curve_x5">'Reference'!$K$5:$K$45</definedName>
    <definedName name="curve_y5">'Reference'!$S$5:$S$45</definedName>
    <definedName name="curve_x6">'Reference'!$L$5:$L$45</definedName>
    <definedName name="curve_y6">'Reference'!$T$5:$T$45</definedName>
    <definedName name="curve_x7">'Reference'!$M$5:$M$45</definedName>
    <definedName name="curve_y7">'Reference'!$U$5:$U$45</definedName>
    <definedName name="curve_x8">'Reference'!$N$5:$N$45</definedName>
    <definedName name="curve_y8">'Reference'!$V$5:$V$45</definedName>
    <definedName name="strata_spring_phab_bfwd_rat">'Reference'!$A$49:$A$51</definedName>
    <definedName name="strata_spring_phab_xbkf_h">'Reference'!$A$52:$A$54</definedName>
    <definedName name="strata_spring_phab_lrbs_use">'Reference'!$A$55:$A$57</definedName>
    <definedName name="strata_spring_phab_xcdenmid">'Reference'!$A$58:$A$60</definedName>
    <definedName name="strata_spring_phab_pct_fast">'Reference'!$A$61:$A$64</definedName>
    <definedName name="strata_spring_phab_xfc_nat">'Reference'!$A$65:$A$67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mmi_fish">'Metrics'!$V$29</definedName>
    <definedName name="idx_spring_bent_ept_ntax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mmi_fish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Sonoran Basin and Range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4" t="inlineStr">
        <is>
          <t>Reference condition. Reference condition is set by a fixed landscape-pressure screen, never by a score. 20 borrow comparable least-disturbed stations from a wider region, stating the region and the transfer risk.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Sonoran Basin and Range reference assessment</t>
        </is>
      </c>
    </row>
    <row r="3">
      <c r="A3" s="5" t="inlineStr">
        <is>
          <t>Version 1 | Draft | USEPA NRSA 2013-24 (L3 ecoregion 81),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5">
        <f>IF('DEEP Score'!$E$24="","",'DEEP Score'!$E$24)</f>
        <v/>
      </c>
      <c r="F32" s="46" t="inlineStr"/>
      <c r="G32" s="26">
        <f>IF('Metrics'!$V$14="","",'Metrics'!$V$14)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IF('Metrics'!$V$27="","",'Metrics'!$V$27)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IF('Metrics'!$V$28="","",'Metrics'!$V$28)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Fish MMI</t>
        </is>
      </c>
      <c r="D43" s="23" t="inlineStr">
        <is>
          <t>MMI points</t>
        </is>
      </c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IF('Metrics'!$V$30="","",'Metrics'!$V$30)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IF('Metrics'!$V$31="","",'Metrics'!$V$31)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IF('Metrics'!$V$32="","",'Metrics'!$V$32)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Native fish taxa richness</t>
        </is>
      </c>
      <c r="C58" s="5" t="inlineStr">
        <is>
          <t>Population support</t>
        </is>
      </c>
    </row>
    <row r="59">
      <c r="A59" t="inlineStr">
        <is>
          <t>Large wood volume</t>
        </is>
      </c>
      <c r="C59" s="5" t="inlineStr">
        <is>
          <t>Bed composition and bedform dynamics</t>
        </is>
      </c>
    </row>
    <row r="60">
      <c r="A60" t="inlineStr">
        <is>
          <t>Residual pool depth</t>
        </is>
      </c>
      <c r="C60" s="5" t="inlineStr">
        <is>
          <t>Low flow and baseflow dynamics</t>
        </is>
      </c>
    </row>
    <row r="62">
      <c r="A62" s="6" t="inlineStr">
        <is>
          <t>Notes</t>
        </is>
      </c>
    </row>
    <row r="63">
      <c r="A63" s="59" t="n"/>
      <c r="B63" s="60" t="n"/>
      <c r="C63" s="60" t="n"/>
      <c r="D63" s="60" t="n"/>
      <c r="E63" s="60" t="n"/>
      <c r="F63" s="60" t="n"/>
      <c r="G63" s="60" t="n"/>
      <c r="H63" s="60" t="n"/>
      <c r="I63" s="61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2" t="n"/>
      <c r="B67" s="63" t="n"/>
      <c r="C67" s="63" t="n"/>
      <c r="D67" s="63" t="n"/>
      <c r="E67" s="63" t="n"/>
      <c r="F67" s="63" t="n"/>
      <c r="G67" s="63" t="n"/>
      <c r="H67" s="63" t="n"/>
      <c r="I67" s="64" t="n"/>
    </row>
    <row r="68">
      <c r="A68" s="65" t="n"/>
      <c r="B68" s="66" t="n"/>
      <c r="C68" s="66" t="n"/>
      <c r="D68" s="66" t="n"/>
      <c r="E68" s="66" t="n"/>
      <c r="F68" s="66" t="n"/>
      <c r="G68" s="66" t="n"/>
      <c r="H68" s="66" t="n"/>
      <c r="I68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A63:I6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Score'!$E$31="","",'DEEP Score'!$E$31)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Score'!$E$33="","",'DEEP Score'!$E$33)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Score'!$E$34="","",'DEEP Score'!$E$34)</f>
        <v/>
      </c>
      <c r="C20" s="70">
        <f>IF('DEEP Score'!$F$34="","All streams (pooled)",'DEEP Score'!$F$34)</f>
        <v/>
      </c>
      <c r="D20" s="70">
        <f>"spring_phab_xcdenmid|"&amp;'Metrics'!$C$20</f>
        <v/>
      </c>
      <c r="E20" s="70">
        <f>IFERROR(MATCH('Metrics'!$D$20,curve_key,0),MATCH("spring_phab_xcdenmid|All streams (pooled)",curve_key,0))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pH</t>
        </is>
      </c>
      <c r="B24" s="70">
        <f>IF('DEEP Score'!$E$38="","",'DEEP Score'!$E$38)</f>
        <v/>
      </c>
      <c r="C24" s="70">
        <f>""</f>
        <v/>
      </c>
      <c r="D24" s="70">
        <f>"spring_chem_ph|"&amp;'Metrics'!$C$24</f>
        <v/>
      </c>
      <c r="E24" s="70">
        <f>IFERROR(MATCH('Metrics'!$D$24,curve_key,0),MATCH("spring_chem_ph|",curve_key,0))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Score'!$E$39="","",'DEEP Score'!$E$39)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IF('DEEP Score'!$F$41="","All streams (pooled)",'DEEP Score'!$F$41)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Benthic total taxa richness</t>
        </is>
      </c>
      <c r="B28" s="70">
        <f>IF('DEEP Score'!$E$42="","",'DEEP Score'!$E$42)</f>
        <v/>
      </c>
      <c r="C28" s="70">
        <f>""</f>
        <v/>
      </c>
      <c r="D28" s="70">
        <f>"spring_bent_totlntax|"&amp;'Metrics'!$C$28</f>
        <v/>
      </c>
      <c r="E28" s="70">
        <f>IFERROR(MATCH('Metrics'!$D$28,curve_key,0),MATCH("spring_bent_totlntax|",curve_key,0))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Fish MMI</t>
        </is>
      </c>
      <c r="B29" s="70">
        <f>IF('DEEP Score'!$E$43="","",'DEEP Score'!$E$43)</f>
        <v/>
      </c>
      <c r="C29" s="70">
        <f>""</f>
        <v/>
      </c>
      <c r="D29" s="70">
        <f>"spring_fish_mmi_fish|"&amp;'Metrics'!$C$29</f>
        <v/>
      </c>
      <c r="E29" s="70">
        <f>IFERROR(MATCH('Metrics'!$D$29,curve_key,0),MATCH("spring_fish_mmi_fish|",curve_key,0))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EPT taxa richness</t>
        </is>
      </c>
      <c r="B30" s="70">
        <f>IF('DEEP Score'!$E$44="","",'DEEP Score'!$E$44)</f>
        <v/>
      </c>
      <c r="C30" s="70">
        <f>""</f>
        <v/>
      </c>
      <c r="D30" s="70">
        <f>"spring_bent_ept_ntax|"&amp;'Metrics'!$C$30</f>
        <v/>
      </c>
      <c r="E30" s="70">
        <f>IFERROR(MATCH('Metrics'!$D$30,curve_key,0),MATCH("spring_bent_ept_ntax|",curve_key,0))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Benthic macroinvertebrate MMI</t>
        </is>
      </c>
      <c r="B31" s="70">
        <f>IF('DEEP Score'!$E$45="","",'DEEP Score'!$E$45)</f>
        <v/>
      </c>
      <c r="C31" s="70">
        <f>""</f>
        <v/>
      </c>
      <c r="D31" s="70">
        <f>"spring_bent_mmi_bent|"&amp;'Metrics'!$C$31</f>
        <v/>
      </c>
      <c r="E31" s="70">
        <f>IFERROR(MATCH('Metrics'!$D$31,curve_key,0),MATCH("spring_bent_mmi_bent|",curve_key,0))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Score'!$E$46="","",'DEEP Score'!$E$46)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3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106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9" t="n">
        <v>0</v>
      </c>
      <c r="H9" s="69" t="n">
        <v>26.02705714285714</v>
      </c>
      <c r="I9" s="69" t="n">
        <v>60.7298</v>
      </c>
      <c r="J9" s="69" t="n">
        <v>70.08154999999999</v>
      </c>
      <c r="K9" s="69" t="n">
        <v>74.75742499999998</v>
      </c>
      <c r="L9" s="69" t="n">
        <v>74.75742499999998</v>
      </c>
      <c r="M9" s="69" t="n">
        <v>74.75742499999998</v>
      </c>
      <c r="N9" s="69" t="n">
        <v>74.75742499999998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8</v>
      </c>
      <c r="F11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9" t="n">
        <v>0</v>
      </c>
      <c r="H11" s="69" t="n">
        <v>1.173046588897705</v>
      </c>
      <c r="I11" s="69" t="n">
        <v>4.373995834589005</v>
      </c>
      <c r="J11" s="69" t="n">
        <v>6.097583889961243</v>
      </c>
      <c r="K11" s="69" t="n">
        <v>11.02212119102478</v>
      </c>
      <c r="L11" s="69" t="n">
        <v>12.74570924639702</v>
      </c>
      <c r="M11" s="69" t="n">
        <v>15.94665849208832</v>
      </c>
      <c r="N11" s="69" t="n">
        <v>20.87119579315186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0.7</v>
      </c>
      <c r="U11" s="69" t="n">
        <v>0.3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7</v>
      </c>
      <c r="F12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9" t="n">
        <v>0</v>
      </c>
      <c r="H12" s="69" t="n">
        <v>2.561712563037872</v>
      </c>
      <c r="I12" s="69" t="n">
        <v>4.184685707092285</v>
      </c>
      <c r="J12" s="69" t="n">
        <v>8.821751832962036</v>
      </c>
      <c r="K12" s="69" t="n">
        <v>10.44472497701645</v>
      </c>
      <c r="L12" s="69" t="n">
        <v>13.45881795883179</v>
      </c>
      <c r="M12" s="69" t="n">
        <v>18.09588408470154</v>
      </c>
      <c r="N12" s="69" t="n">
        <v>18.09588408470154</v>
      </c>
      <c r="O12" s="69" t="n">
        <v>0</v>
      </c>
      <c r="P12" s="69" t="n">
        <v>0.7</v>
      </c>
      <c r="Q12" s="69" t="n">
        <v>1</v>
      </c>
      <c r="R12" s="69" t="n">
        <v>1</v>
      </c>
      <c r="S12" s="69" t="n">
        <v>0.7</v>
      </c>
      <c r="T12" s="69" t="n">
        <v>0.3</v>
      </c>
      <c r="U12" s="69" t="n">
        <v>0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7</v>
      </c>
      <c r="F13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9" t="n">
        <v>0</v>
      </c>
      <c r="H13" s="69" t="n">
        <v>4.189588141441345</v>
      </c>
      <c r="I13" s="69" t="n">
        <v>7.343420505523682</v>
      </c>
      <c r="J13" s="69" t="n">
        <v>16.3543701171875</v>
      </c>
      <c r="K13" s="69" t="n">
        <v>19.50820248126984</v>
      </c>
      <c r="L13" s="69" t="n">
        <v>25.36531972885132</v>
      </c>
      <c r="M13" s="69" t="n">
        <v>34.37626934051514</v>
      </c>
      <c r="N13" s="69" t="n">
        <v>34.37626934051514</v>
      </c>
      <c r="O13" s="69" t="n">
        <v>0</v>
      </c>
      <c r="P13" s="69" t="n">
        <v>0.7</v>
      </c>
      <c r="Q13" s="69" t="n">
        <v>1</v>
      </c>
      <c r="R13" s="69" t="n">
        <v>1</v>
      </c>
      <c r="S13" s="69" t="n">
        <v>0.7</v>
      </c>
      <c r="T13" s="69" t="n">
        <v>0.3</v>
      </c>
      <c r="U13" s="69" t="n">
        <v>0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4" s="69" t="n">
        <v>0</v>
      </c>
      <c r="H14" s="69" t="n">
        <v>0.1674318119883537</v>
      </c>
      <c r="I14" s="69" t="n">
        <v>0.2802272737026215</v>
      </c>
      <c r="J14" s="69" t="n">
        <v>0.6025000214576721</v>
      </c>
      <c r="K14" s="69" t="n">
        <v>0.7152954831719398</v>
      </c>
      <c r="L14" s="69" t="n">
        <v>0.9247727692127228</v>
      </c>
      <c r="M14" s="69" t="n">
        <v>1.247045516967773</v>
      </c>
      <c r="N14" s="69" t="n">
        <v>1.247045516967773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spring_phab_xbkf_h|Small stream (10 to 100 km2)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Small stream (10 to 100 km2)</t>
        </is>
      </c>
      <c r="E15" s="69" t="n">
        <v>7</v>
      </c>
      <c r="F15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9" t="n">
        <v>0</v>
      </c>
      <c r="H15" s="69" t="n">
        <v>0.1392579576000571</v>
      </c>
      <c r="I15" s="69" t="n">
        <v>0.2350227274000645</v>
      </c>
      <c r="J15" s="69" t="n">
        <v>0.5086363554000854</v>
      </c>
      <c r="K15" s="69" t="n">
        <v>0.6044011252000928</v>
      </c>
      <c r="L15" s="69" t="n">
        <v>0.7822499834001064</v>
      </c>
      <c r="M15" s="69" t="n">
        <v>1.055863611400127</v>
      </c>
      <c r="N15" s="69" t="n">
        <v>1.055863611400127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spring_phab_xbkf_h|Large stream (over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Large stream (over 100 km2)</t>
        </is>
      </c>
      <c r="E16" s="69" t="n">
        <v>7</v>
      </c>
      <c r="F16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9" t="n">
        <v>0</v>
      </c>
      <c r="H16" s="69" t="n">
        <v>0.1994949460029602</v>
      </c>
      <c r="I16" s="69" t="n">
        <v>0.3090909123420715</v>
      </c>
      <c r="J16" s="69" t="n">
        <v>0.6222222447395325</v>
      </c>
      <c r="K16" s="69" t="n">
        <v>0.7318182110786438</v>
      </c>
      <c r="L16" s="69" t="n">
        <v>0.9353535771369934</v>
      </c>
      <c r="M16" s="69" t="n">
        <v>1.248484909534454</v>
      </c>
      <c r="N16" s="69" t="n">
        <v>1.248484909534454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4</v>
      </c>
      <c r="F17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7" s="69" t="n">
        <v>7.950309991836548</v>
      </c>
      <c r="H17" s="69" t="n">
        <v>25.5900616645813</v>
      </c>
      <c r="I17" s="69" t="n">
        <v>60.8695650100708</v>
      </c>
      <c r="J17" s="69" t="n">
        <v>100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97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8" s="69" t="n">
        <v>32.72727584838867</v>
      </c>
      <c r="H18" s="69" t="n">
        <v>48.54545593261719</v>
      </c>
      <c r="I18" s="69" t="n">
        <v>80.18181610107422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96 least-disturbed stations borrowed from Level I ecoregion 10 (North American Deserts) under the regional screen (agriculture at most 25 percent), transfer risk high</t>
        </is>
      </c>
      <c r="G19" s="69" t="n">
        <v>1</v>
      </c>
      <c r="H19" s="69" t="n">
        <v>1.101062089204788</v>
      </c>
      <c r="I19" s="69" t="n">
        <v>1.382223904132843</v>
      </c>
      <c r="J19" s="69" t="n">
        <v>1.52280481159687</v>
      </c>
      <c r="K19" s="69" t="n">
        <v>1.52280481159687</v>
      </c>
      <c r="L19" s="69" t="n">
        <v>1.52280481159687</v>
      </c>
      <c r="M19" s="69" t="n">
        <v>1.52280481159687</v>
      </c>
      <c r="N19" s="69" t="n">
        <v>1.52280481159687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97 least-disturbed stations borrowed from Level I ecoregion 10 (North American Deserts) under the regional screen (agriculture at most 25 percent), transfer risk moderate</t>
        </is>
      </c>
      <c r="G20" s="69" t="n">
        <v>0</v>
      </c>
      <c r="H20" s="69" t="n">
        <v>17.44318113327027</v>
      </c>
      <c r="I20" s="69" t="n">
        <v>23.40909004211426</v>
      </c>
      <c r="J20" s="69" t="n">
        <v>40.45454406738281</v>
      </c>
      <c r="K20" s="69" t="n">
        <v>46.42045297622681</v>
      </c>
      <c r="L20" s="69" t="n">
        <v>57.49999809265137</v>
      </c>
      <c r="M20" s="69" t="n">
        <v>74.54545211791992</v>
      </c>
      <c r="N20" s="69" t="n">
        <v>74.54545211791992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103 least-disturbed stations borrowed from Level I ecoregion 10 (North American Deserts) under the regional screen (agriculture at most 25 percent), transfer risk high</t>
        </is>
      </c>
      <c r="G21" s="69" t="n">
        <v>-4.843797087669373</v>
      </c>
      <c r="H21" s="69" t="n">
        <v>-3.453158855438232</v>
      </c>
      <c r="I21" s="69" t="n">
        <v>-2.549244004487991</v>
      </c>
      <c r="J21" s="69" t="n">
        <v>-2.062520623207092</v>
      </c>
      <c r="K21" s="69" t="n">
        <v>-0.6718823909759521</v>
      </c>
      <c r="L21" s="69" t="n">
        <v>-0.1851590096950531</v>
      </c>
      <c r="M21" s="69" t="n">
        <v>0.718755841255188</v>
      </c>
      <c r="N21" s="69" t="n">
        <v>2.109394073486328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spring_phab_lrbs_use|Small stream (10 to 100 km2)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Small stream (10 to 100 km2)</t>
        </is>
      </c>
      <c r="E22" s="69" t="n">
        <v>8</v>
      </c>
      <c r="F22" s="69" t="inlineStr">
        <is>
          <t>103 least-disturbed stations borrowed from Level I ecoregion 10 (North American Deserts) under the regional screen (agriculture at most 25 percent), transfer risk high</t>
        </is>
      </c>
      <c r="G22" s="69" t="n">
        <v>-5.725102782249451</v>
      </c>
      <c r="H22" s="69" t="n">
        <v>-4.173826843500137</v>
      </c>
      <c r="I22" s="69" t="n">
        <v>-3.165497483313084</v>
      </c>
      <c r="J22" s="69" t="n">
        <v>-2.622550904750824</v>
      </c>
      <c r="K22" s="69" t="n">
        <v>-1.071274966001511</v>
      </c>
      <c r="L22" s="69" t="n">
        <v>-0.528328387439251</v>
      </c>
      <c r="M22" s="69" t="n">
        <v>0.4800009727478027</v>
      </c>
      <c r="N22" s="69" t="n">
        <v>2.031276911497116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spring_phab_lrbs_use|Large stream (over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Large stream (over 100 km2)</t>
        </is>
      </c>
      <c r="E23" s="69" t="n">
        <v>8</v>
      </c>
      <c r="F23" s="69" t="inlineStr">
        <is>
          <t>103 least-disturbed stations borrowed from Level I ecoregion 10 (North American Deserts) under the regional screen (agriculture at most 25 percent), transfer risk high</t>
        </is>
      </c>
      <c r="G23" s="69" t="n">
        <v>-3.234110593795776</v>
      </c>
      <c r="H23" s="69" t="n">
        <v>-2.295792862772942</v>
      </c>
      <c r="I23" s="69" t="n">
        <v>-1.685886337608099</v>
      </c>
      <c r="J23" s="69" t="n">
        <v>-1.357475131750107</v>
      </c>
      <c r="K23" s="69" t="n">
        <v>-0.419157400727272</v>
      </c>
      <c r="L23" s="69" t="n">
        <v>-0.09074619486927987</v>
      </c>
      <c r="M23" s="69" t="n">
        <v>0.5191603302955627</v>
      </c>
      <c r="N23" s="69" t="n">
        <v>1.457478061318398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spring_phab_lsub_dmm|</t>
        </is>
      </c>
      <c r="B24" s="69" t="inlineStr">
        <is>
          <t>spring-phab-lsub-dmm</t>
        </is>
      </c>
      <c r="C24" s="69" t="inlineStr">
        <is>
          <t>Substrate size</t>
        </is>
      </c>
      <c r="D24" s="69" t="inlineStr"/>
      <c r="E24" s="69" t="n">
        <v>5</v>
      </c>
      <c r="F24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24" s="69" t="n">
        <v>-3.68310122191906</v>
      </c>
      <c r="H24" s="69" t="n">
        <v>-2.320025280117989</v>
      </c>
      <c r="I24" s="69" t="n">
        <v>-0.2754113674163818</v>
      </c>
      <c r="J24" s="69" t="n">
        <v>1.087664574384689</v>
      </c>
      <c r="K24" s="69" t="n">
        <v>1.769202545285225</v>
      </c>
      <c r="L24" s="69" t="n">
        <v>1.769202545285225</v>
      </c>
      <c r="M24" s="69" t="n">
        <v>1.769202545285225</v>
      </c>
      <c r="N24" s="69" t="n">
        <v>1.769202545285225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spring_chem_chla|</t>
        </is>
      </c>
      <c r="B25" s="69" t="inlineStr">
        <is>
          <t>spring-chem-chla</t>
        </is>
      </c>
      <c r="C25" s="69" t="inlineStr">
        <is>
          <t>Chlorophyll a</t>
        </is>
      </c>
      <c r="D25" s="69" t="inlineStr"/>
      <c r="E25" s="69" t="n">
        <v>5</v>
      </c>
      <c r="F25" s="69" t="inlineStr">
        <is>
          <t>105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5" s="69" t="n">
        <v>0.2350000739097595</v>
      </c>
      <c r="H25" s="69" t="n">
        <v>1.080000042915344</v>
      </c>
      <c r="I25" s="69" t="n">
        <v>2.769999980926514</v>
      </c>
      <c r="J25" s="69" t="n">
        <v>5.304999887943268</v>
      </c>
      <c r="K25" s="69" t="n">
        <v>6.994999825954437</v>
      </c>
      <c r="L25" s="69" t="n">
        <v>6.994999825954437</v>
      </c>
      <c r="M25" s="69" t="n">
        <v>6.994999825954437</v>
      </c>
      <c r="N25" s="69" t="n">
        <v>6.994999825954437</v>
      </c>
      <c r="O25" s="69" t="n">
        <v>1</v>
      </c>
      <c r="P25" s="69" t="n">
        <v>1</v>
      </c>
      <c r="Q25" s="69" t="n">
        <v>0.7</v>
      </c>
      <c r="R25" s="69" t="n">
        <v>0.3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spring_phab_xcdenmid|All streams (pooled)</t>
        </is>
      </c>
      <c r="B26" s="69" t="inlineStr">
        <is>
          <t>spring-phab-xcdenmid</t>
        </is>
      </c>
      <c r="C26" s="69" t="inlineStr">
        <is>
          <t>Canopy density, mid-channel</t>
        </is>
      </c>
      <c r="D26" s="69" t="inlineStr">
        <is>
          <t>All streams (pooled)</t>
        </is>
      </c>
      <c r="E26" s="69" t="n">
        <v>5</v>
      </c>
      <c r="F26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9" t="n">
        <v>0</v>
      </c>
      <c r="H26" s="69" t="n">
        <v>6.24522522517613</v>
      </c>
      <c r="I26" s="69" t="n">
        <v>14.57219219207764</v>
      </c>
      <c r="J26" s="69" t="n">
        <v>67.78074645996094</v>
      </c>
      <c r="K26" s="69" t="n">
        <v>94.38502359390259</v>
      </c>
      <c r="L26" s="69" t="n">
        <v>94.38502359390259</v>
      </c>
      <c r="M26" s="69" t="n">
        <v>94.38502359390259</v>
      </c>
      <c r="N26" s="69" t="n">
        <v>94.38502359390259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spring_phab_xcdenmid|Small stream (10 to 100 km2)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Small stream (10 to 100 km2)</t>
        </is>
      </c>
      <c r="E27" s="69" t="n">
        <v>5</v>
      </c>
      <c r="F27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9" t="n">
        <v>0</v>
      </c>
      <c r="H27" s="69" t="n">
        <v>13.02043533325195</v>
      </c>
      <c r="I27" s="69" t="n">
        <v>30.38101577758789</v>
      </c>
      <c r="J27" s="69" t="n">
        <v>83.26203346252441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spring_phab_xcdenmid|Large stream (over 100 km2)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Large stream (over 100 km2)</t>
        </is>
      </c>
      <c r="E28" s="69" t="n">
        <v>5</v>
      </c>
      <c r="F28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9" t="n">
        <v>0</v>
      </c>
      <c r="H28" s="69" t="n">
        <v>1.890756266457694</v>
      </c>
      <c r="I28" s="69" t="n">
        <v>4.411764621734619</v>
      </c>
      <c r="J28" s="69" t="n">
        <v>34.3582878112793</v>
      </c>
      <c r="K28" s="69" t="n">
        <v>49.33154940605164</v>
      </c>
      <c r="L28" s="69" t="n">
        <v>49.33154940605164</v>
      </c>
      <c r="M28" s="69" t="n">
        <v>49.33154940605164</v>
      </c>
      <c r="N28" s="69" t="n">
        <v>49.33154940605164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spring_phab_xcmgw|</t>
        </is>
      </c>
      <c r="B29" s="69" t="inlineStr">
        <is>
          <t>spring-phab-xcmgw</t>
        </is>
      </c>
      <c r="C29" s="69" t="inlineStr">
        <is>
          <t>Riparian veg cover, woody</t>
        </is>
      </c>
      <c r="D29" s="69" t="inlineStr"/>
      <c r="E29" s="69" t="n">
        <v>5</v>
      </c>
      <c r="F29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9" s="69" t="n">
        <v>0</v>
      </c>
      <c r="H29" s="69" t="n">
        <v>0.1626623358045305</v>
      </c>
      <c r="I29" s="69" t="n">
        <v>0.3795454502105713</v>
      </c>
      <c r="J29" s="69" t="n">
        <v>0.8855113536119461</v>
      </c>
      <c r="K29" s="69" t="n">
        <v>1.138494305312634</v>
      </c>
      <c r="L29" s="69" t="n">
        <v>1.138494305312634</v>
      </c>
      <c r="M29" s="69" t="n">
        <v>1.138494305312634</v>
      </c>
      <c r="N29" s="69" t="n">
        <v>1.138494305312634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spring_chem_ntl|</t>
        </is>
      </c>
      <c r="B30" s="69" t="inlineStr">
        <is>
          <t>spring-chem-ntl</t>
        </is>
      </c>
      <c r="C30" s="69" t="inlineStr">
        <is>
          <t>Total nitrogen</t>
        </is>
      </c>
      <c r="D30" s="69" t="inlineStr"/>
      <c r="E30" s="69" t="n">
        <v>4</v>
      </c>
      <c r="F30" s="69" t="inlineStr">
        <is>
          <t>Scored against a published criterion rather than against stations from this ecoregion. The criterion carries its own definition of reference, which need not match this assessment's.</t>
        </is>
      </c>
      <c r="G30" s="69" t="n">
        <v>0</v>
      </c>
      <c r="H30" s="69" t="n">
        <v>0.2855</v>
      </c>
      <c r="I30" s="69" t="n">
        <v>0.529</v>
      </c>
      <c r="J30" s="69" t="n">
        <v>0.84555</v>
      </c>
      <c r="K30" s="69" t="n">
        <v>0.84555</v>
      </c>
      <c r="L30" s="69" t="n">
        <v>0.84555</v>
      </c>
      <c r="M30" s="69" t="n">
        <v>0.84555</v>
      </c>
      <c r="N30" s="69" t="n">
        <v>0.84555</v>
      </c>
      <c r="O30" s="69" t="n">
        <v>1</v>
      </c>
      <c r="P30" s="69" t="n">
        <v>0.6899999999999999</v>
      </c>
      <c r="Q30" s="69" t="n">
        <v>0.39</v>
      </c>
      <c r="R30" s="69" t="n">
        <v>0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spring_chem_ptl|</t>
        </is>
      </c>
      <c r="B31" s="69" t="inlineStr">
        <is>
          <t>spring-chem-ptl</t>
        </is>
      </c>
      <c r="C31" s="69" t="inlineStr">
        <is>
          <t>Total phosphorus</t>
        </is>
      </c>
      <c r="D31" s="69" t="inlineStr"/>
      <c r="E31" s="69" t="n">
        <v>4</v>
      </c>
      <c r="F31" s="69" t="inlineStr">
        <is>
          <t>Scored against a published criterion rather than against stations from this ecoregion. The criterion carries its own definition of reference, which need not match this assessment's.</t>
        </is>
      </c>
      <c r="G31" s="69" t="n">
        <v>0</v>
      </c>
      <c r="H31" s="69" t="n">
        <v>52.05</v>
      </c>
      <c r="I31" s="69" t="n">
        <v>95.90000000000001</v>
      </c>
      <c r="J31" s="69" t="n">
        <v>152.905</v>
      </c>
      <c r="K31" s="69" t="n">
        <v>152.905</v>
      </c>
      <c r="L31" s="69" t="n">
        <v>152.905</v>
      </c>
      <c r="M31" s="69" t="n">
        <v>152.905</v>
      </c>
      <c r="N31" s="69" t="n">
        <v>152.905</v>
      </c>
      <c r="O31" s="69" t="n">
        <v>1</v>
      </c>
      <c r="P31" s="69" t="n">
        <v>0.6899999999999999</v>
      </c>
      <c r="Q31" s="69" t="n">
        <v>0.39</v>
      </c>
      <c r="R31" s="69" t="n">
        <v>0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spring_chem_ph|</t>
        </is>
      </c>
      <c r="B32" s="69" t="inlineStr">
        <is>
          <t>spring-chem-ph</t>
        </is>
      </c>
      <c r="C32" s="69" t="inlineStr">
        <is>
          <t>pH</t>
        </is>
      </c>
      <c r="D32" s="69" t="inlineStr"/>
      <c r="E32" s="69" t="n">
        <v>8</v>
      </c>
      <c r="F32" s="69" t="inlineStr">
        <is>
          <t>106 least-disturbed stations borrowed from Level I ecoregion 10 (North American Deserts) under the regional screen (agriculture at most 25 percent), transfer risk moderate</t>
        </is>
      </c>
      <c r="G32" s="69" t="n">
        <v>6.964999794960022</v>
      </c>
      <c r="H32" s="69" t="n">
        <v>7.424999952316284</v>
      </c>
      <c r="I32" s="69" t="n">
        <v>7.724000054597854</v>
      </c>
      <c r="J32" s="69" t="n">
        <v>7.885000109672546</v>
      </c>
      <c r="K32" s="69" t="n">
        <v>8.345000267028809</v>
      </c>
      <c r="L32" s="69" t="n">
        <v>8.5060003221035</v>
      </c>
      <c r="M32" s="69" t="n">
        <v>8.805000424385071</v>
      </c>
      <c r="N32" s="69" t="n">
        <v>9.265000581741333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0.7</v>
      </c>
      <c r="U32" s="69" t="n">
        <v>0.3</v>
      </c>
      <c r="V32" s="69" t="n">
        <v>0</v>
      </c>
    </row>
    <row r="33">
      <c r="A33" s="69" t="inlineStr">
        <is>
          <t>spring_chem_cond|</t>
        </is>
      </c>
      <c r="B33" s="69" t="inlineStr">
        <is>
          <t>spring-chem-cond</t>
        </is>
      </c>
      <c r="C33" s="69" t="inlineStr">
        <is>
          <t>Specific conductivity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500.05</v>
      </c>
      <c r="I33" s="69" t="n">
        <v>1000.05</v>
      </c>
      <c r="J33" s="69" t="n">
        <v>1650.05</v>
      </c>
      <c r="K33" s="69" t="n">
        <v>1650.05</v>
      </c>
      <c r="L33" s="69" t="n">
        <v>1650.05</v>
      </c>
      <c r="M33" s="69" t="n">
        <v>1650.05</v>
      </c>
      <c r="N33" s="69" t="n">
        <v>1650.05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spring_phab_pct_fast|All streams (pooled)</t>
        </is>
      </c>
      <c r="B34" s="69" t="inlineStr">
        <is>
          <t>spring-phab-pct-fast</t>
        </is>
      </c>
      <c r="C34" s="69" t="inlineStr">
        <is>
          <t>Fast-water / riffle habitat</t>
        </is>
      </c>
      <c r="D34" s="69" t="inlineStr">
        <is>
          <t>All streams (pooled)</t>
        </is>
      </c>
      <c r="E34" s="69" t="n">
        <v>5</v>
      </c>
      <c r="F34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4" s="69" t="n">
        <v>0</v>
      </c>
      <c r="H34" s="69" t="n">
        <v>3.297413808958871</v>
      </c>
      <c r="I34" s="69" t="n">
        <v>7.693965554237366</v>
      </c>
      <c r="J34" s="69" t="n">
        <v>70.33333396911621</v>
      </c>
      <c r="K34" s="69" t="n">
        <v>100</v>
      </c>
      <c r="L34" s="69" t="n">
        <v>100</v>
      </c>
      <c r="M34" s="69" t="n">
        <v>100</v>
      </c>
      <c r="N34" s="69" t="n">
        <v>100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spring_phab_pct_fast|Low gradient (under 0.5 percent)</t>
        </is>
      </c>
      <c r="B35" s="69" t="inlineStr">
        <is>
          <t>spring-phab-pct-fast</t>
        </is>
      </c>
      <c r="C35" s="69" t="inlineStr">
        <is>
          <t>Fast-water / riffle habitat</t>
        </is>
      </c>
      <c r="D35" s="69" t="inlineStr">
        <is>
          <t>Low gradient (under 0.5 percent)</t>
        </is>
      </c>
      <c r="E35" s="69" t="n">
        <v>5</v>
      </c>
      <c r="F35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5" s="69" t="n">
        <v>0</v>
      </c>
      <c r="H35" s="69" t="n">
        <v>0.1071428571428571</v>
      </c>
      <c r="I35" s="69" t="n">
        <v>0.25</v>
      </c>
      <c r="J35" s="69" t="n">
        <v>26</v>
      </c>
      <c r="K35" s="69" t="n">
        <v>38.875</v>
      </c>
      <c r="L35" s="69" t="n">
        <v>38.875</v>
      </c>
      <c r="M35" s="69" t="n">
        <v>38.875</v>
      </c>
      <c r="N35" s="69" t="n">
        <v>38.875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spring_phab_pct_fast|Moderate gradient (0.5 to 2 percent)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>
        <is>
          <t>Moderate gradient (0.5 to 2 percent)</t>
        </is>
      </c>
      <c r="E36" s="69" t="n">
        <v>5</v>
      </c>
      <c r="F36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6" s="69" t="n">
        <v>0</v>
      </c>
      <c r="H36" s="69" t="n">
        <v>3.877277101789202</v>
      </c>
      <c r="I36" s="69" t="n">
        <v>9.046979904174805</v>
      </c>
      <c r="J36" s="69" t="n">
        <v>42.98077011108398</v>
      </c>
      <c r="K36" s="69" t="n">
        <v>59.94766521453857</v>
      </c>
      <c r="L36" s="69" t="n">
        <v>59.94766521453857</v>
      </c>
      <c r="M36" s="69" t="n">
        <v>59.94766521453857</v>
      </c>
      <c r="N36" s="69" t="n">
        <v>59.94766521453857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spring_phab_pct_fast|Steep (2 percent and above)</t>
        </is>
      </c>
      <c r="B37" s="69" t="inlineStr">
        <is>
          <t>spring-phab-pct-fast</t>
        </is>
      </c>
      <c r="C37" s="69" t="inlineStr">
        <is>
          <t>Fast-water / riffle habitat</t>
        </is>
      </c>
      <c r="D37" s="69" t="inlineStr">
        <is>
          <t>Steep (2 percent and above)</t>
        </is>
      </c>
      <c r="E37" s="69" t="n">
        <v>5</v>
      </c>
      <c r="F37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7" s="69" t="n">
        <v>0</v>
      </c>
      <c r="H37" s="69" t="n">
        <v>15.71428625924247</v>
      </c>
      <c r="I37" s="69" t="n">
        <v>36.66666793823242</v>
      </c>
      <c r="J37" s="69" t="n">
        <v>90.49999809265137</v>
      </c>
      <c r="K37" s="69" t="n">
        <v>100</v>
      </c>
      <c r="L37" s="69" t="n">
        <v>100</v>
      </c>
      <c r="M37" s="69" t="n">
        <v>100</v>
      </c>
      <c r="N37" s="69" t="n">
        <v>100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spring_phab_xfc_nat|All streams (pooled)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All streams (pooled)</t>
        </is>
      </c>
      <c r="E38" s="69" t="n">
        <v>5</v>
      </c>
      <c r="F38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9" t="n">
        <v>0</v>
      </c>
      <c r="H38" s="69" t="n">
        <v>0.07426948153546878</v>
      </c>
      <c r="I38" s="69" t="n">
        <v>0.1732954569160938</v>
      </c>
      <c r="J38" s="69" t="n">
        <v>0.6789772808551788</v>
      </c>
      <c r="K38" s="69" t="n">
        <v>0.9318181928247213</v>
      </c>
      <c r="L38" s="69" t="n">
        <v>0.9318181928247213</v>
      </c>
      <c r="M38" s="69" t="n">
        <v>0.9318181928247213</v>
      </c>
      <c r="N38" s="69" t="n">
        <v>0.9318181928247213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spring_phab_xfc_nat|Small stream (10 to 100 km2)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Small stream (10 to 100 km2)</t>
        </is>
      </c>
      <c r="E39" s="69" t="n">
        <v>5</v>
      </c>
      <c r="F39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9" t="n">
        <v>0</v>
      </c>
      <c r="H39" s="69" t="n">
        <v>0.1157142903123583</v>
      </c>
      <c r="I39" s="69" t="n">
        <v>0.2700000107288361</v>
      </c>
      <c r="J39" s="69" t="n">
        <v>0.8374999761581421</v>
      </c>
      <c r="K39" s="69" t="n">
        <v>1.121249958872795</v>
      </c>
      <c r="L39" s="69" t="n">
        <v>1.121249958872795</v>
      </c>
      <c r="M39" s="69" t="n">
        <v>1.121249958872795</v>
      </c>
      <c r="N39" s="69" t="n">
        <v>1.121249958872795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spring_phab_xfc_nat|Large stream (over 100 km2)</t>
        </is>
      </c>
      <c r="B40" s="69" t="inlineStr">
        <is>
          <t>spring-phab-xfc-nat</t>
        </is>
      </c>
      <c r="C40" s="69" t="inlineStr">
        <is>
          <t>Natural fish cover</t>
        </is>
      </c>
      <c r="D40" s="69" t="inlineStr">
        <is>
          <t>Large stream (over 100 km2)</t>
        </is>
      </c>
      <c r="E40" s="69" t="n">
        <v>5</v>
      </c>
      <c r="F40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69" t="n">
        <v>0</v>
      </c>
      <c r="H40" s="69" t="n">
        <v>0.05649350370679583</v>
      </c>
      <c r="I40" s="69" t="n">
        <v>0.1318181753158569</v>
      </c>
      <c r="J40" s="69" t="n">
        <v>0.4403846263885498</v>
      </c>
      <c r="K40" s="69" t="n">
        <v>0.5946678519248962</v>
      </c>
      <c r="L40" s="69" t="n">
        <v>0.5946678519248962</v>
      </c>
      <c r="M40" s="69" t="n">
        <v>0.5946678519248962</v>
      </c>
      <c r="N40" s="69" t="n">
        <v>0.5946678519248962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spring_bent_totlntax|</t>
        </is>
      </c>
      <c r="B41" s="69" t="inlineStr">
        <is>
          <t>spring-bent-totlntax</t>
        </is>
      </c>
      <c r="C41" s="69" t="inlineStr">
        <is>
          <t>Benthic total taxa richness</t>
        </is>
      </c>
      <c r="D41" s="69" t="inlineStr"/>
      <c r="E41" s="69" t="n">
        <v>5</v>
      </c>
      <c r="F41" s="69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1" s="69" t="n">
        <v>0</v>
      </c>
      <c r="H41" s="69" t="n">
        <v>9</v>
      </c>
      <c r="I41" s="69" t="n">
        <v>21</v>
      </c>
      <c r="J41" s="69" t="n">
        <v>32.5</v>
      </c>
      <c r="K41" s="69" t="n">
        <v>38.25</v>
      </c>
      <c r="L41" s="69" t="n">
        <v>38.25</v>
      </c>
      <c r="M41" s="69" t="n">
        <v>38.25</v>
      </c>
      <c r="N41" s="69" t="n">
        <v>38.25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spring_fish_mmi_fish|</t>
        </is>
      </c>
      <c r="B42" s="69" t="inlineStr">
        <is>
          <t>spring-fish-mmi-fish</t>
        </is>
      </c>
      <c r="C42" s="69" t="inlineStr">
        <is>
          <t>Fish MMI</t>
        </is>
      </c>
      <c r="D42" s="69" t="inlineStr"/>
      <c r="E42" s="69" t="n">
        <v>4</v>
      </c>
      <c r="F42" s="69" t="inlineStr">
        <is>
          <t>Scored against a published criterion rather than against stations from this ecoregion. The criterion carries its own definition of reference, which need not match this assessment's.</t>
        </is>
      </c>
      <c r="G42" s="69" t="n">
        <v>52.645</v>
      </c>
      <c r="H42" s="69" t="n">
        <v>66.295</v>
      </c>
      <c r="I42" s="69" t="n">
        <v>76.795</v>
      </c>
      <c r="J42" s="69" t="n">
        <v>87.645</v>
      </c>
      <c r="K42" s="69" t="n">
        <v>87.645</v>
      </c>
      <c r="L42" s="69" t="n">
        <v>87.645</v>
      </c>
      <c r="M42" s="69" t="n">
        <v>87.645</v>
      </c>
      <c r="N42" s="69" t="n">
        <v>87.645</v>
      </c>
      <c r="O42" s="69" t="n">
        <v>0</v>
      </c>
      <c r="P42" s="69" t="n">
        <v>0.39</v>
      </c>
      <c r="Q42" s="69" t="n">
        <v>0.6899999999999999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spring_bent_ept_ntax|</t>
        </is>
      </c>
      <c r="B43" s="69" t="inlineStr">
        <is>
          <t>spring-bent-ept-ntax</t>
        </is>
      </c>
      <c r="C43" s="69" t="inlineStr">
        <is>
          <t>EPT taxa richness</t>
        </is>
      </c>
      <c r="D43" s="69" t="inlineStr"/>
      <c r="E43" s="69" t="n">
        <v>5</v>
      </c>
      <c r="F43" s="69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3" s="69" t="n">
        <v>0</v>
      </c>
      <c r="H43" s="69" t="n">
        <v>1.5</v>
      </c>
      <c r="I43" s="69" t="n">
        <v>3.5</v>
      </c>
      <c r="J43" s="69" t="n">
        <v>11</v>
      </c>
      <c r="K43" s="69" t="n">
        <v>14.75</v>
      </c>
      <c r="L43" s="69" t="n">
        <v>14.75</v>
      </c>
      <c r="M43" s="69" t="n">
        <v>14.75</v>
      </c>
      <c r="N43" s="69" t="n">
        <v>14.75</v>
      </c>
      <c r="O43" s="69" t="n">
        <v>0</v>
      </c>
      <c r="P43" s="69" t="n">
        <v>0.3</v>
      </c>
      <c r="Q43" s="69" t="n">
        <v>0.7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spring_bent_mmi_bent|</t>
        </is>
      </c>
      <c r="B44" s="69" t="inlineStr">
        <is>
          <t>spring-bent-mmi-bent</t>
        </is>
      </c>
      <c r="C44" s="69" t="inlineStr">
        <is>
          <t>Benthic macroinvertebrate MMI</t>
        </is>
      </c>
      <c r="D44" s="69" t="inlineStr"/>
      <c r="E44" s="69" t="n">
        <v>4</v>
      </c>
      <c r="F44" s="69" t="inlineStr">
        <is>
          <t>Scored against a published criterion rather than against stations from this ecoregion. The criterion carries its own definition of reference, which need not match this assessment's.</t>
        </is>
      </c>
      <c r="G44" s="69" t="n">
        <v>24.335</v>
      </c>
      <c r="H44" s="69" t="n">
        <v>42.795</v>
      </c>
      <c r="I44" s="69" t="n">
        <v>56.995</v>
      </c>
      <c r="J44" s="69" t="n">
        <v>71.668333</v>
      </c>
      <c r="K44" s="69" t="n">
        <v>71.668333</v>
      </c>
      <c r="L44" s="69" t="n">
        <v>71.668333</v>
      </c>
      <c r="M44" s="69" t="n">
        <v>71.668333</v>
      </c>
      <c r="N44" s="69" t="n">
        <v>71.668333</v>
      </c>
      <c r="O44" s="69" t="n">
        <v>0</v>
      </c>
      <c r="P44" s="69" t="n">
        <v>0.39</v>
      </c>
      <c r="Q44" s="69" t="n">
        <v>0.6899999999999999</v>
      </c>
      <c r="R44" s="69" t="n">
        <v>1</v>
      </c>
      <c r="S44" s="69" t="n">
        <v>1</v>
      </c>
      <c r="T44" s="69" t="n">
        <v>1</v>
      </c>
      <c r="U44" s="69" t="n">
        <v>1</v>
      </c>
      <c r="V44" s="69" t="n">
        <v>1</v>
      </c>
    </row>
    <row r="45">
      <c r="A45" s="69" t="inlineStr">
        <is>
          <t>spring_nid_dams_1mi|</t>
        </is>
      </c>
      <c r="B45" s="69" t="inlineStr">
        <is>
          <t>spring-nid-dams-1mi</t>
        </is>
      </c>
      <c r="C45" s="69" t="inlineStr">
        <is>
          <t>Mapped dams within one mile</t>
        </is>
      </c>
      <c r="D45" s="69" t="inlineStr"/>
      <c r="E45" s="69" t="n">
        <v>4</v>
      </c>
      <c r="F45" s="69" t="inlineStr">
        <is>
          <t>Fixed criteria, the same in every region</t>
        </is>
      </c>
      <c r="G45" s="69" t="n">
        <v>0</v>
      </c>
      <c r="H45" s="69" t="n">
        <v>1</v>
      </c>
      <c r="I45" s="69" t="n">
        <v>2</v>
      </c>
      <c r="J45" s="69" t="n">
        <v>3</v>
      </c>
      <c r="K45" s="69" t="n">
        <v>3</v>
      </c>
      <c r="L45" s="69" t="n">
        <v>3</v>
      </c>
      <c r="M45" s="69" t="n">
        <v>3</v>
      </c>
      <c r="N45" s="69" t="n">
        <v>3</v>
      </c>
      <c r="O45" s="69" t="n">
        <v>1</v>
      </c>
      <c r="P45" s="69" t="n">
        <v>0.545</v>
      </c>
      <c r="Q45" s="69" t="n">
        <v>0.195</v>
      </c>
      <c r="R45" s="69" t="n">
        <v>0</v>
      </c>
      <c r="S45" s="69" t="n">
        <v>0</v>
      </c>
      <c r="T45" s="69" t="n">
        <v>0</v>
      </c>
      <c r="U45" s="69" t="n">
        <v>0</v>
      </c>
      <c r="V45" s="69" t="n">
        <v>0</v>
      </c>
    </row>
    <row r="48">
      <c r="A48" s="58" t="inlineStr">
        <is>
          <t>Curve sets by metric</t>
        </is>
      </c>
    </row>
    <row r="49">
      <c r="A49" s="69" t="inlineStr">
        <is>
          <t>All streams (pooled)</t>
        </is>
      </c>
      <c r="B49" s="5" t="inlineStr">
        <is>
          <t>Bankfull width:depth ratio</t>
        </is>
      </c>
    </row>
    <row r="50">
      <c r="A50" s="69" t="inlineStr">
        <is>
          <t>Small stream (10 to 100 km2)</t>
        </is>
      </c>
      <c r="B50" s="5" t="inlineStr">
        <is>
          <t>Bankfull width:depth ratio</t>
        </is>
      </c>
    </row>
    <row r="51">
      <c r="A51" s="69" t="inlineStr">
        <is>
          <t>Large stream (over 100 km2)</t>
        </is>
      </c>
      <c r="B51" s="5" t="inlineStr">
        <is>
          <t>Bankfull width:depth ratio</t>
        </is>
      </c>
    </row>
    <row r="52">
      <c r="A52" s="69" t="inlineStr">
        <is>
          <t>All streams (pooled)</t>
        </is>
      </c>
      <c r="B52" s="5" t="inlineStr">
        <is>
          <t>Bankfull height above channel</t>
        </is>
      </c>
    </row>
    <row r="53">
      <c r="A53" s="69" t="inlineStr">
        <is>
          <t>Small stream (10 to 100 km2)</t>
        </is>
      </c>
      <c r="B53" s="5" t="inlineStr">
        <is>
          <t>Bankfull height above channel</t>
        </is>
      </c>
    </row>
    <row r="54">
      <c r="A54" s="69" t="inlineStr">
        <is>
          <t>Large stream (over 100 km2)</t>
        </is>
      </c>
      <c r="B54" s="5" t="inlineStr">
        <is>
          <t>Bankfull height above channel</t>
        </is>
      </c>
    </row>
    <row r="55">
      <c r="A55" s="69" t="inlineStr">
        <is>
          <t>All streams (pooled)</t>
        </is>
      </c>
      <c r="B55" s="5" t="inlineStr">
        <is>
          <t>Relative bed stability</t>
        </is>
      </c>
    </row>
    <row r="56">
      <c r="A56" s="69" t="inlineStr">
        <is>
          <t>Small stream (10 to 100 km2)</t>
        </is>
      </c>
      <c r="B56" s="5" t="inlineStr">
        <is>
          <t>Relative bed stability</t>
        </is>
      </c>
    </row>
    <row r="57">
      <c r="A57" s="69" t="inlineStr">
        <is>
          <t>Large stream (over 100 km2)</t>
        </is>
      </c>
      <c r="B57" s="5" t="inlineStr">
        <is>
          <t>Relative bed stability</t>
        </is>
      </c>
    </row>
    <row r="58">
      <c r="A58" s="69" t="inlineStr">
        <is>
          <t>All streams (pooled)</t>
        </is>
      </c>
      <c r="B58" s="5" t="inlineStr">
        <is>
          <t>Canopy density, mid-channel</t>
        </is>
      </c>
    </row>
    <row r="59">
      <c r="A59" s="69" t="inlineStr">
        <is>
          <t>Small stream (10 to 100 km2)</t>
        </is>
      </c>
      <c r="B59" s="5" t="inlineStr">
        <is>
          <t>Canopy density, mid-channel</t>
        </is>
      </c>
    </row>
    <row r="60">
      <c r="A60" s="69" t="inlineStr">
        <is>
          <t>Large stream (over 100 km2)</t>
        </is>
      </c>
      <c r="B60" s="5" t="inlineStr">
        <is>
          <t>Canopy density, mid-channel</t>
        </is>
      </c>
    </row>
    <row r="61">
      <c r="A61" s="69" t="inlineStr">
        <is>
          <t>All streams (pooled)</t>
        </is>
      </c>
      <c r="B61" s="5" t="inlineStr">
        <is>
          <t>Fast-water / riffle habitat</t>
        </is>
      </c>
    </row>
    <row r="62">
      <c r="A62" s="69" t="inlineStr">
        <is>
          <t>Low gradient (under 0.5 percent)</t>
        </is>
      </c>
      <c r="B62" s="5" t="inlineStr">
        <is>
          <t>Fast-water / riffle habitat</t>
        </is>
      </c>
    </row>
    <row r="63">
      <c r="A63" s="69" t="inlineStr">
        <is>
          <t>Moderate gradient (0.5 to 2 percent)</t>
        </is>
      </c>
      <c r="B63" s="5" t="inlineStr">
        <is>
          <t>Fast-water / riffle habitat</t>
        </is>
      </c>
    </row>
    <row r="64">
      <c r="A64" s="69" t="inlineStr">
        <is>
          <t>Steep (2 percent and above)</t>
        </is>
      </c>
      <c r="B64" s="5" t="inlineStr">
        <is>
          <t>Fast-water / riffle habitat</t>
        </is>
      </c>
    </row>
    <row r="65">
      <c r="A65" s="69" t="inlineStr">
        <is>
          <t>All streams (pooled)</t>
        </is>
      </c>
      <c r="B65" s="5" t="inlineStr">
        <is>
          <t>Natural fish cover</t>
        </is>
      </c>
    </row>
    <row r="66">
      <c r="A66" s="69" t="inlineStr">
        <is>
          <t>Small stream (10 to 100 km2)</t>
        </is>
      </c>
      <c r="B66" s="5" t="inlineStr">
        <is>
          <t>Natural fish cover</t>
        </is>
      </c>
    </row>
    <row r="67">
      <c r="A67" s="69" t="inlineStr">
        <is>
          <t>Large stream (over 100 km2)</t>
        </is>
      </c>
      <c r="B67" s="5" t="inlineStr">
        <is>
          <t>Natural fish cover</t>
        </is>
      </c>
    </row>
    <row r="70">
      <c r="A70" s="58" t="inlineStr">
        <is>
          <t>Condition classes</t>
        </is>
      </c>
    </row>
    <row r="71">
      <c r="A71" t="inlineStr">
        <is>
          <t>Metric index: at or below 0.39 Non-Functioning, at or below 0.69 Functioning At-Risk, above Functioning.</t>
        </is>
      </c>
    </row>
    <row r="72">
      <c r="A72" t="inlineStr">
        <is>
          <t>Function score (0 to 15): at or below 5 Non-Functioning, at or below 10 Functioning At-Risk, above Functioning.</t>
        </is>
      </c>
    </row>
    <row r="73">
      <c r="A73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sonoran-basin-and-range</t>
        </is>
      </c>
    </row>
    <row r="5">
      <c r="A5" s="69" t="inlineStr">
        <is>
          <t>Assessment name</t>
        </is>
      </c>
      <c r="B5" s="69" t="inlineStr">
        <is>
          <t>Sonoran Basin and Range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sha256:1cb320e5cd5a1be90a9432c7aa302dd5b7b88ebf1c106885c9fa8848ffb6015b</t>
        </is>
      </c>
    </row>
    <row r="9">
      <c r="A9" s="69" t="inlineStr">
        <is>
          <t>Region</t>
        </is>
      </c>
      <c r="B9" s="69" t="inlineStr">
        <is>
          <t>ecoregion 81 Sonoran Basin and Range</t>
        </is>
      </c>
    </row>
    <row r="10">
      <c r="A10" s="69" t="inlineStr">
        <is>
          <t>Source</t>
        </is>
      </c>
      <c r="B10" s="69" t="inlineStr">
        <is>
          <t>USEPA NRSA 2013-24 (L3 ecoregion 81),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2026-09-30T07:06:59Z</dcterms:created>
  <dcterms:modified xmlns:dcterms="http://purl.org/dc/terms/" xmlns:xsi="http://www.w3.org/2001/XMLSchema-instance" xsi:type="dcterms:W3CDTF">2026-09-30T07:06:59Z</dcterms:modified>
  <cp:lastModifiedBy>DEEP</cp:lastModifiedBy>
  <cp:contentStatus>Draft</cp:contentStatus>
</cp:coreProperties>
</file>