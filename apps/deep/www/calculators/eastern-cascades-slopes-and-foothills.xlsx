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'Reference'!$A$5:$A$50</definedName>
    <definedName name="curve_x1">'Reference'!$G$5:$G$50</definedName>
    <definedName name="curve_y1">'Reference'!$O$5:$O$50</definedName>
    <definedName name="curve_x2">'Reference'!$H$5:$H$50</definedName>
    <definedName name="curve_y2">'Reference'!$P$5:$P$50</definedName>
    <definedName name="curve_x3">'Reference'!$I$5:$I$50</definedName>
    <definedName name="curve_y3">'Reference'!$Q$5:$Q$50</definedName>
    <definedName name="curve_x4">'Reference'!$J$5:$J$50</definedName>
    <definedName name="curve_y4">'Reference'!$R$5:$R$50</definedName>
    <definedName name="curve_x5">'Reference'!$K$5:$K$50</definedName>
    <definedName name="curve_y5">'Reference'!$S$5:$S$50</definedName>
    <definedName name="curve_x6">'Reference'!$L$5:$L$50</definedName>
    <definedName name="curve_y6">'Reference'!$T$5:$T$50</definedName>
    <definedName name="curve_x7">'Reference'!$M$5:$M$50</definedName>
    <definedName name="curve_y7">'Reference'!$U$5:$U$50</definedName>
    <definedName name="curve_x8">'Reference'!$N$5:$N$50</definedName>
    <definedName name="curve_y8">'Reference'!$V$5:$V$50</definedName>
    <definedName name="strata_spring_phab_bfwd_rat">'Reference'!$A$54:$A$57</definedName>
    <definedName name="strata_spring_phab_xbkf_h">'Reference'!$A$58:$A$61</definedName>
    <definedName name="strata_spring_phab_lrbs_use">'Reference'!$A$62:$A$65</definedName>
    <definedName name="strata_spring_phab_xcdenmid">'Reference'!$A$66:$A$69</definedName>
    <definedName name="strata_spring_phab_pct_fast">'Reference'!$A$70:$A$72</definedName>
    <definedName name="strata_spring_phab_xfc_nat">'Reference'!$A$73:$A$76</definedName>
    <definedName name="strata_spring_fish_nat_totlntax">'Reference'!$A$77:$A$78</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ph">'Metrics'!$V$24</definedName>
    <definedName name="idx_spring_chem_cond">'Metrics'!$V$25</definedName>
    <definedName name="idx_spring_phab_pct_fast">'Metrics'!$V$26</definedName>
    <definedName name="idx_spring_phab_xfc_nat">'Metrics'!$V$27</definedName>
    <definedName name="idx_spring_fish_nat_totlntax">'Metrics'!$V$28</definedName>
    <definedName name="idx_spring_bent_totlntax">'Metrics'!$V$29</definedName>
    <definedName name="idx_spring_bent_ept_ntax">'Metrics'!$V$30</definedName>
    <definedName name="idx_spring_bent_hprime">'Metrics'!$V$31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st_spring_phab_bfwd_rat">'DEEP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cond">'DEEP Score'!$E$39</definedName>
    <definedName name="in_spring_phab_pct_fast">'DEEP Score'!$E$40</definedName>
    <definedName name="st_spring_phab_pct_fast">'DEEP Score'!$F$40</definedName>
    <definedName name="in_spring_phab_xfc_nat">'DEEP Score'!$E$41</definedName>
    <definedName name="st_spring_phab_xfc_nat">'DEEP Score'!$F$41</definedName>
    <definedName name="in_spring_fish_nat_totlntax">'DEEP Score'!$E$42</definedName>
    <definedName name="st_spring_fish_nat_totlntax">'DEEP Score'!$F$42</definedName>
    <definedName name="in_spring_bent_totlntax">'DEEP Score'!$E$43</definedName>
    <definedName name="in_spring_bent_ept_ntax">'DEEP Score'!$E$44</definedName>
    <definedName name="in_spring_bent_hprime">'DEEP Score'!$E$45</definedName>
    <definedName name="in_spring_nid_dams_1mi">'DEEP Score'!$E$46</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3">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Eastern Cascades Slopes and Foothills reference assessment</t>
        </is>
      </c>
    </row>
    <row r="4" ht="30" customHeight="1">
      <c r="A4" s="3" t="inlineStr">
        <is>
          <t>This workbook scores one detailed assessment. It carries the assessment's metrics and their reference curves, and it scores exactly as the DEEP web application does.</t>
        </is>
      </c>
    </row>
    <row r="5" ht="165" customHeight="1">
      <c r="A5" s="3" t="inlineStr">
        <is>
          <t>Reference condition. Reference condition is set by a fixed landscape-pressure screen, never by a score. 19 borrow comparable least-disturbed stations from a wider region, stating the region and the transfer risk. 5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12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Eastern Cascades Slopes and Foothills reference assessment</t>
        </is>
      </c>
    </row>
    <row r="3">
      <c r="A3" s="4" t="inlineStr">
        <is>
          <t>Version 1 | USEPA NRSA 2013-24 (L3 ecoregion 9),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 cover of the watershed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Bankfull width:depth ratio</t>
        </is>
      </c>
      <c r="D19" s="22" t="inlineStr"/>
      <c r="E19" s="23" t="n"/>
      <c r="F19" s="39" t="inlineStr">
        <is>
          <t>All streams (pooled)</t>
        </is>
      </c>
      <c r="G19" s="25">
        <f>IF('Metrics'!$V$11="","",'Metrics'!$V$11)</f>
        <v/>
      </c>
      <c r="H19" s="20" t="n"/>
      <c r="I19" s="26" t="n"/>
    </row>
    <row r="20">
      <c r="A20" s="40" t="inlineStr">
        <is>
          <t>Hydraulics</t>
        </is>
      </c>
      <c r="B20" s="28" t="inlineStr">
        <is>
          <t>High flow dynamics</t>
        </is>
      </c>
      <c r="C20" s="29" t="inlineStr">
        <is>
          <t>Impervious surface</t>
        </is>
      </c>
      <c r="D20" s="30" t="inlineStr">
        <is>
          <t>%</t>
        </is>
      </c>
      <c r="E20" s="41">
        <f>IF('DEEP Score'!$E$12="","",'DEEP Score'!$E$12)</f>
        <v/>
      </c>
      <c r="F20" s="42"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37">
        <f>IF('DEEP Score'!$E$19="","",'DEEP Score'!$E$19)</f>
        <v/>
      </c>
      <c r="F21" s="38">
        <f>IF('DEEP Score'!$F$19="","",'DEEP Score'!$F$19)</f>
        <v/>
      </c>
      <c r="G21" s="16">
        <f>IF('Metrics'!$V$11="","",'Metrics'!$V$11)</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39" t="inlineStr">
        <is>
          <t>All streams (pooled)</t>
        </is>
      </c>
      <c r="G22" s="25">
        <f>IF('Metrics'!$V$12="","",'Metrics'!$V$12)</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IF('Metrics'!$V$13="","",'Metrics'!$V$13)</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IF('Metrics'!$V$14="","",'Metrics'!$V$14)</f>
        <v/>
      </c>
      <c r="H24" s="20" t="n"/>
      <c r="I24" s="26" t="n"/>
    </row>
    <row r="25">
      <c r="A25" s="43" t="inlineStr">
        <is>
          <t>Geomorphology</t>
        </is>
      </c>
      <c r="B25" s="11" t="inlineStr">
        <is>
          <t>Channel evolution</t>
        </is>
      </c>
      <c r="C25" s="12" t="inlineStr">
        <is>
          <t>Bankfull width:depth ratio</t>
        </is>
      </c>
      <c r="D25" s="13" t="inlineStr"/>
      <c r="E25" s="37">
        <f>IF('DEEP Score'!$E$19="","",'DEEP Score'!$E$19)</f>
        <v/>
      </c>
      <c r="F25" s="38">
        <f>IF('DEEP Score'!$F$19="","",'DEEP Score'!$F$19)</f>
        <v/>
      </c>
      <c r="G25" s="16">
        <f>IF('Metrics'!$V$11="","",'Metrics'!$V$11)</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4">
        <f>IF('DEEP Score'!$E$22="","",'DEEP Score'!$E$22)</f>
        <v/>
      </c>
      <c r="F26" s="45">
        <f>IF('DEEP Score'!$F$22="","",'DEEP Score'!$F$22)</f>
        <v/>
      </c>
      <c r="G26" s="25">
        <f>IF('Metrics'!$V$12="","",'Metrics'!$V$12)</f>
        <v/>
      </c>
      <c r="H26" s="20" t="n"/>
      <c r="I26" s="26" t="n"/>
    </row>
    <row r="27">
      <c r="A27" s="43" t="inlineStr">
        <is>
          <t>Geomorphology</t>
        </is>
      </c>
      <c r="B27" s="11" t="inlineStr">
        <is>
          <t>Channel and floodplain dynamics</t>
        </is>
      </c>
      <c r="C27" s="12" t="inlineStr">
        <is>
          <t>Sinuosity</t>
        </is>
      </c>
      <c r="D27" s="13" t="inlineStr"/>
      <c r="E27" s="14" t="n"/>
      <c r="F27" s="15" t="inlineStr"/>
      <c r="G27" s="16">
        <f>IF('Metrics'!$V$15="","",'Metrics'!$V$15)</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IF('Metrics'!$V$16="","",'Metrics'!$V$16)</f>
        <v/>
      </c>
      <c r="H28" s="20" t="n"/>
      <c r="I28" s="26" t="n"/>
    </row>
    <row r="29">
      <c r="A29" s="43" t="inlineStr">
        <is>
          <t>Geomorphology</t>
        </is>
      </c>
      <c r="B29" s="11" t="inlineStr">
        <is>
          <t>Sediment continuity</t>
        </is>
      </c>
      <c r="C29" s="12" t="inlineStr">
        <is>
          <t>Relative bed stability</t>
        </is>
      </c>
      <c r="D29" s="13" t="inlineStr">
        <is>
          <t>log</t>
        </is>
      </c>
      <c r="E29" s="14" t="n"/>
      <c r="F29" s="46" t="inlineStr">
        <is>
          <t>All streams (pooled)</t>
        </is>
      </c>
      <c r="G29" s="16">
        <f>IF('Metrics'!$V$17="","",'Metrics'!$V$17)</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4">
        <f>IF('DEEP Score'!$E$23="","",'DEEP Score'!$E$23)</f>
        <v/>
      </c>
      <c r="F30" s="45" t="inlineStr"/>
      <c r="G30" s="25">
        <f>IF('Metrics'!$V$13="","",'Metrics'!$V$13)</f>
        <v/>
      </c>
      <c r="H30" s="20" t="n"/>
      <c r="I30" s="26" t="n"/>
    </row>
    <row r="31">
      <c r="A31" s="43" t="inlineStr">
        <is>
          <t>Geomorphology</t>
        </is>
      </c>
      <c r="B31" s="11" t="inlineStr">
        <is>
          <t>Bed composition and bedform dynamics</t>
        </is>
      </c>
      <c r="C31" s="12" t="inlineStr">
        <is>
          <t>Embeddedness</t>
        </is>
      </c>
      <c r="D31" s="13" t="inlineStr">
        <is>
          <t>%</t>
        </is>
      </c>
      <c r="E31" s="37">
        <f>IF('DEEP Score'!$E$24="","",'DEEP Score'!$E$24)</f>
        <v/>
      </c>
      <c r="F31" s="38" t="inlineStr"/>
      <c r="G31" s="16">
        <f>IF('Metrics'!$V$14="","",'Metrics'!$V$14)</f>
        <v/>
      </c>
      <c r="H31" s="17">
        <f>IF('Results'!$B$15="","",'Results'!$B$15)</f>
        <v/>
      </c>
      <c r="I31" s="18">
        <f>IF('DEEP Score'!$H$31="","",IF('DEEP Score'!$H$31&lt;=5,"Non-Functioning",IF('DEEP Score'!$H$31&lt;=10,"Functioning At-Risk","Functioning")))</f>
        <v/>
      </c>
    </row>
    <row r="32">
      <c r="A32" s="19" t="n"/>
      <c r="B32" s="20" t="n"/>
      <c r="C32" s="21" t="inlineStr">
        <is>
          <t>Large wood volume</t>
        </is>
      </c>
      <c r="D32" s="22" t="inlineStr">
        <is>
          <t>m3/100m</t>
        </is>
      </c>
      <c r="E32" s="23" t="n"/>
      <c r="F32" s="24" t="inlineStr"/>
      <c r="G32" s="25">
        <f>IF('Metrics'!$V$18="","",'Metrics'!$V$18)</f>
        <v/>
      </c>
      <c r="H32" s="20" t="n"/>
      <c r="I32" s="26" t="n"/>
    </row>
    <row r="33">
      <c r="A33" s="47" t="inlineStr">
        <is>
          <t>Physicochemistry</t>
        </is>
      </c>
      <c r="B33" s="11" t="inlineStr">
        <is>
          <t>Light &amp; thermal regime</t>
        </is>
      </c>
      <c r="C33" s="12" t="inlineStr">
        <is>
          <t>Chlorophyll a</t>
        </is>
      </c>
      <c r="D33" s="13" t="inlineStr">
        <is>
          <t>ug/L</t>
        </is>
      </c>
      <c r="E33" s="14" t="n"/>
      <c r="F33" s="15" t="inlineStr"/>
      <c r="G33" s="16">
        <f>IF('Metrics'!$V$19="","",'Metrics'!$V$19)</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39" t="inlineStr">
        <is>
          <t>All streams (pooled)</t>
        </is>
      </c>
      <c r="G34" s="25">
        <f>IF('Metrics'!$V$20="","",'Metrics'!$V$20)</f>
        <v/>
      </c>
      <c r="H34" s="20" t="n"/>
      <c r="I34" s="26" t="n"/>
    </row>
    <row r="35">
      <c r="A35" s="48" t="inlineStr">
        <is>
          <t>Physicochemistry</t>
        </is>
      </c>
      <c r="B35" s="28" t="inlineStr">
        <is>
          <t>Carbon processing</t>
        </is>
      </c>
      <c r="C35" s="29" t="inlineStr">
        <is>
          <t>Riparian veg cover, woody</t>
        </is>
      </c>
      <c r="D35" s="30" t="inlineStr">
        <is>
          <t>frac</t>
        </is>
      </c>
      <c r="E35" s="31" t="n"/>
      <c r="F35" s="32" t="inlineStr"/>
      <c r="G35" s="33">
        <f>IF('Metrics'!$V$21="","",'Metrics'!$V$21)</f>
        <v/>
      </c>
      <c r="H35" s="34">
        <f>IF('Results'!$B$17="","",'Results'!$B$17)</f>
        <v/>
      </c>
      <c r="I35" s="35">
        <f>IF('DEEP Score'!$H$35="","",IF('DEEP Score'!$H$35&lt;=5,"Non-Functioning",IF('DEEP Score'!$H$35&lt;=10,"Functioning At-Risk","Functioning")))</f>
        <v/>
      </c>
    </row>
    <row r="36">
      <c r="A36" s="47" t="inlineStr">
        <is>
          <t>Physicochemistry</t>
        </is>
      </c>
      <c r="B36" s="11" t="inlineStr">
        <is>
          <t>Nutrient cycling</t>
        </is>
      </c>
      <c r="C36" s="12" t="inlineStr">
        <is>
          <t>Total nitrogen</t>
        </is>
      </c>
      <c r="D36" s="13" t="inlineStr">
        <is>
          <t>mg N/L</t>
        </is>
      </c>
      <c r="E36" s="14" t="n"/>
      <c r="F36" s="15" t="inlineStr"/>
      <c r="G36" s="16">
        <f>IF('Metrics'!$V$22="","",'Metrics'!$V$22)</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IF('Metrics'!$V$23="","",'Metrics'!$V$23)</f>
        <v/>
      </c>
      <c r="H37" s="20" t="n"/>
      <c r="I37" s="26" t="n"/>
    </row>
    <row r="38">
      <c r="A38" s="47" t="inlineStr">
        <is>
          <t>Physicochemistry</t>
        </is>
      </c>
      <c r="B38" s="11" t="inlineStr">
        <is>
          <t>Water &amp; soil quality</t>
        </is>
      </c>
      <c r="C38" s="12" t="inlineStr">
        <is>
          <t>pH</t>
        </is>
      </c>
      <c r="D38" s="13" t="inlineStr">
        <is>
          <t>Std. Units</t>
        </is>
      </c>
      <c r="E38" s="14" t="n"/>
      <c r="F38" s="15" t="inlineStr"/>
      <c r="G38" s="16">
        <f>IF('Metrics'!$V$24="","",'Metrics'!$V$24)</f>
        <v/>
      </c>
      <c r="H38" s="17">
        <f>IF('Results'!$B$19="","",'Results'!$B$19)</f>
        <v/>
      </c>
      <c r="I38" s="18">
        <f>IF('DEEP Score'!$H$38="","",IF('DEEP Score'!$H$38&lt;=5,"Non-Functioning",IF('DEEP Score'!$H$38&lt;=10,"Functioning At-Risk","Functioning")))</f>
        <v/>
      </c>
    </row>
    <row r="39">
      <c r="A39" s="19" t="n"/>
      <c r="B39" s="20" t="n"/>
      <c r="C39" s="21" t="inlineStr">
        <is>
          <t>Specific conductivity</t>
        </is>
      </c>
      <c r="D39" s="22" t="inlineStr">
        <is>
          <t>uS/cm</t>
        </is>
      </c>
      <c r="E39" s="23" t="n"/>
      <c r="F39" s="24" t="inlineStr"/>
      <c r="G39" s="25">
        <f>IF('Metrics'!$V$25="","",'Metrics'!$V$25)</f>
        <v/>
      </c>
      <c r="H39" s="20" t="n"/>
      <c r="I39" s="26" t="n"/>
    </row>
    <row r="40">
      <c r="A40" s="49" t="inlineStr">
        <is>
          <t>Biology</t>
        </is>
      </c>
      <c r="B40" s="11" t="inlineStr">
        <is>
          <t>Habitat provision</t>
        </is>
      </c>
      <c r="C40" s="12" t="inlineStr">
        <is>
          <t>Fast-water / riffle habitat</t>
        </is>
      </c>
      <c r="D40" s="13" t="inlineStr">
        <is>
          <t>%</t>
        </is>
      </c>
      <c r="E40" s="14" t="n"/>
      <c r="F40" s="46" t="inlineStr">
        <is>
          <t>All streams (pooled)</t>
        </is>
      </c>
      <c r="G40" s="16">
        <f>IF('Metrics'!$V$26="","",'Metrics'!$V$26)</f>
        <v/>
      </c>
      <c r="H40" s="17">
        <f>IF('Results'!$B$20="","",'Results'!$B$20)</f>
        <v/>
      </c>
      <c r="I40" s="18">
        <f>IF('DEEP Score'!$H$40="","",IF('DEEP Score'!$H$40&lt;=5,"Non-Functioning",IF('DEEP Score'!$H$40&lt;=10,"Functioning At-Risk","Functioning")))</f>
        <v/>
      </c>
    </row>
    <row r="41">
      <c r="A41" s="19" t="n"/>
      <c r="B41" s="20" t="n"/>
      <c r="C41" s="21" t="inlineStr">
        <is>
          <t>Natural fish cover</t>
        </is>
      </c>
      <c r="D41" s="22" t="inlineStr">
        <is>
          <t>frac</t>
        </is>
      </c>
      <c r="E41" s="23" t="n"/>
      <c r="F41" s="39" t="inlineStr">
        <is>
          <t>All streams (pooled)</t>
        </is>
      </c>
      <c r="G41" s="25">
        <f>IF('Metrics'!$V$27="","",'Metrics'!$V$27)</f>
        <v/>
      </c>
      <c r="H41" s="20" t="n"/>
      <c r="I41" s="26" t="n"/>
    </row>
    <row r="42">
      <c r="A42" s="49" t="inlineStr">
        <is>
          <t>Biology</t>
        </is>
      </c>
      <c r="B42" s="11" t="inlineStr">
        <is>
          <t>Population support</t>
        </is>
      </c>
      <c r="C42" s="12" t="inlineStr">
        <is>
          <t>Native fish taxa richness</t>
        </is>
      </c>
      <c r="D42" s="13" t="inlineStr"/>
      <c r="E42" s="14" t="n"/>
      <c r="F42" s="46" t="inlineStr">
        <is>
          <t>All streams (pooled)</t>
        </is>
      </c>
      <c r="G42" s="16">
        <f>IF('Metrics'!$V$28="","",'Metrics'!$V$28)</f>
        <v/>
      </c>
      <c r="H42" s="17">
        <f>IF('Results'!$B$21="","",'Results'!$B$21)</f>
        <v/>
      </c>
      <c r="I42" s="18">
        <f>IF('DEEP Score'!$H$42="","",IF('DEEP Score'!$H$42&lt;=5,"Non-Functioning",IF('DEEP Score'!$H$42&lt;=10,"Functioning At-Risk","Functioning")))</f>
        <v/>
      </c>
    </row>
    <row r="43">
      <c r="A43" s="19" t="n"/>
      <c r="B43" s="20" t="n"/>
      <c r="C43" s="21" t="inlineStr">
        <is>
          <t>Benthic total taxa richness</t>
        </is>
      </c>
      <c r="D43" s="22" t="inlineStr"/>
      <c r="E43" s="23" t="n"/>
      <c r="F43" s="24" t="inlineStr"/>
      <c r="G43" s="25">
        <f>IF('Metrics'!$V$29="","",'Metrics'!$V$29)</f>
        <v/>
      </c>
      <c r="H43" s="20" t="n"/>
      <c r="I43" s="26" t="n"/>
    </row>
    <row r="44">
      <c r="A44" s="49" t="inlineStr">
        <is>
          <t>Biology</t>
        </is>
      </c>
      <c r="B44" s="11" t="inlineStr">
        <is>
          <t>Community dynamics</t>
        </is>
      </c>
      <c r="C44" s="12" t="inlineStr">
        <is>
          <t>EPT taxa richness</t>
        </is>
      </c>
      <c r="D44" s="13" t="inlineStr"/>
      <c r="E44" s="14" t="n"/>
      <c r="F44" s="15" t="inlineStr"/>
      <c r="G44" s="16">
        <f>IF('Metrics'!$V$30="","",'Metrics'!$V$30)</f>
        <v/>
      </c>
      <c r="H44" s="17">
        <f>IF('Results'!$B$22="","",'Results'!$B$22)</f>
        <v/>
      </c>
      <c r="I44" s="18">
        <f>IF('DEEP Score'!$H$44="","",IF('DEEP Score'!$H$44&lt;=5,"Non-Functioning",IF('DEEP Score'!$H$44&lt;=10,"Functioning At-Risk","Functioning")))</f>
        <v/>
      </c>
    </row>
    <row r="45">
      <c r="A45" s="19" t="n"/>
      <c r="B45" s="20" t="n"/>
      <c r="C45" s="21" t="inlineStr">
        <is>
          <t>Shannon diversity (H')</t>
        </is>
      </c>
      <c r="D45" s="22" t="inlineStr">
        <is>
          <t>H'</t>
        </is>
      </c>
      <c r="E45" s="23" t="n"/>
      <c r="F45" s="24" t="inlineStr"/>
      <c r="G45" s="25">
        <f>IF('Metrics'!$V$31="","",'Metrics'!$V$31)</f>
        <v/>
      </c>
      <c r="H45" s="20" t="n"/>
      <c r="I45" s="26" t="n"/>
    </row>
    <row r="46">
      <c r="A46" s="50" t="inlineStr">
        <is>
          <t>Biology</t>
        </is>
      </c>
      <c r="B46" s="28" t="inlineStr">
        <is>
          <t>Watershed connectivity</t>
        </is>
      </c>
      <c r="C46" s="29" t="inlineStr">
        <is>
          <t>Mapped dams within one mile</t>
        </is>
      </c>
      <c r="D46" s="30" t="inlineStr">
        <is>
          <t>dams</t>
        </is>
      </c>
      <c r="E46" s="31" t="n"/>
      <c r="F46" s="32" t="inlineStr"/>
      <c r="G46" s="33">
        <f>IF('Metrics'!$V$32="","",'Metrics'!$V$32)</f>
        <v/>
      </c>
      <c r="H46" s="34">
        <f>IF('Results'!$B$23="","",'Results'!$B$23)</f>
        <v/>
      </c>
      <c r="I46" s="35">
        <f>IF('DEEP Score'!$H$46="","",IF('DEEP Score'!$H$46&lt;=5,"Non-Functioning",IF('DEEP Score'!$H$46&lt;=10,"Functioning At-Risk","Functioning")))</f>
        <v/>
      </c>
    </row>
    <row r="48">
      <c r="A48" s="51" t="inlineStr">
        <is>
          <t>Summary</t>
        </is>
      </c>
    </row>
    <row r="49">
      <c r="A49" s="9" t="inlineStr">
        <is>
          <t>Outcome</t>
        </is>
      </c>
      <c r="B49" s="9" t="inlineStr">
        <is>
          <t>Sub-index (0 to 1)</t>
        </is>
      </c>
      <c r="C49" s="9" t="inlineStr">
        <is>
          <t>Condition</t>
        </is>
      </c>
    </row>
    <row r="50">
      <c r="A50" s="52" t="inlineStr">
        <is>
          <t>Physical</t>
        </is>
      </c>
      <c r="B50" s="53">
        <f>'Results'!$B$26</f>
        <v/>
      </c>
      <c r="C50" s="54">
        <f>IF('DEEP Score'!$B$50&lt;=0.39,"Non-Functioning",IF('DEEP Score'!$B$50&lt;=0.69,"Functioning At-Risk","Functioning"))</f>
        <v/>
      </c>
    </row>
    <row r="51">
      <c r="A51" s="52" t="inlineStr">
        <is>
          <t>Chemical</t>
        </is>
      </c>
      <c r="B51" s="53">
        <f>'Results'!$B$27</f>
        <v/>
      </c>
      <c r="C51" s="54">
        <f>IF('DEEP Score'!$B$51&lt;=0.39,"Non-Functioning",IF('DEEP Score'!$B$51&lt;=0.69,"Functioning At-Risk","Functioning"))</f>
        <v/>
      </c>
    </row>
    <row r="52">
      <c r="A52" s="52" t="inlineStr">
        <is>
          <t>Biological</t>
        </is>
      </c>
      <c r="B52" s="53">
        <f>'Results'!$B$28</f>
        <v/>
      </c>
      <c r="C52" s="54">
        <f>IF('DEEP Score'!$B$52&lt;=0.39,"Non-Functioning",IF('DEEP Score'!$B$52&lt;=0.69,"Functioning At-Risk","Functioning"))</f>
        <v/>
      </c>
    </row>
    <row r="53" ht="30" customHeight="1">
      <c r="A53" s="55" t="inlineStr">
        <is>
          <t>Ecosystem Condition Index</t>
        </is>
      </c>
      <c r="B53" s="56">
        <f>'Results'!$B$29</f>
        <v/>
      </c>
      <c r="C53" s="54">
        <f>IF('DEEP Score'!$B$53&lt;=0.39,"Non-Functioning",IF('DEEP Score'!$B$53&lt;=0.69,"Functioning At-Risk","Functioning"))</f>
        <v/>
      </c>
    </row>
    <row r="54">
      <c r="A54" s="4" t="inlineStr">
        <is>
          <t xml:space="preserve">Functions with a score: </t>
        </is>
      </c>
      <c r="B54" s="4">
        <f>COUNT('Results'!$B$4:$B$23)&amp;" of 20"</f>
        <v/>
      </c>
    </row>
    <row r="55">
      <c r="A55" s="4" t="inlineStr">
        <is>
          <t>This assessment covers 20 of 20 STAF functions.</t>
        </is>
      </c>
    </row>
    <row r="57">
      <c r="A57" s="57" t="inlineStr">
        <is>
          <t>Withheld for insufficient reference support (not scored)</t>
        </is>
      </c>
    </row>
    <row r="58">
      <c r="A58" t="inlineStr">
        <is>
          <t>Residual pool depth</t>
        </is>
      </c>
      <c r="C58" s="4" t="inlineStr">
        <is>
          <t>Low flow and baseflow dynamics</t>
        </is>
      </c>
    </row>
    <row r="60">
      <c r="A60" s="5" t="inlineStr">
        <is>
          <t>Notes</t>
        </is>
      </c>
    </row>
    <row r="61">
      <c r="A61" s="58" t="n"/>
      <c r="B61" s="59" t="n"/>
      <c r="C61" s="59" t="n"/>
      <c r="D61" s="59" t="n"/>
      <c r="E61" s="59" t="n"/>
      <c r="F61" s="59" t="n"/>
      <c r="G61" s="59" t="n"/>
      <c r="H61" s="59" t="n"/>
      <c r="I61" s="60" t="n"/>
    </row>
    <row r="62">
      <c r="A62" s="61" t="n"/>
      <c r="B62" s="62" t="n"/>
      <c r="C62" s="62" t="n"/>
      <c r="D62" s="62" t="n"/>
      <c r="E62" s="62" t="n"/>
      <c r="F62" s="62" t="n"/>
      <c r="G62" s="62" t="n"/>
      <c r="H62" s="62" t="n"/>
      <c r="I62" s="63" t="n"/>
    </row>
    <row r="63">
      <c r="A63" s="61" t="n"/>
      <c r="B63" s="62" t="n"/>
      <c r="C63" s="62" t="n"/>
      <c r="D63" s="62" t="n"/>
      <c r="E63" s="62" t="n"/>
      <c r="F63" s="62" t="n"/>
      <c r="G63" s="62" t="n"/>
      <c r="H63" s="62" t="n"/>
      <c r="I63" s="63" t="n"/>
    </row>
    <row r="64">
      <c r="A64" s="61" t="n"/>
      <c r="B64" s="62" t="n"/>
      <c r="C64" s="62" t="n"/>
      <c r="D64" s="62" t="n"/>
      <c r="E64" s="62" t="n"/>
      <c r="F64" s="62" t="n"/>
      <c r="G64" s="62" t="n"/>
      <c r="H64" s="62" t="n"/>
      <c r="I64" s="63" t="n"/>
    </row>
    <row r="65">
      <c r="A65" s="61" t="n"/>
      <c r="B65" s="62" t="n"/>
      <c r="C65" s="62" t="n"/>
      <c r="D65" s="62" t="n"/>
      <c r="E65" s="62" t="n"/>
      <c r="F65" s="62" t="n"/>
      <c r="G65" s="62" t="n"/>
      <c r="H65" s="62" t="n"/>
      <c r="I65" s="63" t="n"/>
    </row>
    <row r="66">
      <c r="A66" s="64" t="n"/>
      <c r="B66" s="65" t="n"/>
      <c r="C66" s="65" t="n"/>
      <c r="D66" s="65" t="n"/>
      <c r="E66" s="65" t="n"/>
      <c r="F66" s="65" t="n"/>
      <c r="G66" s="65" t="n"/>
      <c r="H66" s="65" t="n"/>
      <c r="I66" s="66" t="n"/>
    </row>
  </sheetData>
  <sheetProtection selectLockedCells="0" selectUnlockedCells="0" sheet="1" objects="0" insertRows="1" insertHyperlinks="1" autoFilter="1" scenarios="0" formatColumns="1" deleteColumns="1" insertColumns="1" pivotTables="1" deleteRows="1" formatCells="1" formatRows="1" sort="1" password="CB3B"/>
  <mergeCells count="66">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A61:I66"/>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7">
    <dataValidation sqref="F19"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=strata_spring_phab_pct_fast</formula1>
    </dataValidation>
    <dataValidation sqref="F41" showDropDown="0" showInputMessage="0" showErrorMessage="1" allowBlank="1" errorTitle="Curve set" error="Choose a curve set from the list." type="list">
      <formula1>=strata_spring_phab_xfc_nat</formula1>
    </dataValidation>
    <dataValidation sqref="F42" showDropDown="0" showInputMessage="0" showErrorMessage="1" allowBlank="1" errorTitle="Curve set" error="Choose a curve set from the list." type="list">
      <formula1>=strata_spring_fish_nat_totlntax</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 cover of the watershed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Bankfull width:depth ratio</t>
        </is>
      </c>
      <c r="B11" s="69">
        <f>IF('DEEP Score'!$E$19="","",'DEEP Score'!$E$19)</f>
        <v/>
      </c>
      <c r="C11" s="69">
        <f>IF('DEEP Score'!$F$19="","All streams (pooled)",'DEEP Score'!$F$19)</f>
        <v/>
      </c>
      <c r="D11" s="69">
        <f>"spring_phab_bfwd_rat|"&amp;'Metrics'!$C$11</f>
        <v/>
      </c>
      <c r="E11" s="69">
        <f>IFERROR(MATCH('Metrics'!$D$11,curve_key,0),MATCH("spring_phab_bfwd_rat|All streams (pooled)",curve_key,0))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Bankfull height above channel</t>
        </is>
      </c>
      <c r="B12" s="69">
        <f>IF('DEEP Score'!$E$22="","",'DEEP Score'!$E$22)</f>
        <v/>
      </c>
      <c r="C12" s="69">
        <f>IF('DEEP Score'!$F$22="","All streams (pooled)",'DEEP Score'!$F$22)</f>
        <v/>
      </c>
      <c r="D12" s="69">
        <f>"spring_phab_xbkf_h|"&amp;'Metrics'!$C$12</f>
        <v/>
      </c>
      <c r="E12" s="69">
        <f>IFERROR(MATCH('Metrics'!$D$12,curve_key,0),MATCH("spring_phab_xbkf_h|All streams (pooled)",curve_key,0))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Sand + fines</t>
        </is>
      </c>
      <c r="B13" s="69">
        <f>IF('DEEP Score'!$E$23="","",'DEEP Score'!$E$23)</f>
        <v/>
      </c>
      <c r="C13" s="69">
        <f>""</f>
        <v/>
      </c>
      <c r="D13" s="69">
        <f>"spring_phab_pct_safn|"&amp;'Metrics'!$C$13</f>
        <v/>
      </c>
      <c r="E13" s="69">
        <f>IFERROR(MATCH('Metrics'!$D$13,curve_key,0),MATCH("spring_phab_pct_safn|",curve_key,0))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Embeddedness</t>
        </is>
      </c>
      <c r="B14" s="69">
        <f>IF('DEEP Score'!$E$24="","",'DEEP Score'!$E$24)</f>
        <v/>
      </c>
      <c r="C14" s="69">
        <f>""</f>
        <v/>
      </c>
      <c r="D14" s="69">
        <f>"spring_phab_xembed|"&amp;'Metrics'!$C$14</f>
        <v/>
      </c>
      <c r="E14" s="69">
        <f>IFERROR(MATCH('Metrics'!$D$14,curve_key,0),MATCH("spring_phab_xembed|",curve_key,0))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Sinuosity</t>
        </is>
      </c>
      <c r="B15" s="69">
        <f>IF('DEEP Score'!$E$27="","",'DEEP Score'!$E$27)</f>
        <v/>
      </c>
      <c r="C15" s="69">
        <f>""</f>
        <v/>
      </c>
      <c r="D15" s="69">
        <f>"spring_phab_sinu|"&amp;'Metrics'!$C$15</f>
        <v/>
      </c>
      <c r="E15" s="69">
        <f>IFERROR(MATCH('Metrics'!$D$15,curve_key,0),MATCH("spring_phab_sinu|",curve_key,0))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Bank angle</t>
        </is>
      </c>
      <c r="B16" s="69">
        <f>IF('DEEP Score'!$E$28="","",'DEEP Score'!$E$28)</f>
        <v/>
      </c>
      <c r="C16" s="69">
        <f>""</f>
        <v/>
      </c>
      <c r="D16" s="69">
        <f>"spring_phab_xbka|"&amp;'Metrics'!$C$16</f>
        <v/>
      </c>
      <c r="E16" s="69">
        <f>IFERROR(MATCH('Metrics'!$D$16,curve_key,0),MATCH("spring_phab_xbka|",curve_key,0))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Relative bed stability</t>
        </is>
      </c>
      <c r="B17" s="69">
        <f>IF('DEEP Score'!$E$29="","",'DEEP Score'!$E$29)</f>
        <v/>
      </c>
      <c r="C17" s="69">
        <f>IF('DEEP Score'!$F$29="","All streams (pooled)",'DEEP Score'!$F$29)</f>
        <v/>
      </c>
      <c r="D17" s="69">
        <f>"spring_phab_lrbs_use|"&amp;'Metrics'!$C$17</f>
        <v/>
      </c>
      <c r="E17" s="69">
        <f>IFERROR(MATCH('Metrics'!$D$17,curve_key,0),MATCH("spring_phab_lrbs_use|All streams (pooled)",curve_key,0))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Large wood volume</t>
        </is>
      </c>
      <c r="B18" s="69">
        <f>IF('DEEP Score'!$E$32="","",'DEEP Score'!$E$32)</f>
        <v/>
      </c>
      <c r="C18" s="69">
        <f>""</f>
        <v/>
      </c>
      <c r="D18" s="69">
        <f>"spring_phab_lwdeqvolm100|"&amp;'Metrics'!$C$18</f>
        <v/>
      </c>
      <c r="E18" s="69">
        <f>IFERROR(MATCH('Metrics'!$D$18,curve_key,0),MATCH("spring_phab_lwdeqvolm100|",curve_key,0))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Chlorophyll a</t>
        </is>
      </c>
      <c r="B19" s="69">
        <f>IF('DEEP Score'!$E$33="","",'DEEP Score'!$E$33)</f>
        <v/>
      </c>
      <c r="C19" s="69">
        <f>""</f>
        <v/>
      </c>
      <c r="D19" s="69">
        <f>"spring_chem_chla|"&amp;'Metrics'!$C$19</f>
        <v/>
      </c>
      <c r="E19" s="69">
        <f>IFERROR(MATCH('Metrics'!$D$19,curve_key,0),MATCH("spring_chem_chla|",curve_key,0))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Canopy density, mid-channel</t>
        </is>
      </c>
      <c r="B20" s="69">
        <f>IF('DEEP Score'!$E$34="","",'DEEP Score'!$E$34)</f>
        <v/>
      </c>
      <c r="C20" s="69">
        <f>IF('DEEP Score'!$F$34="","All streams (pooled)",'DEEP Score'!$F$34)</f>
        <v/>
      </c>
      <c r="D20" s="69">
        <f>"spring_phab_xcdenmid|"&amp;'Metrics'!$C$20</f>
        <v/>
      </c>
      <c r="E20" s="69">
        <f>IFERROR(MATCH('Metrics'!$D$20,curve_key,0),MATCH("spring_phab_xcdenmid|All streams (pooled)",curve_key,0))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Riparian veg cover, woody</t>
        </is>
      </c>
      <c r="B21" s="69">
        <f>IF('DEEP Score'!$E$35="","",'DEEP Score'!$E$35)</f>
        <v/>
      </c>
      <c r="C21" s="69">
        <f>""</f>
        <v/>
      </c>
      <c r="D21" s="69">
        <f>"spring_phab_xcmgw|"&amp;'Metrics'!$C$21</f>
        <v/>
      </c>
      <c r="E21" s="69">
        <f>IFERROR(MATCH('Metrics'!$D$21,curve_key,0),MATCH("spring_phab_xcmgw|",curve_key,0))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Total nitrogen</t>
        </is>
      </c>
      <c r="B22" s="69">
        <f>IF('DEEP Score'!$E$36="","",'DEEP Score'!$E$36)</f>
        <v/>
      </c>
      <c r="C22" s="69">
        <f>""</f>
        <v/>
      </c>
      <c r="D22" s="69">
        <f>"spring_chem_ntl|"&amp;'Metrics'!$C$22</f>
        <v/>
      </c>
      <c r="E22" s="69">
        <f>IFERROR(MATCH('Metrics'!$D$22,curve_key,0),MATCH("spring_chem_ntl|",curve_key,0))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Total phosphorus</t>
        </is>
      </c>
      <c r="B23" s="69">
        <f>IF('DEEP Score'!$E$37="","",'DEEP Score'!$E$37)</f>
        <v/>
      </c>
      <c r="C23" s="69">
        <f>""</f>
        <v/>
      </c>
      <c r="D23" s="69">
        <f>"spring_chem_ptl|"&amp;'Metrics'!$C$23</f>
        <v/>
      </c>
      <c r="E23" s="69">
        <f>IFERROR(MATCH('Metrics'!$D$23,curve_key,0),MATCH("spring_chem_ptl|",curve_key,0))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pH</t>
        </is>
      </c>
      <c r="B24" s="69">
        <f>IF('DEEP Score'!$E$38="","",'DEEP Score'!$E$38)</f>
        <v/>
      </c>
      <c r="C24" s="69">
        <f>""</f>
        <v/>
      </c>
      <c r="D24" s="69">
        <f>"spring_chem_ph|"&amp;'Metrics'!$C$24</f>
        <v/>
      </c>
      <c r="E24" s="69">
        <f>IFERROR(MATCH('Metrics'!$D$24,curve_key,0),MATCH("spring_chem_ph|",curve_key,0))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Specific conductivity</t>
        </is>
      </c>
      <c r="B25" s="69">
        <f>IF('DEEP Score'!$E$39="","",'DEEP Score'!$E$39)</f>
        <v/>
      </c>
      <c r="C25" s="69">
        <f>""</f>
        <v/>
      </c>
      <c r="D25" s="69">
        <f>"spring_chem_cond|"&amp;'Metrics'!$C$25</f>
        <v/>
      </c>
      <c r="E25" s="69">
        <f>IFERROR(MATCH('Metrics'!$D$25,curve_key,0),MATCH("spring_chem_cond|",curve_key,0))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Fast-water / riffle habitat</t>
        </is>
      </c>
      <c r="B26" s="69">
        <f>IF('DEEP Score'!$E$40="","",'DEEP Score'!$E$40)</f>
        <v/>
      </c>
      <c r="C26" s="69">
        <f>IF('DEEP Score'!$F$40="","All streams (pooled)",'DEEP Score'!$F$40)</f>
        <v/>
      </c>
      <c r="D26" s="69">
        <f>"spring_phab_pct_fast|"&amp;'Metrics'!$C$26</f>
        <v/>
      </c>
      <c r="E26" s="69">
        <f>IFERROR(MATCH('Metrics'!$D$26,curve_key,0),MATCH("spring_phab_pct_fast|All streams (pooled)",curve_key,0))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Natural fish cover</t>
        </is>
      </c>
      <c r="B27" s="69">
        <f>IF('DEEP Score'!$E$41="","",'DEEP Score'!$E$41)</f>
        <v/>
      </c>
      <c r="C27" s="69">
        <f>IF('DEEP Score'!$F$41="","All streams (pooled)",'DEEP Score'!$F$41)</f>
        <v/>
      </c>
      <c r="D27" s="69">
        <f>"spring_phab_xfc_nat|"&amp;'Metrics'!$C$27</f>
        <v/>
      </c>
      <c r="E27" s="69">
        <f>IFERROR(MATCH('Metrics'!$D$27,curve_key,0),MATCH("spring_phab_xfc_nat|All streams (pooled)",curve_key,0))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Native fish taxa richness</t>
        </is>
      </c>
      <c r="B28" s="69">
        <f>IF('DEEP Score'!$E$42="","",'DEEP Score'!$E$42)</f>
        <v/>
      </c>
      <c r="C28" s="69">
        <f>IF('DEEP Score'!$F$42="","All streams (pooled)",'DEEP Score'!$F$42)</f>
        <v/>
      </c>
      <c r="D28" s="69">
        <f>"spring_fish_nat_totlntax|"&amp;'Metrics'!$C$28</f>
        <v/>
      </c>
      <c r="E28" s="69">
        <f>IFERROR(MATCH('Metrics'!$D$28,curve_key,0),MATCH("spring_fish_nat_totlntax|All streams (pooled)",curve_key,0))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Benthic total taxa richness</t>
        </is>
      </c>
      <c r="B29" s="69">
        <f>IF('DEEP Score'!$E$43="","",'DEEP Score'!$E$43)</f>
        <v/>
      </c>
      <c r="C29" s="69">
        <f>""</f>
        <v/>
      </c>
      <c r="D29" s="69">
        <f>"spring_bent_totlntax|"&amp;'Metrics'!$C$29</f>
        <v/>
      </c>
      <c r="E29" s="69">
        <f>IFERROR(MATCH('Metrics'!$D$29,curve_key,0),MATCH("spring_bent_totlntax|",curve_key,0))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EPT taxa richness</t>
        </is>
      </c>
      <c r="B30" s="69">
        <f>IF('DEEP Score'!$E$44="","",'DEEP Score'!$E$44)</f>
        <v/>
      </c>
      <c r="C30" s="69">
        <f>""</f>
        <v/>
      </c>
      <c r="D30" s="69">
        <f>"spring_bent_ept_ntax|"&amp;'Metrics'!$C$30</f>
        <v/>
      </c>
      <c r="E30" s="69">
        <f>IFERROR(MATCH('Metrics'!$D$30,curve_key,0),MATCH("spring_bent_ept_ntax|",curve_key,0))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Shannon diversity (H')</t>
        </is>
      </c>
      <c r="B31" s="69">
        <f>IF('DEEP Score'!$E$45="","",'DEEP Score'!$E$45)</f>
        <v/>
      </c>
      <c r="C31" s="69">
        <f>""</f>
        <v/>
      </c>
      <c r="D31" s="69">
        <f>"spring_bent_hprime|"&amp;'Metrics'!$C$31</f>
        <v/>
      </c>
      <c r="E31" s="69">
        <f>IFERROR(MATCH('Metrics'!$D$31,curve_key,0),MATCH("spring_bent_hprime|",curve_key,0))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8" t="inlineStr">
        <is>
          <t>Mapped dams within one mile</t>
        </is>
      </c>
      <c r="B32" s="69">
        <f>IF('DEEP Score'!$E$46="","",'DEEP Score'!$E$46)</f>
        <v/>
      </c>
      <c r="C32" s="69">
        <f>""</f>
        <v/>
      </c>
      <c r="D32" s="69">
        <f>"spring_nid_dams_1mi|"&amp;'Metrics'!$C$32</f>
        <v/>
      </c>
      <c r="E32" s="69">
        <f>IFERROR(MATCH('Metrics'!$D$32,curve_key,0),MATCH("spring_nid_dams_1mi|",curve_key,0))</f>
        <v/>
      </c>
      <c r="F32" s="69">
        <f>INDEX(curve_x1,'Metrics'!$E$32)</f>
        <v/>
      </c>
      <c r="G32" s="69">
        <f>INDEX(curve_x2,'Metrics'!$E$32)</f>
        <v/>
      </c>
      <c r="H32" s="69">
        <f>INDEX(curve_x3,'Metrics'!$E$32)</f>
        <v/>
      </c>
      <c r="I32" s="69">
        <f>INDEX(curve_x4,'Metrics'!$E$32)</f>
        <v/>
      </c>
      <c r="J32" s="69">
        <f>INDEX(curve_x5,'Metrics'!$E$32)</f>
        <v/>
      </c>
      <c r="K32" s="69">
        <f>INDEX(curve_x6,'Metrics'!$E$32)</f>
        <v/>
      </c>
      <c r="L32" s="69">
        <f>INDEX(curve_x7,'Metrics'!$E$32)</f>
        <v/>
      </c>
      <c r="M32" s="69">
        <f>INDEX(curve_x8,'Metrics'!$E$32)</f>
        <v/>
      </c>
      <c r="N32" s="69">
        <f>INDEX(curve_y1,'Metrics'!$E$32)</f>
        <v/>
      </c>
      <c r="O32" s="69">
        <f>INDEX(curve_y2,'Metrics'!$E$32)</f>
        <v/>
      </c>
      <c r="P32" s="69">
        <f>INDEX(curve_y3,'Metrics'!$E$32)</f>
        <v/>
      </c>
      <c r="Q32" s="69">
        <f>INDEX(curve_y4,'Metrics'!$E$32)</f>
        <v/>
      </c>
      <c r="R32" s="69">
        <f>INDEX(curve_y5,'Metrics'!$E$32)</f>
        <v/>
      </c>
      <c r="S32" s="69">
        <f>INDEX(curve_y6,'Metrics'!$E$32)</f>
        <v/>
      </c>
      <c r="T32" s="69">
        <f>INDEX(curve_y7,'Metrics'!$E$32)</f>
        <v/>
      </c>
      <c r="U32" s="69">
        <f>INDEX(curve_y8,'Metrics'!$E$32)</f>
        <v/>
      </c>
      <c r="V32" s="70">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Score'!G40:G41)=0,"",SUM('DEEP Score'!G40:G41)/COUNT('DEEP Score'!G40:G41)*15)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Score'!G42:G43)=0,"",SUM('DEEP Score'!G42:G43)/COUNT('DEEP Score'!G42:G43)*15)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Score'!G44:G45)=0,"",SUM('DEEP Score'!G44:G45)/COUNT('DEEP Score'!G44:G45)*15)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Score'!G46:G46)=0,"",SUM('DEEP Score'!G46:G46)/COUNT('DEEP Score'!G46:G46)*15)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5" t="inlineStr">
        <is>
          <t>Outcome</t>
        </is>
      </c>
      <c r="B25" s="5"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2"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84"/>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 cover of the watershed</t>
        </is>
      </c>
      <c r="D7" s="68" t="inlineStr"/>
      <c r="E7" s="68" t="n">
        <v>4</v>
      </c>
      <c r="F7" s="68" t="inlineStr">
        <is>
          <t>Adopted from EASI's national screening method (provisional)</t>
        </is>
      </c>
      <c r="G7" s="68" t="n">
        <v>0</v>
      </c>
      <c r="H7" s="68" t="n">
        <v>0.995</v>
      </c>
      <c r="I7" s="68" t="n">
        <v>5</v>
      </c>
      <c r="J7" s="68" t="n">
        <v>9.138500000000001</v>
      </c>
      <c r="K7" s="68" t="n">
        <v>9.138500000000001</v>
      </c>
      <c r="L7" s="68" t="n">
        <v>9.138500000000001</v>
      </c>
      <c r="M7" s="68" t="n">
        <v>9.138500000000001</v>
      </c>
      <c r="N7" s="68" t="n">
        <v>9.138500000000001</v>
      </c>
      <c r="O7" s="68" t="n">
        <v>0.315468</v>
      </c>
      <c r="P7" s="68" t="n">
        <v>0.39</v>
      </c>
      <c r="Q7" s="68" t="n">
        <v>0.6899999999999999</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96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8" t="n">
        <v>0</v>
      </c>
      <c r="H9" s="68" t="n">
        <v>26.91063214285714</v>
      </c>
      <c r="I9" s="68" t="n">
        <v>62.791475</v>
      </c>
      <c r="J9" s="68" t="n">
        <v>72.81190000000001</v>
      </c>
      <c r="K9" s="68" t="n">
        <v>77.82211250000002</v>
      </c>
      <c r="L9" s="68" t="n">
        <v>77.82211250000002</v>
      </c>
      <c r="M9" s="68" t="n">
        <v>77.82211250000002</v>
      </c>
      <c r="N9" s="68" t="n">
        <v>77.82211250000002</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spring_phab_bfwd_rat|All streams (pooled)</t>
        </is>
      </c>
      <c r="B11" s="68" t="inlineStr">
        <is>
          <t>spring-phab-bfwd-rat</t>
        </is>
      </c>
      <c r="C11" s="68" t="inlineStr">
        <is>
          <t>Bankfull width:depth ratio</t>
        </is>
      </c>
      <c r="D11" s="68" t="inlineStr">
        <is>
          <t>All streams (pooled)</t>
        </is>
      </c>
      <c r="E11" s="68" t="n">
        <v>7</v>
      </c>
      <c r="F11" s="68" t="inlineStr">
        <is>
          <t>168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68" t="n">
        <v>0</v>
      </c>
      <c r="H11" s="68" t="n">
        <v>3.851954817771912</v>
      </c>
      <c r="I11" s="68" t="n">
        <v>6.74723219871521</v>
      </c>
      <c r="J11" s="68" t="n">
        <v>15.01945328712463</v>
      </c>
      <c r="K11" s="68" t="n">
        <v>17.91473066806793</v>
      </c>
      <c r="L11" s="68" t="n">
        <v>23.29167437553406</v>
      </c>
      <c r="M11" s="68" t="n">
        <v>31.56389546394348</v>
      </c>
      <c r="N11" s="68" t="n">
        <v>31.56389546394348</v>
      </c>
      <c r="O11" s="68" t="n">
        <v>0</v>
      </c>
      <c r="P11" s="68" t="n">
        <v>0.7</v>
      </c>
      <c r="Q11" s="68" t="n">
        <v>1</v>
      </c>
      <c r="R11" s="68" t="n">
        <v>1</v>
      </c>
      <c r="S11" s="68" t="n">
        <v>0.7</v>
      </c>
      <c r="T11" s="68" t="n">
        <v>0.3</v>
      </c>
      <c r="U11" s="68" t="n">
        <v>0</v>
      </c>
      <c r="V11" s="68" t="n">
        <v>0</v>
      </c>
    </row>
    <row r="12">
      <c r="A12" s="68" t="inlineStr">
        <is>
          <t>spring_phab_bfwd_rat|Headwater (10 km2 and under)</t>
        </is>
      </c>
      <c r="B12" s="68" t="inlineStr">
        <is>
          <t>spring-phab-bfwd-rat</t>
        </is>
      </c>
      <c r="C12" s="68" t="inlineStr">
        <is>
          <t>Bankfull width:depth ratio</t>
        </is>
      </c>
      <c r="D12" s="68" t="inlineStr">
        <is>
          <t>Headwater (10 km2 and under)</t>
        </is>
      </c>
      <c r="E12" s="68" t="n">
        <v>8</v>
      </c>
      <c r="F12" s="68" t="inlineStr">
        <is>
          <t>168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8" t="n">
        <v>0</v>
      </c>
      <c r="H12" s="68" t="n">
        <v>2.564823150634766</v>
      </c>
      <c r="I12" s="68" t="n">
        <v>4.561699724197387</v>
      </c>
      <c r="J12" s="68" t="n">
        <v>5.636940956115723</v>
      </c>
      <c r="K12" s="68" t="n">
        <v>8.70905876159668</v>
      </c>
      <c r="L12" s="68" t="n">
        <v>9.784299993515015</v>
      </c>
      <c r="M12" s="68" t="n">
        <v>11.78117656707764</v>
      </c>
      <c r="N12" s="68" t="n">
        <v>14.85329437255859</v>
      </c>
      <c r="O12" s="68" t="n">
        <v>0</v>
      </c>
      <c r="P12" s="68" t="n">
        <v>0.3</v>
      </c>
      <c r="Q12" s="68" t="n">
        <v>0.7</v>
      </c>
      <c r="R12" s="68" t="n">
        <v>1</v>
      </c>
      <c r="S12" s="68" t="n">
        <v>1</v>
      </c>
      <c r="T12" s="68" t="n">
        <v>0.7</v>
      </c>
      <c r="U12" s="68" t="n">
        <v>0.3</v>
      </c>
      <c r="V12" s="68" t="n">
        <v>0</v>
      </c>
    </row>
    <row r="13">
      <c r="A13" s="68" t="inlineStr">
        <is>
          <t>spring_phab_bfwd_rat|Small stream (10 to 100 km2)</t>
        </is>
      </c>
      <c r="B13" s="68" t="inlineStr">
        <is>
          <t>spring-phab-bfwd-rat</t>
        </is>
      </c>
      <c r="C13" s="68" t="inlineStr">
        <is>
          <t>Bankfull width:depth ratio</t>
        </is>
      </c>
      <c r="D13" s="68" t="inlineStr">
        <is>
          <t>Small stream (10 to 100 km2)</t>
        </is>
      </c>
      <c r="E13" s="68" t="n">
        <v>8</v>
      </c>
      <c r="F13" s="68" t="inlineStr">
        <is>
          <t>168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8" t="n">
        <v>0</v>
      </c>
      <c r="H13" s="68" t="n">
        <v>1.197676181793213</v>
      </c>
      <c r="I13" s="68" t="n">
        <v>4.614004224538803</v>
      </c>
      <c r="J13" s="68" t="n">
        <v>6.45356547832489</v>
      </c>
      <c r="K13" s="68" t="n">
        <v>11.70945477485657</v>
      </c>
      <c r="L13" s="68" t="n">
        <v>13.54901602864265</v>
      </c>
      <c r="M13" s="68" t="n">
        <v>16.96534407138824</v>
      </c>
      <c r="N13" s="68" t="n">
        <v>22.22123336791992</v>
      </c>
      <c r="O13" s="68" t="n">
        <v>0</v>
      </c>
      <c r="P13" s="68" t="n">
        <v>0.3</v>
      </c>
      <c r="Q13" s="68" t="n">
        <v>0.7</v>
      </c>
      <c r="R13" s="68" t="n">
        <v>1</v>
      </c>
      <c r="S13" s="68" t="n">
        <v>1</v>
      </c>
      <c r="T13" s="68" t="n">
        <v>0.7</v>
      </c>
      <c r="U13" s="68" t="n">
        <v>0.3</v>
      </c>
      <c r="V13" s="68" t="n">
        <v>0</v>
      </c>
    </row>
    <row r="14">
      <c r="A14" s="68" t="inlineStr">
        <is>
          <t>spring_phab_bfwd_rat|Large stream (over 100 km2)</t>
        </is>
      </c>
      <c r="B14" s="68" t="inlineStr">
        <is>
          <t>spring-phab-bfwd-rat</t>
        </is>
      </c>
      <c r="C14" s="68" t="inlineStr">
        <is>
          <t>Bankfull width:depth ratio</t>
        </is>
      </c>
      <c r="D14" s="68" t="inlineStr">
        <is>
          <t>Large stream (over 100 km2)</t>
        </is>
      </c>
      <c r="E14" s="68" t="n">
        <v>8</v>
      </c>
      <c r="F14" s="68" t="inlineStr">
        <is>
          <t>168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68" t="n">
        <v>0</v>
      </c>
      <c r="H14" s="68" t="n">
        <v>3.555609703063965</v>
      </c>
      <c r="I14" s="68" t="n">
        <v>10.99326887130737</v>
      </c>
      <c r="J14" s="68" t="n">
        <v>14.99816226959229</v>
      </c>
      <c r="K14" s="68" t="n">
        <v>26.44071483612061</v>
      </c>
      <c r="L14" s="68" t="n">
        <v>30.44560823440552</v>
      </c>
      <c r="M14" s="68" t="n">
        <v>37.88326740264893</v>
      </c>
      <c r="N14" s="68" t="n">
        <v>49.32581996917725</v>
      </c>
      <c r="O14" s="68" t="n">
        <v>0</v>
      </c>
      <c r="P14" s="68" t="n">
        <v>0.3</v>
      </c>
      <c r="Q14" s="68" t="n">
        <v>0.7</v>
      </c>
      <c r="R14" s="68" t="n">
        <v>1</v>
      </c>
      <c r="S14" s="68" t="n">
        <v>1</v>
      </c>
      <c r="T14" s="68" t="n">
        <v>0.7</v>
      </c>
      <c r="U14" s="68" t="n">
        <v>0.3</v>
      </c>
      <c r="V14" s="68" t="n">
        <v>0</v>
      </c>
    </row>
    <row r="15">
      <c r="A15" s="68" t="inlineStr">
        <is>
          <t>spring_phab_xbkf_h|All streams (pooled)</t>
        </is>
      </c>
      <c r="B15" s="68" t="inlineStr">
        <is>
          <t>spring-phab-xbkf-h</t>
        </is>
      </c>
      <c r="C15" s="68" t="inlineStr">
        <is>
          <t>Bankfull height above channel</t>
        </is>
      </c>
      <c r="D15" s="68" t="inlineStr">
        <is>
          <t>All streams (pooled)</t>
        </is>
      </c>
      <c r="E15" s="68" t="n">
        <v>7</v>
      </c>
      <c r="F15" s="68" t="inlineStr">
        <is>
          <t>188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+0.12, at most 0.05 allowed); confidence capped at 39.</t>
        </is>
      </c>
      <c r="G15" s="68" t="n">
        <v>0</v>
      </c>
      <c r="H15" s="68" t="n">
        <v>0.1643749967217445</v>
      </c>
      <c r="I15" s="68" t="n">
        <v>0.287272721529007</v>
      </c>
      <c r="J15" s="68" t="n">
        <v>0.6384090781211853</v>
      </c>
      <c r="K15" s="68" t="n">
        <v>0.7613068029284478</v>
      </c>
      <c r="L15" s="68" t="n">
        <v>0.9895454347133636</v>
      </c>
      <c r="M15" s="68" t="n">
        <v>1.340681791305542</v>
      </c>
      <c r="N15" s="68" t="n">
        <v>1.340681791305542</v>
      </c>
      <c r="O15" s="68" t="n">
        <v>0</v>
      </c>
      <c r="P15" s="68" t="n">
        <v>0.7</v>
      </c>
      <c r="Q15" s="68" t="n">
        <v>1</v>
      </c>
      <c r="R15" s="68" t="n">
        <v>1</v>
      </c>
      <c r="S15" s="68" t="n">
        <v>0.7</v>
      </c>
      <c r="T15" s="68" t="n">
        <v>0.3</v>
      </c>
      <c r="U15" s="68" t="n">
        <v>0</v>
      </c>
      <c r="V15" s="68" t="n">
        <v>0</v>
      </c>
    </row>
    <row r="16">
      <c r="A16" s="68" t="inlineStr">
        <is>
          <t>spring_phab_xbkf_h|Headwater (10 km2 and under)</t>
        </is>
      </c>
      <c r="B16" s="68" t="inlineStr">
        <is>
          <t>spring-phab-xbkf-h</t>
        </is>
      </c>
      <c r="C16" s="68" t="inlineStr">
        <is>
          <t>Bankfull height above channel</t>
        </is>
      </c>
      <c r="D16" s="68" t="inlineStr">
        <is>
          <t>Headwater (10 km2 and under)</t>
        </is>
      </c>
      <c r="E16" s="68" t="n">
        <v>8</v>
      </c>
      <c r="F16" s="68" t="inlineStr">
        <is>
          <t>188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+0.12, at most 0.05 allowed); confidence capped at 39.</t>
        </is>
      </c>
      <c r="G16" s="68" t="n">
        <v>0</v>
      </c>
      <c r="H16" s="68" t="n">
        <v>0.004545465111732483</v>
      </c>
      <c r="I16" s="68" t="n">
        <v>0.1295227348804474</v>
      </c>
      <c r="J16" s="68" t="n">
        <v>0.1968181878328323</v>
      </c>
      <c r="K16" s="68" t="n">
        <v>0.3890909105539322</v>
      </c>
      <c r="L16" s="68" t="n">
        <v>0.4563863635063171</v>
      </c>
      <c r="M16" s="68" t="n">
        <v>0.581363633275032</v>
      </c>
      <c r="N16" s="68" t="n">
        <v>0.7736363559961319</v>
      </c>
      <c r="O16" s="68" t="n">
        <v>0</v>
      </c>
      <c r="P16" s="68" t="n">
        <v>0.3</v>
      </c>
      <c r="Q16" s="68" t="n">
        <v>0.7</v>
      </c>
      <c r="R16" s="68" t="n">
        <v>1</v>
      </c>
      <c r="S16" s="68" t="n">
        <v>1</v>
      </c>
      <c r="T16" s="68" t="n">
        <v>0.7</v>
      </c>
      <c r="U16" s="68" t="n">
        <v>0.3</v>
      </c>
      <c r="V16" s="68" t="n">
        <v>0</v>
      </c>
    </row>
    <row r="17">
      <c r="A17" s="68" t="inlineStr">
        <is>
          <t>spring_phab_xbkf_h|Small stream (10 to 100 km2)</t>
        </is>
      </c>
      <c r="B17" s="68" t="inlineStr">
        <is>
          <t>spring-phab-xbkf-h</t>
        </is>
      </c>
      <c r="C17" s="68" t="inlineStr">
        <is>
          <t>Bankfull height above channel</t>
        </is>
      </c>
      <c r="D17" s="68" t="inlineStr">
        <is>
          <t>Small stream (10 to 100 km2)</t>
        </is>
      </c>
      <c r="E17" s="68" t="n">
        <v>8</v>
      </c>
      <c r="F17" s="68" t="inlineStr">
        <is>
          <t>188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+0.12, at most 0.05 allowed); confidence capped at 39.</t>
        </is>
      </c>
      <c r="G17" s="68" t="n">
        <v>0</v>
      </c>
      <c r="H17" s="68" t="n">
        <v>0.0663636326789856</v>
      </c>
      <c r="I17" s="68" t="n">
        <v>0.2064090892672539</v>
      </c>
      <c r="J17" s="68" t="n">
        <v>0.2818181812763214</v>
      </c>
      <c r="K17" s="68" t="n">
        <v>0.4972727298736572</v>
      </c>
      <c r="L17" s="68" t="n">
        <v>0.5726818218827248</v>
      </c>
      <c r="M17" s="68" t="n">
        <v>0.712727278470993</v>
      </c>
      <c r="N17" s="68" t="n">
        <v>0.9281818270683289</v>
      </c>
      <c r="O17" s="68" t="n">
        <v>0</v>
      </c>
      <c r="P17" s="68" t="n">
        <v>0.3</v>
      </c>
      <c r="Q17" s="68" t="n">
        <v>0.7</v>
      </c>
      <c r="R17" s="68" t="n">
        <v>1</v>
      </c>
      <c r="S17" s="68" t="n">
        <v>1</v>
      </c>
      <c r="T17" s="68" t="n">
        <v>0.7</v>
      </c>
      <c r="U17" s="68" t="n">
        <v>0.3</v>
      </c>
      <c r="V17" s="68" t="n">
        <v>0</v>
      </c>
    </row>
    <row r="18">
      <c r="A18" s="68" t="inlineStr">
        <is>
          <t>spring_phab_xbkf_h|Large stream (over 100 km2)</t>
        </is>
      </c>
      <c r="B18" s="68" t="inlineStr">
        <is>
          <t>spring-phab-xbkf-h</t>
        </is>
      </c>
      <c r="C18" s="68" t="inlineStr">
        <is>
          <t>Bankfull height above channel</t>
        </is>
      </c>
      <c r="D18" s="68" t="inlineStr">
        <is>
          <t>Large stream (over 100 km2)</t>
        </is>
      </c>
      <c r="E18" s="68" t="n">
        <v>7</v>
      </c>
      <c r="F18" s="68" t="inlineStr">
        <is>
          <t>188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+0.12, at most 0.05 allowed); confidence capped at 39.</t>
        </is>
      </c>
      <c r="G18" s="68" t="n">
        <v>0</v>
      </c>
      <c r="H18" s="68" t="n">
        <v>0.2310227170586586</v>
      </c>
      <c r="I18" s="68" t="n">
        <v>0.4068181812763214</v>
      </c>
      <c r="J18" s="68" t="n">
        <v>0.9090909361839294</v>
      </c>
      <c r="K18" s="68" t="n">
        <v>1.084886400401592</v>
      </c>
      <c r="L18" s="68" t="n">
        <v>1.411363691091537</v>
      </c>
      <c r="M18" s="68" t="n">
        <v>1.913636445999146</v>
      </c>
      <c r="N18" s="68" t="n">
        <v>1.913636445999146</v>
      </c>
      <c r="O18" s="68" t="n">
        <v>0</v>
      </c>
      <c r="P18" s="68" t="n">
        <v>0.7</v>
      </c>
      <c r="Q18" s="68" t="n">
        <v>1</v>
      </c>
      <c r="R18" s="68" t="n">
        <v>1</v>
      </c>
      <c r="S18" s="68" t="n">
        <v>0.7</v>
      </c>
      <c r="T18" s="68" t="n">
        <v>0.3</v>
      </c>
      <c r="U18" s="68" t="n">
        <v>0</v>
      </c>
      <c r="V18" s="68" t="n">
        <v>0</v>
      </c>
    </row>
    <row r="19">
      <c r="A19" s="68" t="inlineStr">
        <is>
          <t>spring_phab_pct_safn|</t>
        </is>
      </c>
      <c r="B19" s="68" t="inlineStr">
        <is>
          <t>spring-phab-pct-safn</t>
        </is>
      </c>
      <c r="C19" s="68" t="inlineStr">
        <is>
          <t>Sand + fines</t>
        </is>
      </c>
      <c r="D19" s="68" t="inlineStr"/>
      <c r="E19" s="68" t="n">
        <v>5</v>
      </c>
      <c r="F19" s="68" t="inlineStr">
        <is>
          <t>168 least-disturbed stations borrowed from Level II ecoregion 6.2 (Western Cordillera) under the regional screen (agriculture at most 25 percent), transfer risk low</t>
        </is>
      </c>
      <c r="G19" s="68" t="n">
        <v>0</v>
      </c>
      <c r="H19" s="68" t="n">
        <v>3.809523820877075</v>
      </c>
      <c r="I19" s="68" t="n">
        <v>25.00000047683716</v>
      </c>
      <c r="J19" s="68" t="n">
        <v>56.78571546077728</v>
      </c>
      <c r="K19" s="68" t="n">
        <v>77.97619211673737</v>
      </c>
      <c r="L19" s="68" t="n">
        <v>77.97619211673737</v>
      </c>
      <c r="M19" s="68" t="n">
        <v>77.97619211673737</v>
      </c>
      <c r="N19" s="68" t="n">
        <v>77.97619211673737</v>
      </c>
      <c r="O19" s="68" t="n">
        <v>1</v>
      </c>
      <c r="P19" s="68" t="n">
        <v>1</v>
      </c>
      <c r="Q19" s="68" t="n">
        <v>0.7</v>
      </c>
      <c r="R19" s="68" t="n">
        <v>0.3</v>
      </c>
      <c r="S19" s="68" t="n">
        <v>0</v>
      </c>
      <c r="T19" s="68" t="n">
        <v>0</v>
      </c>
      <c r="U19" s="68" t="n">
        <v>0</v>
      </c>
      <c r="V19" s="68" t="n">
        <v>0</v>
      </c>
    </row>
    <row r="20">
      <c r="A20" s="68" t="inlineStr">
        <is>
          <t>spring_phab_xembed|</t>
        </is>
      </c>
      <c r="B20" s="68" t="inlineStr">
        <is>
          <t>spring-phab-xembed</t>
        </is>
      </c>
      <c r="C20" s="68" t="inlineStr">
        <is>
          <t>Embeddedness</t>
        </is>
      </c>
      <c r="D20" s="68" t="inlineStr"/>
      <c r="E20" s="68" t="n">
        <v>5</v>
      </c>
      <c r="F20" s="68" t="inlineStr">
        <is>
          <t>148 least-disturbed stations borrowed from Level II ecoregion 6.2 (Western Cordillera) under the regional screen (agriculture at most 25 percent), transfer risk low</t>
        </is>
      </c>
      <c r="G20" s="68" t="n">
        <v>10.26817989349365</v>
      </c>
      <c r="H20" s="68" t="n">
        <v>23.90909004211426</v>
      </c>
      <c r="I20" s="68" t="n">
        <v>51.19091033935547</v>
      </c>
      <c r="J20" s="68" t="n">
        <v>92.11364078521729</v>
      </c>
      <c r="K20" s="68" t="n">
        <v>100</v>
      </c>
      <c r="L20" s="68" t="n">
        <v>100</v>
      </c>
      <c r="M20" s="68" t="n">
        <v>100</v>
      </c>
      <c r="N20" s="68" t="n">
        <v>100</v>
      </c>
      <c r="O20" s="68" t="n">
        <v>1</v>
      </c>
      <c r="P20" s="68" t="n">
        <v>1</v>
      </c>
      <c r="Q20" s="68" t="n">
        <v>0.7</v>
      </c>
      <c r="R20" s="68" t="n">
        <v>0.3</v>
      </c>
      <c r="S20" s="68" t="n">
        <v>0</v>
      </c>
      <c r="T20" s="68" t="n">
        <v>0</v>
      </c>
      <c r="U20" s="68" t="n">
        <v>0</v>
      </c>
      <c r="V20" s="68" t="n">
        <v>0</v>
      </c>
    </row>
    <row r="21">
      <c r="A21" s="68" t="inlineStr">
        <is>
          <t>spring_phab_sinu|</t>
        </is>
      </c>
      <c r="B21" s="68" t="inlineStr">
        <is>
          <t>spring-phab-sinu</t>
        </is>
      </c>
      <c r="C21" s="68" t="inlineStr">
        <is>
          <t>Sinuosity</t>
        </is>
      </c>
      <c r="D21" s="68" t="inlineStr"/>
      <c r="E21" s="68" t="n">
        <v>4</v>
      </c>
      <c r="F21" s="68" t="inlineStr">
        <is>
          <t>148 least-disturbed stations borrowed from Level II ecoregion 6.2 (Western Cordillera) under the regional screen (agriculture at most 25 percent), transfer risk moderate</t>
        </is>
      </c>
      <c r="G21" s="68" t="n">
        <v>1</v>
      </c>
      <c r="H21" s="68" t="n">
        <v>1.070287108421326</v>
      </c>
      <c r="I21" s="68" t="n">
        <v>1.266241759061813</v>
      </c>
      <c r="J21" s="68" t="n">
        <v>1.364219084382057</v>
      </c>
      <c r="K21" s="68" t="n">
        <v>1.364219084382057</v>
      </c>
      <c r="L21" s="68" t="n">
        <v>1.364219084382057</v>
      </c>
      <c r="M21" s="68" t="n">
        <v>1.364219084382057</v>
      </c>
      <c r="N21" s="68" t="n">
        <v>1.364219084382057</v>
      </c>
      <c r="O21" s="68" t="n">
        <v>0</v>
      </c>
      <c r="P21" s="68" t="n">
        <v>0.7</v>
      </c>
      <c r="Q21" s="68" t="n">
        <v>1</v>
      </c>
      <c r="R21" s="68" t="n">
        <v>1</v>
      </c>
      <c r="S21" s="68" t="n">
        <v>1</v>
      </c>
      <c r="T21" s="68" t="n">
        <v>1</v>
      </c>
      <c r="U21" s="68" t="n">
        <v>1</v>
      </c>
      <c r="V21" s="68" t="n">
        <v>1</v>
      </c>
    </row>
    <row r="22">
      <c r="A22" s="68" t="inlineStr">
        <is>
          <t>spring_phab_xbka|</t>
        </is>
      </c>
      <c r="B22" s="68" t="inlineStr">
        <is>
          <t>spring-phab-xbka</t>
        </is>
      </c>
      <c r="C22" s="68" t="inlineStr">
        <is>
          <t>Bank angle</t>
        </is>
      </c>
      <c r="D22" s="68" t="inlineStr"/>
      <c r="E22" s="68" t="n">
        <v>7</v>
      </c>
      <c r="F22" s="68" t="inlineStr">
        <is>
          <t>167 least-disturbed stations borrowed from NARS-9 region WMT under the regional screen (agriculture at most 25 percent), transfer risk moderate</t>
        </is>
      </c>
      <c r="G22" s="68" t="n">
        <v>0</v>
      </c>
      <c r="H22" s="68" t="n">
        <v>17.36703333854675</v>
      </c>
      <c r="I22" s="68" t="n">
        <v>22.79370594024658</v>
      </c>
      <c r="J22" s="68" t="n">
        <v>38.29848480224609</v>
      </c>
      <c r="K22" s="68" t="n">
        <v>43.72515740394592</v>
      </c>
      <c r="L22" s="68" t="n">
        <v>53.80326366424561</v>
      </c>
      <c r="M22" s="68" t="n">
        <v>69.30804252624512</v>
      </c>
      <c r="N22" s="68" t="n">
        <v>69.30804252624512</v>
      </c>
      <c r="O22" s="68" t="n">
        <v>0.7</v>
      </c>
      <c r="P22" s="68" t="n">
        <v>0.7</v>
      </c>
      <c r="Q22" s="68" t="n">
        <v>1</v>
      </c>
      <c r="R22" s="68" t="n">
        <v>1</v>
      </c>
      <c r="S22" s="68" t="n">
        <v>0.7</v>
      </c>
      <c r="T22" s="68" t="n">
        <v>0.3</v>
      </c>
      <c r="U22" s="68" t="n">
        <v>0</v>
      </c>
      <c r="V22" s="68" t="n">
        <v>0</v>
      </c>
    </row>
    <row r="23">
      <c r="A23" s="68" t="inlineStr">
        <is>
          <t>spring_phab_lrbs_use|All streams (pooled)</t>
        </is>
      </c>
      <c r="B23" s="68" t="inlineStr">
        <is>
          <t>spring-phab-lrbs-use</t>
        </is>
      </c>
      <c r="C23" s="68" t="inlineStr">
        <is>
          <t>Relative bed stability</t>
        </is>
      </c>
      <c r="D23" s="68" t="inlineStr">
        <is>
          <t>All streams (pooled)</t>
        </is>
      </c>
      <c r="E23" s="68" t="n">
        <v>8</v>
      </c>
      <c r="F23" s="68" t="inlineStr">
        <is>
          <t>168 least-disturbed stations borrowed from Level I ecoregion 6 (Northwestern Forested Mountains) under the regional screen (agriculture at most 25 percent), transfer risk high</t>
        </is>
      </c>
      <c r="G23" s="68" t="n">
        <v>-3.115435838699341</v>
      </c>
      <c r="H23" s="68" t="n">
        <v>-2.11551608145237</v>
      </c>
      <c r="I23" s="68" t="n">
        <v>-1.465568239241839</v>
      </c>
      <c r="J23" s="68" t="n">
        <v>-1.115596324205399</v>
      </c>
      <c r="K23" s="68" t="n">
        <v>-0.1156765669584274</v>
      </c>
      <c r="L23" s="68" t="n">
        <v>0.2342953480780124</v>
      </c>
      <c r="M23" s="68" t="n">
        <v>0.8842431902885437</v>
      </c>
      <c r="N23" s="68" t="n">
        <v>1.884162947535515</v>
      </c>
      <c r="O23" s="68" t="n">
        <v>0</v>
      </c>
      <c r="P23" s="68" t="n">
        <v>0.3</v>
      </c>
      <c r="Q23" s="68" t="n">
        <v>0.7</v>
      </c>
      <c r="R23" s="68" t="n">
        <v>1</v>
      </c>
      <c r="S23" s="68" t="n">
        <v>1</v>
      </c>
      <c r="T23" s="68" t="n">
        <v>0.7</v>
      </c>
      <c r="U23" s="68" t="n">
        <v>0.3</v>
      </c>
      <c r="V23" s="68" t="n">
        <v>0</v>
      </c>
    </row>
    <row r="24">
      <c r="A24" s="68" t="inlineStr">
        <is>
          <t>spring_phab_lrbs_use|Headwater (10 km2 and under)</t>
        </is>
      </c>
      <c r="B24" s="68" t="inlineStr">
        <is>
          <t>spring-phab-lrbs-use</t>
        </is>
      </c>
      <c r="C24" s="68" t="inlineStr">
        <is>
          <t>Relative bed stability</t>
        </is>
      </c>
      <c r="D24" s="68" t="inlineStr">
        <is>
          <t>Headwater (10 km2 and under)</t>
        </is>
      </c>
      <c r="E24" s="68" t="n">
        <v>8</v>
      </c>
      <c r="F24" s="68" t="inlineStr">
        <is>
          <t>168 least-disturbed stations borrowed from Level I ecoregion 6 (Northwestern Forested Mountains) under the regional screen (agriculture at most 25 percent), transfer risk high</t>
        </is>
      </c>
      <c r="G24" s="68" t="n">
        <v>-2.836763024330139</v>
      </c>
      <c r="H24" s="68" t="n">
        <v>-2.10443913936615</v>
      </c>
      <c r="I24" s="68" t="n">
        <v>-1.628428614139557</v>
      </c>
      <c r="J24" s="68" t="n">
        <v>-1.372115254402161</v>
      </c>
      <c r="K24" s="68" t="n">
        <v>-0.6397913694381714</v>
      </c>
      <c r="L24" s="68" t="n">
        <v>-0.3834780097007752</v>
      </c>
      <c r="M24" s="68" t="n">
        <v>0.09253251552581787</v>
      </c>
      <c r="N24" s="68" t="n">
        <v>0.8248564004898071</v>
      </c>
      <c r="O24" s="68" t="n">
        <v>0</v>
      </c>
      <c r="P24" s="68" t="n">
        <v>0.3</v>
      </c>
      <c r="Q24" s="68" t="n">
        <v>0.7</v>
      </c>
      <c r="R24" s="68" t="n">
        <v>1</v>
      </c>
      <c r="S24" s="68" t="n">
        <v>1</v>
      </c>
      <c r="T24" s="68" t="n">
        <v>0.7</v>
      </c>
      <c r="U24" s="68" t="n">
        <v>0.3</v>
      </c>
      <c r="V24" s="68" t="n">
        <v>0</v>
      </c>
    </row>
    <row r="25">
      <c r="A25" s="68" t="inlineStr">
        <is>
          <t>spring_phab_lrbs_use|Small stream (10 to 100 km2)</t>
        </is>
      </c>
      <c r="B25" s="68" t="inlineStr">
        <is>
          <t>spring-phab-lrbs-use</t>
        </is>
      </c>
      <c r="C25" s="68" t="inlineStr">
        <is>
          <t>Relative bed stability</t>
        </is>
      </c>
      <c r="D25" s="68" t="inlineStr">
        <is>
          <t>Small stream (10 to 100 km2)</t>
        </is>
      </c>
      <c r="E25" s="68" t="n">
        <v>8</v>
      </c>
      <c r="F25" s="68" t="inlineStr">
        <is>
          <t>168 least-disturbed stations borrowed from Level I ecoregion 6 (Northwestern Forested Mountains) under the regional screen (agriculture at most 25 percent), transfer risk high</t>
        </is>
      </c>
      <c r="G25" s="68" t="n">
        <v>-2.956320405006409</v>
      </c>
      <c r="H25" s="68" t="n">
        <v>-2.099566146731377</v>
      </c>
      <c r="I25" s="68" t="n">
        <v>-1.542675878852606</v>
      </c>
      <c r="J25" s="68" t="n">
        <v>-1.242811888456345</v>
      </c>
      <c r="K25" s="68" t="n">
        <v>-0.3860576301813126</v>
      </c>
      <c r="L25" s="68" t="n">
        <v>-0.08619363978505135</v>
      </c>
      <c r="M25" s="68" t="n">
        <v>0.4706966280937195</v>
      </c>
      <c r="N25" s="68" t="n">
        <v>1.327450886368752</v>
      </c>
      <c r="O25" s="68" t="n">
        <v>0</v>
      </c>
      <c r="P25" s="68" t="n">
        <v>0.3</v>
      </c>
      <c r="Q25" s="68" t="n">
        <v>0.7</v>
      </c>
      <c r="R25" s="68" t="n">
        <v>1</v>
      </c>
      <c r="S25" s="68" t="n">
        <v>1</v>
      </c>
      <c r="T25" s="68" t="n">
        <v>0.7</v>
      </c>
      <c r="U25" s="68" t="n">
        <v>0.3</v>
      </c>
      <c r="V25" s="68" t="n">
        <v>0</v>
      </c>
    </row>
    <row r="26">
      <c r="A26" s="68" t="inlineStr">
        <is>
          <t>spring_phab_lrbs_use|Large stream (over 100 km2)</t>
        </is>
      </c>
      <c r="B26" s="68" t="inlineStr">
        <is>
          <t>spring-phab-lrbs-use</t>
        </is>
      </c>
      <c r="C26" s="68" t="inlineStr">
        <is>
          <t>Relative bed stability</t>
        </is>
      </c>
      <c r="D26" s="68" t="inlineStr">
        <is>
          <t>Large stream (over 100 km2)</t>
        </is>
      </c>
      <c r="E26" s="68" t="n">
        <v>8</v>
      </c>
      <c r="F26" s="68" t="inlineStr">
        <is>
          <t>168 least-disturbed stations borrowed from Level I ecoregion 6 (Northwestern Forested Mountains) under the regional screen (agriculture at most 25 percent), transfer risk high</t>
        </is>
      </c>
      <c r="G26" s="68" t="n">
        <v>-1.712579473853111</v>
      </c>
      <c r="H26" s="68" t="n">
        <v>-1.035327896475792</v>
      </c>
      <c r="I26" s="68" t="n">
        <v>-0.5951143711805343</v>
      </c>
      <c r="J26" s="68" t="n">
        <v>-0.3580763190984726</v>
      </c>
      <c r="K26" s="68" t="n">
        <v>0.3191752582788467</v>
      </c>
      <c r="L26" s="68" t="n">
        <v>0.5562133103609085</v>
      </c>
      <c r="M26" s="68" t="n">
        <v>0.9964268356561661</v>
      </c>
      <c r="N26" s="68" t="n">
        <v>1.673678413033485</v>
      </c>
      <c r="O26" s="68" t="n">
        <v>0</v>
      </c>
      <c r="P26" s="68" t="n">
        <v>0.3</v>
      </c>
      <c r="Q26" s="68" t="n">
        <v>0.7</v>
      </c>
      <c r="R26" s="68" t="n">
        <v>1</v>
      </c>
      <c r="S26" s="68" t="n">
        <v>1</v>
      </c>
      <c r="T26" s="68" t="n">
        <v>0.7</v>
      </c>
      <c r="U26" s="68" t="n">
        <v>0.3</v>
      </c>
      <c r="V26" s="68" t="n">
        <v>0</v>
      </c>
    </row>
    <row r="27">
      <c r="A27" s="68" t="inlineStr">
        <is>
          <t>spring_phab_lwdeqvolm100|</t>
        </is>
      </c>
      <c r="B27" s="68" t="inlineStr">
        <is>
          <t>spring-phab-lwdeqvolm100</t>
        </is>
      </c>
      <c r="C27" s="68" t="inlineStr">
        <is>
          <t>Large wood volume</t>
        </is>
      </c>
      <c r="D27" s="68" t="inlineStr"/>
      <c r="E27" s="68" t="n">
        <v>5</v>
      </c>
      <c r="F27" s="68" t="inlineStr">
        <is>
          <t>Reference curve fitted to comparable least-disturbed stations drawn from the national pool, because this ecoregion and its parents hold too few of their own.</t>
        </is>
      </c>
      <c r="G27" s="68" t="n">
        <v>0</v>
      </c>
      <c r="H27" s="68" t="n">
        <v>0.01170000048088176</v>
      </c>
      <c r="I27" s="68" t="n">
        <v>0.02730000112205744</v>
      </c>
      <c r="J27" s="68" t="n">
        <v>4.882500171661377</v>
      </c>
      <c r="K27" s="68" t="n">
        <v>7.310100256931037</v>
      </c>
      <c r="L27" s="68" t="n">
        <v>7.310100256931037</v>
      </c>
      <c r="M27" s="68" t="n">
        <v>7.310100256931037</v>
      </c>
      <c r="N27" s="68" t="n">
        <v>7.310100256931037</v>
      </c>
      <c r="O27" s="68" t="n">
        <v>0</v>
      </c>
      <c r="P27" s="68" t="n">
        <v>0.3</v>
      </c>
      <c r="Q27" s="68" t="n">
        <v>0.7</v>
      </c>
      <c r="R27" s="68" t="n">
        <v>1</v>
      </c>
      <c r="S27" s="68" t="n">
        <v>1</v>
      </c>
      <c r="T27" s="68" t="n">
        <v>1</v>
      </c>
      <c r="U27" s="68" t="n">
        <v>1</v>
      </c>
      <c r="V27" s="68" t="n">
        <v>1</v>
      </c>
    </row>
    <row r="28">
      <c r="A28" s="68" t="inlineStr">
        <is>
          <t>spring_chem_chla|</t>
        </is>
      </c>
      <c r="B28" s="68" t="inlineStr">
        <is>
          <t>spring-chem-chla</t>
        </is>
      </c>
      <c r="C28" s="68" t="inlineStr">
        <is>
          <t>Chlorophyll a</t>
        </is>
      </c>
      <c r="D28" s="68" t="inlineStr"/>
      <c r="E28" s="68" t="n">
        <v>5</v>
      </c>
      <c r="F28" s="68" t="inlineStr">
        <is>
          <t>167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8" s="68" t="n">
        <v>0</v>
      </c>
      <c r="H28" s="68" t="n">
        <v>0.4000000059604645</v>
      </c>
      <c r="I28" s="68" t="n">
        <v>1.235000014305115</v>
      </c>
      <c r="J28" s="68" t="n">
        <v>2.48750002682209</v>
      </c>
      <c r="K28" s="68" t="n">
        <v>3.32250003516674</v>
      </c>
      <c r="L28" s="68" t="n">
        <v>3.32250003516674</v>
      </c>
      <c r="M28" s="68" t="n">
        <v>3.32250003516674</v>
      </c>
      <c r="N28" s="68" t="n">
        <v>3.32250003516674</v>
      </c>
      <c r="O28" s="68" t="n">
        <v>1</v>
      </c>
      <c r="P28" s="68" t="n">
        <v>1</v>
      </c>
      <c r="Q28" s="68" t="n">
        <v>0.7</v>
      </c>
      <c r="R28" s="68" t="n">
        <v>0.3</v>
      </c>
      <c r="S28" s="68" t="n">
        <v>0</v>
      </c>
      <c r="T28" s="68" t="n">
        <v>0</v>
      </c>
      <c r="U28" s="68" t="n">
        <v>0</v>
      </c>
      <c r="V28" s="68" t="n">
        <v>0</v>
      </c>
    </row>
    <row r="29">
      <c r="A29" s="68" t="inlineStr">
        <is>
          <t>spring_phab_xcdenmid|All streams (pooled)</t>
        </is>
      </c>
      <c r="B29" s="68" t="inlineStr">
        <is>
          <t>spring-phab-xcdenmid</t>
        </is>
      </c>
      <c r="C29" s="68" t="inlineStr">
        <is>
          <t>Canopy density, mid-channel</t>
        </is>
      </c>
      <c r="D29" s="68" t="inlineStr">
        <is>
          <t>All streams (pooled)</t>
        </is>
      </c>
      <c r="E29" s="68" t="n">
        <v>5</v>
      </c>
      <c r="F29" s="68" t="inlineStr">
        <is>
          <t>209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9" s="68" t="n">
        <v>0</v>
      </c>
      <c r="H29" s="68" t="n">
        <v>9.68296377999442</v>
      </c>
      <c r="I29" s="68" t="n">
        <v>22.59358215332031</v>
      </c>
      <c r="J29" s="68" t="n">
        <v>77.94117736816406</v>
      </c>
      <c r="K29" s="68" t="n">
        <v>100</v>
      </c>
      <c r="L29" s="68" t="n">
        <v>100</v>
      </c>
      <c r="M29" s="68" t="n">
        <v>100</v>
      </c>
      <c r="N29" s="68" t="n">
        <v>100</v>
      </c>
      <c r="O29" s="68" t="n">
        <v>0</v>
      </c>
      <c r="P29" s="68" t="n">
        <v>0.3</v>
      </c>
      <c r="Q29" s="68" t="n">
        <v>0.7</v>
      </c>
      <c r="R29" s="68" t="n">
        <v>1</v>
      </c>
      <c r="S29" s="68" t="n">
        <v>1</v>
      </c>
      <c r="T29" s="68" t="n">
        <v>1</v>
      </c>
      <c r="U29" s="68" t="n">
        <v>1</v>
      </c>
      <c r="V29" s="68" t="n">
        <v>1</v>
      </c>
    </row>
    <row r="30">
      <c r="A30" s="68" t="inlineStr">
        <is>
          <t>spring_phab_xcdenmid|Headwater (10 km2 and under)</t>
        </is>
      </c>
      <c r="B30" s="68" t="inlineStr">
        <is>
          <t>spring-phab-xcdenmid</t>
        </is>
      </c>
      <c r="C30" s="68" t="inlineStr">
        <is>
          <t>Canopy density, mid-channel</t>
        </is>
      </c>
      <c r="D30" s="68" t="inlineStr">
        <is>
          <t>Headwater (10 km2 and under)</t>
        </is>
      </c>
      <c r="E30" s="68" t="n">
        <v>5</v>
      </c>
      <c r="F30" s="68" t="inlineStr">
        <is>
          <t>209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0" s="68" t="n">
        <v>0</v>
      </c>
      <c r="H30" s="68" t="n">
        <v>25.8833075932094</v>
      </c>
      <c r="I30" s="68" t="n">
        <v>60.39438438415527</v>
      </c>
      <c r="J30" s="68" t="n">
        <v>87.39973068237305</v>
      </c>
      <c r="K30" s="68" t="n">
        <v>100</v>
      </c>
      <c r="L30" s="68" t="n">
        <v>100</v>
      </c>
      <c r="M30" s="68" t="n">
        <v>100</v>
      </c>
      <c r="N30" s="68" t="n">
        <v>100</v>
      </c>
      <c r="O30" s="68" t="n">
        <v>0</v>
      </c>
      <c r="P30" s="68" t="n">
        <v>0.3</v>
      </c>
      <c r="Q30" s="68" t="n">
        <v>0.7</v>
      </c>
      <c r="R30" s="68" t="n">
        <v>1</v>
      </c>
      <c r="S30" s="68" t="n">
        <v>1</v>
      </c>
      <c r="T30" s="68" t="n">
        <v>1</v>
      </c>
      <c r="U30" s="68" t="n">
        <v>1</v>
      </c>
      <c r="V30" s="68" t="n">
        <v>1</v>
      </c>
    </row>
    <row r="31">
      <c r="A31" s="68" t="inlineStr">
        <is>
          <t>spring_phab_xcdenmid|Small stream (10 to 100 km2)</t>
        </is>
      </c>
      <c r="B31" s="68" t="inlineStr">
        <is>
          <t>spring-phab-xcdenmid</t>
        </is>
      </c>
      <c r="C31" s="68" t="inlineStr">
        <is>
          <t>Canopy density, mid-channel</t>
        </is>
      </c>
      <c r="D31" s="68" t="inlineStr">
        <is>
          <t>Small stream (10 to 100 km2)</t>
        </is>
      </c>
      <c r="E31" s="68" t="n">
        <v>5</v>
      </c>
      <c r="F31" s="68" t="inlineStr">
        <is>
          <t>209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1" s="68" t="n">
        <v>0</v>
      </c>
      <c r="H31" s="68" t="n">
        <v>13.43582889011928</v>
      </c>
      <c r="I31" s="68" t="n">
        <v>31.35026741027832</v>
      </c>
      <c r="J31" s="68" t="n">
        <v>79.14438629150391</v>
      </c>
      <c r="K31" s="68" t="n">
        <v>100</v>
      </c>
      <c r="L31" s="68" t="n">
        <v>100</v>
      </c>
      <c r="M31" s="68" t="n">
        <v>100</v>
      </c>
      <c r="N31" s="68" t="n">
        <v>100</v>
      </c>
      <c r="O31" s="68" t="n">
        <v>0</v>
      </c>
      <c r="P31" s="68" t="n">
        <v>0.3</v>
      </c>
      <c r="Q31" s="68" t="n">
        <v>0.7</v>
      </c>
      <c r="R31" s="68" t="n">
        <v>1</v>
      </c>
      <c r="S31" s="68" t="n">
        <v>1</v>
      </c>
      <c r="T31" s="68" t="n">
        <v>1</v>
      </c>
      <c r="U31" s="68" t="n">
        <v>1</v>
      </c>
      <c r="V31" s="68" t="n">
        <v>1</v>
      </c>
    </row>
    <row r="32">
      <c r="A32" s="68" t="inlineStr">
        <is>
          <t>spring_phab_xcdenmid|Large stream (over 100 km2)</t>
        </is>
      </c>
      <c r="B32" s="68" t="inlineStr">
        <is>
          <t>spring-phab-xcdenmid</t>
        </is>
      </c>
      <c r="C32" s="68" t="inlineStr">
        <is>
          <t>Canopy density, mid-channel</t>
        </is>
      </c>
      <c r="D32" s="68" t="inlineStr">
        <is>
          <t>Large stream (over 100 km2)</t>
        </is>
      </c>
      <c r="E32" s="68" t="n">
        <v>5</v>
      </c>
      <c r="F32" s="68" t="inlineStr">
        <is>
          <t>209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2" s="68" t="n">
        <v>0</v>
      </c>
      <c r="H32" s="68" t="n">
        <v>0.6588999330997467</v>
      </c>
      <c r="I32" s="68" t="n">
        <v>1.537433177232742</v>
      </c>
      <c r="J32" s="68" t="n">
        <v>34.3582878112793</v>
      </c>
      <c r="K32" s="68" t="n">
        <v>50.76871512830257</v>
      </c>
      <c r="L32" s="68" t="n">
        <v>50.76871512830257</v>
      </c>
      <c r="M32" s="68" t="n">
        <v>50.76871512830257</v>
      </c>
      <c r="N32" s="68" t="n">
        <v>50.76871512830257</v>
      </c>
      <c r="O32" s="68" t="n">
        <v>0</v>
      </c>
      <c r="P32" s="68" t="n">
        <v>0.3</v>
      </c>
      <c r="Q32" s="68" t="n">
        <v>0.7</v>
      </c>
      <c r="R32" s="68" t="n">
        <v>1</v>
      </c>
      <c r="S32" s="68" t="n">
        <v>1</v>
      </c>
      <c r="T32" s="68" t="n">
        <v>1</v>
      </c>
      <c r="U32" s="68" t="n">
        <v>1</v>
      </c>
      <c r="V32" s="68" t="n">
        <v>1</v>
      </c>
    </row>
    <row r="33">
      <c r="A33" s="68" t="inlineStr">
        <is>
          <t>spring_phab_xcmgw|</t>
        </is>
      </c>
      <c r="B33" s="68" t="inlineStr">
        <is>
          <t>spring-phab-xcmgw</t>
        </is>
      </c>
      <c r="C33" s="68" t="inlineStr">
        <is>
          <t>Riparian veg cover, woody</t>
        </is>
      </c>
      <c r="D33" s="68" t="inlineStr"/>
      <c r="E33" s="68" t="n">
        <v>5</v>
      </c>
      <c r="F33" s="68" t="inlineStr">
        <is>
          <t>240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33" s="68" t="n">
        <v>0</v>
      </c>
      <c r="H33" s="68" t="n">
        <v>0.2375405877828598</v>
      </c>
      <c r="I33" s="68" t="n">
        <v>0.5542613714933395</v>
      </c>
      <c r="J33" s="68" t="n">
        <v>1.088352262973785</v>
      </c>
      <c r="K33" s="68" t="n">
        <v>1.355397708714008</v>
      </c>
      <c r="L33" s="68" t="n">
        <v>1.355397708714008</v>
      </c>
      <c r="M33" s="68" t="n">
        <v>1.355397708714008</v>
      </c>
      <c r="N33" s="68" t="n">
        <v>1.355397708714008</v>
      </c>
      <c r="O33" s="68" t="n">
        <v>0</v>
      </c>
      <c r="P33" s="68" t="n">
        <v>0.3</v>
      </c>
      <c r="Q33" s="68" t="n">
        <v>0.7</v>
      </c>
      <c r="R33" s="68" t="n">
        <v>1</v>
      </c>
      <c r="S33" s="68" t="n">
        <v>1</v>
      </c>
      <c r="T33" s="68" t="n">
        <v>1</v>
      </c>
      <c r="U33" s="68" t="n">
        <v>1</v>
      </c>
      <c r="V33" s="68" t="n">
        <v>1</v>
      </c>
    </row>
    <row r="34">
      <c r="A34" s="68" t="inlineStr">
        <is>
          <t>spring_chem_ntl|</t>
        </is>
      </c>
      <c r="B34" s="68" t="inlineStr">
        <is>
          <t>spring-chem-ntl</t>
        </is>
      </c>
      <c r="C34" s="68" t="inlineStr">
        <is>
          <t>Total nitrogen</t>
        </is>
      </c>
      <c r="D34" s="68" t="inlineStr"/>
      <c r="E34" s="68" t="n">
        <v>4</v>
      </c>
      <c r="F34" s="68" t="inlineStr">
        <is>
          <t>Scored against a published criterion rather than against stations from this ecoregion. The criterion carries its own definition of reference, which need not match this assessment's.</t>
        </is>
      </c>
      <c r="G34" s="68" t="n">
        <v>0</v>
      </c>
      <c r="H34" s="68" t="n">
        <v>0.1395</v>
      </c>
      <c r="I34" s="68" t="n">
        <v>0.249</v>
      </c>
      <c r="J34" s="68" t="n">
        <v>0.39135</v>
      </c>
      <c r="K34" s="68" t="n">
        <v>0.39135</v>
      </c>
      <c r="L34" s="68" t="n">
        <v>0.39135</v>
      </c>
      <c r="M34" s="68" t="n">
        <v>0.39135</v>
      </c>
      <c r="N34" s="68" t="n">
        <v>0.39135</v>
      </c>
      <c r="O34" s="68" t="n">
        <v>1</v>
      </c>
      <c r="P34" s="68" t="n">
        <v>0.6899999999999999</v>
      </c>
      <c r="Q34" s="68" t="n">
        <v>0.39</v>
      </c>
      <c r="R34" s="68" t="n">
        <v>0</v>
      </c>
      <c r="S34" s="68" t="n">
        <v>0</v>
      </c>
      <c r="T34" s="68" t="n">
        <v>0</v>
      </c>
      <c r="U34" s="68" t="n">
        <v>0</v>
      </c>
      <c r="V34" s="68" t="n">
        <v>0</v>
      </c>
    </row>
    <row r="35">
      <c r="A35" s="68" t="inlineStr">
        <is>
          <t>spring_chem_ptl|</t>
        </is>
      </c>
      <c r="B35" s="68" t="inlineStr">
        <is>
          <t>spring-chem-ptl</t>
        </is>
      </c>
      <c r="C35" s="68" t="inlineStr">
        <is>
          <t>Total phosphorus</t>
        </is>
      </c>
      <c r="D35" s="68" t="inlineStr"/>
      <c r="E35" s="68" t="n">
        <v>4</v>
      </c>
      <c r="F35" s="68" t="inlineStr">
        <is>
          <t>Scored against a published criterion rather than against stations from this ecoregion. The criterion carries its own definition of reference, which need not match this assessment's.</t>
        </is>
      </c>
      <c r="G35" s="68" t="n">
        <v>0</v>
      </c>
      <c r="H35" s="68" t="n">
        <v>17.75</v>
      </c>
      <c r="I35" s="68" t="n">
        <v>41</v>
      </c>
      <c r="J35" s="68" t="n">
        <v>71.22499999999999</v>
      </c>
      <c r="K35" s="68" t="n">
        <v>71.22499999999999</v>
      </c>
      <c r="L35" s="68" t="n">
        <v>71.22499999999999</v>
      </c>
      <c r="M35" s="68" t="n">
        <v>71.22499999999999</v>
      </c>
      <c r="N35" s="68" t="n">
        <v>71.22499999999999</v>
      </c>
      <c r="O35" s="68" t="n">
        <v>1</v>
      </c>
      <c r="P35" s="68" t="n">
        <v>0.6899999999999999</v>
      </c>
      <c r="Q35" s="68" t="n">
        <v>0.39</v>
      </c>
      <c r="R35" s="68" t="n">
        <v>0</v>
      </c>
      <c r="S35" s="68" t="n">
        <v>0</v>
      </c>
      <c r="T35" s="68" t="n">
        <v>0</v>
      </c>
      <c r="U35" s="68" t="n">
        <v>0</v>
      </c>
      <c r="V35" s="68" t="n">
        <v>0</v>
      </c>
    </row>
    <row r="36">
      <c r="A36" s="68" t="inlineStr">
        <is>
          <t>spring_chem_ph|</t>
        </is>
      </c>
      <c r="B36" s="68" t="inlineStr">
        <is>
          <t>spring-chem-ph</t>
        </is>
      </c>
      <c r="C36" s="68" t="inlineStr">
        <is>
          <t>pH</t>
        </is>
      </c>
      <c r="D36" s="68" t="inlineStr"/>
      <c r="E36" s="68" t="n">
        <v>8</v>
      </c>
      <c r="F36" s="68" t="inlineStr">
        <is>
          <t>168 least-disturbed stations borrowed from Level II ecoregion 6.2 (Western Cordillera) under the regional screen (agriculture at most 25 percent), transfer risk low</t>
        </is>
      </c>
      <c r="G36" s="68" t="n">
        <v>6.414999485015869</v>
      </c>
      <c r="H36" s="68" t="n">
        <v>6.947499752044678</v>
      </c>
      <c r="I36" s="68" t="n">
        <v>7.293624925613403</v>
      </c>
      <c r="J36" s="68" t="n">
        <v>7.480000019073486</v>
      </c>
      <c r="K36" s="68" t="n">
        <v>8.012500286102295</v>
      </c>
      <c r="L36" s="68" t="n">
        <v>8.198875379562377</v>
      </c>
      <c r="M36" s="68" t="n">
        <v>8.545000553131104</v>
      </c>
      <c r="N36" s="68" t="n">
        <v>9.077500820159912</v>
      </c>
      <c r="O36" s="68" t="n">
        <v>0</v>
      </c>
      <c r="P36" s="68" t="n">
        <v>0.3</v>
      </c>
      <c r="Q36" s="68" t="n">
        <v>0.7</v>
      </c>
      <c r="R36" s="68" t="n">
        <v>1</v>
      </c>
      <c r="S36" s="68" t="n">
        <v>1</v>
      </c>
      <c r="T36" s="68" t="n">
        <v>0.7</v>
      </c>
      <c r="U36" s="68" t="n">
        <v>0.3</v>
      </c>
      <c r="V36" s="68" t="n">
        <v>0</v>
      </c>
    </row>
    <row r="37">
      <c r="A37" s="68" t="inlineStr">
        <is>
          <t>spring_chem_cond|</t>
        </is>
      </c>
      <c r="B37" s="68" t="inlineStr">
        <is>
          <t>spring-chem-cond</t>
        </is>
      </c>
      <c r="C37" s="68" t="inlineStr">
        <is>
          <t>Specific conductivity</t>
        </is>
      </c>
      <c r="D37" s="68" t="inlineStr"/>
      <c r="E37" s="68" t="n">
        <v>4</v>
      </c>
      <c r="F37" s="68" t="inlineStr">
        <is>
          <t>Scored against a published criterion rather than against stations from this ecoregion. The criterion carries its own definition of reference, which need not match this assessment's.</t>
        </is>
      </c>
      <c r="G37" s="68" t="n">
        <v>0</v>
      </c>
      <c r="H37" s="68" t="n">
        <v>500.05</v>
      </c>
      <c r="I37" s="68" t="n">
        <v>1000.05</v>
      </c>
      <c r="J37" s="68" t="n">
        <v>1650.05</v>
      </c>
      <c r="K37" s="68" t="n">
        <v>1650.05</v>
      </c>
      <c r="L37" s="68" t="n">
        <v>1650.05</v>
      </c>
      <c r="M37" s="68" t="n">
        <v>1650.05</v>
      </c>
      <c r="N37" s="68" t="n">
        <v>1650.05</v>
      </c>
      <c r="O37" s="68" t="n">
        <v>1</v>
      </c>
      <c r="P37" s="68" t="n">
        <v>0.6899999999999999</v>
      </c>
      <c r="Q37" s="68" t="n">
        <v>0.39</v>
      </c>
      <c r="R37" s="68" t="n">
        <v>0</v>
      </c>
      <c r="S37" s="68" t="n">
        <v>0</v>
      </c>
      <c r="T37" s="68" t="n">
        <v>0</v>
      </c>
      <c r="U37" s="68" t="n">
        <v>0</v>
      </c>
      <c r="V37" s="68" t="n">
        <v>0</v>
      </c>
    </row>
    <row r="38">
      <c r="A38" s="68" t="inlineStr">
        <is>
          <t>spring_phab_pct_fast|All streams (pooled)</t>
        </is>
      </c>
      <c r="B38" s="68" t="inlineStr">
        <is>
          <t>spring-phab-pct-fast</t>
        </is>
      </c>
      <c r="C38" s="68" t="inlineStr">
        <is>
          <t>Fast-water / riffle habitat</t>
        </is>
      </c>
      <c r="D38" s="68" t="inlineStr">
        <is>
          <t>All streams (pooled)</t>
        </is>
      </c>
      <c r="E38" s="68" t="n">
        <v>5</v>
      </c>
      <c r="F38" s="68" t="inlineStr">
        <is>
          <t>168 least-disturbed stations borrowed from Level II ecoregion 6.2 (Western Cordillera) under the regional screen (agriculture at most 25 percent), transfer risk low</t>
        </is>
      </c>
      <c r="G38" s="68" t="n">
        <v>0</v>
      </c>
      <c r="H38" s="68" t="n">
        <v>20.53403663635254</v>
      </c>
      <c r="I38" s="68" t="n">
        <v>47.91275215148926</v>
      </c>
      <c r="J38" s="68" t="n">
        <v>92</v>
      </c>
      <c r="K38" s="68" t="n">
        <v>100</v>
      </c>
      <c r="L38" s="68" t="n">
        <v>100</v>
      </c>
      <c r="M38" s="68" t="n">
        <v>100</v>
      </c>
      <c r="N38" s="68" t="n">
        <v>100</v>
      </c>
      <c r="O38" s="68" t="n">
        <v>0</v>
      </c>
      <c r="P38" s="68" t="n">
        <v>0.3</v>
      </c>
      <c r="Q38" s="68" t="n">
        <v>0.7</v>
      </c>
      <c r="R38" s="68" t="n">
        <v>1</v>
      </c>
      <c r="S38" s="68" t="n">
        <v>1</v>
      </c>
      <c r="T38" s="68" t="n">
        <v>1</v>
      </c>
      <c r="U38" s="68" t="n">
        <v>1</v>
      </c>
      <c r="V38" s="68" t="n">
        <v>1</v>
      </c>
    </row>
    <row r="39">
      <c r="A39" s="68" t="inlineStr">
        <is>
          <t>spring_phab_pct_fast|Moderate gradient (0.5 to 2 percent)</t>
        </is>
      </c>
      <c r="B39" s="68" t="inlineStr">
        <is>
          <t>spring-phab-pct-fast</t>
        </is>
      </c>
      <c r="C39" s="68" t="inlineStr">
        <is>
          <t>Fast-water / riffle habitat</t>
        </is>
      </c>
      <c r="D39" s="68" t="inlineStr">
        <is>
          <t>Moderate gradient (0.5 to 2 percent)</t>
        </is>
      </c>
      <c r="E39" s="68" t="n">
        <v>5</v>
      </c>
      <c r="F39" s="68" t="inlineStr">
        <is>
          <t>168 least-disturbed stations borrowed from Level II ecoregion 6.2 (Western Cordillera) under the regional screen (agriculture at most 25 percent), transfer risk low</t>
        </is>
      </c>
      <c r="G39" s="68" t="n">
        <v>0</v>
      </c>
      <c r="H39" s="68" t="n">
        <v>20.78571428571428</v>
      </c>
      <c r="I39" s="68" t="n">
        <v>48.5</v>
      </c>
      <c r="J39" s="68" t="n">
        <v>91.17307662963867</v>
      </c>
      <c r="K39" s="68" t="n">
        <v>100</v>
      </c>
      <c r="L39" s="68" t="n">
        <v>100</v>
      </c>
      <c r="M39" s="68" t="n">
        <v>100</v>
      </c>
      <c r="N39" s="68" t="n">
        <v>100</v>
      </c>
      <c r="O39" s="68" t="n">
        <v>0</v>
      </c>
      <c r="P39" s="68" t="n">
        <v>0.3</v>
      </c>
      <c r="Q39" s="68" t="n">
        <v>0.7</v>
      </c>
      <c r="R39" s="68" t="n">
        <v>1</v>
      </c>
      <c r="S39" s="68" t="n">
        <v>1</v>
      </c>
      <c r="T39" s="68" t="n">
        <v>1</v>
      </c>
      <c r="U39" s="68" t="n">
        <v>1</v>
      </c>
      <c r="V39" s="68" t="n">
        <v>1</v>
      </c>
    </row>
    <row r="40">
      <c r="A40" s="68" t="inlineStr">
        <is>
          <t>spring_phab_pct_fast|Steep (2 percent and above)</t>
        </is>
      </c>
      <c r="B40" s="68" t="inlineStr">
        <is>
          <t>spring-phab-pct-fast</t>
        </is>
      </c>
      <c r="C40" s="68" t="inlineStr">
        <is>
          <t>Fast-water / riffle habitat</t>
        </is>
      </c>
      <c r="D40" s="68" t="inlineStr">
        <is>
          <t>Steep (2 percent and above)</t>
        </is>
      </c>
      <c r="E40" s="68" t="n">
        <v>5</v>
      </c>
      <c r="F40" s="68" t="inlineStr">
        <is>
          <t>168 least-disturbed stations borrowed from Level II ecoregion 6.2 (Western Cordillera) under the regional screen (agriculture at most 25 percent), transfer risk low</t>
        </is>
      </c>
      <c r="G40" s="68" t="n">
        <v>0</v>
      </c>
      <c r="H40" s="68" t="n">
        <v>21</v>
      </c>
      <c r="I40" s="68" t="n">
        <v>49</v>
      </c>
      <c r="J40" s="68" t="n">
        <v>91.75</v>
      </c>
      <c r="K40" s="68" t="n">
        <v>100</v>
      </c>
      <c r="L40" s="68" t="n">
        <v>100</v>
      </c>
      <c r="M40" s="68" t="n">
        <v>100</v>
      </c>
      <c r="N40" s="68" t="n">
        <v>100</v>
      </c>
      <c r="O40" s="68" t="n">
        <v>0</v>
      </c>
      <c r="P40" s="68" t="n">
        <v>0.3</v>
      </c>
      <c r="Q40" s="68" t="n">
        <v>0.7</v>
      </c>
      <c r="R40" s="68" t="n">
        <v>1</v>
      </c>
      <c r="S40" s="68" t="n">
        <v>1</v>
      </c>
      <c r="T40" s="68" t="n">
        <v>1</v>
      </c>
      <c r="U40" s="68" t="n">
        <v>1</v>
      </c>
      <c r="V40" s="68" t="n">
        <v>1</v>
      </c>
    </row>
    <row r="41">
      <c r="A41" s="68" t="inlineStr">
        <is>
          <t>spring_phab_xfc_nat|All streams (pooled)</t>
        </is>
      </c>
      <c r="B41" s="68" t="inlineStr">
        <is>
          <t>spring-phab-xfc-nat</t>
        </is>
      </c>
      <c r="C41" s="68" t="inlineStr">
        <is>
          <t>Natural fish cover</t>
        </is>
      </c>
      <c r="D41" s="68" t="inlineStr">
        <is>
          <t>All streams (pooled)</t>
        </is>
      </c>
      <c r="E41" s="68" t="n">
        <v>5</v>
      </c>
      <c r="F41" s="68" t="inlineStr">
        <is>
          <t>240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1" s="68" t="n">
        <v>0</v>
      </c>
      <c r="H41" s="68" t="n">
        <v>0.1098214260169438</v>
      </c>
      <c r="I41" s="68" t="n">
        <v>0.2562499940395355</v>
      </c>
      <c r="J41" s="68" t="n">
        <v>0.6471590846776962</v>
      </c>
      <c r="K41" s="68" t="n">
        <v>0.8426136299967766</v>
      </c>
      <c r="L41" s="68" t="n">
        <v>0.8426136299967766</v>
      </c>
      <c r="M41" s="68" t="n">
        <v>0.8426136299967766</v>
      </c>
      <c r="N41" s="68" t="n">
        <v>0.8426136299967766</v>
      </c>
      <c r="O41" s="68" t="n">
        <v>0</v>
      </c>
      <c r="P41" s="68" t="n">
        <v>0.3</v>
      </c>
      <c r="Q41" s="68" t="n">
        <v>0.7</v>
      </c>
      <c r="R41" s="68" t="n">
        <v>1</v>
      </c>
      <c r="S41" s="68" t="n">
        <v>1</v>
      </c>
      <c r="T41" s="68" t="n">
        <v>1</v>
      </c>
      <c r="U41" s="68" t="n">
        <v>1</v>
      </c>
      <c r="V41" s="68" t="n">
        <v>1</v>
      </c>
    </row>
    <row r="42">
      <c r="A42" s="68" t="inlineStr">
        <is>
          <t>spring_phab_xfc_nat|Headwater (10 km2 and under)</t>
        </is>
      </c>
      <c r="B42" s="68" t="inlineStr">
        <is>
          <t>spring-phab-xfc-nat</t>
        </is>
      </c>
      <c r="C42" s="68" t="inlineStr">
        <is>
          <t>Natural fish cover</t>
        </is>
      </c>
      <c r="D42" s="68" t="inlineStr">
        <is>
          <t>Headwater (10 km2 and under)</t>
        </is>
      </c>
      <c r="E42" s="68" t="n">
        <v>5</v>
      </c>
      <c r="F42" s="68" t="inlineStr">
        <is>
          <t>240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2" s="68" t="n">
        <v>0</v>
      </c>
      <c r="H42" s="68" t="n">
        <v>0.1405032436762537</v>
      </c>
      <c r="I42" s="68" t="n">
        <v>0.3278409019112587</v>
      </c>
      <c r="J42" s="68" t="n">
        <v>0.7167613357305527</v>
      </c>
      <c r="K42" s="68" t="n">
        <v>0.9112215526401997</v>
      </c>
      <c r="L42" s="68" t="n">
        <v>0.9112215526401997</v>
      </c>
      <c r="M42" s="68" t="n">
        <v>0.9112215526401997</v>
      </c>
      <c r="N42" s="68" t="n">
        <v>0.9112215526401997</v>
      </c>
      <c r="O42" s="68" t="n">
        <v>0</v>
      </c>
      <c r="P42" s="68" t="n">
        <v>0.3</v>
      </c>
      <c r="Q42" s="68" t="n">
        <v>0.7</v>
      </c>
      <c r="R42" s="68" t="n">
        <v>1</v>
      </c>
      <c r="S42" s="68" t="n">
        <v>1</v>
      </c>
      <c r="T42" s="68" t="n">
        <v>1</v>
      </c>
      <c r="U42" s="68" t="n">
        <v>1</v>
      </c>
      <c r="V42" s="68" t="n">
        <v>1</v>
      </c>
    </row>
    <row r="43">
      <c r="A43" s="68" t="inlineStr">
        <is>
          <t>spring_phab_xfc_nat|Small stream (10 to 100 km2)</t>
        </is>
      </c>
      <c r="B43" s="68" t="inlineStr">
        <is>
          <t>spring-phab-xfc-nat</t>
        </is>
      </c>
      <c r="C43" s="68" t="inlineStr">
        <is>
          <t>Natural fish cover</t>
        </is>
      </c>
      <c r="D43" s="68" t="inlineStr">
        <is>
          <t>Small stream (10 to 100 km2)</t>
        </is>
      </c>
      <c r="E43" s="68" t="n">
        <v>5</v>
      </c>
      <c r="F43" s="68" t="inlineStr">
        <is>
          <t>240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3" s="68" t="n">
        <v>0</v>
      </c>
      <c r="H43" s="68" t="n">
        <v>0.1383116841316223</v>
      </c>
      <c r="I43" s="68" t="n">
        <v>0.3227272629737854</v>
      </c>
      <c r="J43" s="68" t="n">
        <v>0.7170454561710358</v>
      </c>
      <c r="K43" s="68" t="n">
        <v>0.9142045527696609</v>
      </c>
      <c r="L43" s="68" t="n">
        <v>0.9142045527696609</v>
      </c>
      <c r="M43" s="68" t="n">
        <v>0.9142045527696609</v>
      </c>
      <c r="N43" s="68" t="n">
        <v>0.9142045527696609</v>
      </c>
      <c r="O43" s="68" t="n">
        <v>0</v>
      </c>
      <c r="P43" s="68" t="n">
        <v>0.3</v>
      </c>
      <c r="Q43" s="68" t="n">
        <v>0.7</v>
      </c>
      <c r="R43" s="68" t="n">
        <v>1</v>
      </c>
      <c r="S43" s="68" t="n">
        <v>1</v>
      </c>
      <c r="T43" s="68" t="n">
        <v>1</v>
      </c>
      <c r="U43" s="68" t="n">
        <v>1</v>
      </c>
      <c r="V43" s="68" t="n">
        <v>1</v>
      </c>
    </row>
    <row r="44">
      <c r="A44" s="68" t="inlineStr">
        <is>
          <t>spring_phab_xfc_nat|Large stream (over 100 km2)</t>
        </is>
      </c>
      <c r="B44" s="68" t="inlineStr">
        <is>
          <t>spring-phab-xfc-nat</t>
        </is>
      </c>
      <c r="C44" s="68" t="inlineStr">
        <is>
          <t>Natural fish cover</t>
        </is>
      </c>
      <c r="D44" s="68" t="inlineStr">
        <is>
          <t>Large stream (over 100 km2)</t>
        </is>
      </c>
      <c r="E44" s="68" t="n">
        <v>5</v>
      </c>
      <c r="F44" s="68" t="inlineStr">
        <is>
          <t>240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4" s="68" t="n">
        <v>0</v>
      </c>
      <c r="H44" s="68" t="n">
        <v>0.07295454612800054</v>
      </c>
      <c r="I44" s="68" t="n">
        <v>0.1702272742986679</v>
      </c>
      <c r="J44" s="68" t="n">
        <v>0.3738636374473572</v>
      </c>
      <c r="K44" s="68" t="n">
        <v>0.4756818190217018</v>
      </c>
      <c r="L44" s="68" t="n">
        <v>0.4756818190217018</v>
      </c>
      <c r="M44" s="68" t="n">
        <v>0.4756818190217018</v>
      </c>
      <c r="N44" s="68" t="n">
        <v>0.4756818190217018</v>
      </c>
      <c r="O44" s="68" t="n">
        <v>0</v>
      </c>
      <c r="P44" s="68" t="n">
        <v>0.3</v>
      </c>
      <c r="Q44" s="68" t="n">
        <v>0.7</v>
      </c>
      <c r="R44" s="68" t="n">
        <v>1</v>
      </c>
      <c r="S44" s="68" t="n">
        <v>1</v>
      </c>
      <c r="T44" s="68" t="n">
        <v>1</v>
      </c>
      <c r="U44" s="68" t="n">
        <v>1</v>
      </c>
      <c r="V44" s="68" t="n">
        <v>1</v>
      </c>
    </row>
    <row r="45">
      <c r="A45" s="68" t="inlineStr">
        <is>
          <t>spring_fish_nat_totlntax|All streams (pooled)</t>
        </is>
      </c>
      <c r="B45" s="68" t="inlineStr">
        <is>
          <t>spring-fish-nat-totlntax</t>
        </is>
      </c>
      <c r="C45" s="68" t="inlineStr">
        <is>
          <t>Native fish taxa richness</t>
        </is>
      </c>
      <c r="D45" s="68" t="inlineStr">
        <is>
          <t>All streams (pooled)</t>
        </is>
      </c>
      <c r="E45" s="68" t="n">
        <v>5</v>
      </c>
      <c r="F45" s="68" t="inlineStr">
        <is>
          <t>64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confidence capped at 39.</t>
        </is>
      </c>
      <c r="G45" s="68" t="n">
        <v>0</v>
      </c>
      <c r="H45" s="68" t="n">
        <v>0.3214285714285715</v>
      </c>
      <c r="I45" s="68" t="n">
        <v>0.75</v>
      </c>
      <c r="J45" s="68" t="n">
        <v>2</v>
      </c>
      <c r="K45" s="68" t="n">
        <v>2.625</v>
      </c>
      <c r="L45" s="68" t="n">
        <v>2.625</v>
      </c>
      <c r="M45" s="68" t="n">
        <v>2.625</v>
      </c>
      <c r="N45" s="68" t="n">
        <v>2.625</v>
      </c>
      <c r="O45" s="68" t="n">
        <v>0</v>
      </c>
      <c r="P45" s="68" t="n">
        <v>0.3</v>
      </c>
      <c r="Q45" s="68" t="n">
        <v>0.7</v>
      </c>
      <c r="R45" s="68" t="n">
        <v>1</v>
      </c>
      <c r="S45" s="68" t="n">
        <v>1</v>
      </c>
      <c r="T45" s="68" t="n">
        <v>1</v>
      </c>
      <c r="U45" s="68" t="n">
        <v>1</v>
      </c>
      <c r="V45" s="68" t="n">
        <v>1</v>
      </c>
    </row>
    <row r="46">
      <c r="A46" s="68" t="inlineStr">
        <is>
          <t>spring_fish_nat_totlntax|Moderate gradient (0.5 to 2 percent)</t>
        </is>
      </c>
      <c r="B46" s="68" t="inlineStr">
        <is>
          <t>spring-fish-nat-totlntax</t>
        </is>
      </c>
      <c r="C46" s="68" t="inlineStr">
        <is>
          <t>Native fish taxa richness</t>
        </is>
      </c>
      <c r="D46" s="68" t="inlineStr">
        <is>
          <t>Moderate gradient (0.5 to 2 percent)</t>
        </is>
      </c>
      <c r="E46" s="68" t="n">
        <v>5</v>
      </c>
      <c r="F46" s="68" t="inlineStr">
        <is>
          <t>64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confidence capped at 39.</t>
        </is>
      </c>
      <c r="G46" s="68" t="n">
        <v>0</v>
      </c>
      <c r="H46" s="68" t="n">
        <v>0.4285714285714285</v>
      </c>
      <c r="I46" s="68" t="n">
        <v>1</v>
      </c>
      <c r="J46" s="68" t="n">
        <v>4</v>
      </c>
      <c r="K46" s="68" t="n">
        <v>5.5</v>
      </c>
      <c r="L46" s="68" t="n">
        <v>5.5</v>
      </c>
      <c r="M46" s="68" t="n">
        <v>5.5</v>
      </c>
      <c r="N46" s="68" t="n">
        <v>5.5</v>
      </c>
      <c r="O46" s="68" t="n">
        <v>0</v>
      </c>
      <c r="P46" s="68" t="n">
        <v>0.3</v>
      </c>
      <c r="Q46" s="68" t="n">
        <v>0.7</v>
      </c>
      <c r="R46" s="68" t="n">
        <v>1</v>
      </c>
      <c r="S46" s="68" t="n">
        <v>1</v>
      </c>
      <c r="T46" s="68" t="n">
        <v>1</v>
      </c>
      <c r="U46" s="68" t="n">
        <v>1</v>
      </c>
      <c r="V46" s="68" t="n">
        <v>1</v>
      </c>
    </row>
    <row r="47">
      <c r="A47" s="68" t="inlineStr">
        <is>
          <t>spring_bent_totlntax|</t>
        </is>
      </c>
      <c r="B47" s="68" t="inlineStr">
        <is>
          <t>spring-bent-totlntax</t>
        </is>
      </c>
      <c r="C47" s="68" t="inlineStr">
        <is>
          <t>Benthic total taxa richness</t>
        </is>
      </c>
      <c r="D47" s="68" t="inlineStr"/>
      <c r="E47" s="68" t="n">
        <v>5</v>
      </c>
      <c r="F47" s="68" t="inlineStr">
        <is>
          <t>Reference curve fitted to comparable least-disturbed stations drawn from the national pool, because this ecoregion and its parents hold too few of their own.</t>
        </is>
      </c>
      <c r="G47" s="68" t="n">
        <v>0</v>
      </c>
      <c r="H47" s="68" t="n">
        <v>14.14285714285714</v>
      </c>
      <c r="I47" s="68" t="n">
        <v>33</v>
      </c>
      <c r="J47" s="68" t="n">
        <v>43</v>
      </c>
      <c r="K47" s="68" t="n">
        <v>48</v>
      </c>
      <c r="L47" s="68" t="n">
        <v>48</v>
      </c>
      <c r="M47" s="68" t="n">
        <v>48</v>
      </c>
      <c r="N47" s="68" t="n">
        <v>48</v>
      </c>
      <c r="O47" s="68" t="n">
        <v>0</v>
      </c>
      <c r="P47" s="68" t="n">
        <v>0.3</v>
      </c>
      <c r="Q47" s="68" t="n">
        <v>0.7</v>
      </c>
      <c r="R47" s="68" t="n">
        <v>1</v>
      </c>
      <c r="S47" s="68" t="n">
        <v>1</v>
      </c>
      <c r="T47" s="68" t="n">
        <v>1</v>
      </c>
      <c r="U47" s="68" t="n">
        <v>1</v>
      </c>
      <c r="V47" s="68" t="n">
        <v>1</v>
      </c>
    </row>
    <row r="48">
      <c r="A48" s="68" t="inlineStr">
        <is>
          <t>spring_bent_ept_ntax|</t>
        </is>
      </c>
      <c r="B48" s="68" t="inlineStr">
        <is>
          <t>spring-bent-ept-ntax</t>
        </is>
      </c>
      <c r="C48" s="68" t="inlineStr">
        <is>
          <t>EPT taxa richness</t>
        </is>
      </c>
      <c r="D48" s="68" t="inlineStr"/>
      <c r="E48" s="68" t="n">
        <v>5</v>
      </c>
      <c r="F48" s="68" t="inlineStr">
        <is>
          <t>96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confidence capped at 39.</t>
        </is>
      </c>
      <c r="G48" s="68" t="n">
        <v>0</v>
      </c>
      <c r="H48" s="68" t="n">
        <v>5.571428571428571</v>
      </c>
      <c r="I48" s="68" t="n">
        <v>13</v>
      </c>
      <c r="J48" s="68" t="n">
        <v>20</v>
      </c>
      <c r="K48" s="68" t="n">
        <v>23.5</v>
      </c>
      <c r="L48" s="68" t="n">
        <v>23.5</v>
      </c>
      <c r="M48" s="68" t="n">
        <v>23.5</v>
      </c>
      <c r="N48" s="68" t="n">
        <v>23.5</v>
      </c>
      <c r="O48" s="68" t="n">
        <v>0</v>
      </c>
      <c r="P48" s="68" t="n">
        <v>0.3</v>
      </c>
      <c r="Q48" s="68" t="n">
        <v>0.7</v>
      </c>
      <c r="R48" s="68" t="n">
        <v>1</v>
      </c>
      <c r="S48" s="68" t="n">
        <v>1</v>
      </c>
      <c r="T48" s="68" t="n">
        <v>1</v>
      </c>
      <c r="U48" s="68" t="n">
        <v>1</v>
      </c>
      <c r="V48" s="68" t="n">
        <v>1</v>
      </c>
    </row>
    <row r="49">
      <c r="A49" s="68" t="inlineStr">
        <is>
          <t>spring_bent_hprime|</t>
        </is>
      </c>
      <c r="B49" s="68" t="inlineStr">
        <is>
          <t>spring-bent-hprime</t>
        </is>
      </c>
      <c r="C49" s="68" t="inlineStr">
        <is>
          <t>Shannon diversity (H')</t>
        </is>
      </c>
      <c r="D49" s="68" t="inlineStr"/>
      <c r="E49" s="68" t="n">
        <v>5</v>
      </c>
      <c r="F49" s="68" t="inlineStr">
        <is>
          <t>Reference curve fitted to comparable least-disturbed stations drawn from the national pool, because this ecoregion and its parents hold too few of their own.</t>
        </is>
      </c>
      <c r="G49" s="68" t="n">
        <v>0</v>
      </c>
      <c r="H49" s="68" t="n">
        <v>1.114285673413958</v>
      </c>
      <c r="I49" s="68" t="n">
        <v>2.599999904632568</v>
      </c>
      <c r="J49" s="68" t="n">
        <v>3.099999904632568</v>
      </c>
      <c r="K49" s="68" t="n">
        <v>3.349999904632568</v>
      </c>
      <c r="L49" s="68" t="n">
        <v>3.349999904632568</v>
      </c>
      <c r="M49" s="68" t="n">
        <v>3.349999904632568</v>
      </c>
      <c r="N49" s="68" t="n">
        <v>3.349999904632568</v>
      </c>
      <c r="O49" s="68" t="n">
        <v>0</v>
      </c>
      <c r="P49" s="68" t="n">
        <v>0.3</v>
      </c>
      <c r="Q49" s="68" t="n">
        <v>0.7</v>
      </c>
      <c r="R49" s="68" t="n">
        <v>1</v>
      </c>
      <c r="S49" s="68" t="n">
        <v>1</v>
      </c>
      <c r="T49" s="68" t="n">
        <v>1</v>
      </c>
      <c r="U49" s="68" t="n">
        <v>1</v>
      </c>
      <c r="V49" s="68" t="n">
        <v>1</v>
      </c>
    </row>
    <row r="50">
      <c r="A50" s="68" t="inlineStr">
        <is>
          <t>spring_nid_dams_1mi|</t>
        </is>
      </c>
      <c r="B50" s="68" t="inlineStr">
        <is>
          <t>spring-nid-dams-1mi</t>
        </is>
      </c>
      <c r="C50" s="68" t="inlineStr">
        <is>
          <t>Mapped dams within one mile</t>
        </is>
      </c>
      <c r="D50" s="68" t="inlineStr"/>
      <c r="E50" s="68" t="n">
        <v>4</v>
      </c>
      <c r="F50" s="68" t="inlineStr">
        <is>
          <t>Fixed criteria, the same in every region</t>
        </is>
      </c>
      <c r="G50" s="68" t="n">
        <v>0</v>
      </c>
      <c r="H50" s="68" t="n">
        <v>1</v>
      </c>
      <c r="I50" s="68" t="n">
        <v>2</v>
      </c>
      <c r="J50" s="68" t="n">
        <v>3</v>
      </c>
      <c r="K50" s="68" t="n">
        <v>3</v>
      </c>
      <c r="L50" s="68" t="n">
        <v>3</v>
      </c>
      <c r="M50" s="68" t="n">
        <v>3</v>
      </c>
      <c r="N50" s="68" t="n">
        <v>3</v>
      </c>
      <c r="O50" s="68" t="n">
        <v>1</v>
      </c>
      <c r="P50" s="68" t="n">
        <v>0.545</v>
      </c>
      <c r="Q50" s="68" t="n">
        <v>0.195</v>
      </c>
      <c r="R50" s="68" t="n">
        <v>0</v>
      </c>
      <c r="S50" s="68" t="n">
        <v>0</v>
      </c>
      <c r="T50" s="68" t="n">
        <v>0</v>
      </c>
      <c r="U50" s="68" t="n">
        <v>0</v>
      </c>
      <c r="V50" s="68" t="n">
        <v>0</v>
      </c>
    </row>
    <row r="53">
      <c r="A53" s="57" t="inlineStr">
        <is>
          <t>Curve sets by metric</t>
        </is>
      </c>
    </row>
    <row r="54">
      <c r="A54" s="68" t="inlineStr">
        <is>
          <t>All streams (pooled)</t>
        </is>
      </c>
      <c r="B54" s="4" t="inlineStr">
        <is>
          <t>Bankfull width:depth ratio</t>
        </is>
      </c>
    </row>
    <row r="55">
      <c r="A55" s="68" t="inlineStr">
        <is>
          <t>Headwater (10 km2 and under)</t>
        </is>
      </c>
      <c r="B55" s="4" t="inlineStr">
        <is>
          <t>Bankfull width:depth ratio</t>
        </is>
      </c>
    </row>
    <row r="56">
      <c r="A56" s="68" t="inlineStr">
        <is>
          <t>Small stream (10 to 100 km2)</t>
        </is>
      </c>
      <c r="B56" s="4" t="inlineStr">
        <is>
          <t>Bankfull width:depth ratio</t>
        </is>
      </c>
    </row>
    <row r="57">
      <c r="A57" s="68" t="inlineStr">
        <is>
          <t>Large stream (over 100 km2)</t>
        </is>
      </c>
      <c r="B57" s="4" t="inlineStr">
        <is>
          <t>Bankfull width:depth ratio</t>
        </is>
      </c>
    </row>
    <row r="58">
      <c r="A58" s="68" t="inlineStr">
        <is>
          <t>All streams (pooled)</t>
        </is>
      </c>
      <c r="B58" s="4" t="inlineStr">
        <is>
          <t>Bankfull height above channel</t>
        </is>
      </c>
    </row>
    <row r="59">
      <c r="A59" s="68" t="inlineStr">
        <is>
          <t>Headwater (10 km2 and under)</t>
        </is>
      </c>
      <c r="B59" s="4" t="inlineStr">
        <is>
          <t>Bankfull height above channel</t>
        </is>
      </c>
    </row>
    <row r="60">
      <c r="A60" s="68" t="inlineStr">
        <is>
          <t>Small stream (10 to 100 km2)</t>
        </is>
      </c>
      <c r="B60" s="4" t="inlineStr">
        <is>
          <t>Bankfull height above channel</t>
        </is>
      </c>
    </row>
    <row r="61">
      <c r="A61" s="68" t="inlineStr">
        <is>
          <t>Large stream (over 100 km2)</t>
        </is>
      </c>
      <c r="B61" s="4" t="inlineStr">
        <is>
          <t>Bankfull height above channel</t>
        </is>
      </c>
    </row>
    <row r="62">
      <c r="A62" s="68" t="inlineStr">
        <is>
          <t>All streams (pooled)</t>
        </is>
      </c>
      <c r="B62" s="4" t="inlineStr">
        <is>
          <t>Relative bed stability</t>
        </is>
      </c>
    </row>
    <row r="63">
      <c r="A63" s="68" t="inlineStr">
        <is>
          <t>Headwater (10 km2 and under)</t>
        </is>
      </c>
      <c r="B63" s="4" t="inlineStr">
        <is>
          <t>Relative bed stability</t>
        </is>
      </c>
    </row>
    <row r="64">
      <c r="A64" s="68" t="inlineStr">
        <is>
          <t>Small stream (10 to 100 km2)</t>
        </is>
      </c>
      <c r="B64" s="4" t="inlineStr">
        <is>
          <t>Relative bed stability</t>
        </is>
      </c>
    </row>
    <row r="65">
      <c r="A65" s="68" t="inlineStr">
        <is>
          <t>Large stream (over 100 km2)</t>
        </is>
      </c>
      <c r="B65" s="4" t="inlineStr">
        <is>
          <t>Relative bed stability</t>
        </is>
      </c>
    </row>
    <row r="66">
      <c r="A66" s="68" t="inlineStr">
        <is>
          <t>All streams (pooled)</t>
        </is>
      </c>
      <c r="B66" s="4" t="inlineStr">
        <is>
          <t>Canopy density, mid-channel</t>
        </is>
      </c>
    </row>
    <row r="67">
      <c r="A67" s="68" t="inlineStr">
        <is>
          <t>Headwater (10 km2 and under)</t>
        </is>
      </c>
      <c r="B67" s="4" t="inlineStr">
        <is>
          <t>Canopy density, mid-channel</t>
        </is>
      </c>
    </row>
    <row r="68">
      <c r="A68" s="68" t="inlineStr">
        <is>
          <t>Small stream (10 to 100 km2)</t>
        </is>
      </c>
      <c r="B68" s="4" t="inlineStr">
        <is>
          <t>Canopy density, mid-channel</t>
        </is>
      </c>
    </row>
    <row r="69">
      <c r="A69" s="68" t="inlineStr">
        <is>
          <t>Large stream (over 100 km2)</t>
        </is>
      </c>
      <c r="B69" s="4" t="inlineStr">
        <is>
          <t>Canopy density, mid-channel</t>
        </is>
      </c>
    </row>
    <row r="70">
      <c r="A70" s="68" t="inlineStr">
        <is>
          <t>All streams (pooled)</t>
        </is>
      </c>
      <c r="B70" s="4" t="inlineStr">
        <is>
          <t>Fast-water / riffle habitat</t>
        </is>
      </c>
    </row>
    <row r="71">
      <c r="A71" s="68" t="inlineStr">
        <is>
          <t>Moderate gradient (0.5 to 2 percent)</t>
        </is>
      </c>
      <c r="B71" s="4" t="inlineStr">
        <is>
          <t>Fast-water / riffle habitat</t>
        </is>
      </c>
    </row>
    <row r="72">
      <c r="A72" s="68" t="inlineStr">
        <is>
          <t>Steep (2 percent and above)</t>
        </is>
      </c>
      <c r="B72" s="4" t="inlineStr">
        <is>
          <t>Fast-water / riffle habitat</t>
        </is>
      </c>
    </row>
    <row r="73">
      <c r="A73" s="68" t="inlineStr">
        <is>
          <t>All streams (pooled)</t>
        </is>
      </c>
      <c r="B73" s="4" t="inlineStr">
        <is>
          <t>Natural fish cover</t>
        </is>
      </c>
    </row>
    <row r="74">
      <c r="A74" s="68" t="inlineStr">
        <is>
          <t>Headwater (10 km2 and under)</t>
        </is>
      </c>
      <c r="B74" s="4" t="inlineStr">
        <is>
          <t>Natural fish cover</t>
        </is>
      </c>
    </row>
    <row r="75">
      <c r="A75" s="68" t="inlineStr">
        <is>
          <t>Small stream (10 to 100 km2)</t>
        </is>
      </c>
      <c r="B75" s="4" t="inlineStr">
        <is>
          <t>Natural fish cover</t>
        </is>
      </c>
    </row>
    <row r="76">
      <c r="A76" s="68" t="inlineStr">
        <is>
          <t>Large stream (over 100 km2)</t>
        </is>
      </c>
      <c r="B76" s="4" t="inlineStr">
        <is>
          <t>Natural fish cover</t>
        </is>
      </c>
    </row>
    <row r="77">
      <c r="A77" s="68" t="inlineStr">
        <is>
          <t>All streams (pooled)</t>
        </is>
      </c>
      <c r="B77" s="4" t="inlineStr">
        <is>
          <t>Native fish taxa richness</t>
        </is>
      </c>
    </row>
    <row r="78">
      <c r="A78" s="68" t="inlineStr">
        <is>
          <t>Moderate gradient (0.5 to 2 percent)</t>
        </is>
      </c>
      <c r="B78" s="4" t="inlineStr">
        <is>
          <t>Native fish taxa richness</t>
        </is>
      </c>
    </row>
    <row r="81">
      <c r="A81" s="57" t="inlineStr">
        <is>
          <t>Condition classes</t>
        </is>
      </c>
    </row>
    <row r="82">
      <c r="A82" t="inlineStr">
        <is>
          <t>Metric index: at or below 0.39 Non-Functioning, at or below 0.69 Functioning At-Risk, above Functioning.</t>
        </is>
      </c>
    </row>
    <row r="83">
      <c r="A83" t="inlineStr">
        <is>
          <t>Function score (0 to 15): at or below 5 Non-Functioning, at or below 10 Functioning At-Risk, above Functioning.</t>
        </is>
      </c>
    </row>
    <row r="84">
      <c r="A84"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3">
      <c r="A3" s="5" t="inlineStr">
        <is>
          <t>Item</t>
        </is>
      </c>
      <c r="B3" s="5" t="inlineStr">
        <is>
          <t>Value</t>
        </is>
      </c>
    </row>
    <row r="4">
      <c r="A4" s="68" t="inlineStr">
        <is>
          <t>Assessment id</t>
        </is>
      </c>
      <c r="B4" s="68" t="inlineStr">
        <is>
          <t>eastern-cascades-slopes-and-foothills</t>
        </is>
      </c>
    </row>
    <row r="5">
      <c r="A5" s="68" t="inlineStr">
        <is>
          <t>Assessment name</t>
        </is>
      </c>
      <c r="B5" s="68" t="inlineStr">
        <is>
          <t>Eastern Cascades Slopes and Foothills reference assessment</t>
        </is>
      </c>
    </row>
    <row r="6">
      <c r="A6" s="68" t="inlineStr">
        <is>
          <t>Version</t>
        </is>
      </c>
      <c r="B6" s="68" t="n">
        <v>1</v>
      </c>
    </row>
    <row r="7">
      <c r="A7" s="68" t="inlineStr">
        <is>
          <t>Lifecycle status</t>
        </is>
      </c>
      <c r="B7" s="68" t="inlineStr"/>
    </row>
    <row r="8">
      <c r="A8" s="68" t="inlineStr">
        <is>
          <t>Content digest</t>
        </is>
      </c>
      <c r="B8" s="68" t="inlineStr">
        <is>
          <t>sha256:c9589a714fa80105b206cc42102f14cb3b9d278d5c093b89a858261bb6b6a6ea</t>
        </is>
      </c>
    </row>
    <row r="9">
      <c r="A9" s="68" t="inlineStr">
        <is>
          <t>Region</t>
        </is>
      </c>
      <c r="B9" s="68" t="inlineStr">
        <is>
          <t>ecoregion 9 Eastern Cascades Slopes and Foothills</t>
        </is>
      </c>
    </row>
    <row r="10">
      <c r="A10" s="68" t="inlineStr">
        <is>
          <t>Source</t>
        </is>
      </c>
      <c r="B10" s="68" t="inlineStr">
        <is>
          <t>USEPA NRSA 2013-24 (L3 ecoregion 9),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28</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1.0</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7" t="inlineStr">
        <is>
          <t>Function</t>
        </is>
      </c>
      <c r="B2" s="57" t="inlineStr">
        <is>
          <t>Score</t>
        </is>
      </c>
      <c r="C2" s="57" t="inlineStr">
        <is>
          <t>Non-Functioning (0-5)</t>
        </is>
      </c>
      <c r="D2" s="57" t="inlineStr">
        <is>
          <t>Functioning At-Risk (6-10)</t>
        </is>
      </c>
      <c r="E2" s="57" t="inlineStr">
        <is>
          <t>Functioning (11-15)</t>
        </is>
      </c>
    </row>
    <row r="3">
      <c r="A3" t="inlineStr">
        <is>
          <t>Catchment hydrology</t>
        </is>
      </c>
      <c r="B3">
        <f>IF('Results'!$B$4="","",'Results'!$B$4)</f>
        <v/>
      </c>
      <c r="C3" s="71">
        <f>IF(ISNUMBER('ChartData'!$B$3),IF('ChartData'!$B$3&lt;=5,'ChartData'!$B$3,NA()),NA())</f>
        <v/>
      </c>
      <c r="D3" s="71">
        <f>IF(ISNUMBER('ChartData'!$B$3),IF(AND('ChartData'!$B$3&gt;5,'ChartData'!$B$3&lt;=10),'ChartData'!$B$3,NA()),NA())</f>
        <v/>
      </c>
      <c r="E3" s="71">
        <f>IF(ISNUMBER('ChartData'!$B$3),IF('ChartData'!$B$3&gt;10,'ChartData'!$B$3,NA()),NA())</f>
        <v/>
      </c>
    </row>
    <row r="4">
      <c r="A4" t="inlineStr">
        <is>
          <t>Surface water storage</t>
        </is>
      </c>
      <c r="B4">
        <f>IF('Results'!$B$5="","",'Results'!$B$5)</f>
        <v/>
      </c>
      <c r="C4" s="71">
        <f>IF(ISNUMBER('ChartData'!$B$4),IF('ChartData'!$B$4&lt;=5,'ChartData'!$B$4,NA()),NA())</f>
        <v/>
      </c>
      <c r="D4" s="71">
        <f>IF(ISNUMBER('ChartData'!$B$4),IF(AND('ChartData'!$B$4&gt;5,'ChartData'!$B$4&lt;=10),'ChartData'!$B$4,NA()),NA())</f>
        <v/>
      </c>
      <c r="E4" s="71">
        <f>IF(ISNUMBER('ChartData'!$B$4),IF('ChartData'!$B$4&gt;10,'ChartData'!$B$4,NA()),NA())</f>
        <v/>
      </c>
    </row>
    <row r="5">
      <c r="A5" t="inlineStr">
        <is>
          <t>Reach inflow</t>
        </is>
      </c>
      <c r="B5">
        <f>IF('Results'!$B$6="","",'Results'!$B$6)</f>
        <v/>
      </c>
      <c r="C5" s="71">
        <f>IF(ISNUMBER('ChartData'!$B$5),IF('ChartData'!$B$5&lt;=5,'ChartData'!$B$5,NA()),NA())</f>
        <v/>
      </c>
      <c r="D5" s="71">
        <f>IF(ISNUMBER('ChartData'!$B$5),IF(AND('ChartData'!$B$5&gt;5,'ChartData'!$B$5&lt;=10),'ChartData'!$B$5,NA()),NA())</f>
        <v/>
      </c>
      <c r="E5" s="71">
        <f>IF(ISNUMBER('ChartData'!$B$5),IF('ChartData'!$B$5&gt;10,'ChartData'!$B$5,NA()),NA())</f>
        <v/>
      </c>
    </row>
    <row r="6">
      <c r="A6" t="inlineStr">
        <is>
          <t>Streamflow regime</t>
        </is>
      </c>
      <c r="B6">
        <f>IF('Results'!$B$7="","",'Results'!$B$7)</f>
        <v/>
      </c>
      <c r="C6" s="71">
        <f>IF(ISNUMBER('ChartData'!$B$6),IF('ChartData'!$B$6&lt;=5,'ChartData'!$B$6,NA()),NA())</f>
        <v/>
      </c>
      <c r="D6" s="71">
        <f>IF(ISNUMBER('ChartData'!$B$6),IF(AND('ChartData'!$B$6&gt;5,'ChartData'!$B$6&lt;=10),'ChartData'!$B$6,NA()),NA())</f>
        <v/>
      </c>
      <c r="E6" s="71">
        <f>IF(ISNUMBER('ChartData'!$B$6),IF('ChartData'!$B$6&gt;10,'ChartData'!$B$6,NA()),NA())</f>
        <v/>
      </c>
    </row>
    <row r="7">
      <c r="A7" t="inlineStr">
        <is>
          <t>Low flow and baseflow dynamics</t>
        </is>
      </c>
      <c r="B7">
        <f>IF('Results'!$B$8="","",'Results'!$B$8)</f>
        <v/>
      </c>
      <c r="C7" s="71">
        <f>IF(ISNUMBER('ChartData'!$B$7),IF('ChartData'!$B$7&lt;=5,'ChartData'!$B$7,NA()),NA())</f>
        <v/>
      </c>
      <c r="D7" s="71">
        <f>IF(ISNUMBER('ChartData'!$B$7),IF(AND('ChartData'!$B$7&gt;5,'ChartData'!$B$7&lt;=10),'ChartData'!$B$7,NA()),NA())</f>
        <v/>
      </c>
      <c r="E7" s="71">
        <f>IF(ISNUMBER('ChartData'!$B$7),IF('ChartData'!$B$7&gt;10,'ChartData'!$B$7,NA()),NA())</f>
        <v/>
      </c>
    </row>
    <row r="8">
      <c r="A8" t="inlineStr">
        <is>
          <t>High flow dynamics</t>
        </is>
      </c>
      <c r="B8">
        <f>IF('Results'!$B$9="","",'Results'!$B$9)</f>
        <v/>
      </c>
      <c r="C8" s="71">
        <f>IF(ISNUMBER('ChartData'!$B$8),IF('ChartData'!$B$8&lt;=5,'ChartData'!$B$8,NA()),NA())</f>
        <v/>
      </c>
      <c r="D8" s="71">
        <f>IF(ISNUMBER('ChartData'!$B$8),IF(AND('ChartData'!$B$8&gt;5,'ChartData'!$B$8&lt;=10),'ChartData'!$B$8,NA()),NA())</f>
        <v/>
      </c>
      <c r="E8" s="71">
        <f>IF(ISNUMBER('ChartData'!$B$8),IF('ChartData'!$B$8&gt;10,'ChartData'!$B$8,NA()),NA())</f>
        <v/>
      </c>
    </row>
    <row r="9">
      <c r="A9" t="inlineStr">
        <is>
          <t>Floodplain connectivity</t>
        </is>
      </c>
      <c r="B9">
        <f>IF('Results'!$B$10="","",'Results'!$B$10)</f>
        <v/>
      </c>
      <c r="C9" s="71">
        <f>IF(ISNUMBER('ChartData'!$B$9),IF('ChartData'!$B$9&lt;=5,'ChartData'!$B$9,NA()),NA())</f>
        <v/>
      </c>
      <c r="D9" s="71">
        <f>IF(ISNUMBER('ChartData'!$B$9),IF(AND('ChartData'!$B$9&gt;5,'ChartData'!$B$9&lt;=10),'ChartData'!$B$9,NA()),NA())</f>
        <v/>
      </c>
      <c r="E9" s="71">
        <f>IF(ISNUMBER('ChartData'!$B$9),IF('ChartData'!$B$9&gt;10,'ChartData'!$B$9,NA()),NA())</f>
        <v/>
      </c>
    </row>
    <row r="10">
      <c r="A10" t="inlineStr">
        <is>
          <t>Hyporheic connectivity</t>
        </is>
      </c>
      <c r="B10">
        <f>IF('Results'!$B$11="","",'Results'!$B$11)</f>
        <v/>
      </c>
      <c r="C10" s="71">
        <f>IF(ISNUMBER('ChartData'!$B$10),IF('ChartData'!$B$10&lt;=5,'ChartData'!$B$10,NA()),NA())</f>
        <v/>
      </c>
      <c r="D10" s="71">
        <f>IF(ISNUMBER('ChartData'!$B$10),IF(AND('ChartData'!$B$10&gt;5,'ChartData'!$B$10&lt;=10),'ChartData'!$B$10,NA()),NA())</f>
        <v/>
      </c>
      <c r="E10" s="71">
        <f>IF(ISNUMBER('ChartData'!$B$10),IF('ChartData'!$B$10&gt;10,'ChartData'!$B$10,NA()),NA())</f>
        <v/>
      </c>
    </row>
    <row r="11">
      <c r="A11" t="inlineStr">
        <is>
          <t>Channel evolution</t>
        </is>
      </c>
      <c r="B11">
        <f>IF('Results'!$B$12="","",'Results'!$B$12)</f>
        <v/>
      </c>
      <c r="C11" s="71">
        <f>IF(ISNUMBER('ChartData'!$B$11),IF('ChartData'!$B$11&lt;=5,'ChartData'!$B$11,NA()),NA())</f>
        <v/>
      </c>
      <c r="D11" s="71">
        <f>IF(ISNUMBER('ChartData'!$B$11),IF(AND('ChartData'!$B$11&gt;5,'ChartData'!$B$11&lt;=10),'ChartData'!$B$11,NA()),NA())</f>
        <v/>
      </c>
      <c r="E11" s="71">
        <f>IF(ISNUMBER('ChartData'!$B$11),IF('ChartData'!$B$11&gt;10,'ChartData'!$B$11,NA()),NA())</f>
        <v/>
      </c>
    </row>
    <row r="12">
      <c r="A12" t="inlineStr">
        <is>
          <t>Channel and floodplain dynamics</t>
        </is>
      </c>
      <c r="B12">
        <f>IF('Results'!$B$13="","",'Results'!$B$13)</f>
        <v/>
      </c>
      <c r="C12" s="71">
        <f>IF(ISNUMBER('ChartData'!$B$12),IF('ChartData'!$B$12&lt;=5,'ChartData'!$B$12,NA()),NA())</f>
        <v/>
      </c>
      <c r="D12" s="71">
        <f>IF(ISNUMBER('ChartData'!$B$12),IF(AND('ChartData'!$B$12&gt;5,'ChartData'!$B$12&lt;=10),'ChartData'!$B$12,NA()),NA())</f>
        <v/>
      </c>
      <c r="E12" s="71">
        <f>IF(ISNUMBER('ChartData'!$B$12),IF('ChartData'!$B$12&gt;10,'ChartData'!$B$12,NA()),NA())</f>
        <v/>
      </c>
    </row>
    <row r="13">
      <c r="A13" t="inlineStr">
        <is>
          <t>Sediment continuity</t>
        </is>
      </c>
      <c r="B13">
        <f>IF('Results'!$B$14="","",'Results'!$B$14)</f>
        <v/>
      </c>
      <c r="C13" s="71">
        <f>IF(ISNUMBER('ChartData'!$B$13),IF('ChartData'!$B$13&lt;=5,'ChartData'!$B$13,NA()),NA())</f>
        <v/>
      </c>
      <c r="D13" s="71">
        <f>IF(ISNUMBER('ChartData'!$B$13),IF(AND('ChartData'!$B$13&gt;5,'ChartData'!$B$13&lt;=10),'ChartData'!$B$13,NA()),NA())</f>
        <v/>
      </c>
      <c r="E13" s="71">
        <f>IF(ISNUMBER('ChartData'!$B$13),IF('ChartData'!$B$13&gt;10,'ChartData'!$B$13,NA()),NA())</f>
        <v/>
      </c>
    </row>
    <row r="14">
      <c r="A14" t="inlineStr">
        <is>
          <t>Bed composition and bedform dynamics</t>
        </is>
      </c>
      <c r="B14">
        <f>IF('Results'!$B$15="","",'Results'!$B$15)</f>
        <v/>
      </c>
      <c r="C14" s="71">
        <f>IF(ISNUMBER('ChartData'!$B$14),IF('ChartData'!$B$14&lt;=5,'ChartData'!$B$14,NA()),NA())</f>
        <v/>
      </c>
      <c r="D14" s="71">
        <f>IF(ISNUMBER('ChartData'!$B$14),IF(AND('ChartData'!$B$14&gt;5,'ChartData'!$B$14&lt;=10),'ChartData'!$B$14,NA()),NA())</f>
        <v/>
      </c>
      <c r="E14" s="71">
        <f>IF(ISNUMBER('ChartData'!$B$14),IF('ChartData'!$B$14&gt;10,'ChartData'!$B$14,NA()),NA())</f>
        <v/>
      </c>
    </row>
    <row r="15">
      <c r="A15" t="inlineStr">
        <is>
          <t>Light &amp; thermal regime</t>
        </is>
      </c>
      <c r="B15">
        <f>IF('Results'!$B$16="","",'Results'!$B$16)</f>
        <v/>
      </c>
      <c r="C15" s="71">
        <f>IF(ISNUMBER('ChartData'!$B$15),IF('ChartData'!$B$15&lt;=5,'ChartData'!$B$15,NA()),NA())</f>
        <v/>
      </c>
      <c r="D15" s="71">
        <f>IF(ISNUMBER('ChartData'!$B$15),IF(AND('ChartData'!$B$15&gt;5,'ChartData'!$B$15&lt;=10),'ChartData'!$B$15,NA()),NA())</f>
        <v/>
      </c>
      <c r="E15" s="71">
        <f>IF(ISNUMBER('ChartData'!$B$15),IF('ChartData'!$B$15&gt;10,'ChartData'!$B$15,NA()),NA())</f>
        <v/>
      </c>
    </row>
    <row r="16">
      <c r="A16" t="inlineStr">
        <is>
          <t>Carbon processing</t>
        </is>
      </c>
      <c r="B16">
        <f>IF('Results'!$B$17="","",'Results'!$B$17)</f>
        <v/>
      </c>
      <c r="C16" s="71">
        <f>IF(ISNUMBER('ChartData'!$B$16),IF('ChartData'!$B$16&lt;=5,'ChartData'!$B$16,NA()),NA())</f>
        <v/>
      </c>
      <c r="D16" s="71">
        <f>IF(ISNUMBER('ChartData'!$B$16),IF(AND('ChartData'!$B$16&gt;5,'ChartData'!$B$16&lt;=10),'ChartData'!$B$16,NA()),NA())</f>
        <v/>
      </c>
      <c r="E16" s="71">
        <f>IF(ISNUMBER('ChartData'!$B$16),IF('ChartData'!$B$16&gt;10,'ChartData'!$B$16,NA()),NA())</f>
        <v/>
      </c>
    </row>
    <row r="17">
      <c r="A17" t="inlineStr">
        <is>
          <t>Nutrient cycling</t>
        </is>
      </c>
      <c r="B17">
        <f>IF('Results'!$B$18="","",'Results'!$B$18)</f>
        <v/>
      </c>
      <c r="C17" s="71">
        <f>IF(ISNUMBER('ChartData'!$B$17),IF('ChartData'!$B$17&lt;=5,'ChartData'!$B$17,NA()),NA())</f>
        <v/>
      </c>
      <c r="D17" s="71">
        <f>IF(ISNUMBER('ChartData'!$B$17),IF(AND('ChartData'!$B$17&gt;5,'ChartData'!$B$17&lt;=10),'ChartData'!$B$17,NA()),NA())</f>
        <v/>
      </c>
      <c r="E17" s="71">
        <f>IF(ISNUMBER('ChartData'!$B$17),IF('ChartData'!$B$17&gt;10,'ChartData'!$B$17,NA()),NA())</f>
        <v/>
      </c>
    </row>
    <row r="18">
      <c r="A18" t="inlineStr">
        <is>
          <t>Water &amp; soil quality</t>
        </is>
      </c>
      <c r="B18">
        <f>IF('Results'!$B$19="","",'Results'!$B$19)</f>
        <v/>
      </c>
      <c r="C18" s="71">
        <f>IF(ISNUMBER('ChartData'!$B$18),IF('ChartData'!$B$18&lt;=5,'ChartData'!$B$18,NA()),NA())</f>
        <v/>
      </c>
      <c r="D18" s="71">
        <f>IF(ISNUMBER('ChartData'!$B$18),IF(AND('ChartData'!$B$18&gt;5,'ChartData'!$B$18&lt;=10),'ChartData'!$B$18,NA()),NA())</f>
        <v/>
      </c>
      <c r="E18" s="71">
        <f>IF(ISNUMBER('ChartData'!$B$18),IF('ChartData'!$B$18&gt;10,'ChartData'!$B$18,NA()),NA())</f>
        <v/>
      </c>
    </row>
    <row r="19">
      <c r="A19" t="inlineStr">
        <is>
          <t>Habitat provision</t>
        </is>
      </c>
      <c r="B19">
        <f>IF('Results'!$B$20="","",'Results'!$B$20)</f>
        <v/>
      </c>
      <c r="C19" s="71">
        <f>IF(ISNUMBER('ChartData'!$B$19),IF('ChartData'!$B$19&lt;=5,'ChartData'!$B$19,NA()),NA())</f>
        <v/>
      </c>
      <c r="D19" s="71">
        <f>IF(ISNUMBER('ChartData'!$B$19),IF(AND('ChartData'!$B$19&gt;5,'ChartData'!$B$19&lt;=10),'ChartData'!$B$19,NA()),NA())</f>
        <v/>
      </c>
      <c r="E19" s="71">
        <f>IF(ISNUMBER('ChartData'!$B$19),IF('ChartData'!$B$19&gt;10,'ChartData'!$B$19,NA()),NA())</f>
        <v/>
      </c>
    </row>
    <row r="20">
      <c r="A20" t="inlineStr">
        <is>
          <t>Population support</t>
        </is>
      </c>
      <c r="B20">
        <f>IF('Results'!$B$21="","",'Results'!$B$21)</f>
        <v/>
      </c>
      <c r="C20" s="71">
        <f>IF(ISNUMBER('ChartData'!$B$20),IF('ChartData'!$B$20&lt;=5,'ChartData'!$B$20,NA()),NA())</f>
        <v/>
      </c>
      <c r="D20" s="71">
        <f>IF(ISNUMBER('ChartData'!$B$20),IF(AND('ChartData'!$B$20&gt;5,'ChartData'!$B$20&lt;=10),'ChartData'!$B$20,NA()),NA())</f>
        <v/>
      </c>
      <c r="E20" s="71">
        <f>IF(ISNUMBER('ChartData'!$B$20),IF('ChartData'!$B$20&gt;10,'ChartData'!$B$20,NA()),NA())</f>
        <v/>
      </c>
    </row>
    <row r="21">
      <c r="A21" t="inlineStr">
        <is>
          <t>Community dynamics</t>
        </is>
      </c>
      <c r="B21">
        <f>IF('Results'!$B$22="","",'Results'!$B$22)</f>
        <v/>
      </c>
      <c r="C21" s="71">
        <f>IF(ISNUMBER('ChartData'!$B$21),IF('ChartData'!$B$21&lt;=5,'ChartData'!$B$21,NA()),NA())</f>
        <v/>
      </c>
      <c r="D21" s="71">
        <f>IF(ISNUMBER('ChartData'!$B$21),IF(AND('ChartData'!$B$21&gt;5,'ChartData'!$B$21&lt;=10),'ChartData'!$B$21,NA()),NA())</f>
        <v/>
      </c>
      <c r="E21" s="71">
        <f>IF(ISNUMBER('ChartData'!$B$21),IF('ChartData'!$B$21&gt;10,'ChartData'!$B$21,NA()),NA())</f>
        <v/>
      </c>
    </row>
    <row r="22">
      <c r="A22" t="inlineStr">
        <is>
          <t>Watershed connectivity</t>
        </is>
      </c>
      <c r="B22">
        <f>IF('Results'!$B$23="","",'Results'!$B$23)</f>
        <v/>
      </c>
      <c r="C22" s="71">
        <f>IF(ISNUMBER('ChartData'!$B$22),IF('ChartData'!$B$22&lt;=5,'ChartData'!$B$22,NA()),NA())</f>
        <v/>
      </c>
      <c r="D22" s="71">
        <f>IF(ISNUMBER('ChartData'!$B$22),IF(AND('ChartData'!$B$22&gt;5,'ChartData'!$B$22&lt;=10),'ChartData'!$B$22,NA()),NA())</f>
        <v/>
      </c>
      <c r="E22" s="71">
        <f>IF(ISNUMBER('ChartData'!$B$22),IF('ChartData'!$B$22&gt;10,'ChartData'!$B$22,NA()),NA())</f>
        <v/>
      </c>
    </row>
    <row r="24">
      <c r="A24" s="57" t="inlineStr">
        <is>
          <t>Outcome</t>
        </is>
      </c>
      <c r="B24" s="57" t="inlineStr">
        <is>
          <t>Score</t>
        </is>
      </c>
      <c r="C24" s="57" t="inlineStr">
        <is>
          <t>Non-Functioning (0.00-0.39)</t>
        </is>
      </c>
      <c r="D24" s="57" t="inlineStr">
        <is>
          <t>Functioning At-Risk (0.40-0.69)</t>
        </is>
      </c>
      <c r="E24" s="57" t="inlineStr">
        <is>
          <t>Functioning (0.70-1.00)</t>
        </is>
      </c>
    </row>
    <row r="25">
      <c r="A25" t="inlineStr">
        <is>
          <t>Physical</t>
        </is>
      </c>
      <c r="B25">
        <f>'Results'!$B$26</f>
        <v/>
      </c>
      <c r="C25" s="72">
        <f>IF('ChartData'!$B$25&lt;=0.39,'ChartData'!$B$25,NA())</f>
        <v/>
      </c>
      <c r="D25" s="72">
        <f>IF(AND('ChartData'!$B$25&gt;0.39,'ChartData'!$B$25&lt;=0.69),'ChartData'!$B$25,NA())</f>
        <v/>
      </c>
      <c r="E25" s="72">
        <f>IF('ChartData'!$B$25&gt;0.69,'ChartData'!$B$25,NA())</f>
        <v/>
      </c>
    </row>
    <row r="26">
      <c r="A26" t="inlineStr">
        <is>
          <t>Chemical</t>
        </is>
      </c>
      <c r="B26">
        <f>'Results'!$B$27</f>
        <v/>
      </c>
      <c r="C26" s="72">
        <f>IF('ChartData'!$B$26&lt;=0.39,'ChartData'!$B$26,NA())</f>
        <v/>
      </c>
      <c r="D26" s="72">
        <f>IF(AND('ChartData'!$B$26&gt;0.39,'ChartData'!$B$26&lt;=0.69),'ChartData'!$B$26,NA())</f>
        <v/>
      </c>
      <c r="E26" s="72">
        <f>IF('ChartData'!$B$26&gt;0.69,'ChartData'!$B$26,NA())</f>
        <v/>
      </c>
    </row>
    <row r="27">
      <c r="A27" t="inlineStr">
        <is>
          <t>Biological</t>
        </is>
      </c>
      <c r="B27">
        <f>'Results'!$B$28</f>
        <v/>
      </c>
      <c r="C27" s="72">
        <f>IF('ChartData'!$B$27&lt;=0.39,'ChartData'!$B$27,NA())</f>
        <v/>
      </c>
      <c r="D27" s="72">
        <f>IF(AND('ChartData'!$B$27&gt;0.39,'ChartData'!$B$27&lt;=0.69),'ChartData'!$B$27,NA())</f>
        <v/>
      </c>
      <c r="E27" s="72">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2026-09-30T07:06:27Z</dcterms:created>
  <dcterms:modified xmlns:dcterms="http://purl.org/dc/terms/" xmlns:xsi="http://www.w3.org/2001/XMLSchema-instance" xsi:type="dcterms:W3CDTF">2026-09-30T07:06:27Z</dcterms:modified>
  <cp:lastModifiedBy>DEEP</cp:lastModifiedBy>
</cp:coreProperties>
</file>