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xcdenmid">'Reference'!$A$41:$A$43</definedName>
    <definedName name="strata_spring_phab_xfc_nat">'Reference'!$A$44:$A$46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lrbs_use">'Metrics'!$V$17</definedName>
    <definedName name="idx_spring_phab_lsub_dmm">'Metrics'!$V$18</definedName>
    <definedName name="idx_spring_phab_lwdeqvolm100">'Metrics'!$V$19</definedName>
    <definedName name="idx_spring_phab_xcdenmid">'Metrics'!$V$20</definedName>
    <definedName name="idx_spring_chem_chla">'Metrics'!$V$21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xfc_nat">'Metrics'!$V$27</definedName>
    <definedName name="idx_spring_phab_pct_fast">'Metrics'!$V$28</definedName>
    <definedName name="idx_spring_fish_mmi_fish">'Metrics'!$V$29</definedName>
    <definedName name="idx_spring_bent_totlntax">'Metrics'!$V$30</definedName>
    <definedName name="idx_spring_bent_hprime">'Metrics'!$V$31</definedName>
    <definedName name="idx_spring_bent_tolrpind">'Metrics'!$V$32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lrbs_use">'DEEP Score'!$E$28</definedName>
    <definedName name="in_spring_phab_lsub_dmm">'DEEP Score'!$E$30</definedName>
    <definedName name="in_spring_phab_lwdeqvolm100">'DEEP Score'!$E$31</definedName>
    <definedName name="in_spring_phab_xcdenmid">'DEEP Score'!$E$32</definedName>
    <definedName name="st_spring_phab_xcdenmid">'DEEP Score'!$F$32</definedName>
    <definedName name="in_spring_chem_chla">'DEEP Score'!$E$33</definedName>
    <definedName name="in_spring_phab_xcmgw">'DEEP Score'!$E$34</definedName>
    <definedName name="in_spring_chem_ntl">'DEEP Score'!$E$35</definedName>
    <definedName name="in_spring_chem_ptl">'DEEP Score'!$E$36</definedName>
    <definedName name="in_spring_chem_cond">'DEEP Score'!$E$37</definedName>
    <definedName name="in_spring_chem_turb">'DEEP Score'!$E$38</definedName>
    <definedName name="in_spring_phab_xfc_nat">'DEEP Score'!$E$39</definedName>
    <definedName name="st_spring_phab_xfc_nat">'DEEP Score'!$F$39</definedName>
    <definedName name="in_spring_phab_pct_fast">'DEEP Score'!$E$40</definedName>
    <definedName name="in_spring_fish_mmi_fish">'DEEP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7" borderId="11" applyAlignment="1" pivotButton="0" quotePrefix="0" xfId="0">
      <alignment horizontal="center" vertical="center" wrapText="1"/>
    </xf>
    <xf numFmtId="0" fontId="3" fillId="8"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California Valley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13 borrow comparable least-disturbed stations from a wider region, stating the region and the transfer risk. 6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17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California Valley reference assessment</t>
        </is>
      </c>
    </row>
    <row r="3">
      <c r="A3" s="5" t="inlineStr">
        <is>
          <t>Version 1 | Draft | USEPA NRSA 2013-24 (L3 ecoregion 7),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6" t="inlineStr">
        <is>
          <t>Geomorphology</t>
        </is>
      </c>
      <c r="B27" s="29" t="inlineStr">
        <is>
          <t>Channel and floodplain dynamics</t>
        </is>
      </c>
      <c r="C27" s="30" t="inlineStr">
        <is>
          <t>Sinuosity</t>
        </is>
      </c>
      <c r="D27" s="31" t="inlineStr"/>
      <c r="E27" s="32" t="n"/>
      <c r="F27" s="33" t="inlineStr"/>
      <c r="G27" s="34">
        <f>IF('Metrics'!$V$16="","",'Metrics'!$V$16)</f>
        <v/>
      </c>
      <c r="H27" s="35">
        <f>IF('Results'!$B$13="","",'Results'!$B$13)</f>
        <v/>
      </c>
      <c r="I27" s="36">
        <f>IF('DEEP Score'!$H$27="","",IF('DEEP Score'!$H$27&lt;=5,"Non-Functioning",IF('DEEP Score'!$H$27&lt;=10,"Functioning At-Risk","Functioning")))</f>
        <v/>
      </c>
    </row>
    <row r="28">
      <c r="A28" s="43" t="inlineStr">
        <is>
          <t>Geomorphology</t>
        </is>
      </c>
      <c r="B28" s="12" t="inlineStr">
        <is>
          <t>Sediment continuity</t>
        </is>
      </c>
      <c r="C28" s="13" t="inlineStr">
        <is>
          <t>Relative bed stability</t>
        </is>
      </c>
      <c r="D28" s="14" t="inlineStr">
        <is>
          <t>log</t>
        </is>
      </c>
      <c r="E28" s="15" t="n"/>
      <c r="F28" s="16" t="inlineStr"/>
      <c r="G28" s="17">
        <f>IF('Metrics'!$V$17="","",'Metrics'!$V$17)</f>
        <v/>
      </c>
      <c r="H28" s="18">
        <f>IF('Results'!$B$14="","",'Results'!$B$14)</f>
        <v/>
      </c>
      <c r="I28" s="19">
        <f>IF('DEEP Score'!$H$28="","",IF('DEEP Score'!$H$28&lt;=5,"Non-Functioning",IF('DEEP Score'!$H$28&lt;=10,"Functioning At-Risk","Functioning")))</f>
        <v/>
      </c>
    </row>
    <row r="29">
      <c r="A29" s="20" t="n"/>
      <c r="B29" s="21" t="n"/>
      <c r="C29" s="22" t="inlineStr">
        <is>
          <t>Sand + fines</t>
        </is>
      </c>
      <c r="D29" s="23" t="inlineStr">
        <is>
          <t>%</t>
        </is>
      </c>
      <c r="E29" s="44">
        <f>IF('DEEP Score'!$E$23="","",'DEEP Score'!$E$23)</f>
        <v/>
      </c>
      <c r="F29" s="45" t="inlineStr"/>
      <c r="G29" s="26">
        <f>IF('Metrics'!$V$14="","",'Metrics'!$V$14)</f>
        <v/>
      </c>
      <c r="H29" s="21" t="n"/>
      <c r="I29" s="27" t="n"/>
    </row>
    <row r="30">
      <c r="A30" s="43" t="inlineStr">
        <is>
          <t>Geomorphology</t>
        </is>
      </c>
      <c r="B30" s="12" t="inlineStr">
        <is>
          <t>Bed composition and bedform dynamics</t>
        </is>
      </c>
      <c r="C30" s="13" t="inlineStr">
        <is>
          <t>Substrate size</t>
        </is>
      </c>
      <c r="D30" s="14" t="inlineStr">
        <is>
          <t>log mm</t>
        </is>
      </c>
      <c r="E30" s="15" t="n"/>
      <c r="F30" s="16" t="inlineStr"/>
      <c r="G30" s="17">
        <f>IF('Metrics'!$V$18="","",'Metrics'!$V$18)</f>
        <v/>
      </c>
      <c r="H30" s="18">
        <f>IF('Results'!$B$15="","",'Results'!$B$15)</f>
        <v/>
      </c>
      <c r="I30" s="19">
        <f>IF('DEEP Score'!$H$30="","",IF('DEEP Score'!$H$30&lt;=5,"Non-Functioning",IF('DEEP Score'!$H$30&lt;=10,"Functioning At-Risk","Functioning")))</f>
        <v/>
      </c>
    </row>
    <row r="31">
      <c r="A31" s="20" t="n"/>
      <c r="B31" s="21" t="n"/>
      <c r="C31" s="22" t="inlineStr">
        <is>
          <t>Large wood volume</t>
        </is>
      </c>
      <c r="D31" s="23" t="inlineStr">
        <is>
          <t>m3/100m</t>
        </is>
      </c>
      <c r="E31" s="24" t="n"/>
      <c r="F31" s="25" t="inlineStr"/>
      <c r="G31" s="26">
        <f>IF('Metrics'!$V$19="","",'Metrics'!$V$19)</f>
        <v/>
      </c>
      <c r="H31" s="21" t="n"/>
      <c r="I31" s="27" t="n"/>
    </row>
    <row r="32">
      <c r="A32" s="47" t="inlineStr">
        <is>
          <t>Physicochemistry</t>
        </is>
      </c>
      <c r="B32" s="12" t="inlineStr">
        <is>
          <t>Light &amp; thermal regime</t>
        </is>
      </c>
      <c r="C32" s="13" t="inlineStr">
        <is>
          <t>Canopy density, mid-channel</t>
        </is>
      </c>
      <c r="D32" s="14" t="inlineStr">
        <is>
          <t>%</t>
        </is>
      </c>
      <c r="E32" s="15" t="n"/>
      <c r="F32" s="48" t="inlineStr">
        <is>
          <t>All streams (pooled)</t>
        </is>
      </c>
      <c r="G32" s="17">
        <f>IF('Metrics'!$V$20="","",'Metrics'!$V$20)</f>
        <v/>
      </c>
      <c r="H32" s="18">
        <f>IF('Results'!$B$16="","",'Results'!$B$16)</f>
        <v/>
      </c>
      <c r="I32" s="19">
        <f>IF('DEEP Score'!$H$32="","",IF('DEEP Score'!$H$32&lt;=5,"Non-Functioning",IF('DEEP Score'!$H$32&lt;=10,"Functioning At-Risk","Functioning")))</f>
        <v/>
      </c>
    </row>
    <row r="33">
      <c r="A33" s="20" t="n"/>
      <c r="B33" s="21" t="n"/>
      <c r="C33" s="22" t="inlineStr">
        <is>
          <t>Chlorophyll a</t>
        </is>
      </c>
      <c r="D33" s="23" t="inlineStr">
        <is>
          <t>ug/L</t>
        </is>
      </c>
      <c r="E33" s="24" t="n"/>
      <c r="F33" s="25" t="inlineStr"/>
      <c r="G33" s="26">
        <f>IF('Metrics'!$V$21="","",'Metrics'!$V$21)</f>
        <v/>
      </c>
      <c r="H33" s="21" t="n"/>
      <c r="I33" s="27" t="n"/>
    </row>
    <row r="34">
      <c r="A34" s="49" t="inlineStr">
        <is>
          <t>Physicochemistry</t>
        </is>
      </c>
      <c r="B34" s="29" t="inlineStr">
        <is>
          <t>Carbon processing</t>
        </is>
      </c>
      <c r="C34" s="30" t="inlineStr">
        <is>
          <t>Riparian veg cover, woody</t>
        </is>
      </c>
      <c r="D34" s="31" t="inlineStr">
        <is>
          <t>frac</t>
        </is>
      </c>
      <c r="E34" s="32" t="n"/>
      <c r="F34" s="33" t="inlineStr"/>
      <c r="G34" s="34">
        <f>IF('Metrics'!$V$22="","",'Metrics'!$V$22)</f>
        <v/>
      </c>
      <c r="H34" s="35">
        <f>IF('Results'!$B$17="","",'Results'!$B$17)</f>
        <v/>
      </c>
      <c r="I34" s="36">
        <f>IF('DEEP Score'!$H$34="","",IF('DEEP Score'!$H$34&lt;=5,"Non-Functioning",IF('DEEP Score'!$H$34&lt;=10,"Functioning At-Risk","Functioning")))</f>
        <v/>
      </c>
    </row>
    <row r="35">
      <c r="A35" s="47" t="inlineStr">
        <is>
          <t>Physicochemistry</t>
        </is>
      </c>
      <c r="B35" s="12" t="inlineStr">
        <is>
          <t>Nutrient cycling</t>
        </is>
      </c>
      <c r="C35" s="13" t="inlineStr">
        <is>
          <t>Total nitrogen</t>
        </is>
      </c>
      <c r="D35" s="14" t="inlineStr">
        <is>
          <t>mg N/L</t>
        </is>
      </c>
      <c r="E35" s="15" t="n"/>
      <c r="F35" s="16" t="inlineStr"/>
      <c r="G35" s="17">
        <f>IF('Metrics'!$V$23="","",'Metrics'!$V$23)</f>
        <v/>
      </c>
      <c r="H35" s="18">
        <f>IF('Results'!$B$18="","",'Results'!$B$18)</f>
        <v/>
      </c>
      <c r="I35" s="19">
        <f>IF('DEEP Score'!$H$35="","",IF('DEEP Score'!$H$35&lt;=5,"Non-Functioning",IF('DEEP Score'!$H$35&lt;=10,"Functioning At-Risk","Functioning")))</f>
        <v/>
      </c>
    </row>
    <row r="36">
      <c r="A36" s="20" t="n"/>
      <c r="B36" s="21" t="n"/>
      <c r="C36" s="22" t="inlineStr">
        <is>
          <t>Total phosphorus</t>
        </is>
      </c>
      <c r="D36" s="23" t="inlineStr">
        <is>
          <t>ug/L</t>
        </is>
      </c>
      <c r="E36" s="24" t="n"/>
      <c r="F36" s="25" t="inlineStr"/>
      <c r="G36" s="26">
        <f>IF('Metrics'!$V$24="","",'Metrics'!$V$24)</f>
        <v/>
      </c>
      <c r="H36" s="21" t="n"/>
      <c r="I36" s="27" t="n"/>
    </row>
    <row r="37">
      <c r="A37" s="47" t="inlineStr">
        <is>
          <t>Physicochemistry</t>
        </is>
      </c>
      <c r="B37" s="12" t="inlineStr">
        <is>
          <t>Water &amp; soil quality</t>
        </is>
      </c>
      <c r="C37" s="13" t="inlineStr">
        <is>
          <t>Specific conductivity</t>
        </is>
      </c>
      <c r="D37" s="14" t="inlineStr">
        <is>
          <t>uS/cm</t>
        </is>
      </c>
      <c r="E37" s="15" t="n"/>
      <c r="F37" s="16" t="inlineStr"/>
      <c r="G37" s="17">
        <f>IF('Metrics'!$V$25="","",'Metrics'!$V$25)</f>
        <v/>
      </c>
      <c r="H37" s="18">
        <f>IF('Results'!$B$19="","",'Results'!$B$19)</f>
        <v/>
      </c>
      <c r="I37" s="19">
        <f>IF('DEEP Score'!$H$37="","",IF('DEEP Score'!$H$37&lt;=5,"Non-Functioning",IF('DEEP Score'!$H$37&lt;=10,"Functioning At-Risk","Functioning")))</f>
        <v/>
      </c>
    </row>
    <row r="38">
      <c r="A38" s="20" t="n"/>
      <c r="B38" s="21" t="n"/>
      <c r="C38" s="22" t="inlineStr">
        <is>
          <t>Turbidity</t>
        </is>
      </c>
      <c r="D38" s="23" t="inlineStr">
        <is>
          <t>NTU</t>
        </is>
      </c>
      <c r="E38" s="24" t="n"/>
      <c r="F38" s="25" t="inlineStr"/>
      <c r="G38" s="26">
        <f>IF('Metrics'!$V$26="","",'Metrics'!$V$26)</f>
        <v/>
      </c>
      <c r="H38" s="21" t="n"/>
      <c r="I38" s="27" t="n"/>
    </row>
    <row r="39">
      <c r="A39" s="50" t="inlineStr">
        <is>
          <t>Biology</t>
        </is>
      </c>
      <c r="B39" s="12" t="inlineStr">
        <is>
          <t>Habitat provision</t>
        </is>
      </c>
      <c r="C39" s="13" t="inlineStr">
        <is>
          <t>Natural fish cover</t>
        </is>
      </c>
      <c r="D39" s="14" t="inlineStr">
        <is>
          <t>frac</t>
        </is>
      </c>
      <c r="E39" s="15" t="n"/>
      <c r="F39" s="48" t="inlineStr">
        <is>
          <t>All streams (pooled)</t>
        </is>
      </c>
      <c r="G39" s="17">
        <f>IF('Metrics'!$V$27="","",'Metrics'!$V$27)</f>
        <v/>
      </c>
      <c r="H39" s="18">
        <f>IF('Results'!$B$20="","",'Results'!$B$20)</f>
        <v/>
      </c>
      <c r="I39" s="19">
        <f>IF('DEEP Score'!$H$39="","",IF('DEEP Score'!$H$39&lt;=5,"Non-Functioning",IF('DEEP Score'!$H$39&lt;=10,"Functioning At-Risk","Functioning")))</f>
        <v/>
      </c>
    </row>
    <row r="40">
      <c r="A40" s="20" t="n"/>
      <c r="B40" s="21" t="n"/>
      <c r="C40" s="22" t="inlineStr">
        <is>
          <t>Fast-water / riffle habitat</t>
        </is>
      </c>
      <c r="D40" s="23" t="inlineStr">
        <is>
          <t>%</t>
        </is>
      </c>
      <c r="E40" s="24" t="n"/>
      <c r="F40" s="25" t="inlineStr"/>
      <c r="G40" s="26">
        <f>IF('Metrics'!$V$28="","",'Metrics'!$V$28)</f>
        <v/>
      </c>
      <c r="H40" s="21" t="n"/>
      <c r="I40" s="27" t="n"/>
    </row>
    <row r="41">
      <c r="A41" s="50" t="inlineStr">
        <is>
          <t>Biology</t>
        </is>
      </c>
      <c r="B41" s="12" t="inlineStr">
        <is>
          <t>Population support</t>
        </is>
      </c>
      <c r="C41" s="13" t="inlineStr">
        <is>
          <t>Fish MMI</t>
        </is>
      </c>
      <c r="D41" s="14" t="inlineStr">
        <is>
          <t>MMI points</t>
        </is>
      </c>
      <c r="E41" s="15" t="n"/>
      <c r="F41" s="16" t="inlineStr"/>
      <c r="G41" s="17">
        <f>IF('Metrics'!$V$29="","",'Metrics'!$V$29)</f>
        <v/>
      </c>
      <c r="H41" s="18">
        <f>IF('Results'!$B$21="","",'Results'!$B$21)</f>
        <v/>
      </c>
      <c r="I41" s="19">
        <f>IF('DEEP Score'!$H$41="","",IF('DEEP Score'!$H$41&lt;=5,"Non-Functioning",IF('DEEP Score'!$H$41&lt;=10,"Functioning At-Risk","Functioning")))</f>
        <v/>
      </c>
    </row>
    <row r="42">
      <c r="A42" s="20" t="n"/>
      <c r="B42" s="21" t="n"/>
      <c r="C42" s="22" t="inlineStr">
        <is>
          <t>Benthic total taxa richness</t>
        </is>
      </c>
      <c r="D42" s="23" t="inlineStr"/>
      <c r="E42" s="24" t="n"/>
      <c r="F42" s="25" t="inlineStr"/>
      <c r="G42" s="26">
        <f>IF('Metrics'!$V$30="","",'Metrics'!$V$30)</f>
        <v/>
      </c>
      <c r="H42" s="21" t="n"/>
      <c r="I42" s="27" t="n"/>
    </row>
    <row r="43">
      <c r="A43" s="50" t="inlineStr">
        <is>
          <t>Biology</t>
        </is>
      </c>
      <c r="B43" s="12" t="inlineStr">
        <is>
          <t>Community dynamics</t>
        </is>
      </c>
      <c r="C43" s="13" t="inlineStr">
        <is>
          <t>Shannon diversity (H')</t>
        </is>
      </c>
      <c r="D43" s="14" t="inlineStr">
        <is>
          <t>H'</t>
        </is>
      </c>
      <c r="E43" s="15" t="n"/>
      <c r="F43" s="16" t="inlineStr"/>
      <c r="G43" s="17">
        <f>IF('Metrics'!$V$31="","",'Metrics'!$V$31)</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IF('Metrics'!$V$32="","",'Metrics'!$V$32)</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IF('Metrics'!$V$33="","",'Metrics'!$V$33)</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EPT taxa richness</t>
        </is>
      </c>
      <c r="C57" s="5" t="inlineStr">
        <is>
          <t>Community dynamics</t>
        </is>
      </c>
    </row>
    <row r="58">
      <c r="A58" t="inlineStr">
        <is>
          <t>Native fish taxa richness</t>
        </is>
      </c>
      <c r="C58" s="5" t="inlineStr">
        <is>
          <t>Population support</t>
        </is>
      </c>
    </row>
    <row r="59">
      <c r="A59" t="inlineStr">
        <is>
          <t>Bank angle</t>
        </is>
      </c>
      <c r="C59" s="5" t="inlineStr">
        <is>
          <t>Channel and floodplain dynamics</t>
        </is>
      </c>
    </row>
    <row r="61">
      <c r="A61" s="6" t="inlineStr">
        <is>
          <t>Notes</t>
        </is>
      </c>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5" t="n"/>
      <c r="B67" s="66" t="n"/>
      <c r="C67" s="66" t="n"/>
      <c r="D67" s="66" t="n"/>
      <c r="E67" s="66" t="n"/>
      <c r="F67" s="66" t="n"/>
      <c r="G67" s="66" t="n"/>
      <c r="H67" s="66" t="n"/>
      <c r="I67"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I30:I31"/>
    <mergeCell ref="I32:I33"/>
    <mergeCell ref="B43:B44"/>
    <mergeCell ref="H43:H44"/>
    <mergeCell ref="B12:B13"/>
    <mergeCell ref="B18:B19"/>
    <mergeCell ref="B8:D8"/>
    <mergeCell ref="I16:I17"/>
    <mergeCell ref="A41:A42"/>
    <mergeCell ref="H41:H42"/>
    <mergeCell ref="A16:A17"/>
    <mergeCell ref="H21:H22"/>
    <mergeCell ref="I41:I42"/>
    <mergeCell ref="B23:B24"/>
    <mergeCell ref="I28:I29"/>
    <mergeCell ref="H35:H36"/>
    <mergeCell ref="B39:B40"/>
    <mergeCell ref="H39:H40"/>
    <mergeCell ref="I18:I19"/>
    <mergeCell ref="I25:I26"/>
    <mergeCell ref="A12:A13"/>
    <mergeCell ref="A25:A26"/>
    <mergeCell ref="A62:I67"/>
    <mergeCell ref="I12:I13"/>
    <mergeCell ref="B9:D9"/>
    <mergeCell ref="I21:I22"/>
    <mergeCell ref="A37:A38"/>
    <mergeCell ref="I37:I38"/>
    <mergeCell ref="B28:B29"/>
    <mergeCell ref="A18:A19"/>
    <mergeCell ref="B6:D6"/>
    <mergeCell ref="B37:B38"/>
    <mergeCell ref="I43:I44"/>
    <mergeCell ref="A21:A22"/>
    <mergeCell ref="A4:I4"/>
    <mergeCell ref="A32:A33"/>
    <mergeCell ref="B5:D5"/>
    <mergeCell ref="I39:I40"/>
    <mergeCell ref="H16:H17"/>
    <mergeCell ref="H32:H33"/>
    <mergeCell ref="H12:H13"/>
    <mergeCell ref="A23:A24"/>
    <mergeCell ref="H28:H29"/>
    <mergeCell ref="I23:I24"/>
    <mergeCell ref="H37:H38"/>
    <mergeCell ref="B7:D7"/>
    <mergeCell ref="H18:H19"/>
    <mergeCell ref="B30:B31"/>
    <mergeCell ref="I35:I36"/>
    <mergeCell ref="A35:A36"/>
    <mergeCell ref="A43:A44"/>
    <mergeCell ref="B32:B33"/>
    <mergeCell ref="H30:H31"/>
    <mergeCell ref="A28:A29"/>
    <mergeCell ref="A39:A40"/>
    <mergeCell ref="B25:B26"/>
    <mergeCell ref="B41:B42"/>
    <mergeCell ref="B16:B17"/>
    <mergeCell ref="H23:H24"/>
    <mergeCell ref="H25:H26"/>
    <mergeCell ref="B21:B22"/>
    <mergeCell ref="B35:B36"/>
    <mergeCell ref="A30:A31"/>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32" showDropDown="0" showInputMessage="0" showErrorMessage="1" allowBlank="1" errorTitle="Curve set" error="Choose a curve set from the list." type="list">
      <formula1>=strata_spring_phab_xcdenmid</formula1>
    </dataValidation>
    <dataValidation sqref="F39"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f>
        <v/>
      </c>
      <c r="D12" s="70">
        <f>"spring_phab_bfwd_rat|"&amp;'Metrics'!$C$12</f>
        <v/>
      </c>
      <c r="E12" s="70">
        <f>IFERROR(MATCH('Metrics'!$D$12,curve_key,0),MATCH("spring_phab_bfwd_rat|",curve_key,0))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Score'!$E$28="","",'DEEP Score'!$E$28)</f>
        <v/>
      </c>
      <c r="C17" s="70">
        <f>""</f>
        <v/>
      </c>
      <c r="D17" s="70">
        <f>"spring_phab_lrbs_use|"&amp;'Metrics'!$C$17</f>
        <v/>
      </c>
      <c r="E17" s="70">
        <f>IFERROR(MATCH('Metrics'!$D$17,curve_key,0),MATCH("spring_phab_lrbs_use|",curve_key,0))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Substrate size</t>
        </is>
      </c>
      <c r="B18" s="70">
        <f>IF('DEEP Score'!$E$30="","",'DEEP Score'!$E$30)</f>
        <v/>
      </c>
      <c r="C18" s="70">
        <f>""</f>
        <v/>
      </c>
      <c r="D18" s="70">
        <f>"spring_phab_lsub_dmm|"&amp;'Metrics'!$C$18</f>
        <v/>
      </c>
      <c r="E18" s="70">
        <f>IFERROR(MATCH('Metrics'!$D$18,curve_key,0),MATCH("spring_phab_lsub_dmm|",curve_key,0))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Score'!$E$31="","",'DEEP Score'!$E$31)</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Score'!$E$32="","",'DEEP Score'!$E$32)</f>
        <v/>
      </c>
      <c r="C20" s="70">
        <f>IF('DEEP Score'!$F$32="","All streams (pooled)",'DEEP Score'!$F$32)</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Chlorophyll a</t>
        </is>
      </c>
      <c r="B21" s="70">
        <f>IF('DEEP Score'!$E$33="","",'DEEP Score'!$E$33)</f>
        <v/>
      </c>
      <c r="C21" s="70">
        <f>""</f>
        <v/>
      </c>
      <c r="D21" s="70">
        <f>"spring_chem_chla|"&amp;'Metrics'!$C$21</f>
        <v/>
      </c>
      <c r="E21" s="70">
        <f>IFERROR(MATCH('Metrics'!$D$21,curve_key,0),MATCH("spring_chem_chla|",curve_key,0))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Score'!$E$34="","",'DEEP Score'!$E$34)</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Score'!$E$35="","",'DEEP Score'!$E$35)</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Score'!$E$36="","",'DEEP Score'!$E$36)</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Score'!$E$37="","",'DEEP Score'!$E$37)</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Score'!$E$38="","",'DEEP Score'!$E$38)</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Score'!$E$39="","",'DEEP Score'!$E$39)</f>
        <v/>
      </c>
      <c r="C27" s="70">
        <f>IF('DEEP Score'!$F$39="","All streams (pooled)",'DEEP Score'!$F$39)</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Fast-water / riffle habitat</t>
        </is>
      </c>
      <c r="B28" s="70">
        <f>IF('DEEP Score'!$E$40="","",'DEEP Score'!$E$40)</f>
        <v/>
      </c>
      <c r="C28" s="70">
        <f>""</f>
        <v/>
      </c>
      <c r="D28" s="70">
        <f>"spring_phab_pct_fast|"&amp;'Metrics'!$C$28</f>
        <v/>
      </c>
      <c r="E28" s="70">
        <f>IFERROR(MATCH('Metrics'!$D$28,curve_key,0),MATCH("spring_phab_pct_fast|",curve_key,0))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Fish MMI</t>
        </is>
      </c>
      <c r="B29" s="70">
        <f>IF('DEEP Score'!$E$41="","",'DEEP Score'!$E$41)</f>
        <v/>
      </c>
      <c r="C29" s="70">
        <f>""</f>
        <v/>
      </c>
      <c r="D29" s="70">
        <f>"spring_fish_mmi_fish|"&amp;'Metrics'!$C$29</f>
        <v/>
      </c>
      <c r="E29" s="70">
        <f>IFERROR(MATCH('Metrics'!$D$29,curve_key,0),MATCH("spring_fish_mmi_fish|",curve_key,0))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total taxa richness</t>
        </is>
      </c>
      <c r="B30" s="70">
        <f>IF('DEEP Score'!$E$42="","",'DEEP Score'!$E$42)</f>
        <v/>
      </c>
      <c r="C30" s="70">
        <f>""</f>
        <v/>
      </c>
      <c r="D30" s="70">
        <f>"spring_bent_totlntax|"&amp;'Metrics'!$C$30</f>
        <v/>
      </c>
      <c r="E30" s="70">
        <f>IFERROR(MATCH('Metrics'!$D$30,curve_key,0),MATCH("spring_bent_totlntax|",curve_key,0))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Score'!$E$43="","",'DEEP Score'!$E$43)</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Tolerant individuals (%) ~ HBI</t>
        </is>
      </c>
      <c r="B32" s="70">
        <f>IF('DEEP Score'!$E$44="","",'DEEP Score'!$E$44)</f>
        <v/>
      </c>
      <c r="C32" s="70">
        <f>""</f>
        <v/>
      </c>
      <c r="D32" s="70">
        <f>"spring_bent_tolrpind|"&amp;'Metrics'!$C$32</f>
        <v/>
      </c>
      <c r="E32" s="70">
        <f>IFERROR(MATCH('Metrics'!$D$32,curve_key,0),MATCH("spring_bent_tolrpind|",curve_key,0))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Mapped dams within one mile</t>
        </is>
      </c>
      <c r="B33" s="70">
        <f>IF('DEEP Score'!$E$45="","",'DEEP Score'!$E$45)</f>
        <v/>
      </c>
      <c r="C33" s="70">
        <f>""</f>
        <v/>
      </c>
      <c r="D33" s="70">
        <f>"spring_nid_dams_1mi|"&amp;'Metrics'!$C$33</f>
        <v/>
      </c>
      <c r="E33" s="70">
        <f>IFERROR(MATCH('Metrics'!$D$33,curve_key,0),MATCH("spring_nid_dams_1mi|",curve_key,0))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Score'!G27:G27)=0,"",SUM('DEEP Score'!G27:G27)/COUNT('DEEP Score'!G27:G27)*15)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Score'!G28:G29)=0,"",SUM('DEEP Score'!G28:G29)/COUNT('DEEP Score'!G28:G29)*15)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Score'!G30:G31)=0,"",SUM('DEEP Score'!G30:G31)/COUNT('DEEP Score'!G30:G31)*15)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Score'!G32:G33)=0,"",SUM('DEEP Score'!G32:G33)/COUNT('DEEP Score'!G32:G33)*15)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Score'!G34:G34)=0,"",SUM('DEEP Score'!G34:G34)/COUNT('DEEP Score'!G34:G34)*15)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Score'!G35:G36)=0,"",SUM('DEEP Score'!G35:G36)/COUNT('DEEP Score'!G35:G36)*15)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Score'!G37:G38)=0,"",SUM('DEEP Score'!G37:G38)/COUNT('DEEP Score'!G37:G38)*15)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Score'!G39:G40)=0,"",SUM('DEEP Score'!G39:G40)/COUNT('DEEP Score'!G39:G40)*15)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46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9" t="n">
        <v>0</v>
      </c>
      <c r="H9" s="69" t="n">
        <v>26.05746428571429</v>
      </c>
      <c r="I9" s="69" t="n">
        <v>60.80075</v>
      </c>
      <c r="J9" s="69" t="n">
        <v>69.46102499999999</v>
      </c>
      <c r="K9" s="69" t="n">
        <v>73.79116249999998</v>
      </c>
      <c r="L9" s="69" t="n">
        <v>73.79116249999998</v>
      </c>
      <c r="M9" s="69" t="n">
        <v>73.79116249999998</v>
      </c>
      <c r="N9" s="69" t="n">
        <v>73.79116249999998</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23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11" s="69" t="n">
        <v>0</v>
      </c>
      <c r="H11" s="69" t="n">
        <v>6.468082768576486</v>
      </c>
      <c r="I11" s="69" t="n">
        <v>15.09219312667847</v>
      </c>
      <c r="J11" s="69" t="n">
        <v>25.76956176757812</v>
      </c>
      <c r="K11" s="69" t="n">
        <v>31.10824608802795</v>
      </c>
      <c r="L11" s="69" t="n">
        <v>31.10824608802795</v>
      </c>
      <c r="M11" s="69" t="n">
        <v>31.10824608802795</v>
      </c>
      <c r="N11" s="69" t="n">
        <v>31.10824608802795</v>
      </c>
      <c r="O11" s="69" t="n">
        <v>0</v>
      </c>
      <c r="P11" s="69" t="n">
        <v>0.3</v>
      </c>
      <c r="Q11" s="69" t="n">
        <v>0.7</v>
      </c>
      <c r="R11" s="69" t="n">
        <v>1</v>
      </c>
      <c r="S11" s="69" t="n">
        <v>1</v>
      </c>
      <c r="T11" s="69" t="n">
        <v>1</v>
      </c>
      <c r="U11" s="69" t="n">
        <v>1</v>
      </c>
      <c r="V11" s="69" t="n">
        <v>1</v>
      </c>
    </row>
    <row r="12">
      <c r="A12" s="69" t="inlineStr">
        <is>
          <t>spring_phab_bfwd_rat|</t>
        </is>
      </c>
      <c r="B12" s="69" t="inlineStr">
        <is>
          <t>spring-phab-bfwd-rat</t>
        </is>
      </c>
      <c r="C12" s="69" t="inlineStr">
        <is>
          <t>Bankfull width:depth ratio</t>
        </is>
      </c>
      <c r="D12" s="69" t="inlineStr"/>
      <c r="E12" s="69" t="n">
        <v>7</v>
      </c>
      <c r="F12" s="69" t="inlineStr">
        <is>
          <t>24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+0.08, at most 0.05 allowed); confidence capped at 39.</t>
        </is>
      </c>
      <c r="G12" s="69" t="n">
        <v>0</v>
      </c>
      <c r="H12" s="69" t="n">
        <v>5.106284141540527</v>
      </c>
      <c r="I12" s="69" t="n">
        <v>8.508965492248535</v>
      </c>
      <c r="J12" s="69" t="n">
        <v>18.23091220855713</v>
      </c>
      <c r="K12" s="69" t="n">
        <v>21.63359355926514</v>
      </c>
      <c r="L12" s="69" t="n">
        <v>27.95285892486572</v>
      </c>
      <c r="M12" s="69" t="n">
        <v>37.67480564117432</v>
      </c>
      <c r="N12" s="69" t="n">
        <v>37.67480564117432</v>
      </c>
      <c r="O12" s="69" t="n">
        <v>0</v>
      </c>
      <c r="P12" s="69" t="n">
        <v>0.7</v>
      </c>
      <c r="Q12" s="69" t="n">
        <v>1</v>
      </c>
      <c r="R12" s="69" t="n">
        <v>1</v>
      </c>
      <c r="S12" s="69" t="n">
        <v>0.7</v>
      </c>
      <c r="T12" s="69" t="n">
        <v>0.3</v>
      </c>
      <c r="U12" s="69" t="n">
        <v>0</v>
      </c>
      <c r="V12" s="69" t="n">
        <v>0</v>
      </c>
    </row>
    <row r="13">
      <c r="A13" s="69" t="inlineStr">
        <is>
          <t>spring_phab_xbkf_h|</t>
        </is>
      </c>
      <c r="B13" s="69" t="inlineStr">
        <is>
          <t>spring-phab-xbkf-h</t>
        </is>
      </c>
      <c r="C13" s="69" t="inlineStr">
        <is>
          <t>Bankfull height above channel</t>
        </is>
      </c>
      <c r="D13" s="69" t="inlineStr"/>
      <c r="E13" s="69" t="n">
        <v>7</v>
      </c>
      <c r="F13" s="69" t="inlineStr">
        <is>
          <t>24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3" s="69" t="n">
        <v>0</v>
      </c>
      <c r="H13" s="69" t="n">
        <v>0.2336249895393848</v>
      </c>
      <c r="I13" s="69" t="n">
        <v>0.3674999922513962</v>
      </c>
      <c r="J13" s="69" t="n">
        <v>0.75</v>
      </c>
      <c r="K13" s="69" t="n">
        <v>0.8838750027120114</v>
      </c>
      <c r="L13" s="69" t="n">
        <v>1.132500007748604</v>
      </c>
      <c r="M13" s="69" t="n">
        <v>1.515000015497208</v>
      </c>
      <c r="N13" s="69" t="n">
        <v>1.515000015497208</v>
      </c>
      <c r="O13" s="69" t="n">
        <v>0</v>
      </c>
      <c r="P13" s="69" t="n">
        <v>0.7</v>
      </c>
      <c r="Q13" s="69" t="n">
        <v>1</v>
      </c>
      <c r="R13" s="69" t="n">
        <v>1</v>
      </c>
      <c r="S13" s="69" t="n">
        <v>0.7</v>
      </c>
      <c r="T13" s="69" t="n">
        <v>0.3</v>
      </c>
      <c r="U13" s="69" t="n">
        <v>0</v>
      </c>
      <c r="V13" s="69" t="n">
        <v>0</v>
      </c>
    </row>
    <row r="14">
      <c r="A14" s="69" t="inlineStr">
        <is>
          <t>spring_phab_pct_safn|</t>
        </is>
      </c>
      <c r="B14" s="69" t="inlineStr">
        <is>
          <t>spring-phab-pct-safn</t>
        </is>
      </c>
      <c r="C14" s="69" t="inlineStr">
        <is>
          <t>Sand + fines</t>
        </is>
      </c>
      <c r="D14" s="69" t="inlineStr"/>
      <c r="E14" s="69" t="n">
        <v>4</v>
      </c>
      <c r="F14" s="69" t="inlineStr">
        <is>
          <t>24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+0.05, at most 0.05 allowed); confidence capped at 39.</t>
        </is>
      </c>
      <c r="G14" s="69" t="n">
        <v>6.128363847732544</v>
      </c>
      <c r="H14" s="69" t="n">
        <v>25.5900616645813</v>
      </c>
      <c r="I14" s="69" t="n">
        <v>64.51345729827881</v>
      </c>
      <c r="J14" s="69" t="n">
        <v>100</v>
      </c>
      <c r="K14" s="69" t="n">
        <v>100</v>
      </c>
      <c r="L14" s="69" t="n">
        <v>100</v>
      </c>
      <c r="M14" s="69" t="n">
        <v>100</v>
      </c>
      <c r="N14" s="69" t="n">
        <v>100</v>
      </c>
      <c r="O14" s="69" t="n">
        <v>1</v>
      </c>
      <c r="P14" s="69" t="n">
        <v>1</v>
      </c>
      <c r="Q14" s="69" t="n">
        <v>0.7</v>
      </c>
      <c r="R14" s="69" t="n">
        <v>0</v>
      </c>
      <c r="S14" s="69" t="n">
        <v>0</v>
      </c>
      <c r="T14" s="69" t="n">
        <v>0</v>
      </c>
      <c r="U14" s="69" t="n">
        <v>0</v>
      </c>
      <c r="V14" s="69" t="n">
        <v>0</v>
      </c>
    </row>
    <row r="15">
      <c r="A15" s="69" t="inlineStr">
        <is>
          <t>spring_phab_xembed|</t>
        </is>
      </c>
      <c r="B15" s="69" t="inlineStr">
        <is>
          <t>spring-phab-xembed</t>
        </is>
      </c>
      <c r="C15" s="69" t="inlineStr">
        <is>
          <t>Embeddedness</t>
        </is>
      </c>
      <c r="D15" s="69" t="inlineStr"/>
      <c r="E15" s="69" t="n">
        <v>4</v>
      </c>
      <c r="F15" s="69" t="inlineStr">
        <is>
          <t>19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15" s="69" t="n">
        <v>31.75</v>
      </c>
      <c r="H15" s="69" t="n">
        <v>47</v>
      </c>
      <c r="I15" s="69" t="n">
        <v>77.5</v>
      </c>
      <c r="J15" s="69" t="n">
        <v>100</v>
      </c>
      <c r="K15" s="69" t="n">
        <v>100</v>
      </c>
      <c r="L15" s="69" t="n">
        <v>100</v>
      </c>
      <c r="M15" s="69" t="n">
        <v>100</v>
      </c>
      <c r="N15" s="69" t="n">
        <v>100</v>
      </c>
      <c r="O15" s="69" t="n">
        <v>1</v>
      </c>
      <c r="P15" s="69" t="n">
        <v>1</v>
      </c>
      <c r="Q15" s="69" t="n">
        <v>0.7</v>
      </c>
      <c r="R15" s="69" t="n">
        <v>0</v>
      </c>
      <c r="S15" s="69" t="n">
        <v>0</v>
      </c>
      <c r="T15" s="69" t="n">
        <v>0</v>
      </c>
      <c r="U15" s="69" t="n">
        <v>0</v>
      </c>
      <c r="V15" s="69" t="n">
        <v>0</v>
      </c>
    </row>
    <row r="16">
      <c r="A16" s="69" t="inlineStr">
        <is>
          <t>spring_phab_sinu|</t>
        </is>
      </c>
      <c r="B16" s="69" t="inlineStr">
        <is>
          <t>spring-phab-sinu</t>
        </is>
      </c>
      <c r="C16" s="69" t="inlineStr">
        <is>
          <t>Sinuosity</t>
        </is>
      </c>
      <c r="D16" s="69" t="inlineStr"/>
      <c r="E16" s="69" t="n">
        <v>4</v>
      </c>
      <c r="F16" s="69" t="inlineStr">
        <is>
          <t>19 least-disturbed stations borrowed from NARS-9 region XER under the regional screen (agriculture at most 25 percent), transfer risk high</t>
        </is>
      </c>
      <c r="G16" s="69" t="n">
        <v>1</v>
      </c>
      <c r="H16" s="69" t="n">
        <v>1.124687433242798</v>
      </c>
      <c r="I16" s="69" t="n">
        <v>1.481231391429901</v>
      </c>
      <c r="J16" s="69" t="n">
        <v>1.659503370523453</v>
      </c>
      <c r="K16" s="69" t="n">
        <v>1.659503370523453</v>
      </c>
      <c r="L16" s="69" t="n">
        <v>1.659503370523453</v>
      </c>
      <c r="M16" s="69" t="n">
        <v>1.659503370523453</v>
      </c>
      <c r="N16" s="69" t="n">
        <v>1.659503370523453</v>
      </c>
      <c r="O16" s="69" t="n">
        <v>0</v>
      </c>
      <c r="P16" s="69" t="n">
        <v>0.7</v>
      </c>
      <c r="Q16" s="69" t="n">
        <v>1</v>
      </c>
      <c r="R16" s="69" t="n">
        <v>1</v>
      </c>
      <c r="S16" s="69" t="n">
        <v>1</v>
      </c>
      <c r="T16" s="69" t="n">
        <v>1</v>
      </c>
      <c r="U16" s="69" t="n">
        <v>1</v>
      </c>
      <c r="V16" s="69" t="n">
        <v>1</v>
      </c>
    </row>
    <row r="17">
      <c r="A17" s="69" t="inlineStr">
        <is>
          <t>spring_phab_lrbs_use|</t>
        </is>
      </c>
      <c r="B17" s="69" t="inlineStr">
        <is>
          <t>spring-phab-lrbs-use</t>
        </is>
      </c>
      <c r="C17" s="69" t="inlineStr">
        <is>
          <t>Relative bed stability</t>
        </is>
      </c>
      <c r="D17" s="69" t="inlineStr"/>
      <c r="E17" s="69" t="n">
        <v>8</v>
      </c>
      <c r="F17" s="69" t="inlineStr">
        <is>
          <t>23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confidence capped at 39.</t>
        </is>
      </c>
      <c r="G17" s="69" t="n">
        <v>-3.31554189324379</v>
      </c>
      <c r="H17" s="69" t="n">
        <v>-2.32852204144001</v>
      </c>
      <c r="I17" s="69" t="n">
        <v>-1.686959137767553</v>
      </c>
      <c r="J17" s="69" t="n">
        <v>-1.34150218963623</v>
      </c>
      <c r="K17" s="69" t="n">
        <v>-0.3544823378324509</v>
      </c>
      <c r="L17" s="69" t="n">
        <v>-0.009025389701128039</v>
      </c>
      <c r="M17" s="69" t="n">
        <v>0.6325375139713287</v>
      </c>
      <c r="N17" s="69" t="n">
        <v>1.619557365775108</v>
      </c>
      <c r="O17" s="69" t="n">
        <v>0</v>
      </c>
      <c r="P17" s="69" t="n">
        <v>0.3</v>
      </c>
      <c r="Q17" s="69" t="n">
        <v>0.7</v>
      </c>
      <c r="R17" s="69" t="n">
        <v>1</v>
      </c>
      <c r="S17" s="69" t="n">
        <v>1</v>
      </c>
      <c r="T17" s="69" t="n">
        <v>0.7</v>
      </c>
      <c r="U17" s="69" t="n">
        <v>0.3</v>
      </c>
      <c r="V17" s="69" t="n">
        <v>0</v>
      </c>
    </row>
    <row r="18">
      <c r="A18" s="69" t="inlineStr">
        <is>
          <t>spring_phab_lsub_dmm|</t>
        </is>
      </c>
      <c r="B18" s="69" t="inlineStr">
        <is>
          <t>spring-phab-lsub-dmm</t>
        </is>
      </c>
      <c r="C18" s="69" t="inlineStr">
        <is>
          <t>Substrate size</t>
        </is>
      </c>
      <c r="D18" s="69" t="inlineStr"/>
      <c r="E18" s="69" t="n">
        <v>5</v>
      </c>
      <c r="F18" s="69" t="inlineStr">
        <is>
          <t>24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+0.06, at most 0.05 allowed); confidence capped at 39.</t>
        </is>
      </c>
      <c r="G18" s="69" t="n">
        <v>-4.02288580685854</v>
      </c>
      <c r="H18" s="69" t="n">
        <v>-2.534600757062435</v>
      </c>
      <c r="I18" s="69" t="n">
        <v>-0.3021731823682785</v>
      </c>
      <c r="J18" s="69" t="n">
        <v>1.186111867427826</v>
      </c>
      <c r="K18" s="69" t="n">
        <v>1.930254392325878</v>
      </c>
      <c r="L18" s="69" t="n">
        <v>1.930254392325878</v>
      </c>
      <c r="M18" s="69" t="n">
        <v>1.930254392325878</v>
      </c>
      <c r="N18" s="69" t="n">
        <v>1.930254392325878</v>
      </c>
      <c r="O18" s="69" t="n">
        <v>0</v>
      </c>
      <c r="P18" s="69" t="n">
        <v>0.3</v>
      </c>
      <c r="Q18" s="69" t="n">
        <v>0.7</v>
      </c>
      <c r="R18" s="69" t="n">
        <v>1</v>
      </c>
      <c r="S18" s="69" t="n">
        <v>1</v>
      </c>
      <c r="T18" s="69" t="n">
        <v>1</v>
      </c>
      <c r="U18" s="69" t="n">
        <v>1</v>
      </c>
      <c r="V18" s="69" t="n">
        <v>1</v>
      </c>
    </row>
    <row r="19">
      <c r="A19" s="69" t="inlineStr">
        <is>
          <t>spring_phab_lwdeqvolm100|</t>
        </is>
      </c>
      <c r="B19" s="69" t="inlineStr">
        <is>
          <t>spring-phab-lwdeqvolm100</t>
        </is>
      </c>
      <c r="C19" s="69" t="inlineStr">
        <is>
          <t>Large wood volume</t>
        </is>
      </c>
      <c r="D19" s="69" t="inlineStr"/>
      <c r="E19" s="69" t="n">
        <v>5</v>
      </c>
      <c r="F19" s="69" t="inlineStr">
        <is>
          <t>Reference curve fitted to comparable least-disturbed stations drawn from the national pool, because this ecoregion and its parents hold too few of their own.</t>
        </is>
      </c>
      <c r="G19" s="69" t="n">
        <v>0</v>
      </c>
      <c r="H19" s="69" t="n">
        <v>1.149606330054147</v>
      </c>
      <c r="I19" s="69" t="n">
        <v>2.682414770126343</v>
      </c>
      <c r="J19" s="69" t="n">
        <v>21.63999938964844</v>
      </c>
      <c r="K19" s="69" t="n">
        <v>31.11879169940948</v>
      </c>
      <c r="L19" s="69" t="n">
        <v>31.11879169940948</v>
      </c>
      <c r="M19" s="69" t="n">
        <v>31.11879169940948</v>
      </c>
      <c r="N19" s="69" t="n">
        <v>31.11879169940948</v>
      </c>
      <c r="O19" s="69" t="n">
        <v>0</v>
      </c>
      <c r="P19" s="69" t="n">
        <v>0.3</v>
      </c>
      <c r="Q19" s="69" t="n">
        <v>0.7</v>
      </c>
      <c r="R19" s="69" t="n">
        <v>1</v>
      </c>
      <c r="S19" s="69" t="n">
        <v>1</v>
      </c>
      <c r="T19" s="69" t="n">
        <v>1</v>
      </c>
      <c r="U19" s="69" t="n">
        <v>1</v>
      </c>
      <c r="V19" s="69" t="n">
        <v>1</v>
      </c>
    </row>
    <row r="20">
      <c r="A20" s="69" t="inlineStr">
        <is>
          <t>spring_phab_xcdenmid|All streams (pooled)</t>
        </is>
      </c>
      <c r="B20" s="69" t="inlineStr">
        <is>
          <t>spring-phab-xcdenmid</t>
        </is>
      </c>
      <c r="C20" s="69" t="inlineStr">
        <is>
          <t>Canopy density, mid-channel</t>
        </is>
      </c>
      <c r="D20" s="69" t="inlineStr">
        <is>
          <t>All streams (pooled)</t>
        </is>
      </c>
      <c r="E20" s="69" t="n">
        <v>5</v>
      </c>
      <c r="F20" s="69" t="inlineStr">
        <is>
          <t>45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0" s="69" t="n">
        <v>0</v>
      </c>
      <c r="H20" s="69" t="n">
        <v>7.282912935529437</v>
      </c>
      <c r="I20" s="69" t="n">
        <v>16.99346351623535</v>
      </c>
      <c r="J20" s="69" t="n">
        <v>73.52941131591797</v>
      </c>
      <c r="K20" s="69" t="n">
        <v>100</v>
      </c>
      <c r="L20" s="69" t="n">
        <v>100</v>
      </c>
      <c r="M20" s="69" t="n">
        <v>100</v>
      </c>
      <c r="N20" s="69" t="n">
        <v>100</v>
      </c>
      <c r="O20" s="69" t="n">
        <v>0</v>
      </c>
      <c r="P20" s="69" t="n">
        <v>0.3</v>
      </c>
      <c r="Q20" s="69" t="n">
        <v>0.7</v>
      </c>
      <c r="R20" s="69" t="n">
        <v>1</v>
      </c>
      <c r="S20" s="69" t="n">
        <v>1</v>
      </c>
      <c r="T20" s="69" t="n">
        <v>1</v>
      </c>
      <c r="U20" s="69" t="n">
        <v>1</v>
      </c>
      <c r="V20" s="69" t="n">
        <v>1</v>
      </c>
    </row>
    <row r="21">
      <c r="A21" s="69" t="inlineStr">
        <is>
          <t>spring_phab_xcdenmid|Small stream (10 to 100 km2)</t>
        </is>
      </c>
      <c r="B21" s="69" t="inlineStr">
        <is>
          <t>spring-phab-xcdenmid</t>
        </is>
      </c>
      <c r="C21" s="69" t="inlineStr">
        <is>
          <t>Canopy density, mid-channel</t>
        </is>
      </c>
      <c r="D21" s="69" t="inlineStr">
        <is>
          <t>Small stream (10 to 100 km2)</t>
        </is>
      </c>
      <c r="E21" s="69" t="n">
        <v>5</v>
      </c>
      <c r="F21" s="69" t="inlineStr">
        <is>
          <t>45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1" s="69" t="n">
        <v>0</v>
      </c>
      <c r="H21" s="69" t="n">
        <v>22.57448468889509</v>
      </c>
      <c r="I21" s="69" t="n">
        <v>52.67379760742188</v>
      </c>
      <c r="J21" s="69" t="n">
        <v>90.80882263183594</v>
      </c>
      <c r="K21" s="69" t="n">
        <v>100</v>
      </c>
      <c r="L21" s="69" t="n">
        <v>100</v>
      </c>
      <c r="M21" s="69" t="n">
        <v>100</v>
      </c>
      <c r="N21" s="69" t="n">
        <v>100</v>
      </c>
      <c r="O21" s="69" t="n">
        <v>0</v>
      </c>
      <c r="P21" s="69" t="n">
        <v>0.3</v>
      </c>
      <c r="Q21" s="69" t="n">
        <v>0.7</v>
      </c>
      <c r="R21" s="69" t="n">
        <v>1</v>
      </c>
      <c r="S21" s="69" t="n">
        <v>1</v>
      </c>
      <c r="T21" s="69" t="n">
        <v>1</v>
      </c>
      <c r="U21" s="69" t="n">
        <v>1</v>
      </c>
      <c r="V21" s="69" t="n">
        <v>1</v>
      </c>
    </row>
    <row r="22">
      <c r="A22" s="69" t="inlineStr">
        <is>
          <t>spring_phab_xcdenmid|Large stream (over 100 km2)</t>
        </is>
      </c>
      <c r="B22" s="69" t="inlineStr">
        <is>
          <t>spring-phab-xcdenmid</t>
        </is>
      </c>
      <c r="C22" s="69" t="inlineStr">
        <is>
          <t>Canopy density, mid-channel</t>
        </is>
      </c>
      <c r="D22" s="69" t="inlineStr">
        <is>
          <t>Large stream (over 100 km2)</t>
        </is>
      </c>
      <c r="E22" s="69" t="n">
        <v>5</v>
      </c>
      <c r="F22" s="69" t="inlineStr">
        <is>
          <t>45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2" s="69" t="n">
        <v>0</v>
      </c>
      <c r="H22" s="69" t="n">
        <v>4.125286511012486</v>
      </c>
      <c r="I22" s="69" t="n">
        <v>9.625668525695801</v>
      </c>
      <c r="J22" s="69" t="n">
        <v>41.61096286773682</v>
      </c>
      <c r="K22" s="69" t="n">
        <v>57.60361003875732</v>
      </c>
      <c r="L22" s="69" t="n">
        <v>57.60361003875732</v>
      </c>
      <c r="M22" s="69" t="n">
        <v>57.60361003875732</v>
      </c>
      <c r="N22" s="69" t="n">
        <v>57.60361003875732</v>
      </c>
      <c r="O22" s="69" t="n">
        <v>0</v>
      </c>
      <c r="P22" s="69" t="n">
        <v>0.3</v>
      </c>
      <c r="Q22" s="69" t="n">
        <v>0.7</v>
      </c>
      <c r="R22" s="69" t="n">
        <v>1</v>
      </c>
      <c r="S22" s="69" t="n">
        <v>1</v>
      </c>
      <c r="T22" s="69" t="n">
        <v>1</v>
      </c>
      <c r="U22" s="69" t="n">
        <v>1</v>
      </c>
      <c r="V22" s="69" t="n">
        <v>1</v>
      </c>
    </row>
    <row r="23">
      <c r="A23" s="69" t="inlineStr">
        <is>
          <t>spring_chem_chla|</t>
        </is>
      </c>
      <c r="B23" s="69" t="inlineStr">
        <is>
          <t>spring-chem-chla</t>
        </is>
      </c>
      <c r="C23" s="69" t="inlineStr">
        <is>
          <t>Chlorophyll a</t>
        </is>
      </c>
      <c r="D23" s="69" t="inlineStr"/>
      <c r="E23" s="69" t="n">
        <v>5</v>
      </c>
      <c r="F23"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23" s="69" t="n">
        <v>0</v>
      </c>
      <c r="H23" s="69" t="n">
        <v>0.3427500054240227</v>
      </c>
      <c r="I23" s="69" t="n">
        <v>1.317500025033951</v>
      </c>
      <c r="J23" s="69" t="n">
        <v>2.779625054448843</v>
      </c>
      <c r="K23" s="69" t="n">
        <v>3.754375074058771</v>
      </c>
      <c r="L23" s="69" t="n">
        <v>3.754375074058771</v>
      </c>
      <c r="M23" s="69" t="n">
        <v>3.754375074058771</v>
      </c>
      <c r="N23" s="69" t="n">
        <v>3.754375074058771</v>
      </c>
      <c r="O23" s="69" t="n">
        <v>1</v>
      </c>
      <c r="P23" s="69" t="n">
        <v>1</v>
      </c>
      <c r="Q23" s="69" t="n">
        <v>0.7</v>
      </c>
      <c r="R23" s="69" t="n">
        <v>0.3</v>
      </c>
      <c r="S23" s="69" t="n">
        <v>0</v>
      </c>
      <c r="T23" s="69" t="n">
        <v>0</v>
      </c>
      <c r="U23" s="69" t="n">
        <v>0</v>
      </c>
      <c r="V23" s="69" t="n">
        <v>0</v>
      </c>
    </row>
    <row r="24">
      <c r="A24" s="69" t="inlineStr">
        <is>
          <t>spring_phab_xcmgw|</t>
        </is>
      </c>
      <c r="B24" s="69" t="inlineStr">
        <is>
          <t>spring-phab-xcmgw</t>
        </is>
      </c>
      <c r="C24" s="69" t="inlineStr">
        <is>
          <t>Riparian veg cover, woody</t>
        </is>
      </c>
      <c r="D24" s="69" t="inlineStr"/>
      <c r="E24" s="69" t="n">
        <v>5</v>
      </c>
      <c r="F24" s="69" t="inlineStr">
        <is>
          <t>52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24" s="69" t="n">
        <v>0</v>
      </c>
      <c r="H24" s="69" t="n">
        <v>0.2178571394511632</v>
      </c>
      <c r="I24" s="69" t="n">
        <v>0.5083333253860474</v>
      </c>
      <c r="J24" s="69" t="n">
        <v>1.047443151473999</v>
      </c>
      <c r="K24" s="69" t="n">
        <v>1.316998064517975</v>
      </c>
      <c r="L24" s="69" t="n">
        <v>1.316998064517975</v>
      </c>
      <c r="M24" s="69" t="n">
        <v>1.316998064517975</v>
      </c>
      <c r="N24" s="69" t="n">
        <v>1.316998064517975</v>
      </c>
      <c r="O24" s="69" t="n">
        <v>0</v>
      </c>
      <c r="P24" s="69" t="n">
        <v>0.3</v>
      </c>
      <c r="Q24" s="69" t="n">
        <v>0.7</v>
      </c>
      <c r="R24" s="69" t="n">
        <v>1</v>
      </c>
      <c r="S24" s="69" t="n">
        <v>1</v>
      </c>
      <c r="T24" s="69" t="n">
        <v>1</v>
      </c>
      <c r="U24" s="69" t="n">
        <v>1</v>
      </c>
      <c r="V24" s="69" t="n">
        <v>1</v>
      </c>
    </row>
    <row r="25">
      <c r="A25" s="69" t="inlineStr">
        <is>
          <t>spring_chem_ntl|</t>
        </is>
      </c>
      <c r="B25" s="69" t="inlineStr">
        <is>
          <t>spring-chem-ntl</t>
        </is>
      </c>
      <c r="C25" s="69" t="inlineStr">
        <is>
          <t>Total nitrogen</t>
        </is>
      </c>
      <c r="D25" s="69" t="inlineStr"/>
      <c r="E25" s="69" t="n">
        <v>4</v>
      </c>
      <c r="F25" s="69" t="inlineStr">
        <is>
          <t>Scored against a published criterion rather than against stations from this ecoregion. The criterion carries its own definition of reference, which need not match this assessment's.</t>
        </is>
      </c>
      <c r="G25" s="69" t="n">
        <v>0</v>
      </c>
      <c r="H25" s="69" t="n">
        <v>0.2855</v>
      </c>
      <c r="I25" s="69" t="n">
        <v>0.529</v>
      </c>
      <c r="J25" s="69" t="n">
        <v>0.84555</v>
      </c>
      <c r="K25" s="69" t="n">
        <v>0.84555</v>
      </c>
      <c r="L25" s="69" t="n">
        <v>0.84555</v>
      </c>
      <c r="M25" s="69" t="n">
        <v>0.84555</v>
      </c>
      <c r="N25" s="69" t="n">
        <v>0.84555</v>
      </c>
      <c r="O25" s="69" t="n">
        <v>1</v>
      </c>
      <c r="P25" s="69" t="n">
        <v>0.6899999999999999</v>
      </c>
      <c r="Q25" s="69" t="n">
        <v>0.39</v>
      </c>
      <c r="R25" s="69" t="n">
        <v>0</v>
      </c>
      <c r="S25" s="69" t="n">
        <v>0</v>
      </c>
      <c r="T25" s="69" t="n">
        <v>0</v>
      </c>
      <c r="U25" s="69" t="n">
        <v>0</v>
      </c>
      <c r="V25" s="69" t="n">
        <v>0</v>
      </c>
    </row>
    <row r="26">
      <c r="A26" s="69" t="inlineStr">
        <is>
          <t>spring_chem_ptl|</t>
        </is>
      </c>
      <c r="B26" s="69" t="inlineStr">
        <is>
          <t>spring-chem-ptl</t>
        </is>
      </c>
      <c r="C26" s="69" t="inlineStr">
        <is>
          <t>Total phosphorus</t>
        </is>
      </c>
      <c r="D26" s="69" t="inlineStr"/>
      <c r="E26" s="69" t="n">
        <v>4</v>
      </c>
      <c r="F26" s="69" t="inlineStr">
        <is>
          <t>Scored against a published criterion rather than against stations from this ecoregion. The criterion carries its own definition of reference, which need not match this assessment's.</t>
        </is>
      </c>
      <c r="G26" s="69" t="n">
        <v>0</v>
      </c>
      <c r="H26" s="69" t="n">
        <v>52.05</v>
      </c>
      <c r="I26" s="69" t="n">
        <v>95.90000000000001</v>
      </c>
      <c r="J26" s="69" t="n">
        <v>152.905</v>
      </c>
      <c r="K26" s="69" t="n">
        <v>152.905</v>
      </c>
      <c r="L26" s="69" t="n">
        <v>152.905</v>
      </c>
      <c r="M26" s="69" t="n">
        <v>152.905</v>
      </c>
      <c r="N26" s="69" t="n">
        <v>152.905</v>
      </c>
      <c r="O26" s="69" t="n">
        <v>1</v>
      </c>
      <c r="P26" s="69" t="n">
        <v>0.6899999999999999</v>
      </c>
      <c r="Q26" s="69" t="n">
        <v>0.39</v>
      </c>
      <c r="R26" s="69" t="n">
        <v>0</v>
      </c>
      <c r="S26" s="69" t="n">
        <v>0</v>
      </c>
      <c r="T26" s="69" t="n">
        <v>0</v>
      </c>
      <c r="U26" s="69" t="n">
        <v>0</v>
      </c>
      <c r="V26" s="69" t="n">
        <v>0</v>
      </c>
    </row>
    <row r="27">
      <c r="A27" s="69" t="inlineStr">
        <is>
          <t>spring_chem_cond|</t>
        </is>
      </c>
      <c r="B27" s="69" t="inlineStr">
        <is>
          <t>spring-chem-cond</t>
        </is>
      </c>
      <c r="C27" s="69" t="inlineStr">
        <is>
          <t>Specific conductivity</t>
        </is>
      </c>
      <c r="D27" s="69" t="inlineStr"/>
      <c r="E27" s="69" t="n">
        <v>4</v>
      </c>
      <c r="F27" s="69" t="inlineStr">
        <is>
          <t>Scored against a published criterion rather than against stations from this ecoregion. The criterion carries its own definition of reference, which need not match this assessment's.</t>
        </is>
      </c>
      <c r="G27" s="69" t="n">
        <v>0</v>
      </c>
      <c r="H27" s="69" t="n">
        <v>500.05</v>
      </c>
      <c r="I27" s="69" t="n">
        <v>1000.05</v>
      </c>
      <c r="J27" s="69" t="n">
        <v>1650.05</v>
      </c>
      <c r="K27" s="69" t="n">
        <v>1650.05</v>
      </c>
      <c r="L27" s="69" t="n">
        <v>1650.05</v>
      </c>
      <c r="M27" s="69" t="n">
        <v>1650.05</v>
      </c>
      <c r="N27" s="69" t="n">
        <v>1650.05</v>
      </c>
      <c r="O27" s="69" t="n">
        <v>1</v>
      </c>
      <c r="P27" s="69" t="n">
        <v>0.6899999999999999</v>
      </c>
      <c r="Q27" s="69" t="n">
        <v>0.39</v>
      </c>
      <c r="R27" s="69" t="n">
        <v>0</v>
      </c>
      <c r="S27" s="69" t="n">
        <v>0</v>
      </c>
      <c r="T27" s="69" t="n">
        <v>0</v>
      </c>
      <c r="U27" s="69" t="n">
        <v>0</v>
      </c>
      <c r="V27" s="69" t="n">
        <v>0</v>
      </c>
    </row>
    <row r="28">
      <c r="A28" s="69" t="inlineStr">
        <is>
          <t>spring_chem_turb|</t>
        </is>
      </c>
      <c r="B28" s="69" t="inlineStr">
        <is>
          <t>spring-chem-turb</t>
        </is>
      </c>
      <c r="C28" s="69" t="inlineStr">
        <is>
          <t>Turbidity</t>
        </is>
      </c>
      <c r="D28" s="69" t="inlineStr"/>
      <c r="E28" s="69" t="n">
        <v>5</v>
      </c>
      <c r="F28" s="69" t="inlineStr">
        <is>
          <t>Reference curve from a modeled expectation. The response to landscape pressure is estimated nationally and this ecoregion's own level is added, because the ecoregion holds too few streams clean enough to observe reference condition directly.</t>
        </is>
      </c>
      <c r="G28" s="69" t="n">
        <v>0</v>
      </c>
      <c r="H28" s="69" t="n">
        <v>0.7594199889539958</v>
      </c>
      <c r="I28" s="69" t="n">
        <v>3.715325410820234</v>
      </c>
      <c r="J28" s="69" t="n">
        <v>8.149183543619591</v>
      </c>
      <c r="K28" s="69" t="n">
        <v>11.10508896548583</v>
      </c>
      <c r="L28" s="69" t="n">
        <v>11.10508896548583</v>
      </c>
      <c r="M28" s="69" t="n">
        <v>11.10508896548583</v>
      </c>
      <c r="N28" s="69" t="n">
        <v>11.10508896548583</v>
      </c>
      <c r="O28" s="69" t="n">
        <v>1</v>
      </c>
      <c r="P28" s="69" t="n">
        <v>1</v>
      </c>
      <c r="Q28" s="69" t="n">
        <v>0.7</v>
      </c>
      <c r="R28" s="69" t="n">
        <v>0.3</v>
      </c>
      <c r="S28" s="69" t="n">
        <v>0</v>
      </c>
      <c r="T28" s="69" t="n">
        <v>0</v>
      </c>
      <c r="U28" s="69" t="n">
        <v>0</v>
      </c>
      <c r="V28" s="69" t="n">
        <v>0</v>
      </c>
    </row>
    <row r="29">
      <c r="A29" s="69" t="inlineStr">
        <is>
          <t>spring_phab_xfc_nat|All streams (pooled)</t>
        </is>
      </c>
      <c r="B29" s="69" t="inlineStr">
        <is>
          <t>spring-phab-xfc-nat</t>
        </is>
      </c>
      <c r="C29" s="69" t="inlineStr">
        <is>
          <t>Natural fish cover</t>
        </is>
      </c>
      <c r="D29" s="69" t="inlineStr">
        <is>
          <t>All streams (pooled)</t>
        </is>
      </c>
      <c r="E29" s="69" t="n">
        <v>5</v>
      </c>
      <c r="F29" s="69" t="inlineStr">
        <is>
          <t>52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29" s="69" t="n">
        <v>0</v>
      </c>
      <c r="H29" s="69" t="n">
        <v>0.07086039068443435</v>
      </c>
      <c r="I29" s="69" t="n">
        <v>0.1653409115970135</v>
      </c>
      <c r="J29" s="69" t="n">
        <v>0.5084659159183502</v>
      </c>
      <c r="K29" s="69" t="n">
        <v>0.6800284180790186</v>
      </c>
      <c r="L29" s="69" t="n">
        <v>0.6800284180790186</v>
      </c>
      <c r="M29" s="69" t="n">
        <v>0.6800284180790186</v>
      </c>
      <c r="N29" s="69" t="n">
        <v>0.6800284180790186</v>
      </c>
      <c r="O29" s="69" t="n">
        <v>0</v>
      </c>
      <c r="P29" s="69" t="n">
        <v>0.3</v>
      </c>
      <c r="Q29" s="69" t="n">
        <v>0.7</v>
      </c>
      <c r="R29" s="69" t="n">
        <v>1</v>
      </c>
      <c r="S29" s="69" t="n">
        <v>1</v>
      </c>
      <c r="T29" s="69" t="n">
        <v>1</v>
      </c>
      <c r="U29" s="69" t="n">
        <v>1</v>
      </c>
      <c r="V29" s="69" t="n">
        <v>1</v>
      </c>
    </row>
    <row r="30">
      <c r="A30" s="69" t="inlineStr">
        <is>
          <t>spring_phab_xfc_nat|Small stream (10 to 100 km2)</t>
        </is>
      </c>
      <c r="B30" s="69" t="inlineStr">
        <is>
          <t>spring-phab-xfc-nat</t>
        </is>
      </c>
      <c r="C30" s="69" t="inlineStr">
        <is>
          <t>Natural fish cover</t>
        </is>
      </c>
      <c r="D30" s="69" t="inlineStr">
        <is>
          <t>Small stream (10 to 100 km2)</t>
        </is>
      </c>
      <c r="E30" s="69" t="n">
        <v>5</v>
      </c>
      <c r="F30" s="69" t="inlineStr">
        <is>
          <t>52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30" s="69" t="n">
        <v>0</v>
      </c>
      <c r="H30" s="69" t="n">
        <v>0.1227272706372397</v>
      </c>
      <c r="I30" s="69" t="n">
        <v>0.2863636314868927</v>
      </c>
      <c r="J30" s="69" t="n">
        <v>0.8045454621315002</v>
      </c>
      <c r="K30" s="69" t="n">
        <v>1.063636377453804</v>
      </c>
      <c r="L30" s="69" t="n">
        <v>1.063636377453804</v>
      </c>
      <c r="M30" s="69" t="n">
        <v>1.063636377453804</v>
      </c>
      <c r="N30" s="69" t="n">
        <v>1.063636377453804</v>
      </c>
      <c r="O30" s="69" t="n">
        <v>0</v>
      </c>
      <c r="P30" s="69" t="n">
        <v>0.3</v>
      </c>
      <c r="Q30" s="69" t="n">
        <v>0.7</v>
      </c>
      <c r="R30" s="69" t="n">
        <v>1</v>
      </c>
      <c r="S30" s="69" t="n">
        <v>1</v>
      </c>
      <c r="T30" s="69" t="n">
        <v>1</v>
      </c>
      <c r="U30" s="69" t="n">
        <v>1</v>
      </c>
      <c r="V30" s="69" t="n">
        <v>1</v>
      </c>
    </row>
    <row r="31">
      <c r="A31" s="69" t="inlineStr">
        <is>
          <t>spring_phab_xfc_nat|Large stream (over 100 km2)</t>
        </is>
      </c>
      <c r="B31" s="69" t="inlineStr">
        <is>
          <t>spring-phab-xfc-nat</t>
        </is>
      </c>
      <c r="C31" s="69" t="inlineStr">
        <is>
          <t>Natural fish cover</t>
        </is>
      </c>
      <c r="D31" s="69" t="inlineStr">
        <is>
          <t>Large stream (over 100 km2)</t>
        </is>
      </c>
      <c r="E31" s="69" t="n">
        <v>5</v>
      </c>
      <c r="F31" s="69" t="inlineStr">
        <is>
          <t>52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31" s="69" t="n">
        <v>0</v>
      </c>
      <c r="H31" s="69" t="n">
        <v>0.0660839176603726</v>
      </c>
      <c r="I31" s="69" t="n">
        <v>0.1541958078742027</v>
      </c>
      <c r="J31" s="69" t="n">
        <v>0.4406468570232391</v>
      </c>
      <c r="K31" s="69" t="n">
        <v>0.5838723815977573</v>
      </c>
      <c r="L31" s="69" t="n">
        <v>0.5838723815977573</v>
      </c>
      <c r="M31" s="69" t="n">
        <v>0.5838723815977573</v>
      </c>
      <c r="N31" s="69" t="n">
        <v>0.5838723815977573</v>
      </c>
      <c r="O31" s="69" t="n">
        <v>0</v>
      </c>
      <c r="P31" s="69" t="n">
        <v>0.3</v>
      </c>
      <c r="Q31" s="69" t="n">
        <v>0.7</v>
      </c>
      <c r="R31" s="69" t="n">
        <v>1</v>
      </c>
      <c r="S31" s="69" t="n">
        <v>1</v>
      </c>
      <c r="T31" s="69" t="n">
        <v>1</v>
      </c>
      <c r="U31" s="69" t="n">
        <v>1</v>
      </c>
      <c r="V31" s="69" t="n">
        <v>1</v>
      </c>
    </row>
    <row r="32">
      <c r="A32" s="69" t="inlineStr">
        <is>
          <t>spring_phab_pct_fast|</t>
        </is>
      </c>
      <c r="B32" s="69" t="inlineStr">
        <is>
          <t>spring-phab-pct-fast</t>
        </is>
      </c>
      <c r="C32" s="69" t="inlineStr">
        <is>
          <t>Fast-water / riffle habitat</t>
        </is>
      </c>
      <c r="D32" s="69" t="inlineStr"/>
      <c r="E32" s="69" t="n">
        <v>5</v>
      </c>
      <c r="F32"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2" s="69" t="n">
        <v>0</v>
      </c>
      <c r="H32" s="69" t="n">
        <v>2.571428571428572</v>
      </c>
      <c r="I32" s="69" t="n">
        <v>6</v>
      </c>
      <c r="J32" s="69" t="n">
        <v>55.75</v>
      </c>
      <c r="K32" s="69" t="n">
        <v>80.625</v>
      </c>
      <c r="L32" s="69" t="n">
        <v>80.625</v>
      </c>
      <c r="M32" s="69" t="n">
        <v>80.625</v>
      </c>
      <c r="N32" s="69" t="n">
        <v>80.625</v>
      </c>
      <c r="O32" s="69" t="n">
        <v>0</v>
      </c>
      <c r="P32" s="69" t="n">
        <v>0.3</v>
      </c>
      <c r="Q32" s="69" t="n">
        <v>0.7</v>
      </c>
      <c r="R32" s="69" t="n">
        <v>1</v>
      </c>
      <c r="S32" s="69" t="n">
        <v>1</v>
      </c>
      <c r="T32" s="69" t="n">
        <v>1</v>
      </c>
      <c r="U32" s="69" t="n">
        <v>1</v>
      </c>
      <c r="V32" s="69" t="n">
        <v>1</v>
      </c>
    </row>
    <row r="33">
      <c r="A33" s="69" t="inlineStr">
        <is>
          <t>spring_fish_mmi_fish|</t>
        </is>
      </c>
      <c r="B33" s="69" t="inlineStr">
        <is>
          <t>spring-fish-mmi-fish</t>
        </is>
      </c>
      <c r="C33" s="69" t="inlineStr">
        <is>
          <t>Fish MMI</t>
        </is>
      </c>
      <c r="D33" s="69" t="inlineStr"/>
      <c r="E33" s="69" t="n">
        <v>4</v>
      </c>
      <c r="F33" s="69" t="inlineStr">
        <is>
          <t>Scored against a published criterion rather than against stations from this ecoregion. The criterion carries its own definition of reference, which need not match this assessment's.</t>
        </is>
      </c>
      <c r="G33" s="69" t="n">
        <v>52.645</v>
      </c>
      <c r="H33" s="69" t="n">
        <v>66.295</v>
      </c>
      <c r="I33" s="69" t="n">
        <v>76.795</v>
      </c>
      <c r="J33" s="69" t="n">
        <v>87.645</v>
      </c>
      <c r="K33" s="69" t="n">
        <v>87.645</v>
      </c>
      <c r="L33" s="69" t="n">
        <v>87.645</v>
      </c>
      <c r="M33" s="69" t="n">
        <v>87.645</v>
      </c>
      <c r="N33" s="69" t="n">
        <v>87.645</v>
      </c>
      <c r="O33" s="69" t="n">
        <v>0</v>
      </c>
      <c r="P33" s="69" t="n">
        <v>0.39</v>
      </c>
      <c r="Q33" s="69" t="n">
        <v>0.6899999999999999</v>
      </c>
      <c r="R33" s="69" t="n">
        <v>1</v>
      </c>
      <c r="S33" s="69" t="n">
        <v>1</v>
      </c>
      <c r="T33" s="69" t="n">
        <v>1</v>
      </c>
      <c r="U33" s="69" t="n">
        <v>1</v>
      </c>
      <c r="V33" s="69" t="n">
        <v>1</v>
      </c>
    </row>
    <row r="34">
      <c r="A34" s="69" t="inlineStr">
        <is>
          <t>spring_bent_totlntax|</t>
        </is>
      </c>
      <c r="B34" s="69" t="inlineStr">
        <is>
          <t>spring-bent-totlntax</t>
        </is>
      </c>
      <c r="C34" s="69" t="inlineStr">
        <is>
          <t>Benthic total taxa richness</t>
        </is>
      </c>
      <c r="D34" s="69" t="inlineStr"/>
      <c r="E34" s="69" t="n">
        <v>5</v>
      </c>
      <c r="F34"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34" s="69" t="n">
        <v>0</v>
      </c>
      <c r="H34" s="69" t="n">
        <v>15.85714285714286</v>
      </c>
      <c r="I34" s="69" t="n">
        <v>37</v>
      </c>
      <c r="J34" s="69" t="n">
        <v>43.5</v>
      </c>
      <c r="K34" s="69" t="n">
        <v>46.75</v>
      </c>
      <c r="L34" s="69" t="n">
        <v>46.75</v>
      </c>
      <c r="M34" s="69" t="n">
        <v>46.75</v>
      </c>
      <c r="N34" s="69" t="n">
        <v>46.75</v>
      </c>
      <c r="O34" s="69" t="n">
        <v>0</v>
      </c>
      <c r="P34" s="69" t="n">
        <v>0.3</v>
      </c>
      <c r="Q34" s="69" t="n">
        <v>0.7</v>
      </c>
      <c r="R34" s="69" t="n">
        <v>1</v>
      </c>
      <c r="S34" s="69" t="n">
        <v>1</v>
      </c>
      <c r="T34" s="69" t="n">
        <v>1</v>
      </c>
      <c r="U34" s="69" t="n">
        <v>1</v>
      </c>
      <c r="V34" s="69" t="n">
        <v>1</v>
      </c>
    </row>
    <row r="35">
      <c r="A35" s="69" t="inlineStr">
        <is>
          <t>spring_bent_hprime|</t>
        </is>
      </c>
      <c r="B35" s="69" t="inlineStr">
        <is>
          <t>spring-bent-hprime</t>
        </is>
      </c>
      <c r="C35" s="69" t="inlineStr">
        <is>
          <t>Shannon diversity (H')</t>
        </is>
      </c>
      <c r="D35" s="69" t="inlineStr"/>
      <c r="E35" s="69" t="n">
        <v>5</v>
      </c>
      <c r="F35" s="69" t="inlineStr">
        <is>
          <t>Reference curve from a modeled expectation. The response to landscape pressure is estimated nationally and this ecoregion's own level is added, because the ecoregion holds too few streams clean enough to observe reference condition directly.</t>
        </is>
      </c>
      <c r="G35" s="69" t="n">
        <v>0</v>
      </c>
      <c r="H35" s="69" t="n">
        <v>1.028115675409763</v>
      </c>
      <c r="I35" s="69" t="n">
        <v>2.398936575956113</v>
      </c>
      <c r="J35" s="69" t="n">
        <v>2.995708565375739</v>
      </c>
      <c r="K35" s="69" t="n">
        <v>3.294094560085552</v>
      </c>
      <c r="L35" s="69" t="n">
        <v>3.294094560085552</v>
      </c>
      <c r="M35" s="69" t="n">
        <v>3.294094560085552</v>
      </c>
      <c r="N35" s="69" t="n">
        <v>3.294094560085552</v>
      </c>
      <c r="O35" s="69" t="n">
        <v>0</v>
      </c>
      <c r="P35" s="69" t="n">
        <v>0.3</v>
      </c>
      <c r="Q35" s="69" t="n">
        <v>0.7</v>
      </c>
      <c r="R35" s="69" t="n">
        <v>1</v>
      </c>
      <c r="S35" s="69" t="n">
        <v>1</v>
      </c>
      <c r="T35" s="69" t="n">
        <v>1</v>
      </c>
      <c r="U35" s="69" t="n">
        <v>1</v>
      </c>
      <c r="V35" s="69" t="n">
        <v>1</v>
      </c>
    </row>
    <row r="36">
      <c r="A36" s="69" t="inlineStr">
        <is>
          <t>spring_bent_tolrpind|</t>
        </is>
      </c>
      <c r="B36" s="69" t="inlineStr">
        <is>
          <t>spring-bent-tolrpind</t>
        </is>
      </c>
      <c r="C36" s="69" t="inlineStr">
        <is>
          <t>Tolerant individuals (%) ~ HBI</t>
        </is>
      </c>
      <c r="D36" s="69" t="inlineStr"/>
      <c r="E36" s="69" t="n">
        <v>5</v>
      </c>
      <c r="F36"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+0.05, at most 0.05 allowed); confidence capped at 39.</t>
        </is>
      </c>
      <c r="G36" s="69" t="n">
        <v>8.497499942779541</v>
      </c>
      <c r="H36" s="69" t="n">
        <v>11.66499996185303</v>
      </c>
      <c r="I36" s="69" t="n">
        <v>18</v>
      </c>
      <c r="J36" s="69" t="n">
        <v>27.50250005722046</v>
      </c>
      <c r="K36" s="69" t="n">
        <v>33.83750009536743</v>
      </c>
      <c r="L36" s="69" t="n">
        <v>33.83750009536743</v>
      </c>
      <c r="M36" s="69" t="n">
        <v>33.83750009536743</v>
      </c>
      <c r="N36" s="69" t="n">
        <v>33.83750009536743</v>
      </c>
      <c r="O36" s="69" t="n">
        <v>1</v>
      </c>
      <c r="P36" s="69" t="n">
        <v>1</v>
      </c>
      <c r="Q36" s="69" t="n">
        <v>0.7</v>
      </c>
      <c r="R36" s="69" t="n">
        <v>0.3</v>
      </c>
      <c r="S36" s="69" t="n">
        <v>0</v>
      </c>
      <c r="T36" s="69" t="n">
        <v>0</v>
      </c>
      <c r="U36" s="69" t="n">
        <v>0</v>
      </c>
      <c r="V36" s="69" t="n">
        <v>0</v>
      </c>
    </row>
    <row r="37">
      <c r="A37" s="69" t="inlineStr">
        <is>
          <t>spring_nid_dams_1mi|</t>
        </is>
      </c>
      <c r="B37" s="69" t="inlineStr">
        <is>
          <t>spring-nid-dams-1mi</t>
        </is>
      </c>
      <c r="C37" s="69" t="inlineStr">
        <is>
          <t>Mapped dams within one mile</t>
        </is>
      </c>
      <c r="D37" s="69" t="inlineStr"/>
      <c r="E37" s="69" t="n">
        <v>4</v>
      </c>
      <c r="F37" s="69" t="inlineStr">
        <is>
          <t>Fixed criteria, the same in every region</t>
        </is>
      </c>
      <c r="G37" s="69" t="n">
        <v>0</v>
      </c>
      <c r="H37" s="69" t="n">
        <v>1</v>
      </c>
      <c r="I37" s="69" t="n">
        <v>2</v>
      </c>
      <c r="J37" s="69" t="n">
        <v>3</v>
      </c>
      <c r="K37" s="69" t="n">
        <v>3</v>
      </c>
      <c r="L37" s="69" t="n">
        <v>3</v>
      </c>
      <c r="M37" s="69" t="n">
        <v>3</v>
      </c>
      <c r="N37" s="69" t="n">
        <v>3</v>
      </c>
      <c r="O37" s="69" t="n">
        <v>1</v>
      </c>
      <c r="P37" s="69" t="n">
        <v>0.545</v>
      </c>
      <c r="Q37" s="69" t="n">
        <v>0.195</v>
      </c>
      <c r="R37" s="69" t="n">
        <v>0</v>
      </c>
      <c r="S37" s="69" t="n">
        <v>0</v>
      </c>
      <c r="T37" s="69" t="n">
        <v>0</v>
      </c>
      <c r="U37" s="69" t="n">
        <v>0</v>
      </c>
      <c r="V37" s="69" t="n">
        <v>0</v>
      </c>
    </row>
    <row r="40">
      <c r="A40" s="58" t="inlineStr">
        <is>
          <t>Curve sets by metric</t>
        </is>
      </c>
    </row>
    <row r="41">
      <c r="A41" s="69" t="inlineStr">
        <is>
          <t>All streams (pooled)</t>
        </is>
      </c>
      <c r="B41" s="5" t="inlineStr">
        <is>
          <t>Canopy density, mid-channel</t>
        </is>
      </c>
    </row>
    <row r="42">
      <c r="A42" s="69" t="inlineStr">
        <is>
          <t>Small stream (10 to 100 km2)</t>
        </is>
      </c>
      <c r="B42" s="5" t="inlineStr">
        <is>
          <t>Canopy density, mid-channel</t>
        </is>
      </c>
    </row>
    <row r="43">
      <c r="A43" s="69" t="inlineStr">
        <is>
          <t>Large stream (over 100 km2)</t>
        </is>
      </c>
      <c r="B43" s="5" t="inlineStr">
        <is>
          <t>Canopy density, mid-channel</t>
        </is>
      </c>
    </row>
    <row r="44">
      <c r="A44" s="69" t="inlineStr">
        <is>
          <t>All streams (pooled)</t>
        </is>
      </c>
      <c r="B44" s="5" t="inlineStr">
        <is>
          <t>Natural fish cover</t>
        </is>
      </c>
    </row>
    <row r="45">
      <c r="A45" s="69" t="inlineStr">
        <is>
          <t>Small stream (10 to 100 km2)</t>
        </is>
      </c>
      <c r="B45" s="5" t="inlineStr">
        <is>
          <t>Natural fish cover</t>
        </is>
      </c>
    </row>
    <row r="46">
      <c r="A46" s="69" t="inlineStr">
        <is>
          <t>Large stream (over 100 km2)</t>
        </is>
      </c>
      <c r="B46" s="5" t="inlineStr">
        <is>
          <t>Natural fish cover</t>
        </is>
      </c>
    </row>
    <row r="49">
      <c r="A49" s="58" t="inlineStr">
        <is>
          <t>Condition classes</t>
        </is>
      </c>
    </row>
    <row r="50">
      <c r="A50" t="inlineStr">
        <is>
          <t>Metric index: at or below 0.39 Non-Functioning, at or below 0.69 Functioning At-Risk, above Functioning.</t>
        </is>
      </c>
    </row>
    <row r="51">
      <c r="A51" t="inlineStr">
        <is>
          <t>Function score (0 to 15): at or below 5 Non-Functioning, at or below 10 Functioning At-Risk, above Functioning.</t>
        </is>
      </c>
    </row>
    <row r="52">
      <c r="A5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central-california-valley</t>
        </is>
      </c>
    </row>
    <row r="5">
      <c r="A5" s="69" t="inlineStr">
        <is>
          <t>Assessment name</t>
        </is>
      </c>
      <c r="B5" s="69" t="inlineStr">
        <is>
          <t>Central California Valley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sha256:95741053578fdd4bd4b7444ada7d74ccfd82fc54fe6d9c04f4bd7cfefb926aa5</t>
        </is>
      </c>
    </row>
    <row r="9">
      <c r="A9" s="69" t="inlineStr">
        <is>
          <t>Region</t>
        </is>
      </c>
      <c r="B9" s="69" t="inlineStr">
        <is>
          <t>ecoregion 7 Central California Valley</t>
        </is>
      </c>
    </row>
    <row r="10">
      <c r="A10" s="69" t="inlineStr">
        <is>
          <t>Source</t>
        </is>
      </c>
      <c r="B10" s="69" t="inlineStr">
        <is>
          <t>USEPA NRSA 2013-24 (L3 ecoregion 7),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29</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2026-09-30T07:07:26Z</dcterms:created>
  <dcterms:modified xmlns:dcterms="http://purl.org/dc/terms/" xmlns:xsi="http://www.w3.org/2001/XMLSchema-instance" xsi:type="dcterms:W3CDTF">2026-09-30T07:07:26Z</dcterms:modified>
  <cp:lastModifiedBy>DEEP</cp:lastModifiedBy>
  <cp:contentStatus>Draft</cp:contentStatus>
</cp:coreProperties>
</file>