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'Reference'!$A$5:$A$33</definedName>
    <definedName name="curve_x1">'Reference'!$G$5:$G$33</definedName>
    <definedName name="curve_y1">'Reference'!$O$5:$O$33</definedName>
    <definedName name="curve_x2">'Reference'!$H$5:$H$33</definedName>
    <definedName name="curve_y2">'Reference'!$P$5:$P$33</definedName>
    <definedName name="curve_x3">'Reference'!$I$5:$I$33</definedName>
    <definedName name="curve_y3">'Reference'!$Q$5:$Q$33</definedName>
    <definedName name="curve_x4">'Reference'!$J$5:$J$33</definedName>
    <definedName name="curve_y4">'Reference'!$R$5:$R$33</definedName>
    <definedName name="curve_x5">'Reference'!$K$5:$K$33</definedName>
    <definedName name="curve_y5">'Reference'!$S$5:$S$33</definedName>
    <definedName name="curve_x6">'Reference'!$L$5:$L$33</definedName>
    <definedName name="curve_y6">'Reference'!$T$5:$T$33</definedName>
    <definedName name="curve_x7">'Reference'!$M$5:$M$33</definedName>
    <definedName name="curve_y7">'Reference'!$U$5:$U$33</definedName>
    <definedName name="curve_x8">'Reference'!$N$5:$N$33</definedName>
    <definedName name="curve_y8">'Reference'!$V$5:$V$33</definedName>
    <definedName name="strata_spring_phab_xcdenmid">'Reference'!$A$37:$A$40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xbka">'Metrics'!$V$15</definedName>
    <definedName name="idx_spring_phab_lrbs_use">'Metrics'!$V$16</definedName>
    <definedName name="idx_spring_phab_lwdeqvolm100">'Metrics'!$V$17</definedName>
    <definedName name="idx_spring_chem_chla">'Metrics'!$V$18</definedName>
    <definedName name="idx_spring_phab_xcdenmid">'Metrics'!$V$19</definedName>
    <definedName name="idx_spring_phab_xcmgw">'Metrics'!$V$20</definedName>
    <definedName name="idx_spring_chem_ntl">'Metrics'!$V$21</definedName>
    <definedName name="idx_spring_chem_ptl">'Metrics'!$V$22</definedName>
    <definedName name="idx_spring_chem_ph">'Metrics'!$V$23</definedName>
    <definedName name="idx_spring_chem_cond">'Metrics'!$V$24</definedName>
    <definedName name="idx_spring_phab_xfc_nat">'Metrics'!$V$25</definedName>
    <definedName name="idx_spring_fish_nat_ntolntax">'Metrics'!$V$26</definedName>
    <definedName name="idx_spring_fish_nat_ntolptax">'Metrics'!$V$27</definedName>
    <definedName name="idx_spring_bent_tolrpind">'Metrics'!$V$28</definedName>
    <definedName name="idx_spring_bent_mmi_bent">'Metrics'!$V$29</definedName>
    <definedName name="idx_spring_nid_dams_1mi">'Metrics'!$V$30</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xbka">'DEEP Score'!$E$27</definedName>
    <definedName name="in_spring_phab_lrbs_use">'DEEP Score'!$E$28</definedName>
    <definedName name="in_spring_phab_lwdeqvolm100">'DEEP Score'!$E$31</definedName>
    <definedName name="in_spring_chem_chla">'DEEP Score'!$E$32</definedName>
    <definedName name="in_spring_phab_xcdenmid">'DEEP Score'!$E$33</definedName>
    <definedName name="st_spring_phab_xcdenmid">'DEEP Score'!$F$33</definedName>
    <definedName name="in_spring_phab_xcmgw">'DEEP Score'!$E$34</definedName>
    <definedName name="in_spring_chem_ntl">'DEEP Score'!$E$35</definedName>
    <definedName name="in_spring_chem_ptl">'DEEP Score'!$E$36</definedName>
    <definedName name="in_spring_chem_ph">'DEEP Score'!$E$37</definedName>
    <definedName name="in_spring_chem_cond">'DEEP Score'!$E$38</definedName>
    <definedName name="in_spring_phab_xfc_nat">'DEEP Score'!$E$39</definedName>
    <definedName name="in_spring_fish_nat_ntolntax">'DEEP Score'!$E$40</definedName>
    <definedName name="in_spring_fish_nat_ntolptax">'DEEP Score'!$E$41</definedName>
    <definedName name="in_spring_bent_tolrpind">'DEEP Score'!$E$42</definedName>
    <definedName name="in_spring_bent_mmi_bent">'DEEP Score'!$E$43</definedName>
    <definedName name="in_spring_nid_dams_1mi">'DEEP Score'!$E$44</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7" borderId="11" applyAlignment="1" pivotButton="0" quotePrefix="0" xfId="0">
      <alignment horizontal="center"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Mississippi Alluvial Plain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23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18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Mississippi Alluvial Plain reference assessment</t>
        </is>
      </c>
    </row>
    <row r="3">
      <c r="A3" s="5" t="inlineStr">
        <is>
          <t>Version 1 | Draft | USEPA NRSA 2013-24 (L3 ecoregion 73),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3"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IF('Metrics'!$V$12="","",'Metrics'!$V$12)</f>
        <v/>
      </c>
      <c r="H26" s="21" t="n"/>
      <c r="I26" s="27" t="n"/>
    </row>
    <row r="27">
      <c r="A27" s="46" t="inlineStr">
        <is>
          <t>Geomorphology</t>
        </is>
      </c>
      <c r="B27" s="29" t="inlineStr">
        <is>
          <t>Channel and floodplain dynamics</t>
        </is>
      </c>
      <c r="C27" s="30" t="inlineStr">
        <is>
          <t>Bank angle</t>
        </is>
      </c>
      <c r="D27" s="31" t="inlineStr">
        <is>
          <t>degrees</t>
        </is>
      </c>
      <c r="E27" s="32" t="n"/>
      <c r="F27" s="33" t="inlineStr"/>
      <c r="G27" s="34">
        <f>IF('Metrics'!$V$15="","",'Metrics'!$V$15)</f>
        <v/>
      </c>
      <c r="H27" s="35">
        <f>IF('Results'!$B$13="","",'Results'!$B$13)</f>
        <v/>
      </c>
      <c r="I27" s="36">
        <f>IF('DEEP Score'!$H$27="","",IF('DEEP Score'!$H$27&lt;=5,"Non-Functioning",IF('DEEP Score'!$H$27&lt;=10,"Functioning At-Risk","Functioning")))</f>
        <v/>
      </c>
    </row>
    <row r="28">
      <c r="A28" s="43" t="inlineStr">
        <is>
          <t>Geomorphology</t>
        </is>
      </c>
      <c r="B28" s="12" t="inlineStr">
        <is>
          <t>Sediment continuity</t>
        </is>
      </c>
      <c r="C28" s="13" t="inlineStr">
        <is>
          <t>Relative bed stability</t>
        </is>
      </c>
      <c r="D28" s="14" t="inlineStr">
        <is>
          <t>log</t>
        </is>
      </c>
      <c r="E28" s="15" t="n"/>
      <c r="F28" s="16" t="inlineStr"/>
      <c r="G28" s="17">
        <f>IF('Metrics'!$V$16="","",'Metrics'!$V$16)</f>
        <v/>
      </c>
      <c r="H28" s="18">
        <f>IF('Results'!$B$14="","",'Results'!$B$14)</f>
        <v/>
      </c>
      <c r="I28" s="19">
        <f>IF('DEEP Score'!$H$28="","",IF('DEEP Score'!$H$28&lt;=5,"Non-Functioning",IF('DEEP Score'!$H$28&lt;=10,"Functioning At-Risk","Functioning")))</f>
        <v/>
      </c>
    </row>
    <row r="29">
      <c r="A29" s="20" t="n"/>
      <c r="B29" s="21" t="n"/>
      <c r="C29" s="22" t="inlineStr">
        <is>
          <t>Sand + fines</t>
        </is>
      </c>
      <c r="D29" s="23" t="inlineStr">
        <is>
          <t>%</t>
        </is>
      </c>
      <c r="E29" s="44">
        <f>IF('DEEP Score'!$E$23="","",'DEEP Score'!$E$23)</f>
        <v/>
      </c>
      <c r="F29" s="45" t="inlineStr"/>
      <c r="G29" s="26">
        <f>IF('Metrics'!$V$13="","",'Metrics'!$V$13)</f>
        <v/>
      </c>
      <c r="H29" s="21" t="n"/>
      <c r="I29" s="27" t="n"/>
    </row>
    <row r="30">
      <c r="A30" s="43" t="inlineStr">
        <is>
          <t>Geomorphology</t>
        </is>
      </c>
      <c r="B30" s="12" t="inlineStr">
        <is>
          <t>Bed composition and bedform dynamics</t>
        </is>
      </c>
      <c r="C30" s="13" t="inlineStr">
        <is>
          <t>Embeddedness</t>
        </is>
      </c>
      <c r="D30" s="14" t="inlineStr">
        <is>
          <t>%</t>
        </is>
      </c>
      <c r="E30" s="38">
        <f>IF('DEEP Score'!$E$24="","",'DEEP Score'!$E$24)</f>
        <v/>
      </c>
      <c r="F30" s="39" t="inlineStr"/>
      <c r="G30" s="17">
        <f>IF('Metrics'!$V$14="","",'Metrics'!$V$14)</f>
        <v/>
      </c>
      <c r="H30" s="18">
        <f>IF('Results'!$B$15="","",'Results'!$B$15)</f>
        <v/>
      </c>
      <c r="I30" s="19">
        <f>IF('DEEP Score'!$H$30="","",IF('DEEP Score'!$H$30&lt;=5,"Non-Functioning",IF('DEEP Score'!$H$30&lt;=10,"Functioning At-Risk","Functioning")))</f>
        <v/>
      </c>
    </row>
    <row r="31">
      <c r="A31" s="20" t="n"/>
      <c r="B31" s="21" t="n"/>
      <c r="C31" s="22" t="inlineStr">
        <is>
          <t>Large wood volume</t>
        </is>
      </c>
      <c r="D31" s="23" t="inlineStr">
        <is>
          <t>m3/100m</t>
        </is>
      </c>
      <c r="E31" s="24" t="n"/>
      <c r="F31" s="25" t="inlineStr"/>
      <c r="G31" s="26">
        <f>IF('Metrics'!$V$17="","",'Metrics'!$V$17)</f>
        <v/>
      </c>
      <c r="H31" s="21" t="n"/>
      <c r="I31" s="27" t="n"/>
    </row>
    <row r="32">
      <c r="A32" s="47" t="inlineStr">
        <is>
          <t>Physicochemistry</t>
        </is>
      </c>
      <c r="B32" s="12" t="inlineStr">
        <is>
          <t>Light &amp; thermal regime</t>
        </is>
      </c>
      <c r="C32" s="13" t="inlineStr">
        <is>
          <t>Chlorophyll a</t>
        </is>
      </c>
      <c r="D32" s="14" t="inlineStr">
        <is>
          <t>ug/L</t>
        </is>
      </c>
      <c r="E32" s="15" t="n"/>
      <c r="F32" s="16" t="inlineStr"/>
      <c r="G32" s="17">
        <f>IF('Metrics'!$V$18="","",'Metrics'!$V$18)</f>
        <v/>
      </c>
      <c r="H32" s="18">
        <f>IF('Results'!$B$16="","",'Results'!$B$16)</f>
        <v/>
      </c>
      <c r="I32" s="19">
        <f>IF('DEEP Score'!$H$32="","",IF('DEEP Score'!$H$32&lt;=5,"Non-Functioning",IF('DEEP Score'!$H$32&lt;=10,"Functioning At-Risk","Functioning")))</f>
        <v/>
      </c>
    </row>
    <row r="33">
      <c r="A33" s="20" t="n"/>
      <c r="B33" s="21" t="n"/>
      <c r="C33" s="22" t="inlineStr">
        <is>
          <t>Canopy density, mid-channel</t>
        </is>
      </c>
      <c r="D33" s="23" t="inlineStr">
        <is>
          <t>%</t>
        </is>
      </c>
      <c r="E33" s="24" t="n"/>
      <c r="F33" s="48" t="inlineStr">
        <is>
          <t>All streams (pooled)</t>
        </is>
      </c>
      <c r="G33" s="26">
        <f>IF('Metrics'!$V$19="","",'Metrics'!$V$19)</f>
        <v/>
      </c>
      <c r="H33" s="21" t="n"/>
      <c r="I33" s="27" t="n"/>
    </row>
    <row r="34">
      <c r="A34" s="49" t="inlineStr">
        <is>
          <t>Physicochemistry</t>
        </is>
      </c>
      <c r="B34" s="29" t="inlineStr">
        <is>
          <t>Carbon processing</t>
        </is>
      </c>
      <c r="C34" s="30" t="inlineStr">
        <is>
          <t>Riparian veg cover, woody</t>
        </is>
      </c>
      <c r="D34" s="31" t="inlineStr">
        <is>
          <t>frac</t>
        </is>
      </c>
      <c r="E34" s="32" t="n"/>
      <c r="F34" s="33" t="inlineStr"/>
      <c r="G34" s="34">
        <f>IF('Metrics'!$V$20="","",'Metrics'!$V$20)</f>
        <v/>
      </c>
      <c r="H34" s="35">
        <f>IF('Results'!$B$17="","",'Results'!$B$17)</f>
        <v/>
      </c>
      <c r="I34" s="36">
        <f>IF('DEEP Score'!$H$34="","",IF('DEEP Score'!$H$34&lt;=5,"Non-Functioning",IF('DEEP Score'!$H$34&lt;=10,"Functioning At-Risk","Functioning")))</f>
        <v/>
      </c>
    </row>
    <row r="35">
      <c r="A35" s="47" t="inlineStr">
        <is>
          <t>Physicochemistry</t>
        </is>
      </c>
      <c r="B35" s="12" t="inlineStr">
        <is>
          <t>Nutrient cycling</t>
        </is>
      </c>
      <c r="C35" s="13" t="inlineStr">
        <is>
          <t>Total nitrogen</t>
        </is>
      </c>
      <c r="D35" s="14" t="inlineStr">
        <is>
          <t>mg N/L</t>
        </is>
      </c>
      <c r="E35" s="15" t="n"/>
      <c r="F35" s="16" t="inlineStr"/>
      <c r="G35" s="17">
        <f>IF('Metrics'!$V$21="","",'Metrics'!$V$21)</f>
        <v/>
      </c>
      <c r="H35" s="18">
        <f>IF('Results'!$B$18="","",'Results'!$B$18)</f>
        <v/>
      </c>
      <c r="I35" s="19">
        <f>IF('DEEP Score'!$H$35="","",IF('DEEP Score'!$H$35&lt;=5,"Non-Functioning",IF('DEEP Score'!$H$35&lt;=10,"Functioning At-Risk","Functioning")))</f>
        <v/>
      </c>
    </row>
    <row r="36">
      <c r="A36" s="20" t="n"/>
      <c r="B36" s="21" t="n"/>
      <c r="C36" s="22" t="inlineStr">
        <is>
          <t>Total phosphorus</t>
        </is>
      </c>
      <c r="D36" s="23" t="inlineStr">
        <is>
          <t>ug/L</t>
        </is>
      </c>
      <c r="E36" s="24" t="n"/>
      <c r="F36" s="25" t="inlineStr"/>
      <c r="G36" s="26">
        <f>IF('Metrics'!$V$22="","",'Metrics'!$V$22)</f>
        <v/>
      </c>
      <c r="H36" s="21" t="n"/>
      <c r="I36" s="27" t="n"/>
    </row>
    <row r="37">
      <c r="A37" s="47" t="inlineStr">
        <is>
          <t>Physicochemistry</t>
        </is>
      </c>
      <c r="B37" s="12" t="inlineStr">
        <is>
          <t>Water &amp; soil quality</t>
        </is>
      </c>
      <c r="C37" s="13" t="inlineStr">
        <is>
          <t>pH</t>
        </is>
      </c>
      <c r="D37" s="14" t="inlineStr">
        <is>
          <t>Std. Units</t>
        </is>
      </c>
      <c r="E37" s="15" t="n"/>
      <c r="F37" s="16" t="inlineStr"/>
      <c r="G37" s="17">
        <f>IF('Metrics'!$V$23="","",'Metrics'!$V$23)</f>
        <v/>
      </c>
      <c r="H37" s="18">
        <f>IF('Results'!$B$19="","",'Results'!$B$19)</f>
        <v/>
      </c>
      <c r="I37" s="19">
        <f>IF('DEEP Score'!$H$37="","",IF('DEEP Score'!$H$37&lt;=5,"Non-Functioning",IF('DEEP Score'!$H$37&lt;=10,"Functioning At-Risk","Functioning")))</f>
        <v/>
      </c>
    </row>
    <row r="38">
      <c r="A38" s="20" t="n"/>
      <c r="B38" s="21" t="n"/>
      <c r="C38" s="22" t="inlineStr">
        <is>
          <t>Specific conductivity</t>
        </is>
      </c>
      <c r="D38" s="23" t="inlineStr">
        <is>
          <t>uS/cm</t>
        </is>
      </c>
      <c r="E38" s="24" t="n"/>
      <c r="F38" s="25" t="inlineStr"/>
      <c r="G38" s="26">
        <f>IF('Metrics'!$V$24="","",'Metrics'!$V$24)</f>
        <v/>
      </c>
      <c r="H38" s="21" t="n"/>
      <c r="I38" s="27" t="n"/>
    </row>
    <row r="39">
      <c r="A39" s="50" t="inlineStr">
        <is>
          <t>Biology</t>
        </is>
      </c>
      <c r="B39" s="29" t="inlineStr">
        <is>
          <t>Habitat provision</t>
        </is>
      </c>
      <c r="C39" s="30" t="inlineStr">
        <is>
          <t>Natural fish cover</t>
        </is>
      </c>
      <c r="D39" s="31" t="inlineStr">
        <is>
          <t>frac</t>
        </is>
      </c>
      <c r="E39" s="32" t="n"/>
      <c r="F39" s="33" t="inlineStr"/>
      <c r="G39" s="34">
        <f>IF('Metrics'!$V$25="","",'Metrics'!$V$25)</f>
        <v/>
      </c>
      <c r="H39" s="35">
        <f>IF('Results'!$B$20="","",'Results'!$B$20)</f>
        <v/>
      </c>
      <c r="I39" s="36">
        <f>IF('DEEP Score'!$H$39="","",IF('DEEP Score'!$H$39&lt;=5,"Non-Functioning",IF('DEEP Score'!$H$39&lt;=10,"Functioning At-Risk","Functioning")))</f>
        <v/>
      </c>
    </row>
    <row r="40">
      <c r="A40" s="51" t="inlineStr">
        <is>
          <t>Biology</t>
        </is>
      </c>
      <c r="B40" s="12" t="inlineStr">
        <is>
          <t>Population support</t>
        </is>
      </c>
      <c r="C40" s="13" t="inlineStr">
        <is>
          <t>Native non-tolerant fish taxa richness</t>
        </is>
      </c>
      <c r="D40" s="14" t="inlineStr"/>
      <c r="E40" s="15" t="n"/>
      <c r="F40" s="16" t="inlineStr"/>
      <c r="G40" s="17">
        <f>IF('Metrics'!$V$26="","",'Metrics'!$V$26)</f>
        <v/>
      </c>
      <c r="H40" s="18">
        <f>IF('Results'!$B$21="","",'Results'!$B$21)</f>
        <v/>
      </c>
      <c r="I40" s="19">
        <f>IF('DEEP Score'!$H$40="","",IF('DEEP Score'!$H$40&lt;=5,"Non-Functioning",IF('DEEP Score'!$H$40&lt;=10,"Functioning At-Risk","Functioning")))</f>
        <v/>
      </c>
    </row>
    <row r="41">
      <c r="A41" s="20" t="n"/>
      <c r="B41" s="21" t="n"/>
      <c r="C41" s="22" t="inlineStr">
        <is>
          <t>Native non-tolerant fish taxa</t>
        </is>
      </c>
      <c r="D41" s="23" t="inlineStr">
        <is>
          <t>%</t>
        </is>
      </c>
      <c r="E41" s="24" t="n"/>
      <c r="F41" s="25" t="inlineStr"/>
      <c r="G41" s="26">
        <f>IF('Metrics'!$V$27="","",'Metrics'!$V$27)</f>
        <v/>
      </c>
      <c r="H41" s="21" t="n"/>
      <c r="I41" s="27" t="n"/>
    </row>
    <row r="42">
      <c r="A42" s="51" t="inlineStr">
        <is>
          <t>Biology</t>
        </is>
      </c>
      <c r="B42" s="12" t="inlineStr">
        <is>
          <t>Community dynamics</t>
        </is>
      </c>
      <c r="C42" s="13" t="inlineStr">
        <is>
          <t>Tolerant individuals (%) ~ HBI</t>
        </is>
      </c>
      <c r="D42" s="14" t="inlineStr"/>
      <c r="E42" s="15" t="n"/>
      <c r="F42" s="16" t="inlineStr"/>
      <c r="G42" s="17">
        <f>IF('Metrics'!$V$28="","",'Metrics'!$V$28)</f>
        <v/>
      </c>
      <c r="H42" s="18">
        <f>IF('Results'!$B$22="","",'Results'!$B$22)</f>
        <v/>
      </c>
      <c r="I42" s="19">
        <f>IF('DEEP Score'!$H$42="","",IF('DEEP Score'!$H$42&lt;=5,"Non-Functioning",IF('DEEP Score'!$H$42&lt;=10,"Functioning At-Risk","Functioning")))</f>
        <v/>
      </c>
    </row>
    <row r="43">
      <c r="A43" s="20" t="n"/>
      <c r="B43" s="21" t="n"/>
      <c r="C43" s="22" t="inlineStr">
        <is>
          <t>Benthic macroinvertebrate MMI</t>
        </is>
      </c>
      <c r="D43" s="23" t="inlineStr">
        <is>
          <t>MMI points</t>
        </is>
      </c>
      <c r="E43" s="24" t="n"/>
      <c r="F43" s="25" t="inlineStr"/>
      <c r="G43" s="26">
        <f>IF('Metrics'!$V$29="","",'Metrics'!$V$29)</f>
        <v/>
      </c>
      <c r="H43" s="21" t="n"/>
      <c r="I43" s="27" t="n"/>
    </row>
    <row r="44">
      <c r="A44" s="50" t="inlineStr">
        <is>
          <t>Biology</t>
        </is>
      </c>
      <c r="B44" s="29" t="inlineStr">
        <is>
          <t>Watershed connectivity</t>
        </is>
      </c>
      <c r="C44" s="30" t="inlineStr">
        <is>
          <t>Mapped dams within one mile</t>
        </is>
      </c>
      <c r="D44" s="31" t="inlineStr">
        <is>
          <t>dams</t>
        </is>
      </c>
      <c r="E44" s="32" t="n"/>
      <c r="F44" s="33" t="inlineStr"/>
      <c r="G44" s="34">
        <f>IF('Metrics'!$V$30="","",'Metrics'!$V$30)</f>
        <v/>
      </c>
      <c r="H44" s="35">
        <f>IF('Results'!$B$23="","",'Results'!$B$23)</f>
        <v/>
      </c>
      <c r="I44" s="36">
        <f>IF('DEEP Score'!$H$44="","",IF('DEEP Score'!$H$44&lt;=5,"Non-Functioning",IF('DEEP Score'!$H$44&lt;=10,"Functioning At-Risk","Functioning")))</f>
        <v/>
      </c>
    </row>
    <row r="46">
      <c r="A46" s="52" t="inlineStr">
        <is>
          <t>Summary</t>
        </is>
      </c>
    </row>
    <row r="47">
      <c r="A47" s="10" t="inlineStr">
        <is>
          <t>Outcome</t>
        </is>
      </c>
      <c r="B47" s="10" t="inlineStr">
        <is>
          <t>Sub-index (0 to 1)</t>
        </is>
      </c>
      <c r="C47" s="10" t="inlineStr">
        <is>
          <t>Condition</t>
        </is>
      </c>
    </row>
    <row r="48">
      <c r="A48" s="53" t="inlineStr">
        <is>
          <t>Physical</t>
        </is>
      </c>
      <c r="B48" s="54">
        <f>'Results'!$B$26</f>
        <v/>
      </c>
      <c r="C48" s="55">
        <f>IF('DEEP Score'!$B$48&lt;=0.39,"Non-Functioning",IF('DEEP Score'!$B$48&lt;=0.69,"Functioning At-Risk","Functioning"))</f>
        <v/>
      </c>
    </row>
    <row r="49">
      <c r="A49" s="53" t="inlineStr">
        <is>
          <t>Chemical</t>
        </is>
      </c>
      <c r="B49" s="54">
        <f>'Results'!$B$27</f>
        <v/>
      </c>
      <c r="C49" s="55">
        <f>IF('DEEP Score'!$B$49&lt;=0.39,"Non-Functioning",IF('DEEP Score'!$B$49&lt;=0.69,"Functioning At-Risk","Functioning"))</f>
        <v/>
      </c>
    </row>
    <row r="50">
      <c r="A50" s="53" t="inlineStr">
        <is>
          <t>Biological</t>
        </is>
      </c>
      <c r="B50" s="54">
        <f>'Results'!$B$28</f>
        <v/>
      </c>
      <c r="C50" s="55">
        <f>IF('DEEP Score'!$B$50&lt;=0.39,"Non-Functioning",IF('DEEP Score'!$B$50&lt;=0.69,"Functioning At-Risk","Functioning"))</f>
        <v/>
      </c>
    </row>
    <row r="51" ht="30" customHeight="1">
      <c r="A51" s="56" t="inlineStr">
        <is>
          <t>Ecosystem Condition Index</t>
        </is>
      </c>
      <c r="B51" s="57">
        <f>'Results'!$B$29</f>
        <v/>
      </c>
      <c r="C51" s="55">
        <f>IF('DEEP Score'!$B$51&lt;=0.39,"Non-Functioning",IF('DEEP Score'!$B$51&lt;=0.69,"Functioning At-Risk","Functioning"))</f>
        <v/>
      </c>
    </row>
    <row r="52">
      <c r="A52" s="5" t="inlineStr">
        <is>
          <t xml:space="preserve">Functions with a score: </t>
        </is>
      </c>
      <c r="B52" s="5">
        <f>COUNT('Results'!$B$4:$B$23)&amp;" of 20"</f>
        <v/>
      </c>
    </row>
    <row r="53">
      <c r="A53" s="5" t="inlineStr">
        <is>
          <t>This assessment covers 20 of 20 STAF functions.</t>
        </is>
      </c>
    </row>
    <row r="55">
      <c r="A55" s="58" t="inlineStr">
        <is>
          <t>Withheld for insufficient reference support (not scored)</t>
        </is>
      </c>
    </row>
    <row r="56">
      <c r="A56" t="inlineStr">
        <is>
          <t>Substrate size</t>
        </is>
      </c>
      <c r="C56" s="5" t="inlineStr">
        <is>
          <t>Bed composition and bedform dynamics</t>
        </is>
      </c>
    </row>
    <row r="57">
      <c r="A57" t="inlineStr">
        <is>
          <t>Fast-water / riffle habitat</t>
        </is>
      </c>
      <c r="C57" s="5" t="inlineStr">
        <is>
          <t>Habitat provision</t>
        </is>
      </c>
    </row>
    <row r="58">
      <c r="A58" t="inlineStr">
        <is>
          <t>Sinuosity</t>
        </is>
      </c>
      <c r="C58" s="5" t="inlineStr">
        <is>
          <t>Channel and floodplain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59">
    <mergeCell ref="I30:I31"/>
    <mergeCell ref="I32:I33"/>
    <mergeCell ref="B12:B13"/>
    <mergeCell ref="B18:B19"/>
    <mergeCell ref="B8:D8"/>
    <mergeCell ref="I16:I17"/>
    <mergeCell ref="A16:A17"/>
    <mergeCell ref="H21:H22"/>
    <mergeCell ref="B42:B43"/>
    <mergeCell ref="H40:H41"/>
    <mergeCell ref="B23:B24"/>
    <mergeCell ref="I28:I29"/>
    <mergeCell ref="H35:H36"/>
    <mergeCell ref="I40:I41"/>
    <mergeCell ref="I18:I19"/>
    <mergeCell ref="I25:I26"/>
    <mergeCell ref="A12:A13"/>
    <mergeCell ref="A25:A26"/>
    <mergeCell ref="I12:I13"/>
    <mergeCell ref="B9:D9"/>
    <mergeCell ref="I21:I22"/>
    <mergeCell ref="A37:A38"/>
    <mergeCell ref="I37:I38"/>
    <mergeCell ref="B28:B29"/>
    <mergeCell ref="A18:A19"/>
    <mergeCell ref="B6:D6"/>
    <mergeCell ref="B37:B38"/>
    <mergeCell ref="A4:I4"/>
    <mergeCell ref="A21:A22"/>
    <mergeCell ref="A32:A33"/>
    <mergeCell ref="B5:D5"/>
    <mergeCell ref="H16:H17"/>
    <mergeCell ref="A42:A43"/>
    <mergeCell ref="H32:H33"/>
    <mergeCell ref="H12:H13"/>
    <mergeCell ref="I42:I43"/>
    <mergeCell ref="A23:A24"/>
    <mergeCell ref="H28:H29"/>
    <mergeCell ref="A61:I66"/>
    <mergeCell ref="I23:I24"/>
    <mergeCell ref="H37:H38"/>
    <mergeCell ref="B7:D7"/>
    <mergeCell ref="B40:B41"/>
    <mergeCell ref="H18:H19"/>
    <mergeCell ref="B30:B31"/>
    <mergeCell ref="I35:I36"/>
    <mergeCell ref="A35:A36"/>
    <mergeCell ref="B32:B33"/>
    <mergeCell ref="H30:H31"/>
    <mergeCell ref="A28:A29"/>
    <mergeCell ref="H42:H43"/>
    <mergeCell ref="B25:B26"/>
    <mergeCell ref="B16:B17"/>
    <mergeCell ref="H23:H24"/>
    <mergeCell ref="A40:A41"/>
    <mergeCell ref="H25:H26"/>
    <mergeCell ref="B21:B22"/>
    <mergeCell ref="B35:B36"/>
    <mergeCell ref="A30:A31"/>
  </mergeCells>
  <conditionalFormatting sqref="G12:G44">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4">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4">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33" showDropDown="0" showInputMessage="0" showErrorMessage="1" allowBlank="1" errorTitle="Curve set" error="Choose a curve set from the list." type="list">
      <formula1>=strata_spring_phab_xcdenmid</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0"/>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f>
        <v/>
      </c>
      <c r="D11" s="70">
        <f>"spring_phab_bfwd_rat|"&amp;'Metrics'!$C$11</f>
        <v/>
      </c>
      <c r="E11" s="70">
        <f>IFERROR(MATCH('Metrics'!$D$11,curve_key,0),MATCH("spring_phab_bfwd_rat|",curve_key,0))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f>
        <v/>
      </c>
      <c r="D12" s="70">
        <f>"spring_phab_xbkf_h|"&amp;'Metrics'!$C$12</f>
        <v/>
      </c>
      <c r="E12" s="70">
        <f>IFERROR(MATCH('Metrics'!$D$12,curve_key,0),MATCH("spring_phab_xbkf_h|",curve_key,0))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Bank angle</t>
        </is>
      </c>
      <c r="B15" s="70">
        <f>IF('DEEP Score'!$E$27="","",'DEEP Score'!$E$27)</f>
        <v/>
      </c>
      <c r="C15" s="70">
        <f>""</f>
        <v/>
      </c>
      <c r="D15" s="70">
        <f>"spring_phab_xbka|"&amp;'Metrics'!$C$15</f>
        <v/>
      </c>
      <c r="E15" s="70">
        <f>IFERROR(MATCH('Metrics'!$D$15,curve_key,0),MATCH("spring_phab_xbka|",curve_key,0))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Relative bed stability</t>
        </is>
      </c>
      <c r="B16" s="70">
        <f>IF('DEEP Score'!$E$28="","",'DEEP Score'!$E$28)</f>
        <v/>
      </c>
      <c r="C16" s="70">
        <f>""</f>
        <v/>
      </c>
      <c r="D16" s="70">
        <f>"spring_phab_lrbs_use|"&amp;'Metrics'!$C$16</f>
        <v/>
      </c>
      <c r="E16" s="70">
        <f>IFERROR(MATCH('Metrics'!$D$16,curve_key,0),MATCH("spring_phab_lrbs_use|",curve_key,0))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Large wood volume</t>
        </is>
      </c>
      <c r="B17" s="70">
        <f>IF('DEEP Score'!$E$31="","",'DEEP Score'!$E$31)</f>
        <v/>
      </c>
      <c r="C17" s="70">
        <f>""</f>
        <v/>
      </c>
      <c r="D17" s="70">
        <f>"spring_phab_lwdeqvolm100|"&amp;'Metrics'!$C$17</f>
        <v/>
      </c>
      <c r="E17" s="70">
        <f>IFERROR(MATCH('Metrics'!$D$17,curve_key,0),MATCH("spring_phab_lwdeqvolm100|",curve_key,0))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Chlorophyll a</t>
        </is>
      </c>
      <c r="B18" s="70">
        <f>IF('DEEP Score'!$E$32="","",'DEEP Score'!$E$32)</f>
        <v/>
      </c>
      <c r="C18" s="70">
        <f>""</f>
        <v/>
      </c>
      <c r="D18" s="70">
        <f>"spring_chem_chla|"&amp;'Metrics'!$C$18</f>
        <v/>
      </c>
      <c r="E18" s="70">
        <f>IFERROR(MATCH('Metrics'!$D$18,curve_key,0),MATCH("spring_chem_chla|",curve_key,0))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Canopy density, mid-channel</t>
        </is>
      </c>
      <c r="B19" s="70">
        <f>IF('DEEP Score'!$E$33="","",'DEEP Score'!$E$33)</f>
        <v/>
      </c>
      <c r="C19" s="70">
        <f>IF('DEEP Score'!$F$33="","All streams (pooled)",'DEEP Score'!$F$33)</f>
        <v/>
      </c>
      <c r="D19" s="70">
        <f>"spring_phab_xcdenmid|"&amp;'Metrics'!$C$19</f>
        <v/>
      </c>
      <c r="E19" s="70">
        <f>IFERROR(MATCH('Metrics'!$D$19,curve_key,0),MATCH("spring_phab_xcdenmid|All streams (pooled)",curve_key,0))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Riparian veg cover, woody</t>
        </is>
      </c>
      <c r="B20" s="70">
        <f>IF('DEEP Score'!$E$34="","",'DEEP Score'!$E$34)</f>
        <v/>
      </c>
      <c r="C20" s="70">
        <f>""</f>
        <v/>
      </c>
      <c r="D20" s="70">
        <f>"spring_phab_xcmgw|"&amp;'Metrics'!$C$20</f>
        <v/>
      </c>
      <c r="E20" s="70">
        <f>IFERROR(MATCH('Metrics'!$D$20,curve_key,0),MATCH("spring_phab_xcmgw|",curve_key,0))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Total nitrogen</t>
        </is>
      </c>
      <c r="B21" s="70">
        <f>IF('DEEP Score'!$E$35="","",'DEEP Score'!$E$35)</f>
        <v/>
      </c>
      <c r="C21" s="70">
        <f>""</f>
        <v/>
      </c>
      <c r="D21" s="70">
        <f>"spring_chem_ntl|"&amp;'Metrics'!$C$21</f>
        <v/>
      </c>
      <c r="E21" s="70">
        <f>IFERROR(MATCH('Metrics'!$D$21,curve_key,0),MATCH("spring_chem_ntl|",curve_key,0))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phosphorus</t>
        </is>
      </c>
      <c r="B22" s="70">
        <f>IF('DEEP Score'!$E$36="","",'DEEP Score'!$E$36)</f>
        <v/>
      </c>
      <c r="C22" s="70">
        <f>""</f>
        <v/>
      </c>
      <c r="D22" s="70">
        <f>"spring_chem_ptl|"&amp;'Metrics'!$C$22</f>
        <v/>
      </c>
      <c r="E22" s="70">
        <f>IFERROR(MATCH('Metrics'!$D$22,curve_key,0),MATCH("spring_chem_ptl|",curve_key,0))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pH</t>
        </is>
      </c>
      <c r="B23" s="70">
        <f>IF('DEEP Score'!$E$37="","",'DEEP Score'!$E$37)</f>
        <v/>
      </c>
      <c r="C23" s="70">
        <f>""</f>
        <v/>
      </c>
      <c r="D23" s="70">
        <f>"spring_chem_ph|"&amp;'Metrics'!$C$23</f>
        <v/>
      </c>
      <c r="E23" s="70">
        <f>IFERROR(MATCH('Metrics'!$D$23,curve_key,0),MATCH("spring_chem_ph|",curve_key,0))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Specific conductivity</t>
        </is>
      </c>
      <c r="B24" s="70">
        <f>IF('DEEP Score'!$E$38="","",'DEEP Score'!$E$38)</f>
        <v/>
      </c>
      <c r="C24" s="70">
        <f>""</f>
        <v/>
      </c>
      <c r="D24" s="70">
        <f>"spring_chem_cond|"&amp;'Metrics'!$C$24</f>
        <v/>
      </c>
      <c r="E24" s="70">
        <f>IFERROR(MATCH('Metrics'!$D$24,curve_key,0),MATCH("spring_chem_cond|",curve_key,0))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Natural fish cover</t>
        </is>
      </c>
      <c r="B25" s="70">
        <f>IF('DEEP Score'!$E$39="","",'DEEP Score'!$E$39)</f>
        <v/>
      </c>
      <c r="C25" s="70">
        <f>""</f>
        <v/>
      </c>
      <c r="D25" s="70">
        <f>"spring_phab_xfc_nat|"&amp;'Metrics'!$C$25</f>
        <v/>
      </c>
      <c r="E25" s="70">
        <f>IFERROR(MATCH('Metrics'!$D$25,curve_key,0),MATCH("spring_phab_xfc_nat|",curve_key,0))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Native non-tolerant fish taxa richness</t>
        </is>
      </c>
      <c r="B26" s="70">
        <f>IF('DEEP Score'!$E$40="","",'DEEP Score'!$E$40)</f>
        <v/>
      </c>
      <c r="C26" s="70">
        <f>""</f>
        <v/>
      </c>
      <c r="D26" s="70">
        <f>"spring_fish_nat_ntolntax|"&amp;'Metrics'!$C$26</f>
        <v/>
      </c>
      <c r="E26" s="70">
        <f>IFERROR(MATCH('Metrics'!$D$26,curve_key,0),MATCH("spring_fish_nat_ntolntax|",curve_key,0))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Native non-tolerant fish taxa</t>
        </is>
      </c>
      <c r="B27" s="70">
        <f>IF('DEEP Score'!$E$41="","",'DEEP Score'!$E$41)</f>
        <v/>
      </c>
      <c r="C27" s="70">
        <f>""</f>
        <v/>
      </c>
      <c r="D27" s="70">
        <f>"spring_fish_nat_ntolptax|"&amp;'Metrics'!$C$27</f>
        <v/>
      </c>
      <c r="E27" s="70">
        <f>IFERROR(MATCH('Metrics'!$D$27,curve_key,0),MATCH("spring_fish_nat_ntolptax|",curve_key,0))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Tolerant individuals (%) ~ HBI</t>
        </is>
      </c>
      <c r="B28" s="70">
        <f>IF('DEEP Score'!$E$42="","",'DEEP Score'!$E$42)</f>
        <v/>
      </c>
      <c r="C28" s="70">
        <f>""</f>
        <v/>
      </c>
      <c r="D28" s="70">
        <f>"spring_bent_tolrpind|"&amp;'Metrics'!$C$28</f>
        <v/>
      </c>
      <c r="E28" s="70">
        <f>IFERROR(MATCH('Metrics'!$D$28,curve_key,0),MATCH("spring_bent_tolrpind|",curve_key,0))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Benthic macroinvertebrate MMI</t>
        </is>
      </c>
      <c r="B29" s="70">
        <f>IF('DEEP Score'!$E$43="","",'DEEP Score'!$E$43)</f>
        <v/>
      </c>
      <c r="C29" s="70">
        <f>""</f>
        <v/>
      </c>
      <c r="D29" s="70">
        <f>"spring_bent_mmi_bent|"&amp;'Metrics'!$C$29</f>
        <v/>
      </c>
      <c r="E29" s="70">
        <f>IFERROR(MATCH('Metrics'!$D$29,curve_key,0),MATCH("spring_bent_mmi_bent|",curve_key,0))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Mapped dams within one mile</t>
        </is>
      </c>
      <c r="B30" s="70">
        <f>IF('DEEP Score'!$E$44="","",'DEEP Score'!$E$44)</f>
        <v/>
      </c>
      <c r="C30" s="70">
        <f>""</f>
        <v/>
      </c>
      <c r="D30" s="70">
        <f>"spring_nid_dams_1mi|"&amp;'Metrics'!$C$30</f>
        <v/>
      </c>
      <c r="E30" s="70">
        <f>IFERROR(MATCH('Metrics'!$D$30,curve_key,0),MATCH("spring_nid_dams_1mi|",curve_key,0))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Score'!G27:G27)=0,"",SUM('DEEP Score'!G27:G27)/COUNT('DEEP Score'!G27:G27)*15)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Score'!G28:G29)=0,"",SUM('DEEP Score'!G28:G29)/COUNT('DEEP Score'!G28:G29)*15)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Score'!G30:G31)=0,"",SUM('DEEP Score'!G30:G31)/COUNT('DEEP Score'!G30:G31)*15)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Score'!G32:G33)=0,"",SUM('DEEP Score'!G32:G33)/COUNT('DEEP Score'!G32:G33)*15)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Score'!G34:G34)=0,"",SUM('DEEP Score'!G34:G34)/COUNT('DEEP Score'!G34:G34)*15)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Score'!G35:G36)=0,"",SUM('DEEP Score'!G35:G36)/COUNT('DEEP Score'!G35:G36)*15)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Score'!G37:G38)=0,"",SUM('DEEP Score'!G37:G38)/COUNT('DEEP Score'!G37:G38)*15)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Score'!G39:G39)=0,"",SUM('DEEP Score'!G39:G39)/COUNT('DEEP Score'!G39:G39)*15)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Score'!G40:G41)=0,"",SUM('DEEP Score'!G40:G41)/COUNT('DEEP Score'!G40:G41)*15)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Score'!G42:G43)=0,"",SUM('DEEP Score'!G42:G43)/COUNT('DEEP Score'!G42:G43)*15)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Score'!G44:G44)=0,"",SUM('DEEP Score'!G44:G44)/COUNT('DEEP Score'!G44:G44)*15)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44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4.701428571428571</v>
      </c>
      <c r="I7" s="69" t="n">
        <v>10.97</v>
      </c>
      <c r="J7" s="69" t="n">
        <v>31.865</v>
      </c>
      <c r="K7" s="69" t="n">
        <v>42.3125</v>
      </c>
      <c r="L7" s="69" t="n">
        <v>42.3125</v>
      </c>
      <c r="M7" s="69" t="n">
        <v>42.3125</v>
      </c>
      <c r="N7" s="69" t="n">
        <v>42.3125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44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9" s="69" t="n">
        <v>0</v>
      </c>
      <c r="H9" s="69" t="n">
        <v>12.40258928571428</v>
      </c>
      <c r="I9" s="69" t="n">
        <v>28.939375</v>
      </c>
      <c r="J9" s="69" t="n">
        <v>44.232825</v>
      </c>
      <c r="K9" s="69" t="n">
        <v>51.87954999999999</v>
      </c>
      <c r="L9" s="69" t="n">
        <v>51.87954999999999</v>
      </c>
      <c r="M9" s="69" t="n">
        <v>51.87954999999999</v>
      </c>
      <c r="N9" s="69" t="n">
        <v>51.87954999999999</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t>
        </is>
      </c>
      <c r="B11" s="69" t="inlineStr">
        <is>
          <t>spring-phab-bfwd-rat</t>
        </is>
      </c>
      <c r="C11" s="69" t="inlineStr">
        <is>
          <t>Bankfull width:depth ratio</t>
        </is>
      </c>
      <c r="D11" s="69" t="inlineStr"/>
      <c r="E11" s="69" t="n">
        <v>7</v>
      </c>
      <c r="F11" s="69" t="inlineStr">
        <is>
          <t>28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1" s="69" t="n">
        <v>0</v>
      </c>
      <c r="H11" s="69" t="n">
        <v>3.489806884527207</v>
      </c>
      <c r="I11" s="69" t="n">
        <v>6.226635336875916</v>
      </c>
      <c r="J11" s="69" t="n">
        <v>14.04614520072937</v>
      </c>
      <c r="K11" s="69" t="n">
        <v>16.78297365307808</v>
      </c>
      <c r="L11" s="69" t="n">
        <v>21.86565506458282</v>
      </c>
      <c r="M11" s="69" t="n">
        <v>29.68516492843628</v>
      </c>
      <c r="N11" s="69" t="n">
        <v>29.68516492843628</v>
      </c>
      <c r="O11" s="69" t="n">
        <v>0</v>
      </c>
      <c r="P11" s="69" t="n">
        <v>0.7</v>
      </c>
      <c r="Q11" s="69" t="n">
        <v>1</v>
      </c>
      <c r="R11" s="69" t="n">
        <v>1</v>
      </c>
      <c r="S11" s="69" t="n">
        <v>0.7</v>
      </c>
      <c r="T11" s="69" t="n">
        <v>0.3</v>
      </c>
      <c r="U11" s="69" t="n">
        <v>0</v>
      </c>
      <c r="V11" s="69" t="n">
        <v>0</v>
      </c>
    </row>
    <row r="12">
      <c r="A12" s="69" t="inlineStr">
        <is>
          <t>spring_phab_xbkf_h|</t>
        </is>
      </c>
      <c r="B12" s="69" t="inlineStr">
        <is>
          <t>spring-phab-xbkf-h</t>
        </is>
      </c>
      <c r="C12" s="69" t="inlineStr">
        <is>
          <t>Bankfull height above channel</t>
        </is>
      </c>
      <c r="D12" s="69" t="inlineStr"/>
      <c r="E12" s="69" t="n">
        <v>7</v>
      </c>
      <c r="F12" s="69" t="inlineStr">
        <is>
          <t>28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9" t="n">
        <v>0</v>
      </c>
      <c r="H12" s="69" t="n">
        <v>0.1313977401703596</v>
      </c>
      <c r="I12" s="69" t="n">
        <v>0.2627272829413414</v>
      </c>
      <c r="J12" s="69" t="n">
        <v>0.6379545480012894</v>
      </c>
      <c r="K12" s="69" t="n">
        <v>0.7692840907722711</v>
      </c>
      <c r="L12" s="69" t="n">
        <v>1.013181813061237</v>
      </c>
      <c r="M12" s="69" t="n">
        <v>1.388409078121185</v>
      </c>
      <c r="N12" s="69" t="n">
        <v>1.388409078121185</v>
      </c>
      <c r="O12" s="69" t="n">
        <v>0</v>
      </c>
      <c r="P12" s="69" t="n">
        <v>0.7</v>
      </c>
      <c r="Q12" s="69" t="n">
        <v>1</v>
      </c>
      <c r="R12" s="69" t="n">
        <v>1</v>
      </c>
      <c r="S12" s="69" t="n">
        <v>0.7</v>
      </c>
      <c r="T12" s="69" t="n">
        <v>0.3</v>
      </c>
      <c r="U12" s="69" t="n">
        <v>0</v>
      </c>
      <c r="V12" s="69" t="n">
        <v>0</v>
      </c>
    </row>
    <row r="13">
      <c r="A13" s="69" t="inlineStr">
        <is>
          <t>spring_phab_pct_safn|</t>
        </is>
      </c>
      <c r="B13" s="69" t="inlineStr">
        <is>
          <t>spring-phab-pct-safn</t>
        </is>
      </c>
      <c r="C13" s="69" t="inlineStr">
        <is>
          <t>Sand + fines</t>
        </is>
      </c>
      <c r="D13" s="69" t="inlineStr"/>
      <c r="E13" s="69" t="n">
        <v>4</v>
      </c>
      <c r="F13" s="69" t="inlineStr">
        <is>
          <t>14 least-disturbed stations borrowed from Level II ecoregion 8.5 (Mississippi Alluvial And Southeast Usa Coastal Plains) under the regional screen (agriculture at most 25 percent), transfer risk low</t>
        </is>
      </c>
      <c r="G13" s="69" t="n">
        <v>73.18914318084717</v>
      </c>
      <c r="H13" s="69" t="n">
        <v>81.96428298950195</v>
      </c>
      <c r="I13" s="69" t="n">
        <v>99.51456260681152</v>
      </c>
      <c r="J13" s="69" t="n">
        <v>100</v>
      </c>
      <c r="K13" s="69" t="n">
        <v>100</v>
      </c>
      <c r="L13" s="69" t="n">
        <v>100</v>
      </c>
      <c r="M13" s="69" t="n">
        <v>100</v>
      </c>
      <c r="N13" s="69" t="n">
        <v>100</v>
      </c>
      <c r="O13" s="69" t="n">
        <v>1</v>
      </c>
      <c r="P13" s="69" t="n">
        <v>1</v>
      </c>
      <c r="Q13" s="69" t="n">
        <v>0.7</v>
      </c>
      <c r="R13" s="69" t="n">
        <v>0</v>
      </c>
      <c r="S13" s="69" t="n">
        <v>0</v>
      </c>
      <c r="T13" s="69" t="n">
        <v>0</v>
      </c>
      <c r="U13" s="69" t="n">
        <v>0</v>
      </c>
      <c r="V13" s="69" t="n">
        <v>0</v>
      </c>
    </row>
    <row r="14">
      <c r="A14" s="69" t="inlineStr">
        <is>
          <t>spring_phab_xembed|</t>
        </is>
      </c>
      <c r="B14" s="69" t="inlineStr">
        <is>
          <t>spring-phab-xembed</t>
        </is>
      </c>
      <c r="C14" s="69" t="inlineStr">
        <is>
          <t>Embeddedness</t>
        </is>
      </c>
      <c r="D14" s="69" t="inlineStr"/>
      <c r="E14" s="69" t="n">
        <v>4</v>
      </c>
      <c r="F14" s="69" t="inlineStr">
        <is>
          <t>18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14" s="69" t="n">
        <v>64.05965900421143</v>
      </c>
      <c r="H14" s="69" t="n">
        <v>74.03977203369141</v>
      </c>
      <c r="I14" s="69" t="n">
        <v>93.99999809265137</v>
      </c>
      <c r="J14" s="69" t="n">
        <v>100</v>
      </c>
      <c r="K14" s="69" t="n">
        <v>100</v>
      </c>
      <c r="L14" s="69" t="n">
        <v>100</v>
      </c>
      <c r="M14" s="69" t="n">
        <v>100</v>
      </c>
      <c r="N14" s="69" t="n">
        <v>100</v>
      </c>
      <c r="O14" s="69" t="n">
        <v>1</v>
      </c>
      <c r="P14" s="69" t="n">
        <v>1</v>
      </c>
      <c r="Q14" s="69" t="n">
        <v>0.7</v>
      </c>
      <c r="R14" s="69" t="n">
        <v>0</v>
      </c>
      <c r="S14" s="69" t="n">
        <v>0</v>
      </c>
      <c r="T14" s="69" t="n">
        <v>0</v>
      </c>
      <c r="U14" s="69" t="n">
        <v>0</v>
      </c>
      <c r="V14" s="69" t="n">
        <v>0</v>
      </c>
    </row>
    <row r="15">
      <c r="A15" s="69" t="inlineStr">
        <is>
          <t>spring_phab_xbka|</t>
        </is>
      </c>
      <c r="B15" s="69" t="inlineStr">
        <is>
          <t>spring-phab-xbka</t>
        </is>
      </c>
      <c r="C15" s="69" t="inlineStr">
        <is>
          <t>Bank angle</t>
        </is>
      </c>
      <c r="D15" s="69" t="inlineStr"/>
      <c r="E15" s="69" t="n">
        <v>7</v>
      </c>
      <c r="F15" s="69" t="inlineStr">
        <is>
          <t>18 least-disturbed stations borrowed from NARS-9 region CPL under the regional screen (agriculture at most 25 percent), transfer risk moderate</t>
        </is>
      </c>
      <c r="G15" s="69" t="n">
        <v>0</v>
      </c>
      <c r="H15" s="69" t="n">
        <v>10.02500025033951</v>
      </c>
      <c r="I15" s="69" t="n">
        <v>16.65909075737</v>
      </c>
      <c r="J15" s="69" t="n">
        <v>35.61363506317139</v>
      </c>
      <c r="K15" s="69" t="n">
        <v>42.24772557020187</v>
      </c>
      <c r="L15" s="69" t="n">
        <v>54.56817936897278</v>
      </c>
      <c r="M15" s="69" t="n">
        <v>73.52272367477417</v>
      </c>
      <c r="N15" s="69" t="n">
        <v>73.52272367477417</v>
      </c>
      <c r="O15" s="69" t="n">
        <v>0.7</v>
      </c>
      <c r="P15" s="69" t="n">
        <v>0.7</v>
      </c>
      <c r="Q15" s="69" t="n">
        <v>1</v>
      </c>
      <c r="R15" s="69" t="n">
        <v>1</v>
      </c>
      <c r="S15" s="69" t="n">
        <v>0.7</v>
      </c>
      <c r="T15" s="69" t="n">
        <v>0.3</v>
      </c>
      <c r="U15" s="69" t="n">
        <v>0</v>
      </c>
      <c r="V15" s="69" t="n">
        <v>0</v>
      </c>
    </row>
    <row r="16">
      <c r="A16" s="69" t="inlineStr">
        <is>
          <t>spring_phab_lrbs_use|</t>
        </is>
      </c>
      <c r="B16" s="69" t="inlineStr">
        <is>
          <t>spring-phab-lrbs-use</t>
        </is>
      </c>
      <c r="C16" s="69" t="inlineStr">
        <is>
          <t>Relative bed stability</t>
        </is>
      </c>
      <c r="D16" s="69" t="inlineStr"/>
      <c r="E16" s="69" t="n">
        <v>8</v>
      </c>
      <c r="F16" s="69" t="inlineStr">
        <is>
          <t>27 least-disturbed stations borrowed from Level I ecoregion 8 (Eastern Temperate Forests) under the regional screen (agriculture at most 25 percent), transfer risk high</t>
        </is>
      </c>
      <c r="G16" s="69" t="n">
        <v>-4.828432321548462</v>
      </c>
      <c r="H16" s="69" t="n">
        <v>-3.620658457279205</v>
      </c>
      <c r="I16" s="69" t="n">
        <v>-2.835605445504188</v>
      </c>
      <c r="J16" s="69" t="n">
        <v>-2.412884593009949</v>
      </c>
      <c r="K16" s="69" t="n">
        <v>-1.205110728740692</v>
      </c>
      <c r="L16" s="69" t="n">
        <v>-0.7823898762464523</v>
      </c>
      <c r="M16" s="69" t="n">
        <v>0.002663135528564453</v>
      </c>
      <c r="N16" s="69" t="n">
        <v>1.210436999797821</v>
      </c>
      <c r="O16" s="69" t="n">
        <v>0</v>
      </c>
      <c r="P16" s="69" t="n">
        <v>0.3</v>
      </c>
      <c r="Q16" s="69" t="n">
        <v>0.7</v>
      </c>
      <c r="R16" s="69" t="n">
        <v>1</v>
      </c>
      <c r="S16" s="69" t="n">
        <v>1</v>
      </c>
      <c r="T16" s="69" t="n">
        <v>0.7</v>
      </c>
      <c r="U16" s="69" t="n">
        <v>0.3</v>
      </c>
      <c r="V16" s="69" t="n">
        <v>0</v>
      </c>
    </row>
    <row r="17">
      <c r="A17" s="69" t="inlineStr">
        <is>
          <t>spring_phab_lwdeqvolm100|</t>
        </is>
      </c>
      <c r="B17" s="69" t="inlineStr">
        <is>
          <t>spring-phab-lwdeqvolm100</t>
        </is>
      </c>
      <c r="C17" s="69" t="inlineStr">
        <is>
          <t>Large wood volume</t>
        </is>
      </c>
      <c r="D17" s="69" t="inlineStr"/>
      <c r="E17" s="69" t="n">
        <v>5</v>
      </c>
      <c r="F17" s="69" t="inlineStr">
        <is>
          <t>Reference curve fitted to comparable least-disturbed stations drawn from the national pool, because this ecoregion and its parents hold too few of their own.</t>
        </is>
      </c>
      <c r="G17" s="69" t="n">
        <v>0</v>
      </c>
      <c r="H17" s="69" t="n">
        <v>0.4079220720699855</v>
      </c>
      <c r="I17" s="69" t="n">
        <v>0.9518181681632996</v>
      </c>
      <c r="J17" s="69" t="n">
        <v>7.85482120513916</v>
      </c>
      <c r="K17" s="69" t="n">
        <v>11.30632272362709</v>
      </c>
      <c r="L17" s="69" t="n">
        <v>11.30632272362709</v>
      </c>
      <c r="M17" s="69" t="n">
        <v>11.30632272362709</v>
      </c>
      <c r="N17" s="69" t="n">
        <v>11.30632272362709</v>
      </c>
      <c r="O17" s="69" t="n">
        <v>0</v>
      </c>
      <c r="P17" s="69" t="n">
        <v>0.3</v>
      </c>
      <c r="Q17" s="69" t="n">
        <v>0.7</v>
      </c>
      <c r="R17" s="69" t="n">
        <v>1</v>
      </c>
      <c r="S17" s="69" t="n">
        <v>1</v>
      </c>
      <c r="T17" s="69" t="n">
        <v>1</v>
      </c>
      <c r="U17" s="69" t="n">
        <v>1</v>
      </c>
      <c r="V17" s="69" t="n">
        <v>1</v>
      </c>
    </row>
    <row r="18">
      <c r="A18" s="69" t="inlineStr">
        <is>
          <t>spring_chem_chla|</t>
        </is>
      </c>
      <c r="B18" s="69" t="inlineStr">
        <is>
          <t>spring-chem-chla</t>
        </is>
      </c>
      <c r="C18" s="69" t="inlineStr">
        <is>
          <t>Chlorophyll a</t>
        </is>
      </c>
      <c r="D18" s="69" t="inlineStr"/>
      <c r="E18" s="69" t="n">
        <v>5</v>
      </c>
      <c r="F18" s="69" t="inlineStr">
        <is>
          <t>15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18" s="69" t="n">
        <v>0</v>
      </c>
      <c r="H18" s="69" t="n">
        <v>0.4514999985694885</v>
      </c>
      <c r="I18" s="69" t="n">
        <v>26.25</v>
      </c>
      <c r="J18" s="69" t="n">
        <v>64.94775000214577</v>
      </c>
      <c r="K18" s="69" t="n">
        <v>90.74625000357628</v>
      </c>
      <c r="L18" s="69" t="n">
        <v>90.74625000357628</v>
      </c>
      <c r="M18" s="69" t="n">
        <v>90.74625000357628</v>
      </c>
      <c r="N18" s="69" t="n">
        <v>90.74625000357628</v>
      </c>
      <c r="O18" s="69" t="n">
        <v>1</v>
      </c>
      <c r="P18" s="69" t="n">
        <v>1</v>
      </c>
      <c r="Q18" s="69" t="n">
        <v>0.7</v>
      </c>
      <c r="R18" s="69" t="n">
        <v>0.3</v>
      </c>
      <c r="S18" s="69" t="n">
        <v>0</v>
      </c>
      <c r="T18" s="69" t="n">
        <v>0</v>
      </c>
      <c r="U18" s="69" t="n">
        <v>0</v>
      </c>
      <c r="V18" s="69" t="n">
        <v>0</v>
      </c>
    </row>
    <row r="19">
      <c r="A19" s="69" t="inlineStr">
        <is>
          <t>spring_phab_xcdenmid|All streams (pooled)</t>
        </is>
      </c>
      <c r="B19" s="69" t="inlineStr">
        <is>
          <t>spring-phab-xcdenmid</t>
        </is>
      </c>
      <c r="C19" s="69" t="inlineStr">
        <is>
          <t>Canopy density, mid-channel</t>
        </is>
      </c>
      <c r="D19" s="69" t="inlineStr">
        <is>
          <t>All streams (pooled)</t>
        </is>
      </c>
      <c r="E19" s="69" t="n">
        <v>5</v>
      </c>
      <c r="F19" s="69" t="inlineStr">
        <is>
          <t>149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19" s="69" t="n">
        <v>0</v>
      </c>
      <c r="H19" s="69" t="n">
        <v>28.13216073172433</v>
      </c>
      <c r="I19" s="69" t="n">
        <v>65.64170837402344</v>
      </c>
      <c r="J19" s="69" t="n">
        <v>92.64705657958984</v>
      </c>
      <c r="K19" s="69" t="n">
        <v>100</v>
      </c>
      <c r="L19" s="69" t="n">
        <v>100</v>
      </c>
      <c r="M19" s="69" t="n">
        <v>100</v>
      </c>
      <c r="N19" s="69" t="n">
        <v>100</v>
      </c>
      <c r="O19" s="69" t="n">
        <v>0</v>
      </c>
      <c r="P19" s="69" t="n">
        <v>0.3</v>
      </c>
      <c r="Q19" s="69" t="n">
        <v>0.7</v>
      </c>
      <c r="R19" s="69" t="n">
        <v>1</v>
      </c>
      <c r="S19" s="69" t="n">
        <v>1</v>
      </c>
      <c r="T19" s="69" t="n">
        <v>1</v>
      </c>
      <c r="U19" s="69" t="n">
        <v>1</v>
      </c>
      <c r="V19" s="69" t="n">
        <v>1</v>
      </c>
    </row>
    <row r="20">
      <c r="A20" s="69" t="inlineStr">
        <is>
          <t>spring_phab_xcdenmid|Headwater (10 km2 and under)</t>
        </is>
      </c>
      <c r="B20" s="69" t="inlineStr">
        <is>
          <t>spring-phab-xcdenmid</t>
        </is>
      </c>
      <c r="C20" s="69" t="inlineStr">
        <is>
          <t>Canopy density, mid-channel</t>
        </is>
      </c>
      <c r="D20" s="69" t="inlineStr">
        <is>
          <t>Headwater (10 km2 and under)</t>
        </is>
      </c>
      <c r="E20" s="69" t="n">
        <v>5</v>
      </c>
      <c r="F20" s="69" t="inlineStr">
        <is>
          <t>149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0" s="69" t="n">
        <v>0</v>
      </c>
      <c r="H20" s="69" t="n">
        <v>35.58059692382812</v>
      </c>
      <c r="I20" s="69" t="n">
        <v>83.02139282226562</v>
      </c>
      <c r="J20" s="69" t="n">
        <v>95.18716430664062</v>
      </c>
      <c r="K20" s="69" t="n">
        <v>100</v>
      </c>
      <c r="L20" s="69" t="n">
        <v>100</v>
      </c>
      <c r="M20" s="69" t="n">
        <v>100</v>
      </c>
      <c r="N20" s="69" t="n">
        <v>100</v>
      </c>
      <c r="O20" s="69" t="n">
        <v>0</v>
      </c>
      <c r="P20" s="69" t="n">
        <v>0.3</v>
      </c>
      <c r="Q20" s="69" t="n">
        <v>0.7</v>
      </c>
      <c r="R20" s="69" t="n">
        <v>1</v>
      </c>
      <c r="S20" s="69" t="n">
        <v>1</v>
      </c>
      <c r="T20" s="69" t="n">
        <v>1</v>
      </c>
      <c r="U20" s="69" t="n">
        <v>1</v>
      </c>
      <c r="V20" s="69" t="n">
        <v>1</v>
      </c>
    </row>
    <row r="21">
      <c r="A21" s="69" t="inlineStr">
        <is>
          <t>spring_phab_xcdenmid|Small stream (10 to 100 km2)</t>
        </is>
      </c>
      <c r="B21" s="69" t="inlineStr">
        <is>
          <t>spring-phab-xcdenmid</t>
        </is>
      </c>
      <c r="C21" s="69" t="inlineStr">
        <is>
          <t>Canopy density, mid-channel</t>
        </is>
      </c>
      <c r="D21" s="69" t="inlineStr">
        <is>
          <t>Small stream (10 to 100 km2)</t>
        </is>
      </c>
      <c r="E21" s="69" t="n">
        <v>5</v>
      </c>
      <c r="F21" s="69" t="inlineStr">
        <is>
          <t>149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1" s="69" t="n">
        <v>0</v>
      </c>
      <c r="H21" s="69" t="n">
        <v>30.53857857840402</v>
      </c>
      <c r="I21" s="69" t="n">
        <v>71.25668334960938</v>
      </c>
      <c r="J21" s="69" t="n">
        <v>93.64973068237305</v>
      </c>
      <c r="K21" s="69" t="n">
        <v>100</v>
      </c>
      <c r="L21" s="69" t="n">
        <v>100</v>
      </c>
      <c r="M21" s="69" t="n">
        <v>100</v>
      </c>
      <c r="N21" s="69" t="n">
        <v>100</v>
      </c>
      <c r="O21" s="69" t="n">
        <v>0</v>
      </c>
      <c r="P21" s="69" t="n">
        <v>0.3</v>
      </c>
      <c r="Q21" s="69" t="n">
        <v>0.7</v>
      </c>
      <c r="R21" s="69" t="n">
        <v>1</v>
      </c>
      <c r="S21" s="69" t="n">
        <v>1</v>
      </c>
      <c r="T21" s="69" t="n">
        <v>1</v>
      </c>
      <c r="U21" s="69" t="n">
        <v>1</v>
      </c>
      <c r="V21" s="69" t="n">
        <v>1</v>
      </c>
    </row>
    <row r="22">
      <c r="A22" s="69" t="inlineStr">
        <is>
          <t>spring_phab_xcdenmid|Large stream (over 100 km2)</t>
        </is>
      </c>
      <c r="B22" s="69" t="inlineStr">
        <is>
          <t>spring-phab-xcdenmid</t>
        </is>
      </c>
      <c r="C22" s="69" t="inlineStr">
        <is>
          <t>Canopy density, mid-channel</t>
        </is>
      </c>
      <c r="D22" s="69" t="inlineStr">
        <is>
          <t>Large stream (over 100 km2)</t>
        </is>
      </c>
      <c r="E22" s="69" t="n">
        <v>5</v>
      </c>
      <c r="F22" s="69" t="inlineStr">
        <is>
          <t>149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2" s="69" t="n">
        <v>0</v>
      </c>
      <c r="H22" s="69" t="n">
        <v>11.74560764857701</v>
      </c>
      <c r="I22" s="69" t="n">
        <v>27.40641784667969</v>
      </c>
      <c r="J22" s="69" t="n">
        <v>82.08556365966797</v>
      </c>
      <c r="K22" s="69" t="n">
        <v>100</v>
      </c>
      <c r="L22" s="69" t="n">
        <v>100</v>
      </c>
      <c r="M22" s="69" t="n">
        <v>100</v>
      </c>
      <c r="N22" s="69" t="n">
        <v>100</v>
      </c>
      <c r="O22" s="69" t="n">
        <v>0</v>
      </c>
      <c r="P22" s="69" t="n">
        <v>0.3</v>
      </c>
      <c r="Q22" s="69" t="n">
        <v>0.7</v>
      </c>
      <c r="R22" s="69" t="n">
        <v>1</v>
      </c>
      <c r="S22" s="69" t="n">
        <v>1</v>
      </c>
      <c r="T22" s="69" t="n">
        <v>1</v>
      </c>
      <c r="U22" s="69" t="n">
        <v>1</v>
      </c>
      <c r="V22" s="69" t="n">
        <v>1</v>
      </c>
    </row>
    <row r="23">
      <c r="A23" s="69" t="inlineStr">
        <is>
          <t>spring_phab_xcmgw|</t>
        </is>
      </c>
      <c r="B23" s="69" t="inlineStr">
        <is>
          <t>spring-phab-xcmgw</t>
        </is>
      </c>
      <c r="C23" s="69" t="inlineStr">
        <is>
          <t>Riparian veg cover, woody</t>
        </is>
      </c>
      <c r="D23" s="69" t="inlineStr"/>
      <c r="E23" s="69" t="n">
        <v>5</v>
      </c>
      <c r="F23" s="69" t="inlineStr">
        <is>
          <t>23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3" s="69" t="n">
        <v>0</v>
      </c>
      <c r="H23" s="69" t="n">
        <v>0.3280032532555716</v>
      </c>
      <c r="I23" s="69" t="n">
        <v>0.7653409242630005</v>
      </c>
      <c r="J23" s="69" t="n">
        <v>1.634090900421143</v>
      </c>
      <c r="K23" s="69" t="n">
        <v>2.068465888500214</v>
      </c>
      <c r="L23" s="69" t="n">
        <v>2.068465888500214</v>
      </c>
      <c r="M23" s="69" t="n">
        <v>2.068465888500214</v>
      </c>
      <c r="N23" s="69" t="n">
        <v>2.068465888500214</v>
      </c>
      <c r="O23" s="69" t="n">
        <v>0</v>
      </c>
      <c r="P23" s="69" t="n">
        <v>0.3</v>
      </c>
      <c r="Q23" s="69" t="n">
        <v>0.7</v>
      </c>
      <c r="R23" s="69" t="n">
        <v>1</v>
      </c>
      <c r="S23" s="69" t="n">
        <v>1</v>
      </c>
      <c r="T23" s="69" t="n">
        <v>1</v>
      </c>
      <c r="U23" s="69" t="n">
        <v>1</v>
      </c>
      <c r="V23" s="69" t="n">
        <v>1</v>
      </c>
    </row>
    <row r="24">
      <c r="A24" s="69" t="inlineStr">
        <is>
          <t>spring_chem_ntl|</t>
        </is>
      </c>
      <c r="B24" s="69" t="inlineStr">
        <is>
          <t>spring-chem-ntl</t>
        </is>
      </c>
      <c r="C24" s="69" t="inlineStr">
        <is>
          <t>Total nitrogen</t>
        </is>
      </c>
      <c r="D24" s="69" t="inlineStr"/>
      <c r="E24" s="69" t="n">
        <v>4</v>
      </c>
      <c r="F24" s="69" t="inlineStr">
        <is>
          <t>Scored against a published criterion rather than against stations from this ecoregion. The criterion carries its own definition of reference, which need not match this assessment's.</t>
        </is>
      </c>
      <c r="G24" s="69" t="n">
        <v>0</v>
      </c>
      <c r="H24" s="69" t="n">
        <v>0.6245000000000001</v>
      </c>
      <c r="I24" s="69" t="n">
        <v>1.081</v>
      </c>
      <c r="J24" s="69" t="n">
        <v>1.67445</v>
      </c>
      <c r="K24" s="69" t="n">
        <v>1.67445</v>
      </c>
      <c r="L24" s="69" t="n">
        <v>1.67445</v>
      </c>
      <c r="M24" s="69" t="n">
        <v>1.67445</v>
      </c>
      <c r="N24" s="69" t="n">
        <v>1.67445</v>
      </c>
      <c r="O24" s="69" t="n">
        <v>1</v>
      </c>
      <c r="P24" s="69" t="n">
        <v>0.6899999999999999</v>
      </c>
      <c r="Q24" s="69" t="n">
        <v>0.39</v>
      </c>
      <c r="R24" s="69" t="n">
        <v>0</v>
      </c>
      <c r="S24" s="69" t="n">
        <v>0</v>
      </c>
      <c r="T24" s="69" t="n">
        <v>0</v>
      </c>
      <c r="U24" s="69" t="n">
        <v>0</v>
      </c>
      <c r="V24" s="69" t="n">
        <v>0</v>
      </c>
    </row>
    <row r="25">
      <c r="A25" s="69" t="inlineStr">
        <is>
          <t>spring_chem_ptl|</t>
        </is>
      </c>
      <c r="B25" s="69" t="inlineStr">
        <is>
          <t>spring-chem-ptl</t>
        </is>
      </c>
      <c r="C25" s="69" t="inlineStr">
        <is>
          <t>Total phosphorus</t>
        </is>
      </c>
      <c r="D25" s="69" t="inlineStr"/>
      <c r="E25" s="69" t="n">
        <v>4</v>
      </c>
      <c r="F25" s="69" t="inlineStr">
        <is>
          <t>Scored against a published criterion rather than against stations from this ecoregion. The criterion carries its own definition of reference, which need not match this assessment's.</t>
        </is>
      </c>
      <c r="G25" s="69" t="n">
        <v>0</v>
      </c>
      <c r="H25" s="69" t="n">
        <v>55.95</v>
      </c>
      <c r="I25" s="69" t="n">
        <v>103</v>
      </c>
      <c r="J25" s="69" t="n">
        <v>164.165</v>
      </c>
      <c r="K25" s="69" t="n">
        <v>164.165</v>
      </c>
      <c r="L25" s="69" t="n">
        <v>164.165</v>
      </c>
      <c r="M25" s="69" t="n">
        <v>164.165</v>
      </c>
      <c r="N25" s="69" t="n">
        <v>164.165</v>
      </c>
      <c r="O25" s="69" t="n">
        <v>1</v>
      </c>
      <c r="P25" s="69" t="n">
        <v>0.6899999999999999</v>
      </c>
      <c r="Q25" s="69" t="n">
        <v>0.39</v>
      </c>
      <c r="R25" s="69" t="n">
        <v>0</v>
      </c>
      <c r="S25" s="69" t="n">
        <v>0</v>
      </c>
      <c r="T25" s="69" t="n">
        <v>0</v>
      </c>
      <c r="U25" s="69" t="n">
        <v>0</v>
      </c>
      <c r="V25" s="69" t="n">
        <v>0</v>
      </c>
    </row>
    <row r="26">
      <c r="A26" s="69" t="inlineStr">
        <is>
          <t>spring_chem_ph|</t>
        </is>
      </c>
      <c r="B26" s="69" t="inlineStr">
        <is>
          <t>spring-chem-ph</t>
        </is>
      </c>
      <c r="C26" s="69" t="inlineStr">
        <is>
          <t>pH</t>
        </is>
      </c>
      <c r="D26" s="69" t="inlineStr"/>
      <c r="E26" s="69" t="n">
        <v>8</v>
      </c>
      <c r="F26" s="69" t="inlineStr">
        <is>
          <t>45 least-disturbed stations borrowed from Level I ecoregion 8 (Eastern Temperate Forests) under the regional screen (agriculture at most 25 percent), transfer risk moderate</t>
        </is>
      </c>
      <c r="G26" s="69" t="n">
        <v>4.549999713897705</v>
      </c>
      <c r="H26" s="69" t="n">
        <v>5.46999979019165</v>
      </c>
      <c r="I26" s="69" t="n">
        <v>6.067999839782715</v>
      </c>
      <c r="J26" s="69" t="n">
        <v>6.389999866485596</v>
      </c>
      <c r="K26" s="69" t="n">
        <v>7.309999942779541</v>
      </c>
      <c r="L26" s="69" t="n">
        <v>7.631999969482422</v>
      </c>
      <c r="M26" s="69" t="n">
        <v>8.230000019073486</v>
      </c>
      <c r="N26" s="69" t="n">
        <v>9.150000095367432</v>
      </c>
      <c r="O26" s="69" t="n">
        <v>0</v>
      </c>
      <c r="P26" s="69" t="n">
        <v>0.3</v>
      </c>
      <c r="Q26" s="69" t="n">
        <v>0.7</v>
      </c>
      <c r="R26" s="69" t="n">
        <v>1</v>
      </c>
      <c r="S26" s="69" t="n">
        <v>1</v>
      </c>
      <c r="T26" s="69" t="n">
        <v>0.7</v>
      </c>
      <c r="U26" s="69" t="n">
        <v>0.3</v>
      </c>
      <c r="V26" s="69" t="n">
        <v>0</v>
      </c>
    </row>
    <row r="27">
      <c r="A27" s="69" t="inlineStr">
        <is>
          <t>spring_chem_cond|</t>
        </is>
      </c>
      <c r="B27" s="69" t="inlineStr">
        <is>
          <t>spring-chem-cond</t>
        </is>
      </c>
      <c r="C27" s="69" t="inlineStr">
        <is>
          <t>Specific conductivity</t>
        </is>
      </c>
      <c r="D27" s="69" t="inlineStr"/>
      <c r="E27" s="69" t="n">
        <v>4</v>
      </c>
      <c r="F27" s="69" t="inlineStr">
        <is>
          <t>Scored against a published criterion rather than against stations from this ecoregion. The criterion carries its own definition of reference, which need not match this assessment's.</t>
        </is>
      </c>
      <c r="G27" s="69" t="n">
        <v>0</v>
      </c>
      <c r="H27" s="69" t="n">
        <v>500.05</v>
      </c>
      <c r="I27" s="69" t="n">
        <v>1000.05</v>
      </c>
      <c r="J27" s="69" t="n">
        <v>1650.05</v>
      </c>
      <c r="K27" s="69" t="n">
        <v>1650.05</v>
      </c>
      <c r="L27" s="69" t="n">
        <v>1650.05</v>
      </c>
      <c r="M27" s="69" t="n">
        <v>1650.05</v>
      </c>
      <c r="N27" s="69" t="n">
        <v>1650.05</v>
      </c>
      <c r="O27" s="69" t="n">
        <v>1</v>
      </c>
      <c r="P27" s="69" t="n">
        <v>0.6899999999999999</v>
      </c>
      <c r="Q27" s="69" t="n">
        <v>0.39</v>
      </c>
      <c r="R27" s="69" t="n">
        <v>0</v>
      </c>
      <c r="S27" s="69" t="n">
        <v>0</v>
      </c>
      <c r="T27" s="69" t="n">
        <v>0</v>
      </c>
      <c r="U27" s="69" t="n">
        <v>0</v>
      </c>
      <c r="V27" s="69" t="n">
        <v>0</v>
      </c>
    </row>
    <row r="28">
      <c r="A28" s="69" t="inlineStr">
        <is>
          <t>spring_phab_xfc_nat|</t>
        </is>
      </c>
      <c r="B28" s="69" t="inlineStr">
        <is>
          <t>spring-phab-xfc-nat</t>
        </is>
      </c>
      <c r="C28" s="69" t="inlineStr">
        <is>
          <t>Natural fish cover</t>
        </is>
      </c>
      <c r="D28" s="69" t="inlineStr"/>
      <c r="E28" s="69" t="n">
        <v>5</v>
      </c>
      <c r="F28" s="69" t="inlineStr">
        <is>
          <t>23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8" s="69" t="n">
        <v>0</v>
      </c>
      <c r="H28" s="69" t="n">
        <v>0.09545454382896423</v>
      </c>
      <c r="I28" s="69" t="n">
        <v>0.2227272689342499</v>
      </c>
      <c r="J28" s="69" t="n">
        <v>0.5954545438289642</v>
      </c>
      <c r="K28" s="69" t="n">
        <v>0.7818181812763214</v>
      </c>
      <c r="L28" s="69" t="n">
        <v>0.7818181812763214</v>
      </c>
      <c r="M28" s="69" t="n">
        <v>0.7818181812763214</v>
      </c>
      <c r="N28" s="69" t="n">
        <v>0.7818181812763214</v>
      </c>
      <c r="O28" s="69" t="n">
        <v>0</v>
      </c>
      <c r="P28" s="69" t="n">
        <v>0.3</v>
      </c>
      <c r="Q28" s="69" t="n">
        <v>0.7</v>
      </c>
      <c r="R28" s="69" t="n">
        <v>1</v>
      </c>
      <c r="S28" s="69" t="n">
        <v>1</v>
      </c>
      <c r="T28" s="69" t="n">
        <v>1</v>
      </c>
      <c r="U28" s="69" t="n">
        <v>1</v>
      </c>
      <c r="V28" s="69" t="n">
        <v>1</v>
      </c>
    </row>
    <row r="29">
      <c r="A29" s="69" t="inlineStr">
        <is>
          <t>spring_fish_nat_ntolntax|</t>
        </is>
      </c>
      <c r="B29" s="69" t="inlineStr">
        <is>
          <t>spring-fish-nat-ntolntax</t>
        </is>
      </c>
      <c r="C29" s="69" t="inlineStr">
        <is>
          <t>Native non-tolerant fish taxa richness</t>
        </is>
      </c>
      <c r="D29" s="69" t="inlineStr"/>
      <c r="E29" s="69" t="n">
        <v>5</v>
      </c>
      <c r="F29" s="69" t="inlineStr">
        <is>
          <t>20 least-disturbed stations borrowed from Level I ecoregion 8 (Eastern Temperate Forests) under the regional screen (agriculture at most 25 percent), transfer risk high</t>
        </is>
      </c>
      <c r="G29" s="69" t="n">
        <v>0</v>
      </c>
      <c r="H29" s="69" t="n">
        <v>3.75</v>
      </c>
      <c r="I29" s="69" t="n">
        <v>8.75</v>
      </c>
      <c r="J29" s="69" t="n">
        <v>17.5</v>
      </c>
      <c r="K29" s="69" t="n">
        <v>21.875</v>
      </c>
      <c r="L29" s="69" t="n">
        <v>21.875</v>
      </c>
      <c r="M29" s="69" t="n">
        <v>21.875</v>
      </c>
      <c r="N29" s="69" t="n">
        <v>21.875</v>
      </c>
      <c r="O29" s="69" t="n">
        <v>0</v>
      </c>
      <c r="P29" s="69" t="n">
        <v>0.3</v>
      </c>
      <c r="Q29" s="69" t="n">
        <v>0.7</v>
      </c>
      <c r="R29" s="69" t="n">
        <v>1</v>
      </c>
      <c r="S29" s="69" t="n">
        <v>1</v>
      </c>
      <c r="T29" s="69" t="n">
        <v>1</v>
      </c>
      <c r="U29" s="69" t="n">
        <v>1</v>
      </c>
      <c r="V29" s="69" t="n">
        <v>1</v>
      </c>
    </row>
    <row r="30">
      <c r="A30" s="69" t="inlineStr">
        <is>
          <t>spring_fish_nat_ntolptax|</t>
        </is>
      </c>
      <c r="B30" s="69" t="inlineStr">
        <is>
          <t>spring-fish-nat-ntolptax</t>
        </is>
      </c>
      <c r="C30" s="69" t="inlineStr">
        <is>
          <t>Native non-tolerant fish taxa</t>
        </is>
      </c>
      <c r="D30" s="69" t="inlineStr"/>
      <c r="E30" s="69" t="n">
        <v>5</v>
      </c>
      <c r="F30" s="69" t="inlineStr">
        <is>
          <t>20 least-disturbed stations borrowed from Level I ecoregion 8 (Eastern Temperate Forests) under the regional screen (agriculture at most 25 percent), transfer risk high</t>
        </is>
      </c>
      <c r="G30" s="69" t="n">
        <v>0</v>
      </c>
      <c r="H30" s="69" t="n">
        <v>22.02321379525321</v>
      </c>
      <c r="I30" s="69" t="n">
        <v>51.38749885559082</v>
      </c>
      <c r="J30" s="69" t="n">
        <v>64.4325008392334</v>
      </c>
      <c r="K30" s="69" t="n">
        <v>70.95500183105469</v>
      </c>
      <c r="L30" s="69" t="n">
        <v>70.95500183105469</v>
      </c>
      <c r="M30" s="69" t="n">
        <v>70.95500183105469</v>
      </c>
      <c r="N30" s="69" t="n">
        <v>70.95500183105469</v>
      </c>
      <c r="O30" s="69" t="n">
        <v>0</v>
      </c>
      <c r="P30" s="69" t="n">
        <v>0.3</v>
      </c>
      <c r="Q30" s="69" t="n">
        <v>0.7</v>
      </c>
      <c r="R30" s="69" t="n">
        <v>1</v>
      </c>
      <c r="S30" s="69" t="n">
        <v>1</v>
      </c>
      <c r="T30" s="69" t="n">
        <v>1</v>
      </c>
      <c r="U30" s="69" t="n">
        <v>1</v>
      </c>
      <c r="V30" s="69" t="n">
        <v>1</v>
      </c>
    </row>
    <row r="31">
      <c r="A31" s="69" t="inlineStr">
        <is>
          <t>spring_bent_tolrpind|</t>
        </is>
      </c>
      <c r="B31" s="69" t="inlineStr">
        <is>
          <t>spring-bent-tolrpind</t>
        </is>
      </c>
      <c r="C31" s="69" t="inlineStr">
        <is>
          <t>Tolerant individuals (%) ~ HBI</t>
        </is>
      </c>
      <c r="D31" s="69" t="inlineStr"/>
      <c r="E31" s="69" t="n">
        <v>5</v>
      </c>
      <c r="F31" s="69" t="inlineStr">
        <is>
          <t>25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+0.15, at most 0.05 allowed); confidence capped at 39.</t>
        </is>
      </c>
      <c r="G31" s="69" t="n">
        <v>0</v>
      </c>
      <c r="H31" s="69" t="n">
        <v>9.329999923706055</v>
      </c>
      <c r="I31" s="69" t="n">
        <v>28.36000061035156</v>
      </c>
      <c r="J31" s="69" t="n">
        <v>56.90500164031982</v>
      </c>
      <c r="K31" s="69" t="n">
        <v>75.93500232696533</v>
      </c>
      <c r="L31" s="69" t="n">
        <v>75.93500232696533</v>
      </c>
      <c r="M31" s="69" t="n">
        <v>75.93500232696533</v>
      </c>
      <c r="N31" s="69" t="n">
        <v>75.93500232696533</v>
      </c>
      <c r="O31" s="69" t="n">
        <v>1</v>
      </c>
      <c r="P31" s="69" t="n">
        <v>1</v>
      </c>
      <c r="Q31" s="69" t="n">
        <v>0.7</v>
      </c>
      <c r="R31" s="69" t="n">
        <v>0.3</v>
      </c>
      <c r="S31" s="69" t="n">
        <v>0</v>
      </c>
      <c r="T31" s="69" t="n">
        <v>0</v>
      </c>
      <c r="U31" s="69" t="n">
        <v>0</v>
      </c>
      <c r="V31" s="69" t="n">
        <v>0</v>
      </c>
    </row>
    <row r="32">
      <c r="A32" s="69" t="inlineStr">
        <is>
          <t>spring_bent_mmi_bent|</t>
        </is>
      </c>
      <c r="B32" s="69" t="inlineStr">
        <is>
          <t>spring-bent-mmi-bent</t>
        </is>
      </c>
      <c r="C32" s="69" t="inlineStr">
        <is>
          <t>Benthic macroinvertebrate MMI</t>
        </is>
      </c>
      <c r="D32" s="69" t="inlineStr"/>
      <c r="E32" s="69" t="n">
        <v>4</v>
      </c>
      <c r="F32" s="69" t="inlineStr">
        <is>
          <t>Scored against a published criterion rather than against stations from this ecoregion. The criterion carries its own definition of reference, which need not match this assessment's.</t>
        </is>
      </c>
      <c r="G32" s="69" t="n">
        <v>22.235</v>
      </c>
      <c r="H32" s="69" t="n">
        <v>40.695</v>
      </c>
      <c r="I32" s="69" t="n">
        <v>54.895</v>
      </c>
      <c r="J32" s="69" t="n">
        <v>69.568333</v>
      </c>
      <c r="K32" s="69" t="n">
        <v>69.568333</v>
      </c>
      <c r="L32" s="69" t="n">
        <v>69.568333</v>
      </c>
      <c r="M32" s="69" t="n">
        <v>69.568333</v>
      </c>
      <c r="N32" s="69" t="n">
        <v>69.568333</v>
      </c>
      <c r="O32" s="69" t="n">
        <v>0</v>
      </c>
      <c r="P32" s="69" t="n">
        <v>0.39</v>
      </c>
      <c r="Q32" s="69" t="n">
        <v>0.6899999999999999</v>
      </c>
      <c r="R32" s="69" t="n">
        <v>1</v>
      </c>
      <c r="S32" s="69" t="n">
        <v>1</v>
      </c>
      <c r="T32" s="69" t="n">
        <v>1</v>
      </c>
      <c r="U32" s="69" t="n">
        <v>1</v>
      </c>
      <c r="V32" s="69" t="n">
        <v>1</v>
      </c>
    </row>
    <row r="33">
      <c r="A33" s="69" t="inlineStr">
        <is>
          <t>spring_nid_dams_1mi|</t>
        </is>
      </c>
      <c r="B33" s="69" t="inlineStr">
        <is>
          <t>spring-nid-dams-1mi</t>
        </is>
      </c>
      <c r="C33" s="69" t="inlineStr">
        <is>
          <t>Mapped dams within one mile</t>
        </is>
      </c>
      <c r="D33" s="69" t="inlineStr"/>
      <c r="E33" s="69" t="n">
        <v>4</v>
      </c>
      <c r="F33" s="69" t="inlineStr">
        <is>
          <t>Fixed criteria, the same in every region</t>
        </is>
      </c>
      <c r="G33" s="69" t="n">
        <v>0</v>
      </c>
      <c r="H33" s="69" t="n">
        <v>1</v>
      </c>
      <c r="I33" s="69" t="n">
        <v>2</v>
      </c>
      <c r="J33" s="69" t="n">
        <v>3</v>
      </c>
      <c r="K33" s="69" t="n">
        <v>3</v>
      </c>
      <c r="L33" s="69" t="n">
        <v>3</v>
      </c>
      <c r="M33" s="69" t="n">
        <v>3</v>
      </c>
      <c r="N33" s="69" t="n">
        <v>3</v>
      </c>
      <c r="O33" s="69" t="n">
        <v>1</v>
      </c>
      <c r="P33" s="69" t="n">
        <v>0.545</v>
      </c>
      <c r="Q33" s="69" t="n">
        <v>0.195</v>
      </c>
      <c r="R33" s="69" t="n">
        <v>0</v>
      </c>
      <c r="S33" s="69" t="n">
        <v>0</v>
      </c>
      <c r="T33" s="69" t="n">
        <v>0</v>
      </c>
      <c r="U33" s="69" t="n">
        <v>0</v>
      </c>
      <c r="V33" s="69" t="n">
        <v>0</v>
      </c>
    </row>
    <row r="36">
      <c r="A36" s="58" t="inlineStr">
        <is>
          <t>Curve sets by metric</t>
        </is>
      </c>
    </row>
    <row r="37">
      <c r="A37" s="69" t="inlineStr">
        <is>
          <t>All streams (pooled)</t>
        </is>
      </c>
      <c r="B37" s="5" t="inlineStr">
        <is>
          <t>Canopy density, mid-channel</t>
        </is>
      </c>
    </row>
    <row r="38">
      <c r="A38" s="69" t="inlineStr">
        <is>
          <t>Headwater (10 km2 and under)</t>
        </is>
      </c>
      <c r="B38" s="5" t="inlineStr">
        <is>
          <t>Canopy density, mid-channel</t>
        </is>
      </c>
    </row>
    <row r="39">
      <c r="A39" s="69" t="inlineStr">
        <is>
          <t>Small stream (10 to 100 km2)</t>
        </is>
      </c>
      <c r="B39" s="5" t="inlineStr">
        <is>
          <t>Canopy density, mid-channel</t>
        </is>
      </c>
    </row>
    <row r="40">
      <c r="A40" s="69" t="inlineStr">
        <is>
          <t>Large stream (over 100 km2)</t>
        </is>
      </c>
      <c r="B40" s="5" t="inlineStr">
        <is>
          <t>Canopy density, mid-channel</t>
        </is>
      </c>
    </row>
    <row r="43">
      <c r="A43" s="58" t="inlineStr">
        <is>
          <t>Condition classes</t>
        </is>
      </c>
    </row>
    <row r="44">
      <c r="A44" t="inlineStr">
        <is>
          <t>Metric index: at or below 0.39 Non-Functioning, at or below 0.69 Functioning At-Risk, above Functioning.</t>
        </is>
      </c>
    </row>
    <row r="45">
      <c r="A45" t="inlineStr">
        <is>
          <t>Function score (0 to 15): at or below 5 Non-Functioning, at or below 10 Functioning At-Risk, above Functioning.</t>
        </is>
      </c>
    </row>
    <row r="46">
      <c r="A4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mississippi-alluvial-plain</t>
        </is>
      </c>
    </row>
    <row r="5">
      <c r="A5" s="69" t="inlineStr">
        <is>
          <t>Assessment name</t>
        </is>
      </c>
      <c r="B5" s="69" t="inlineStr">
        <is>
          <t>Mississippi Alluvial Plain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sha256:9336561580d8e41687d31817b1579fb511ab74d35a4d22f42f39f881f566ea83</t>
        </is>
      </c>
    </row>
    <row r="9">
      <c r="A9" s="69" t="inlineStr">
        <is>
          <t>Region</t>
        </is>
      </c>
      <c r="B9" s="69" t="inlineStr">
        <is>
          <t>ecoregion 73 Mississippi Alluvial Plain</t>
        </is>
      </c>
    </row>
    <row r="10">
      <c r="A10" s="69" t="inlineStr">
        <is>
          <t>Source</t>
        </is>
      </c>
      <c r="B10" s="69" t="inlineStr">
        <is>
          <t>USEPA NRSA 2013-24 (L3 ecoregion 73),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26</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2026-09-30T07:04:18Z</dcterms:created>
  <dcterms:modified xmlns:dcterms="http://purl.org/dc/terms/" xmlns:xsi="http://www.w3.org/2001/XMLSchema-instance" xsi:type="dcterms:W3CDTF">2026-09-30T07:04:18Z</dcterms:modified>
  <cp:lastModifiedBy>DEEP</cp:lastModifiedBy>
  <cp:contentStatus>Draft</cp:contentStatus>
</cp:coreProperties>
</file>