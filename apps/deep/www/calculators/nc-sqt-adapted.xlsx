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'Reference'!$A$5:$A$75</definedName>
    <definedName name="curve_x1">'Reference'!$G$5:$G$75</definedName>
    <definedName name="curve_y1">'Reference'!$O$5:$O$75</definedName>
    <definedName name="curve_x2">'Reference'!$H$5:$H$75</definedName>
    <definedName name="curve_y2">'Reference'!$P$5:$P$75</definedName>
    <definedName name="curve_x3">'Reference'!$I$5:$I$75</definedName>
    <definedName name="curve_y3">'Reference'!$Q$5:$Q$75</definedName>
    <definedName name="curve_x4">'Reference'!$J$5:$J$75</definedName>
    <definedName name="curve_y4">'Reference'!$R$5:$R$75</definedName>
    <definedName name="curve_x5">'Reference'!$K$5:$K$75</definedName>
    <definedName name="curve_y5">'Reference'!$S$5:$S$75</definedName>
    <definedName name="curve_x6">'Reference'!$L$5:$L$75</definedName>
    <definedName name="curve_y6">'Reference'!$T$5:$T$75</definedName>
    <definedName name="curve_x7">'Reference'!$M$5:$M$75</definedName>
    <definedName name="curve_y7">'Reference'!$U$5:$U$75</definedName>
    <definedName name="curve_x8">'Reference'!$N$5:$N$75</definedName>
    <definedName name="curve_y8">'Reference'!$V$5:$V$75</definedName>
    <definedName name="strata_floodplain_connectivity_entrenchment_ratio_er">'Reference'!$A$79:$A$80</definedName>
    <definedName name="strata_channel_and_floodplain_dynamics_sinuosity">'Reference'!$A$81:$A$84</definedName>
    <definedName name="strata_light_and_thermal_regime_summer_daily_maximum">'Reference'!$A$85:$A$86</definedName>
    <definedName name="strata_carbon_processing_shredders">'Reference'!$A$87:$A$113</definedName>
    <definedName name="strata_nutrient_cycling_buffer_width">'Reference'!$A$114:$A$115</definedName>
    <definedName name="strata_water_and_soil_quality_specific_conductivity">'Reference'!$A$116:$A$117</definedName>
    <definedName name="strata_habitat_provision_percent_riffle">'Reference'!$A$118:$A$120</definedName>
    <definedName name="strata_habitat_provision_pool_depth_ratio">'Reference'!$A$121:$A$123</definedName>
    <definedName name="strata_habitat_provision_pool_spacing_ratio">'Reference'!$A$124:$A$125</definedName>
    <definedName name="strata_population_support_ept_taxa_present">'Reference'!$A$126:$A$128</definedName>
    <definedName name="strata_population_support_ncibi_score">'Reference'!$A$129:$A$131</definedName>
    <definedName name="idx_catchment_hydrology_curve_number">'Metrics'!$V$5</definedName>
    <definedName name="idx_catchment_hydrology_percent_impervious_cover">'Metrics'!$V$6</definedName>
    <definedName name="idx_reach_inflow_concentrated_flow_points">'Metrics'!$V$7</definedName>
    <definedName name="idx_floodplain_connectivity_entrenchment_ratio_er">'Metrics'!$V$8</definedName>
    <definedName name="idx_channel_and_floodplain_dynamics_bank_height_ratio_bhr">'Metrics'!$V$9</definedName>
    <definedName name="idx_channel_and_floodplain_dynamics_erosion_rate">'Metrics'!$V$10</definedName>
    <definedName name="idx_channel_and_floodplain_dynamics_percent_streambank_erosion">'Metrics'!$V$11</definedName>
    <definedName name="idx_channel_and_floodplain_dynamics_sinuosity">'Metrics'!$V$12</definedName>
    <definedName name="idx_channel_and_floodplain_dynamics_soil_compaction">'Metrics'!$V$13</definedName>
    <definedName name="idx_sediment_continuity_aggradation_ratio">'Metrics'!$V$14</definedName>
    <definedName name="idx_bed_composition_and_large_wood_bed_material_characterization">'Metrics'!$V$15</definedName>
    <definedName name="idx_light_and_thermal_regime_canopy_coverage">'Metrics'!$V$16</definedName>
    <definedName name="idx_light_and_thermal_regime_summer_daily_maximum">'Metrics'!$V$17</definedName>
    <definedName name="idx_carbon_processing_basal_area">'Metrics'!$V$18</definedName>
    <definedName name="idx_carbon_processing_leaf_litter_processing_rate">'Metrics'!$V$19</definedName>
    <definedName name="idx_carbon_processing_riparian_vegetation_stem_density">'Metrics'!$V$20</definedName>
    <definedName name="idx_carbon_processing_shredders">'Metrics'!$V$21</definedName>
    <definedName name="idx_nutrient_cycling_buffer_width">'Metrics'!$V$22</definedName>
    <definedName name="idx_nutrient_cycling_total_nitrogen">'Metrics'!$V$23</definedName>
    <definedName name="idx_nutrient_cycling_total_phosphorous">'Metrics'!$V$24</definedName>
    <definedName name="idx_water_and_soil_quality_fecal_coliform_bacteria">'Metrics'!$V$25</definedName>
    <definedName name="idx_water_and_soil_quality_specific_conductivity">'Metrics'!$V$26</definedName>
    <definedName name="idx_habitat_provision_lwd_pieces">'Metrics'!$V$27</definedName>
    <definedName name="idx_habitat_provision_lwd_index">'Metrics'!$V$28</definedName>
    <definedName name="idx_habitat_provision_percent_riffle">'Metrics'!$V$29</definedName>
    <definedName name="idx_habitat_provision_pool_depth_ratio">'Metrics'!$V$30</definedName>
    <definedName name="idx_habitat_provision_pool_spacing_ratio">'Metrics'!$V$31</definedName>
    <definedName name="idx_population_support_ept_taxa_present">'Metrics'!$V$32</definedName>
    <definedName name="idx_population_support_ncibi_score">'Metrics'!$V$33</definedName>
    <definedName name="fs_catchment_hydrology">'Results'!$B$4</definedName>
    <definedName name="fs_reach_inflow">'Results'!$B$5</definedName>
    <definedName name="fs_floodplain_connectivity">'Results'!$B$6</definedName>
    <definedName name="fs_channel_floodplain_dynamics">'Results'!$B$7</definedName>
    <definedName name="fs_sediment_continuity">'Results'!$B$8</definedName>
    <definedName name="fs_bed_composition_bedform_dynamics">'Results'!$B$9</definedName>
    <definedName name="fs_light_thermal_regime">'Results'!$B$10</definedName>
    <definedName name="fs_carbon_processing">'Results'!$B$11</definedName>
    <definedName name="fs_nutrient_cycling">'Results'!$B$12</definedName>
    <definedName name="fs_water_soil_quality">'Results'!$B$13</definedName>
    <definedName name="fs_habitat_provision">'Results'!$B$14</definedName>
    <definedName name="fs_population_support">'Results'!$B$15</definedName>
    <definedName name="sub_index_physical">'Results'!$B$18</definedName>
    <definedName name="sub_index_chemical">'Results'!$B$19</definedName>
    <definedName name="sub_index_biological">'Results'!$B$20</definedName>
    <definedName name="eci">'Results'!$B$21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curve_number">'DEEP Score'!$E$12</definedName>
    <definedName name="in_catchment_hydrology_percent_impervious_cover">'DEEP Score'!$E$13</definedName>
    <definedName name="in_reach_inflow_concentrated_flow_points">'DEEP Score'!$E$14</definedName>
    <definedName name="in_floodplain_connectivity_entrenchment_ratio_er">'DEEP Score'!$E$15</definedName>
    <definedName name="st_floodplain_connectivity_entrenchment_ratio_er">'DEEP Score'!$F$15</definedName>
    <definedName name="in_channel_and_floodplain_dynamics_bank_height_ratio_bhr">'DEEP Score'!$E$16</definedName>
    <definedName name="in_channel_and_floodplain_dynamics_erosion_rate">'DEEP Score'!$E$17</definedName>
    <definedName name="in_channel_and_floodplain_dynamics_percent_streambank_erosion">'DEEP Score'!$E$18</definedName>
    <definedName name="in_channel_and_floodplain_dynamics_sinuosity">'DEEP Score'!$E$19</definedName>
    <definedName name="st_channel_and_floodplain_dynamics_sinuosity">'DEEP Score'!$F$19</definedName>
    <definedName name="in_channel_and_floodplain_dynamics_soil_compaction">'DEEP Score'!$E$20</definedName>
    <definedName name="in_sediment_continuity_aggradation_ratio">'DEEP Score'!$E$21</definedName>
    <definedName name="in_bed_composition_and_large_wood_bed_material_characterization">'DEEP Score'!$E$22</definedName>
    <definedName name="in_light_and_thermal_regime_canopy_coverage">'DEEP Score'!$E$23</definedName>
    <definedName name="in_light_and_thermal_regime_summer_daily_maximum">'DEEP Score'!$E$24</definedName>
    <definedName name="st_light_and_thermal_regime_summer_daily_maximum">'DEEP Score'!$F$24</definedName>
    <definedName name="in_carbon_processing_basal_area">'DEEP Score'!$E$25</definedName>
    <definedName name="in_carbon_processing_leaf_litter_processing_rate">'DEEP Score'!$E$26</definedName>
    <definedName name="in_carbon_processing_riparian_vegetation_stem_density">'DEEP Score'!$E$27</definedName>
    <definedName name="in_carbon_processing_shredders">'DEEP Score'!$E$28</definedName>
    <definedName name="st_carbon_processing_shredders">'DEEP Score'!$F$28</definedName>
    <definedName name="in_nutrient_cycling_buffer_width">'DEEP Score'!$E$29</definedName>
    <definedName name="st_nutrient_cycling_buffer_width">'DEEP Score'!$F$29</definedName>
    <definedName name="in_nutrient_cycling_total_nitrogen">'DEEP Score'!$E$30</definedName>
    <definedName name="in_nutrient_cycling_total_phosphorous">'DEEP Score'!$E$31</definedName>
    <definedName name="in_water_and_soil_quality_fecal_coliform_bacteria">'DEEP Score'!$E$32</definedName>
    <definedName name="in_water_and_soil_quality_specific_conductivity">'DEEP Score'!$E$33</definedName>
    <definedName name="st_water_and_soil_quality_specific_conductivity">'DEEP Score'!$F$33</definedName>
    <definedName name="in_habitat_provision_lwd_pieces">'DEEP Score'!$E$34</definedName>
    <definedName name="in_habitat_provision_lwd_index">'DEEP Score'!$E$35</definedName>
    <definedName name="in_habitat_provision_percent_riffle">'DEEP Score'!$E$36</definedName>
    <definedName name="st_habitat_provision_percent_riffle">'DEEP Score'!$F$36</definedName>
    <definedName name="in_habitat_provision_pool_depth_ratio">'DEEP Score'!$E$37</definedName>
    <definedName name="st_habitat_provision_pool_depth_ratio">'DEEP Score'!$F$37</definedName>
    <definedName name="in_habitat_provision_pool_spacing_ratio">'DEEP Score'!$E$38</definedName>
    <definedName name="st_habitat_provision_pool_spacing_ratio">'DEEP Score'!$F$38</definedName>
    <definedName name="in_population_support_ept_taxa_present">'DEEP Score'!$E$39</definedName>
    <definedName name="st_population_support_ept_taxa_present">'DEEP Score'!$F$39</definedName>
    <definedName name="in_population_support_ncibi_score">'DEEP Score'!$E$40</definedName>
    <definedName name="st_population_support_ncibi_score">'DEEP Score'!$F$40</definedName>
    <definedName name="site_notes">'DEEP Score'!$A$53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'ChartData'!$A$3:$A$14</f>
            </numRef>
          </cat>
          <val>
            <numRef>
              <f>'ChartData'!$C$3:$C$14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'ChartData'!$A$3:$A$14</f>
            </numRef>
          </cat>
          <val>
            <numRef>
              <f>'ChartData'!$D$3:$D$14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'ChartData'!$A$3:$A$14</f>
            </numRef>
          </cat>
          <val>
            <numRef>
              <f>'ChartData'!$E$3:$E$14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'ChartData'!C16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'ChartData'!$A$17:$A$19</f>
            </numRef>
          </cat>
          <val>
            <numRef>
              <f>'ChartData'!$C$17:$C$19</f>
            </numRef>
          </val>
        </ser>
        <ser>
          <idx val="1"/>
          <order val="1"/>
          <tx>
            <strRef>
              <f>'ChartData'!D16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'ChartData'!$A$17:$A$19</f>
            </numRef>
          </cat>
          <val>
            <numRef>
              <f>'ChartData'!$D$17:$D$19</f>
            </numRef>
          </val>
        </ser>
        <ser>
          <idx val="2"/>
          <order val="2"/>
          <tx>
            <strRef>
              <f>'ChartData'!E16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'ChartData'!$A$17:$A$19</f>
            </numRef>
          </cat>
          <val>
            <numRef>
              <f>'ChartData'!$E$17:$E$19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NC SQT Adapted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NC SQT Adapted</t>
        </is>
      </c>
    </row>
    <row r="3">
      <c r="A3" s="5" t="inlineStr">
        <is>
          <t>Version 2 | Preliminary | North Carolina SQT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Curve Number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Percent Impervious Cover</t>
        </is>
      </c>
      <c r="D13" s="23" t="inlineStr"/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Reach inflow</t>
        </is>
      </c>
      <c r="C14" s="30" t="inlineStr">
        <is>
          <t>Concentrated Flow Points</t>
        </is>
      </c>
      <c r="D14" s="31" t="inlineStr"/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37" t="inlineStr">
        <is>
          <t>Hydraulics</t>
        </is>
      </c>
      <c r="B15" s="29" t="inlineStr">
        <is>
          <t>Floodplain connectivity</t>
        </is>
      </c>
      <c r="C15" s="30" t="inlineStr">
        <is>
          <t>Entrenchment Ratio (ER)</t>
        </is>
      </c>
      <c r="D15" s="31" t="inlineStr">
        <is>
          <t>ER</t>
        </is>
      </c>
      <c r="E15" s="32" t="n"/>
      <c r="F15" s="38" t="inlineStr">
        <is>
          <t>C and E Streams</t>
        </is>
      </c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39" t="inlineStr">
        <is>
          <t>Geomorphology</t>
        </is>
      </c>
      <c r="B16" s="12" t="inlineStr">
        <is>
          <t>Channel and floodplain dynamics</t>
        </is>
      </c>
      <c r="C16" s="13" t="inlineStr">
        <is>
          <t>Bank Height Ratio (BHR)</t>
        </is>
      </c>
      <c r="D16" s="14" t="inlineStr">
        <is>
          <t>BHR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40" t="n"/>
      <c r="B17" s="41" t="n"/>
      <c r="C17" s="42" t="inlineStr">
        <is>
          <t>Erosion Rate</t>
        </is>
      </c>
      <c r="D17" s="43" t="inlineStr"/>
      <c r="E17" s="44" t="n"/>
      <c r="F17" s="45" t="inlineStr"/>
      <c r="G17" s="46">
        <f>IF('Metrics'!$V$10="","",'Metrics'!$V$10)</f>
        <v/>
      </c>
      <c r="H17" s="41" t="n"/>
      <c r="I17" s="47" t="n"/>
    </row>
    <row r="18">
      <c r="A18" s="40" t="n"/>
      <c r="B18" s="41" t="n"/>
      <c r="C18" s="42" t="inlineStr">
        <is>
          <t>Percent Streambank Erosion</t>
        </is>
      </c>
      <c r="D18" s="43" t="inlineStr"/>
      <c r="E18" s="44" t="n"/>
      <c r="F18" s="45" t="inlineStr"/>
      <c r="G18" s="46">
        <f>IF('Metrics'!$V$11="","",'Metrics'!$V$11)</f>
        <v/>
      </c>
      <c r="H18" s="41" t="n"/>
      <c r="I18" s="47" t="n"/>
    </row>
    <row r="19">
      <c r="A19" s="40" t="n"/>
      <c r="B19" s="41" t="n"/>
      <c r="C19" s="42" t="inlineStr">
        <is>
          <t>Sinuosity</t>
        </is>
      </c>
      <c r="D19" s="43" t="inlineStr"/>
      <c r="E19" s="44" t="n"/>
      <c r="F19" s="7" t="inlineStr">
        <is>
          <t>E5 streams in Unconfined Alluvial Valleys</t>
        </is>
      </c>
      <c r="G19" s="46">
        <f>IF('Metrics'!$V$12="","",'Metrics'!$V$12)</f>
        <v/>
      </c>
      <c r="H19" s="41" t="n"/>
      <c r="I19" s="47" t="n"/>
    </row>
    <row r="20">
      <c r="A20" s="20" t="n"/>
      <c r="B20" s="21" t="n"/>
      <c r="C20" s="22" t="inlineStr">
        <is>
          <t>Soil Compaction</t>
        </is>
      </c>
      <c r="D20" s="23" t="inlineStr"/>
      <c r="E20" s="24" t="n"/>
      <c r="F20" s="25" t="inlineStr"/>
      <c r="G20" s="26">
        <f>IF('Metrics'!$V$13="","",'Metrics'!$V$13)</f>
        <v/>
      </c>
      <c r="H20" s="21" t="n"/>
      <c r="I20" s="27" t="n"/>
    </row>
    <row r="21">
      <c r="A21" s="48" t="inlineStr">
        <is>
          <t>Geomorphology</t>
        </is>
      </c>
      <c r="B21" s="29" t="inlineStr">
        <is>
          <t>Sediment continuity</t>
        </is>
      </c>
      <c r="C21" s="30" t="inlineStr">
        <is>
          <t>Aggradation Ratio</t>
        </is>
      </c>
      <c r="D21" s="31" t="inlineStr"/>
      <c r="E21" s="32" t="n"/>
      <c r="F21" s="33" t="inlineStr"/>
      <c r="G21" s="34">
        <f>IF('Metrics'!$V$14="","",'Metrics'!$V$14)</f>
        <v/>
      </c>
      <c r="H21" s="35">
        <f>IF('Results'!$B$8="","",'Results'!$B$8)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48" t="inlineStr">
        <is>
          <t>Geomorphology</t>
        </is>
      </c>
      <c r="B22" s="29" t="inlineStr">
        <is>
          <t>Bed composition and large wood</t>
        </is>
      </c>
      <c r="C22" s="30" t="inlineStr">
        <is>
          <t>Bed Material Characterization</t>
        </is>
      </c>
      <c r="D22" s="31" t="inlineStr"/>
      <c r="E22" s="32" t="n"/>
      <c r="F22" s="33" t="inlineStr"/>
      <c r="G22" s="34">
        <f>IF('Metrics'!$V$15="","",'Metrics'!$V$15)</f>
        <v/>
      </c>
      <c r="H22" s="35">
        <f>IF('Results'!$B$9="","",'Results'!$B$9)</f>
        <v/>
      </c>
      <c r="I22" s="36">
        <f>IF('DEEP Score'!$H$22="","",IF('DEEP Score'!$H$22&lt;=5,"Non-Functioning",IF('DEEP Score'!$H$22&lt;=10,"Functioning At-Risk","Functioning")))</f>
        <v/>
      </c>
    </row>
    <row r="23">
      <c r="A23" s="49" t="inlineStr">
        <is>
          <t>Physicochemistry</t>
        </is>
      </c>
      <c r="B23" s="12" t="inlineStr">
        <is>
          <t>Light &amp; thermal regime</t>
        </is>
      </c>
      <c r="C23" s="13" t="inlineStr">
        <is>
          <t>Canopy Coverage</t>
        </is>
      </c>
      <c r="D23" s="14" t="inlineStr"/>
      <c r="E23" s="15" t="n"/>
      <c r="F23" s="16" t="inlineStr"/>
      <c r="G23" s="17">
        <f>IF('Metrics'!$V$16="","",'Metrics'!$V$16)</f>
        <v/>
      </c>
      <c r="H23" s="18">
        <f>IF('Results'!$B$10="","",'Results'!$B$10)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Summer Daily Maximum</t>
        </is>
      </c>
      <c r="D24" s="23" t="inlineStr"/>
      <c r="E24" s="24" t="n"/>
      <c r="F24" s="50" t="inlineStr">
        <is>
          <t>Coldwater</t>
        </is>
      </c>
      <c r="G24" s="26">
        <f>IF('Metrics'!$V$17="","",'Metrics'!$V$17)</f>
        <v/>
      </c>
      <c r="H24" s="21" t="n"/>
      <c r="I24" s="27" t="n"/>
    </row>
    <row r="25">
      <c r="A25" s="49" t="inlineStr">
        <is>
          <t>Physicochemistry</t>
        </is>
      </c>
      <c r="B25" s="12" t="inlineStr">
        <is>
          <t>Carbon processing</t>
        </is>
      </c>
      <c r="C25" s="13" t="inlineStr">
        <is>
          <t>Basal Area</t>
        </is>
      </c>
      <c r="D25" s="14" t="inlineStr"/>
      <c r="E25" s="15" t="n"/>
      <c r="F25" s="16" t="inlineStr"/>
      <c r="G25" s="17">
        <f>IF('Metrics'!$V$18="","",'Metrics'!$V$18)</f>
        <v/>
      </c>
      <c r="H25" s="18">
        <f>IF('Results'!$B$11="","",'Results'!$B$11)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40" t="n"/>
      <c r="B26" s="41" t="n"/>
      <c r="C26" s="42" t="inlineStr">
        <is>
          <t>Leaf Litter Processing Rate</t>
        </is>
      </c>
      <c r="D26" s="43" t="inlineStr"/>
      <c r="E26" s="44" t="n"/>
      <c r="F26" s="45" t="inlineStr"/>
      <c r="G26" s="46">
        <f>IF('Metrics'!$V$19="","",'Metrics'!$V$19)</f>
        <v/>
      </c>
      <c r="H26" s="41" t="n"/>
      <c r="I26" s="47" t="n"/>
    </row>
    <row r="27">
      <c r="A27" s="40" t="n"/>
      <c r="B27" s="41" t="n"/>
      <c r="C27" s="42" t="inlineStr">
        <is>
          <t>Riparian Vegetation Stem Density</t>
        </is>
      </c>
      <c r="D27" s="43" t="inlineStr"/>
      <c r="E27" s="44" t="n"/>
      <c r="F27" s="45" t="inlineStr"/>
      <c r="G27" s="46">
        <f>IF('Metrics'!$V$20="","",'Metrics'!$V$20)</f>
        <v/>
      </c>
      <c r="H27" s="41" t="n"/>
      <c r="I27" s="47" t="n"/>
    </row>
    <row r="28">
      <c r="A28" s="20" t="n"/>
      <c r="B28" s="21" t="n"/>
      <c r="C28" s="22" t="inlineStr">
        <is>
          <t>Shredders</t>
        </is>
      </c>
      <c r="D28" s="23" t="inlineStr"/>
      <c r="E28" s="24" t="n"/>
      <c r="F28" s="50" t="inlineStr">
        <is>
          <t>Field - W/Sp - Mountains &amp; DA &lt;= 5 Sq.Mi.</t>
        </is>
      </c>
      <c r="G28" s="26">
        <f>IF('Metrics'!$V$21="","",'Metrics'!$V$21)</f>
        <v/>
      </c>
      <c r="H28" s="21" t="n"/>
      <c r="I28" s="27" t="n"/>
    </row>
    <row r="29">
      <c r="A29" s="49" t="inlineStr">
        <is>
          <t>Physicochemistry</t>
        </is>
      </c>
      <c r="B29" s="12" t="inlineStr">
        <is>
          <t>Nutrient cycling</t>
        </is>
      </c>
      <c r="C29" s="13" t="inlineStr">
        <is>
          <t>Buffer Width</t>
        </is>
      </c>
      <c r="D29" s="14" t="inlineStr"/>
      <c r="E29" s="15" t="n"/>
      <c r="F29" s="51" t="inlineStr">
        <is>
          <t>Stream Type A, B, or Bc</t>
        </is>
      </c>
      <c r="G29" s="17">
        <f>IF('Metrics'!$V$22="","",'Metrics'!$V$22)</f>
        <v/>
      </c>
      <c r="H29" s="18">
        <f>IF('Results'!$B$12="","",'Results'!$B$12)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40" t="n"/>
      <c r="B30" s="41" t="n"/>
      <c r="C30" s="42" t="inlineStr">
        <is>
          <t>Total Nitrogen</t>
        </is>
      </c>
      <c r="D30" s="43" t="inlineStr"/>
      <c r="E30" s="44" t="n"/>
      <c r="F30" s="45" t="inlineStr"/>
      <c r="G30" s="46">
        <f>IF('Metrics'!$V$23="","",'Metrics'!$V$23)</f>
        <v/>
      </c>
      <c r="H30" s="41" t="n"/>
      <c r="I30" s="47" t="n"/>
    </row>
    <row r="31">
      <c r="A31" s="20" t="n"/>
      <c r="B31" s="21" t="n"/>
      <c r="C31" s="22" t="inlineStr">
        <is>
          <t>Total Phosphorous</t>
        </is>
      </c>
      <c r="D31" s="23" t="inlineStr"/>
      <c r="E31" s="24" t="n"/>
      <c r="F31" s="25" t="inlineStr"/>
      <c r="G31" s="26">
        <f>IF('Metrics'!$V$24="","",'Metrics'!$V$24)</f>
        <v/>
      </c>
      <c r="H31" s="21" t="n"/>
      <c r="I31" s="27" t="n"/>
    </row>
    <row r="32">
      <c r="A32" s="49" t="inlineStr">
        <is>
          <t>Physicochemistry</t>
        </is>
      </c>
      <c r="B32" s="12" t="inlineStr">
        <is>
          <t>Water &amp; soil quality</t>
        </is>
      </c>
      <c r="C32" s="13" t="inlineStr">
        <is>
          <t>Fecal Coliform Bacteria</t>
        </is>
      </c>
      <c r="D32" s="14" t="inlineStr"/>
      <c r="E32" s="15" t="n"/>
      <c r="F32" s="16" t="inlineStr"/>
      <c r="G32" s="17">
        <f>IF('Metrics'!$V$25="","",'Metrics'!$V$25)</f>
        <v/>
      </c>
      <c r="H32" s="18">
        <f>IF('Results'!$B$13="","",'Results'!$B$13)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20" t="n"/>
      <c r="B33" s="21" t="n"/>
      <c r="C33" s="22" t="inlineStr">
        <is>
          <t>Specific Conductivity</t>
        </is>
      </c>
      <c r="D33" s="23" t="inlineStr"/>
      <c r="E33" s="24" t="n"/>
      <c r="F33" s="50" t="inlineStr">
        <is>
          <t>Piedmont</t>
        </is>
      </c>
      <c r="G33" s="26">
        <f>IF('Metrics'!$V$26="","",'Metrics'!$V$26)</f>
        <v/>
      </c>
      <c r="H33" s="21" t="n"/>
      <c r="I33" s="27" t="n"/>
    </row>
    <row r="34">
      <c r="A34" s="52" t="inlineStr">
        <is>
          <t>Biology</t>
        </is>
      </c>
      <c r="B34" s="12" t="inlineStr">
        <is>
          <t>Habitat provision</t>
        </is>
      </c>
      <c r="C34" s="13" t="inlineStr">
        <is>
          <t>LWD # Pieces</t>
        </is>
      </c>
      <c r="D34" s="14" t="inlineStr"/>
      <c r="E34" s="15" t="n"/>
      <c r="F34" s="16" t="inlineStr"/>
      <c r="G34" s="17">
        <f>IF('Metrics'!$V$27="","",'Metrics'!$V$27)</f>
        <v/>
      </c>
      <c r="H34" s="18">
        <f>IF('Results'!$B$14="","",'Results'!$B$14)</f>
        <v/>
      </c>
      <c r="I34" s="19">
        <f>IF('DEEP Score'!$H$34="","",IF('DEEP Score'!$H$34&lt;=5,"Non-Functioning",IF('DEEP Score'!$H$34&lt;=10,"Functioning At-Risk","Functioning")))</f>
        <v/>
      </c>
    </row>
    <row r="35">
      <c r="A35" s="40" t="n"/>
      <c r="B35" s="41" t="n"/>
      <c r="C35" s="42" t="inlineStr">
        <is>
          <t>LWD Index</t>
        </is>
      </c>
      <c r="D35" s="43" t="inlineStr"/>
      <c r="E35" s="44" t="n"/>
      <c r="F35" s="45" t="inlineStr"/>
      <c r="G35" s="46">
        <f>IF('Metrics'!$V$28="","",'Metrics'!$V$28)</f>
        <v/>
      </c>
      <c r="H35" s="41" t="n"/>
      <c r="I35" s="47" t="n"/>
    </row>
    <row r="36">
      <c r="A36" s="40" t="n"/>
      <c r="B36" s="41" t="n"/>
      <c r="C36" s="42" t="inlineStr">
        <is>
          <t>Percent Riffle</t>
        </is>
      </c>
      <c r="D36" s="43" t="inlineStr"/>
      <c r="E36" s="44" t="n"/>
      <c r="F36" s="7" t="inlineStr">
        <is>
          <t>Streams &lt; 3% slope</t>
        </is>
      </c>
      <c r="G36" s="46">
        <f>IF('Metrics'!$V$29="","",'Metrics'!$V$29)</f>
        <v/>
      </c>
      <c r="H36" s="41" t="n"/>
      <c r="I36" s="47" t="n"/>
    </row>
    <row r="37">
      <c r="A37" s="40" t="n"/>
      <c r="B37" s="41" t="n"/>
      <c r="C37" s="42" t="inlineStr">
        <is>
          <t>Pool Depth Ratio</t>
        </is>
      </c>
      <c r="D37" s="43" t="inlineStr"/>
      <c r="E37" s="44" t="n"/>
      <c r="F37" s="7" t="inlineStr">
        <is>
          <t>gravel bed C and E stream</t>
        </is>
      </c>
      <c r="G37" s="46">
        <f>IF('Metrics'!$V$30="","",'Metrics'!$V$30)</f>
        <v/>
      </c>
      <c r="H37" s="41" t="n"/>
      <c r="I37" s="47" t="n"/>
    </row>
    <row r="38">
      <c r="A38" s="20" t="n"/>
      <c r="B38" s="21" t="n"/>
      <c r="C38" s="22" t="inlineStr">
        <is>
          <t>Pool Spacing Ratio</t>
        </is>
      </c>
      <c r="D38" s="23" t="inlineStr"/>
      <c r="E38" s="24" t="n"/>
      <c r="F38" s="50" t="inlineStr">
        <is>
          <t>slope &lt; 4% &amp; DA &gt;=10 &amp; C or E stream types</t>
        </is>
      </c>
      <c r="G38" s="26">
        <f>IF('Metrics'!$V$31="","",'Metrics'!$V$31)</f>
        <v/>
      </c>
      <c r="H38" s="21" t="n"/>
      <c r="I38" s="27" t="n"/>
    </row>
    <row r="39">
      <c r="A39" s="52" t="inlineStr">
        <is>
          <t>Biology</t>
        </is>
      </c>
      <c r="B39" s="12" t="inlineStr">
        <is>
          <t>Population support</t>
        </is>
      </c>
      <c r="C39" s="13" t="inlineStr">
        <is>
          <t>EPT Taxa Present</t>
        </is>
      </c>
      <c r="D39" s="14" t="inlineStr"/>
      <c r="E39" s="15" t="n"/>
      <c r="F39" s="51" t="inlineStr">
        <is>
          <t>Mountains</t>
        </is>
      </c>
      <c r="G39" s="17">
        <f>IF('Metrics'!$V$32="","",'Metrics'!$V$32)</f>
        <v/>
      </c>
      <c r="H39" s="18">
        <f>IF('Results'!$B$15="","",'Results'!$B$15)</f>
        <v/>
      </c>
      <c r="I39" s="19">
        <f>IF('DEEP Score'!$H$39="","",IF('DEEP Score'!$H$39&lt;=5,"Non-Functioning",IF('DEEP Score'!$H$39&lt;=10,"Functioning At-Risk","Functioning")))</f>
        <v/>
      </c>
    </row>
    <row r="40">
      <c r="A40" s="20" t="n"/>
      <c r="B40" s="21" t="n"/>
      <c r="C40" s="22" t="inlineStr">
        <is>
          <t>NCIBI Score</t>
        </is>
      </c>
      <c r="D40" s="23" t="inlineStr"/>
      <c r="E40" s="24" t="n"/>
      <c r="F40" s="50" t="inlineStr">
        <is>
          <t>French Broad, Hiwassee, Little Tennessee, New, and Watauga River basins</t>
        </is>
      </c>
      <c r="G40" s="26">
        <f>IF('Metrics'!$V$33="","",'Metrics'!$V$33)</f>
        <v/>
      </c>
      <c r="H40" s="21" t="n"/>
      <c r="I40" s="27" t="n"/>
    </row>
    <row r="42">
      <c r="A42" s="53" t="inlineStr">
        <is>
          <t>Summary</t>
        </is>
      </c>
    </row>
    <row r="43">
      <c r="A43" s="10" t="inlineStr">
        <is>
          <t>Outcome</t>
        </is>
      </c>
      <c r="B43" s="10" t="inlineStr">
        <is>
          <t>Sub-index (0 to 1)</t>
        </is>
      </c>
      <c r="C43" s="10" t="inlineStr">
        <is>
          <t>Condition</t>
        </is>
      </c>
    </row>
    <row r="44">
      <c r="A44" s="54" t="inlineStr">
        <is>
          <t>Physical</t>
        </is>
      </c>
      <c r="B44" s="55">
        <f>'Results'!$B$18</f>
        <v/>
      </c>
      <c r="C44" s="43">
        <f>IF('DEEP Score'!$B$44&lt;=0.39,"Non-Functioning",IF('DEEP Score'!$B$44&lt;=0.69,"Functioning At-Risk","Functioning"))</f>
        <v/>
      </c>
    </row>
    <row r="45">
      <c r="A45" s="54" t="inlineStr">
        <is>
          <t>Chemical</t>
        </is>
      </c>
      <c r="B45" s="55">
        <f>'Results'!$B$19</f>
        <v/>
      </c>
      <c r="C45" s="43">
        <f>IF('DEEP Score'!$B$45&lt;=0.39,"Non-Functioning",IF('DEEP Score'!$B$45&lt;=0.69,"Functioning At-Risk","Functioning"))</f>
        <v/>
      </c>
    </row>
    <row r="46">
      <c r="A46" s="54" t="inlineStr">
        <is>
          <t>Biological</t>
        </is>
      </c>
      <c r="B46" s="55">
        <f>'Results'!$B$20</f>
        <v/>
      </c>
      <c r="C46" s="43">
        <f>IF('DEEP Score'!$B$46&lt;=0.39,"Non-Functioning",IF('DEEP Score'!$B$46&lt;=0.69,"Functioning At-Risk","Functioning"))</f>
        <v/>
      </c>
    </row>
    <row r="47" ht="30" customHeight="1">
      <c r="A47" s="56" t="inlineStr">
        <is>
          <t>Ecosystem Condition Index</t>
        </is>
      </c>
      <c r="B47" s="57">
        <f>'Results'!$B$21</f>
        <v/>
      </c>
      <c r="C47" s="43">
        <f>IF('DEEP Score'!$B$47&lt;=0.39,"Non-Functioning",IF('DEEP Score'!$B$47&lt;=0.69,"Functioning At-Risk","Functioning"))</f>
        <v/>
      </c>
    </row>
    <row r="48">
      <c r="A48" s="5" t="inlineStr">
        <is>
          <t>This index is computed over the 12 functions this assessment scores. 8 of the 20 STAF functions are not assessed, so it is not comparable with a full-framework index and no condition class is claimed for the assessment as a whole.</t>
        </is>
      </c>
    </row>
    <row r="49">
      <c r="A49" s="5" t="inlineStr">
        <is>
          <t xml:space="preserve">Functions with a score: </t>
        </is>
      </c>
      <c r="B49" s="5">
        <f>COUNT('Results'!$B$4:$B$15)&amp;" of 12"</f>
        <v/>
      </c>
    </row>
    <row r="50">
      <c r="A50" s="5" t="inlineStr">
        <is>
          <t>This assessment covers 12 of 20 STAF functions (8 documented exclusions).</t>
        </is>
      </c>
    </row>
    <row r="52">
      <c r="A52" s="6" t="inlineStr">
        <is>
          <t>Notes</t>
        </is>
      </c>
    </row>
    <row r="53">
      <c r="A53" s="58" t="n"/>
      <c r="B53" s="59" t="n"/>
      <c r="C53" s="59" t="n"/>
      <c r="D53" s="59" t="n"/>
      <c r="E53" s="59" t="n"/>
      <c r="F53" s="59" t="n"/>
      <c r="G53" s="59" t="n"/>
      <c r="H53" s="59" t="n"/>
      <c r="I53" s="60" t="n"/>
    </row>
    <row r="54">
      <c r="A54" s="61" t="n"/>
      <c r="B54" s="62" t="n"/>
      <c r="C54" s="62" t="n"/>
      <c r="D54" s="62" t="n"/>
      <c r="E54" s="62" t="n"/>
      <c r="F54" s="62" t="n"/>
      <c r="G54" s="62" t="n"/>
      <c r="H54" s="62" t="n"/>
      <c r="I54" s="63" t="n"/>
    </row>
    <row r="55">
      <c r="A55" s="61" t="n"/>
      <c r="B55" s="62" t="n"/>
      <c r="C55" s="62" t="n"/>
      <c r="D55" s="62" t="n"/>
      <c r="E55" s="62" t="n"/>
      <c r="F55" s="62" t="n"/>
      <c r="G55" s="62" t="n"/>
      <c r="H55" s="62" t="n"/>
      <c r="I55" s="63" t="n"/>
    </row>
    <row r="56">
      <c r="A56" s="61" t="n"/>
      <c r="B56" s="62" t="n"/>
      <c r="C56" s="62" t="n"/>
      <c r="D56" s="62" t="n"/>
      <c r="E56" s="62" t="n"/>
      <c r="F56" s="62" t="n"/>
      <c r="G56" s="62" t="n"/>
      <c r="H56" s="62" t="n"/>
      <c r="I56" s="63" t="n"/>
    </row>
    <row r="57">
      <c r="A57" s="61" t="n"/>
      <c r="B57" s="62" t="n"/>
      <c r="C57" s="62" t="n"/>
      <c r="D57" s="62" t="n"/>
      <c r="E57" s="62" t="n"/>
      <c r="F57" s="62" t="n"/>
      <c r="G57" s="62" t="n"/>
      <c r="H57" s="62" t="n"/>
      <c r="I57" s="63" t="n"/>
    </row>
    <row r="58">
      <c r="A58" s="64" t="n"/>
      <c r="B58" s="65" t="n"/>
      <c r="C58" s="65" t="n"/>
      <c r="D58" s="65" t="n"/>
      <c r="E58" s="65" t="n"/>
      <c r="F58" s="65" t="n"/>
      <c r="G58" s="65" t="n"/>
      <c r="H58" s="65" t="n"/>
      <c r="I58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40">
    <mergeCell ref="I32:I33"/>
    <mergeCell ref="B12:B13"/>
    <mergeCell ref="B8:D8"/>
    <mergeCell ref="B34:B38"/>
    <mergeCell ref="H25:H28"/>
    <mergeCell ref="H16:H20"/>
    <mergeCell ref="A29:A31"/>
    <mergeCell ref="I29:I31"/>
    <mergeCell ref="A25:A28"/>
    <mergeCell ref="A53:I58"/>
    <mergeCell ref="I25:I28"/>
    <mergeCell ref="B23:B24"/>
    <mergeCell ref="B39:B40"/>
    <mergeCell ref="H39:H40"/>
    <mergeCell ref="A12:A13"/>
    <mergeCell ref="I12:I13"/>
    <mergeCell ref="B9:D9"/>
    <mergeCell ref="A4:I4"/>
    <mergeCell ref="B6:D6"/>
    <mergeCell ref="B16:B20"/>
    <mergeCell ref="A34:A38"/>
    <mergeCell ref="A32:A33"/>
    <mergeCell ref="B5:D5"/>
    <mergeCell ref="I34:I38"/>
    <mergeCell ref="I39:I40"/>
    <mergeCell ref="H29:H31"/>
    <mergeCell ref="H32:H33"/>
    <mergeCell ref="H12:H13"/>
    <mergeCell ref="A23:A24"/>
    <mergeCell ref="I23:I24"/>
    <mergeCell ref="B7:D7"/>
    <mergeCell ref="A48:C48"/>
    <mergeCell ref="B32:B33"/>
    <mergeCell ref="H34:H38"/>
    <mergeCell ref="A16:A20"/>
    <mergeCell ref="A39:A40"/>
    <mergeCell ref="I16:I20"/>
    <mergeCell ref="B29:B31"/>
    <mergeCell ref="H23:H24"/>
    <mergeCell ref="B25:B28"/>
  </mergeCells>
  <conditionalFormatting sqref="G12:G40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0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0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1">
    <dataValidation sqref="F15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19" showDropDown="0" showInputMessage="0" showErrorMessage="1" allowBlank="1" errorTitle="Curve set" error="Choose a curve set from the list." type="list">
      <formula1>=strata_channel_and_floodplain_dynamics_sinuosity</formula1>
    </dataValidation>
    <dataValidation sqref="F24" showDropDown="0" showInputMessage="0" showErrorMessage="1" allowBlank="1" errorTitle="Curve set" error="Choose a curve set from the list." type="list">
      <formula1>=strata_light_and_thermal_regime_summer_daily_maximum</formula1>
    </dataValidation>
    <dataValidation sqref="F28" showDropDown="0" showInputMessage="0" showErrorMessage="1" allowBlank="1" errorTitle="Curve set" error="Choose a curve set from the list." type="list">
      <formula1>=strata_carbon_processing_shredders</formula1>
    </dataValidation>
    <dataValidation sqref="F29" showDropDown="0" showInputMessage="0" showErrorMessage="1" allowBlank="1" errorTitle="Curve set" error="Choose a curve set from the list." type="list">
      <formula1>=strata_nutrient_cycling_buffer_width</formula1>
    </dataValidation>
    <dataValidation sqref="F33" showDropDown="0" showInputMessage="0" showErrorMessage="1" allowBlank="1" errorTitle="Curve set" error="Choose a curve set from the list." type="list">
      <formula1>=strata_water_and_soil_quality_specific_conductivity</formula1>
    </dataValidation>
    <dataValidation sqref="F36" showDropDown="0" showInputMessage="0" showErrorMessage="1" allowBlank="1" errorTitle="Curve set" error="Choose a curve set from the list." type="list">
      <formula1>=strata_habitat_provision_percent_riffle</formula1>
    </dataValidation>
    <dataValidation sqref="F37" showDropDown="0" showInputMessage="0" showErrorMessage="1" allowBlank="1" errorTitle="Curve set" error="Choose a curve set from the list." type="list">
      <formula1>=strata_habitat_provision_pool_depth_ratio</formula1>
    </dataValidation>
    <dataValidation sqref="F38" showDropDown="0" showInputMessage="0" showErrorMessage="1" allowBlank="1" errorTitle="Curve set" error="Choose a curve set from the list." type="list">
      <formula1>=strata_habitat_provision_pool_spacing_ratio</formula1>
    </dataValidation>
    <dataValidation sqref="F39" showDropDown="0" showInputMessage="0" showErrorMessage="1" allowBlank="1" errorTitle="Curve set" error="Choose a curve set from the list." type="list">
      <formula1>=strata_population_support_ept_taxa_present</formula1>
    </dataValidation>
    <dataValidation sqref="F40" showDropDown="0" showInputMessage="0" showErrorMessage="1" allowBlank="1" errorTitle="Curve set" error="Choose a curve set from the list." type="list">
      <formula1>=strata_population_support_ncibi_score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Curve Number</t>
        </is>
      </c>
      <c r="B5" s="68">
        <f>IF('DEEP Score'!$E$12="","",'DEEP Score'!$E$12)</f>
        <v/>
      </c>
      <c r="C5" s="68">
        <f>""</f>
        <v/>
      </c>
      <c r="D5" s="68">
        <f>"catchment_hydrology_curve_number|"&amp;'Metrics'!$C$5</f>
        <v/>
      </c>
      <c r="E5" s="68">
        <f>IFERROR(MATCH('Metrics'!$D$5,curve_key,0),MATCH("catchment_hydrology_curve_number|",curve_key,0))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Percent Impervious Cover</t>
        </is>
      </c>
      <c r="B6" s="68">
        <f>IF('DEEP Score'!$E$13="","",'DEEP Score'!$E$13)</f>
        <v/>
      </c>
      <c r="C6" s="68">
        <f>""</f>
        <v/>
      </c>
      <c r="D6" s="68">
        <f>"catchment_hydrology_percent_impervious_cover|"&amp;'Metrics'!$C$6</f>
        <v/>
      </c>
      <c r="E6" s="68">
        <f>IFERROR(MATCH('Metrics'!$D$6,curve_key,0),MATCH("catchment_hydrology_percent_impervious_cover|",curve_key,0))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Concentrated Flow Points</t>
        </is>
      </c>
      <c r="B7" s="68">
        <f>IF('DEEP Score'!$E$14="","",'DEEP Score'!$E$14)</f>
        <v/>
      </c>
      <c r="C7" s="68">
        <f>""</f>
        <v/>
      </c>
      <c r="D7" s="68">
        <f>"reach_inflow_concentrated_flow_points|"&amp;'Metrics'!$C$7</f>
        <v/>
      </c>
      <c r="E7" s="68">
        <f>IFERROR(MATCH('Metrics'!$D$7,curve_key,0),MATCH("reach_inflow_concentrated_flow_points|",curve_key,0))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Entrenchment Ratio (ER)</t>
        </is>
      </c>
      <c r="B8" s="68">
        <f>IF('DEEP Score'!$E$15="","",'DEEP Score'!$E$15)</f>
        <v/>
      </c>
      <c r="C8" s="68">
        <f>IF('DEEP Score'!$F$15="","C and E Streams",'DEEP Score'!$F$15)</f>
        <v/>
      </c>
      <c r="D8" s="68">
        <f>"floodplain_connectivity_entrenchment_ratio_er|"&amp;'Metrics'!$C$8</f>
        <v/>
      </c>
      <c r="E8" s="68">
        <f>IFERROR(MATCH('Metrics'!$D$8,curve_key,0),MATCH("floodplain_connectivity_entrenchment_ratio_er|C and E Streams",curve_key,0))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Bank Height Ratio (BHR)</t>
        </is>
      </c>
      <c r="B9" s="68">
        <f>IF('DEEP Score'!$E$16="","",'DEEP Score'!$E$16)</f>
        <v/>
      </c>
      <c r="C9" s="68">
        <f>""</f>
        <v/>
      </c>
      <c r="D9" s="68">
        <f>"channel_and_floodplain_dynamics_bank_height_ratio_bhr|"&amp;'Metrics'!$C$9</f>
        <v/>
      </c>
      <c r="E9" s="68">
        <f>IFERROR(MATCH('Metrics'!$D$9,curve_key,0),MATCH("channel_and_floodplain_dynamics_bank_height_ratio_bhr|",curve_key,0))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Erosion Rate</t>
        </is>
      </c>
      <c r="B10" s="68">
        <f>IF('DEEP Score'!$E$17="","",'DEEP Score'!$E$17)</f>
        <v/>
      </c>
      <c r="C10" s="68">
        <f>""</f>
        <v/>
      </c>
      <c r="D10" s="68">
        <f>"channel_and_floodplain_dynamics_erosion_rate|"&amp;'Metrics'!$C$10</f>
        <v/>
      </c>
      <c r="E10" s="68">
        <f>IFERROR(MATCH('Metrics'!$D$10,curve_key,0),MATCH("channel_and_floodplain_dynamics_erosion_rate|",curve_key,0))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Percent Streambank Erosion</t>
        </is>
      </c>
      <c r="B11" s="68">
        <f>IF('DEEP Score'!$E$18="","",'DEEP Score'!$E$18)</f>
        <v/>
      </c>
      <c r="C11" s="68">
        <f>""</f>
        <v/>
      </c>
      <c r="D11" s="68">
        <f>"channel_and_floodplain_dynamics_percent_streambank_erosion|"&amp;'Metrics'!$C$11</f>
        <v/>
      </c>
      <c r="E11" s="68">
        <f>IFERROR(MATCH('Metrics'!$D$11,curve_key,0),MATCH("channel_and_floodplain_dynamics_percent_streambank_erosion|",curve_key,0))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Sinuosity</t>
        </is>
      </c>
      <c r="B12" s="68">
        <f>IF('DEEP Score'!$E$19="","",'DEEP Score'!$E$19)</f>
        <v/>
      </c>
      <c r="C12" s="68">
        <f>IF('DEEP Score'!$F$19="","E5 streams in Unconfined Alluvial Valleys",'DEEP Score'!$F$19)</f>
        <v/>
      </c>
      <c r="D12" s="68">
        <f>"channel_and_floodplain_dynamics_sinuosity|"&amp;'Metrics'!$C$12</f>
        <v/>
      </c>
      <c r="E12" s="68">
        <f>IFERROR(MATCH('Metrics'!$D$12,curve_key,0),MATCH("channel_and_floodplain_dynamics_sinuosity|E5 streams in Unconfined Alluvial Valleys",curve_key,0))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Soil Compaction</t>
        </is>
      </c>
      <c r="B13" s="68">
        <f>IF('DEEP Score'!$E$20="","",'DEEP Score'!$E$20)</f>
        <v/>
      </c>
      <c r="C13" s="68">
        <f>""</f>
        <v/>
      </c>
      <c r="D13" s="68">
        <f>"channel_and_floodplain_dynamics_soil_compaction|"&amp;'Metrics'!$C$13</f>
        <v/>
      </c>
      <c r="E13" s="68">
        <f>IFERROR(MATCH('Metrics'!$D$13,curve_key,0),MATCH("channel_and_floodplain_dynamics_soil_compaction|",curve_key,0))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Aggradation Ratio</t>
        </is>
      </c>
      <c r="B14" s="68">
        <f>IF('DEEP Score'!$E$21="","",'DEEP Score'!$E$21)</f>
        <v/>
      </c>
      <c r="C14" s="68">
        <f>""</f>
        <v/>
      </c>
      <c r="D14" s="68">
        <f>"sediment_continuity_aggradation_ratio|"&amp;'Metrics'!$C$14</f>
        <v/>
      </c>
      <c r="E14" s="68">
        <f>IFERROR(MATCH('Metrics'!$D$14,curve_key,0),MATCH("sediment_continuity_aggradation_ratio|",curve_key,0))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Bed Material Characterization</t>
        </is>
      </c>
      <c r="B15" s="68">
        <f>IF('DEEP Score'!$E$22="","",'DEEP Score'!$E$22)</f>
        <v/>
      </c>
      <c r="C15" s="68">
        <f>""</f>
        <v/>
      </c>
      <c r="D15" s="68">
        <f>"bed_composition_and_large_wood_bed_material_characterization|"&amp;'Metrics'!$C$15</f>
        <v/>
      </c>
      <c r="E15" s="68">
        <f>IFERROR(MATCH('Metrics'!$D$15,curve_key,0),MATCH("bed_composition_and_large_wood_bed_material_characterization|",curve_key,0))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Canopy Coverage</t>
        </is>
      </c>
      <c r="B16" s="68">
        <f>IF('DEEP Score'!$E$23="","",'DEEP Score'!$E$23)</f>
        <v/>
      </c>
      <c r="C16" s="68">
        <f>""</f>
        <v/>
      </c>
      <c r="D16" s="68">
        <f>"light_and_thermal_regime_canopy_coverage|"&amp;'Metrics'!$C$16</f>
        <v/>
      </c>
      <c r="E16" s="68">
        <f>IFERROR(MATCH('Metrics'!$D$16,curve_key,0),MATCH("light_and_thermal_regime_canopy_coverage|",curve_key,0))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Summer Daily Maximum</t>
        </is>
      </c>
      <c r="B17" s="68">
        <f>IF('DEEP Score'!$E$24="","",'DEEP Score'!$E$24)</f>
        <v/>
      </c>
      <c r="C17" s="68">
        <f>IF('DEEP Score'!$F$24="","Coldwater",'DEEP Score'!$F$24)</f>
        <v/>
      </c>
      <c r="D17" s="68">
        <f>"light_and_thermal_regime_summer_daily_maximum|"&amp;'Metrics'!$C$17</f>
        <v/>
      </c>
      <c r="E17" s="68">
        <f>IFERROR(MATCH('Metrics'!$D$17,curve_key,0),MATCH("light_and_thermal_regime_summer_daily_maximum|Coldwater",curve_key,0))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Basal Area</t>
        </is>
      </c>
      <c r="B18" s="68">
        <f>IF('DEEP Score'!$E$25="","",'DEEP Score'!$E$25)</f>
        <v/>
      </c>
      <c r="C18" s="68">
        <f>""</f>
        <v/>
      </c>
      <c r="D18" s="68">
        <f>"carbon_processing_basal_area|"&amp;'Metrics'!$C$18</f>
        <v/>
      </c>
      <c r="E18" s="68">
        <f>IFERROR(MATCH('Metrics'!$D$18,curve_key,0),MATCH("carbon_processing_basal_area|",curve_key,0))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Leaf Litter Processing Rate</t>
        </is>
      </c>
      <c r="B19" s="68">
        <f>IF('DEEP Score'!$E$26="","",'DEEP Score'!$E$26)</f>
        <v/>
      </c>
      <c r="C19" s="68">
        <f>""</f>
        <v/>
      </c>
      <c r="D19" s="68">
        <f>"carbon_processing_leaf_litter_processing_rate|"&amp;'Metrics'!$C$19</f>
        <v/>
      </c>
      <c r="E19" s="68">
        <f>IFERROR(MATCH('Metrics'!$D$19,curve_key,0),MATCH("carbon_processing_leaf_litter_processing_rate|",curve_key,0))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Riparian Vegetation Stem Density</t>
        </is>
      </c>
      <c r="B20" s="68">
        <f>IF('DEEP Score'!$E$27="","",'DEEP Score'!$E$27)</f>
        <v/>
      </c>
      <c r="C20" s="68">
        <f>""</f>
        <v/>
      </c>
      <c r="D20" s="68">
        <f>"carbon_processing_riparian_vegetation_stem_density|"&amp;'Metrics'!$C$20</f>
        <v/>
      </c>
      <c r="E20" s="68">
        <f>IFERROR(MATCH('Metrics'!$D$20,curve_key,0),MATCH("carbon_processing_riparian_vegetation_stem_density|",curve_key,0))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Shredders</t>
        </is>
      </c>
      <c r="B21" s="68">
        <f>IF('DEEP Score'!$E$28="","",'DEEP Score'!$E$28)</f>
        <v/>
      </c>
      <c r="C21" s="68">
        <f>IF('DEEP Score'!$F$28="","Field - W/Sp - Mountains &amp; DA &lt;= 5 Sq.Mi.",'DEEP Score'!$F$28)</f>
        <v/>
      </c>
      <c r="D21" s="68">
        <f>"carbon_processing_shredders|"&amp;'Metrics'!$C$21</f>
        <v/>
      </c>
      <c r="E21" s="68">
        <f>IFERROR(MATCH('Metrics'!$D$21,curve_key,0),MATCH("carbon_processing_shredders|Field - W/Sp - Mountains &amp; DA &lt;= 5 Sq.Mi.",curve_key,0))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Buffer Width</t>
        </is>
      </c>
      <c r="B22" s="68">
        <f>IF('DEEP Score'!$E$29="","",'DEEP Score'!$E$29)</f>
        <v/>
      </c>
      <c r="C22" s="68">
        <f>IF('DEEP Score'!$F$29="","Stream Type A, B, or Bc",'DEEP Score'!$F$29)</f>
        <v/>
      </c>
      <c r="D22" s="68">
        <f>"nutrient_cycling_buffer_width|"&amp;'Metrics'!$C$22</f>
        <v/>
      </c>
      <c r="E22" s="68">
        <f>IFERROR(MATCH('Metrics'!$D$22,curve_key,0),MATCH("nutrient_cycling_buffer_width|Stream Type A, B, or Bc",curve_key,0))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Total Nitrogen</t>
        </is>
      </c>
      <c r="B23" s="68">
        <f>IF('DEEP Score'!$E$30="","",'DEEP Score'!$E$30)</f>
        <v/>
      </c>
      <c r="C23" s="68">
        <f>""</f>
        <v/>
      </c>
      <c r="D23" s="68">
        <f>"nutrient_cycling_total_nitrogen|"&amp;'Metrics'!$C$23</f>
        <v/>
      </c>
      <c r="E23" s="68">
        <f>IFERROR(MATCH('Metrics'!$D$23,curve_key,0),MATCH("nutrient_cycling_total_nitrogen|",curve_key,0))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Total Phosphorous</t>
        </is>
      </c>
      <c r="B24" s="68">
        <f>IF('DEEP Score'!$E$31="","",'DEEP Score'!$E$31)</f>
        <v/>
      </c>
      <c r="C24" s="68">
        <f>""</f>
        <v/>
      </c>
      <c r="D24" s="68">
        <f>"nutrient_cycling_total_phosphorous|"&amp;'Metrics'!$C$24</f>
        <v/>
      </c>
      <c r="E24" s="68">
        <f>IFERROR(MATCH('Metrics'!$D$24,curve_key,0),MATCH("nutrient_cycling_total_phosphorous|",curve_key,0))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Fecal Coliform Bacteria</t>
        </is>
      </c>
      <c r="B25" s="68">
        <f>IF('DEEP Score'!$E$32="","",'DEEP Score'!$E$32)</f>
        <v/>
      </c>
      <c r="C25" s="68">
        <f>""</f>
        <v/>
      </c>
      <c r="D25" s="68">
        <f>"water_and_soil_quality_fecal_coliform_bacteria|"&amp;'Metrics'!$C$25</f>
        <v/>
      </c>
      <c r="E25" s="68">
        <f>IFERROR(MATCH('Metrics'!$D$25,curve_key,0),MATCH("water_and_soil_quality_fecal_coliform_bacteria|",curve_key,0))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Specific Conductivity</t>
        </is>
      </c>
      <c r="B26" s="68">
        <f>IF('DEEP Score'!$E$33="","",'DEEP Score'!$E$33)</f>
        <v/>
      </c>
      <c r="C26" s="68">
        <f>IF('DEEP Score'!$F$33="","Piedmont",'DEEP Score'!$F$33)</f>
        <v/>
      </c>
      <c r="D26" s="68">
        <f>"water_and_soil_quality_specific_conductivity|"&amp;'Metrics'!$C$26</f>
        <v/>
      </c>
      <c r="E26" s="68">
        <f>IFERROR(MATCH('Metrics'!$D$26,curve_key,0),MATCH("water_and_soil_quality_specific_conductivity|Piedmont",curve_key,0))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1" t="inlineStr">
        <is>
          <t>LWD # Pieces</t>
        </is>
      </c>
      <c r="B27" s="68">
        <f>IF('DEEP Score'!$E$34="","",'DEEP Score'!$E$34)</f>
        <v/>
      </c>
      <c r="C27" s="68">
        <f>""</f>
        <v/>
      </c>
      <c r="D27" s="68">
        <f>"habitat_provision_lwd_pieces|"&amp;'Metrics'!$C$27</f>
        <v/>
      </c>
      <c r="E27" s="68">
        <f>IFERROR(MATCH('Metrics'!$D$27,curve_key,0),MATCH("habitat_provision_lwd_pieces|",curve_key,0))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1" t="inlineStr">
        <is>
          <t>LWD Index</t>
        </is>
      </c>
      <c r="B28" s="68">
        <f>IF('DEEP Score'!$E$35="","",'DEEP Score'!$E$35)</f>
        <v/>
      </c>
      <c r="C28" s="68">
        <f>""</f>
        <v/>
      </c>
      <c r="D28" s="68">
        <f>"habitat_provision_lwd_index|"&amp;'Metrics'!$C$28</f>
        <v/>
      </c>
      <c r="E28" s="68">
        <f>IFERROR(MATCH('Metrics'!$D$28,curve_key,0),MATCH("habitat_provision_lwd_index|",curve_key,0))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1" t="inlineStr">
        <is>
          <t>Percent Riffle</t>
        </is>
      </c>
      <c r="B29" s="68">
        <f>IF('DEEP Score'!$E$36="","",'DEEP Score'!$E$36)</f>
        <v/>
      </c>
      <c r="C29" s="68">
        <f>IF('DEEP Score'!$F$36="","Streams &lt; 3% slope",'DEEP Score'!$F$36)</f>
        <v/>
      </c>
      <c r="D29" s="68">
        <f>"habitat_provision_percent_riffle|"&amp;'Metrics'!$C$29</f>
        <v/>
      </c>
      <c r="E29" s="68">
        <f>IFERROR(MATCH('Metrics'!$D$29,curve_key,0),MATCH("habitat_provision_percent_riffle|Streams &lt; 3% slope",curve_key,0))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1" t="inlineStr">
        <is>
          <t>Pool Depth Ratio</t>
        </is>
      </c>
      <c r="B30" s="68">
        <f>IF('DEEP Score'!$E$37="","",'DEEP Score'!$E$37)</f>
        <v/>
      </c>
      <c r="C30" s="68">
        <f>IF('DEEP Score'!$F$37="","gravel bed C and E stream",'DEEP Score'!$F$37)</f>
        <v/>
      </c>
      <c r="D30" s="68">
        <f>"habitat_provision_pool_depth_ratio|"&amp;'Metrics'!$C$30</f>
        <v/>
      </c>
      <c r="E30" s="68">
        <f>IFERROR(MATCH('Metrics'!$D$30,curve_key,0),MATCH("habitat_provision_pool_depth_ratio|gravel bed C and E stream",curve_key,0))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1" t="inlineStr">
        <is>
          <t>Pool Spacing Ratio</t>
        </is>
      </c>
      <c r="B31" s="68">
        <f>IF('DEEP Score'!$E$38="","",'DEEP Score'!$E$38)</f>
        <v/>
      </c>
      <c r="C31" s="68">
        <f>IF('DEEP Score'!$F$38="","slope &lt; 4% &amp; DA &gt;=10 &amp; C or E stream types",'DEEP Score'!$F$38)</f>
        <v/>
      </c>
      <c r="D31" s="68">
        <f>"habitat_provision_pool_spacing_ratio|"&amp;'Metrics'!$C$31</f>
        <v/>
      </c>
      <c r="E31" s="68">
        <f>IFERROR(MATCH('Metrics'!$D$31,curve_key,0),MATCH("habitat_provision_pool_spacing_ratio|slope &lt; 4% &amp; DA &gt;=10 &amp; C or E stream types",curve_key,0))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1" t="inlineStr">
        <is>
          <t>EPT Taxa Present</t>
        </is>
      </c>
      <c r="B32" s="68">
        <f>IF('DEEP Score'!$E$39="","",'DEEP Score'!$E$39)</f>
        <v/>
      </c>
      <c r="C32" s="68">
        <f>IF('DEEP Score'!$F$39="","Mountains",'DEEP Score'!$F$39)</f>
        <v/>
      </c>
      <c r="D32" s="68">
        <f>"population_support_ept_taxa_present|"&amp;'Metrics'!$C$32</f>
        <v/>
      </c>
      <c r="E32" s="68">
        <f>IFERROR(MATCH('Metrics'!$D$32,curve_key,0),MATCH("population_support_ept_taxa_present|Mountains",curve_key,0))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1" t="inlineStr">
        <is>
          <t>NCIBI Score</t>
        </is>
      </c>
      <c r="B33" s="68">
        <f>IF('DEEP Score'!$E$40="","",'DEEP Score'!$E$40)</f>
        <v/>
      </c>
      <c r="C33" s="68">
        <f>IF('DEEP Score'!$F$40="","French Broad, Hiwassee, Little Tennessee, New, and Watauga River basins",'DEEP Score'!$F$40)</f>
        <v/>
      </c>
      <c r="D33" s="68">
        <f>"population_support_ncibi_score|"&amp;'Metrics'!$C$33</f>
        <v/>
      </c>
      <c r="E33" s="68">
        <f>IFERROR(MATCH('Metrics'!$D$33,curve_key,0),MATCH("population_support_ncibi_score|French Broad, Hiwassee, Little Tennessee, New, and Watauga River basins",curve_key,0))</f>
        <v/>
      </c>
      <c r="F33" s="68">
        <f>INDEX(curve_x1,'Metrics'!$E$33)</f>
        <v/>
      </c>
      <c r="G33" s="68">
        <f>INDEX(curve_x2,'Metrics'!$E$33)</f>
        <v/>
      </c>
      <c r="H33" s="68">
        <f>INDEX(curve_x3,'Metrics'!$E$33)</f>
        <v/>
      </c>
      <c r="I33" s="68">
        <f>INDEX(curve_x4,'Metrics'!$E$33)</f>
        <v/>
      </c>
      <c r="J33" s="68">
        <f>INDEX(curve_x5,'Metrics'!$E$33)</f>
        <v/>
      </c>
      <c r="K33" s="68">
        <f>INDEX(curve_x6,'Metrics'!$E$33)</f>
        <v/>
      </c>
      <c r="L33" s="68">
        <f>INDEX(curve_x7,'Metrics'!$E$33)</f>
        <v/>
      </c>
      <c r="M33" s="68">
        <f>INDEX(curve_x8,'Metrics'!$E$33)</f>
        <v/>
      </c>
      <c r="N33" s="68">
        <f>INDEX(curve_y1,'Metrics'!$E$33)</f>
        <v/>
      </c>
      <c r="O33" s="68">
        <f>INDEX(curve_y2,'Metrics'!$E$33)</f>
        <v/>
      </c>
      <c r="P33" s="68">
        <f>INDEX(curve_y3,'Metrics'!$E$33)</f>
        <v/>
      </c>
      <c r="Q33" s="68">
        <f>INDEX(curve_y4,'Metrics'!$E$33)</f>
        <v/>
      </c>
      <c r="R33" s="68">
        <f>INDEX(curve_y5,'Metrics'!$E$33)</f>
        <v/>
      </c>
      <c r="S33" s="68">
        <f>INDEX(curve_y6,'Metrics'!$E$33)</f>
        <v/>
      </c>
      <c r="T33" s="68">
        <f>INDEX(curve_y7,'Metrics'!$E$33)</f>
        <v/>
      </c>
      <c r="U33" s="68">
        <f>INDEX(curve_y8,'Metrics'!$E$33)</f>
        <v/>
      </c>
      <c r="V33" s="69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1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68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41" t="inlineStr">
        <is>
          <t>Reach inflow</t>
        </is>
      </c>
      <c r="B5" s="68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41" t="inlineStr">
        <is>
          <t>Floodplain connectivity</t>
        </is>
      </c>
      <c r="B6" s="68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41" t="inlineStr">
        <is>
          <t>Channel and floodplain dynamics</t>
        </is>
      </c>
      <c r="B7" s="68">
        <f>IF(COUNT('DEEP Score'!G16:G20)=0,"",SUM('DEEP Score'!G16:G20)/COUNT('DEEP Score'!G16:G20)*15)</f>
        <v/>
      </c>
      <c r="C7" s="41" t="n">
        <v>1</v>
      </c>
      <c r="D7" s="41" t="n">
        <v>0.1</v>
      </c>
      <c r="E7" s="41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41" t="inlineStr">
        <is>
          <t>Sediment continuity</t>
        </is>
      </c>
      <c r="B8" s="68">
        <f>IF(COUNT('DEEP Score'!G21:G21)=0,"",SUM('DEEP Score'!G21:G21)/COUNT('DEEP Score'!G21:G21)*15)</f>
        <v/>
      </c>
      <c r="C8" s="41" t="n">
        <v>1</v>
      </c>
      <c r="D8" s="41" t="n">
        <v>0.1</v>
      </c>
      <c r="E8" s="41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41" t="inlineStr">
        <is>
          <t>Bed composition and large wood</t>
        </is>
      </c>
      <c r="B9" s="68">
        <f>IF(COUNT('DEEP Score'!G22:G22)=0,"",SUM('DEEP Score'!G22:G22)/COUNT('DEEP Score'!G22:G22)*15)</f>
        <v/>
      </c>
      <c r="C9" s="41" t="n">
        <v>1</v>
      </c>
      <c r="D9" s="41" t="n">
        <v>0.1</v>
      </c>
      <c r="E9" s="41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41" t="inlineStr">
        <is>
          <t>Light &amp; thermal regime</t>
        </is>
      </c>
      <c r="B10" s="68">
        <f>IF(COUNT('DEEP Score'!G23:G24)=0,"",SUM('DEEP Score'!G23:G24)/COUNT('DEEP Score'!G23:G24)*15)</f>
        <v/>
      </c>
      <c r="C10" s="41" t="n">
        <v>0</v>
      </c>
      <c r="D10" s="41" t="n">
        <v>1</v>
      </c>
      <c r="E10" s="41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41" t="inlineStr">
        <is>
          <t>Carbon processing</t>
        </is>
      </c>
      <c r="B11" s="68">
        <f>IF(COUNT('DEEP Score'!G25:G28)=0,"",SUM('DEEP Score'!G25:G28)/COUNT('DEEP Score'!G25:G28)*15)</f>
        <v/>
      </c>
      <c r="C11" s="41" t="n">
        <v>0</v>
      </c>
      <c r="D11" s="41" t="n">
        <v>1</v>
      </c>
      <c r="E11" s="41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41" t="inlineStr">
        <is>
          <t>Nutrient cycling</t>
        </is>
      </c>
      <c r="B12" s="68">
        <f>IF(COUNT('DEEP Score'!G29:G31)=0,"",SUM('DEEP Score'!G29:G31)/COUNT('DEEP Score'!G29:G31)*15)</f>
        <v/>
      </c>
      <c r="C12" s="41" t="n">
        <v>0.1</v>
      </c>
      <c r="D12" s="41" t="n">
        <v>1</v>
      </c>
      <c r="E12" s="41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41" t="inlineStr">
        <is>
          <t>Water &amp; soil quality</t>
        </is>
      </c>
      <c r="B13" s="68">
        <f>IF(COUNT('DEEP Score'!G32:G33)=0,"",SUM('DEEP Score'!G32:G33)/COUNT('DEEP Score'!G32:G33)*15)</f>
        <v/>
      </c>
      <c r="C13" s="41" t="n">
        <v>0.1</v>
      </c>
      <c r="D13" s="41" t="n">
        <v>1</v>
      </c>
      <c r="E13" s="41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41" t="inlineStr">
        <is>
          <t>Habitat provision</t>
        </is>
      </c>
      <c r="B14" s="68">
        <f>IF(COUNT('DEEP Score'!G34:G38)=0,"",SUM('DEEP Score'!G34:G38)/COUNT('DEEP Score'!G34:G38)*15)</f>
        <v/>
      </c>
      <c r="C14" s="41" t="n">
        <v>0</v>
      </c>
      <c r="D14" s="41" t="n">
        <v>0</v>
      </c>
      <c r="E14" s="41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41" t="inlineStr">
        <is>
          <t>Population support</t>
        </is>
      </c>
      <c r="B15" s="68">
        <f>IF(COUNT('DEEP Score'!G39:G40)=0,"",SUM('DEEP Score'!G39:G40)/COUNT('DEEP Score'!G39:G40)*15)</f>
        <v/>
      </c>
      <c r="C15" s="41" t="n">
        <v>0.1</v>
      </c>
      <c r="D15" s="41" t="n">
        <v>0.1</v>
      </c>
      <c r="E15" s="41" t="n">
        <v>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7">
      <c r="A17" s="6" t="inlineStr">
        <is>
          <t>Outcome</t>
        </is>
      </c>
      <c r="B17" s="6" t="inlineStr">
        <is>
          <t>Sub-index</t>
        </is>
      </c>
    </row>
    <row r="18">
      <c r="A18" s="41" t="inlineStr">
        <is>
          <t>Physical</t>
        </is>
      </c>
      <c r="B18" s="68">
        <f>IF(SUM('Results'!$I$4:$I$15)=0,0,SUM('Results'!$F$4:$F$15)/SUM('Results'!$I$4:$I$15))</f>
        <v/>
      </c>
    </row>
    <row r="19">
      <c r="A19" s="41" t="inlineStr">
        <is>
          <t>Chemical</t>
        </is>
      </c>
      <c r="B19" s="68">
        <f>IF(SUM('Results'!$J$4:$J$15)=0,0,SUM('Results'!$G$4:$G$15)/SUM('Results'!$J$4:$J$15))</f>
        <v/>
      </c>
    </row>
    <row r="20">
      <c r="A20" s="41" t="inlineStr">
        <is>
          <t>Biological</t>
        </is>
      </c>
      <c r="B20" s="68">
        <f>IF(SUM('Results'!$K$4:$K$15)=0,0,SUM('Results'!$H$4:$H$15)/SUM('Results'!$K$4:$K$15))</f>
        <v/>
      </c>
    </row>
    <row r="21">
      <c r="A21" s="54" t="inlineStr">
        <is>
          <t>Ecosystem Condition Index</t>
        </is>
      </c>
      <c r="B21" s="68">
        <f>('Results'!$B$18+'Results'!$B$19+'Results'!$B$20)/3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13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catchment_hydrology_curve_number|</t>
        </is>
      </c>
      <c r="B5" s="41" t="inlineStr">
        <is>
          <t>catchment-hydrology-curve-number</t>
        </is>
      </c>
      <c r="C5" s="41" t="inlineStr">
        <is>
          <t>Curve Number</t>
        </is>
      </c>
      <c r="D5" s="41" t="inlineStr"/>
      <c r="E5" s="41" t="n">
        <v>4</v>
      </c>
      <c r="F5" s="41" t="inlineStr"/>
      <c r="G5" s="41" t="n">
        <v>30</v>
      </c>
      <c r="H5" s="41" t="n">
        <v>55</v>
      </c>
      <c r="I5" s="41" t="n">
        <v>70</v>
      </c>
      <c r="J5" s="41" t="n">
        <v>78.44963</v>
      </c>
      <c r="K5" s="41" t="n">
        <v>78.44963</v>
      </c>
      <c r="L5" s="41" t="n">
        <v>78.44963</v>
      </c>
      <c r="M5" s="41" t="n">
        <v>78.44963</v>
      </c>
      <c r="N5" s="41" t="n">
        <v>78.44963</v>
      </c>
      <c r="O5" s="41" t="n">
        <v>1</v>
      </c>
      <c r="P5" s="41" t="n">
        <v>0.7</v>
      </c>
      <c r="Q5" s="41" t="n">
        <v>0.3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catchment_hydrology_percent_impervious_cover|</t>
        </is>
      </c>
      <c r="B6" s="41" t="inlineStr">
        <is>
          <t>catchment-hydrology-percent-impervious-cover</t>
        </is>
      </c>
      <c r="C6" s="41" t="inlineStr">
        <is>
          <t>Percent Impervious Cover</t>
        </is>
      </c>
      <c r="D6" s="41" t="inlineStr"/>
      <c r="E6" s="41" t="n">
        <v>6</v>
      </c>
      <c r="F6" s="41" t="inlineStr"/>
      <c r="G6" s="41" t="n">
        <v>0</v>
      </c>
      <c r="H6" s="41" t="n">
        <v>9</v>
      </c>
      <c r="I6" s="41" t="n">
        <v>10</v>
      </c>
      <c r="J6" s="41" t="n">
        <v>25</v>
      </c>
      <c r="K6" s="41" t="n">
        <v>26</v>
      </c>
      <c r="L6" s="41" t="n">
        <v>75.77966102000001</v>
      </c>
      <c r="M6" s="41" t="n">
        <v>75.77966102000001</v>
      </c>
      <c r="N6" s="41" t="n">
        <v>75.77966102000001</v>
      </c>
      <c r="O6" s="41" t="n">
        <v>1</v>
      </c>
      <c r="P6" s="41" t="n">
        <v>0.7</v>
      </c>
      <c r="Q6" s="41" t="n">
        <v>0.6899999999999999</v>
      </c>
      <c r="R6" s="41" t="n">
        <v>0.3</v>
      </c>
      <c r="S6" s="41" t="n">
        <v>0.29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reach_inflow_concentrated_flow_points|</t>
        </is>
      </c>
      <c r="B7" s="41" t="inlineStr">
        <is>
          <t>reach-inflow-concentrated-flow-points</t>
        </is>
      </c>
      <c r="C7" s="41" t="inlineStr">
        <is>
          <t>Concentrated Flow Points</t>
        </is>
      </c>
      <c r="D7" s="41" t="inlineStr"/>
      <c r="E7" s="41" t="n">
        <v>4</v>
      </c>
      <c r="F7" s="41" t="inlineStr"/>
      <c r="G7" s="41" t="n">
        <v>0</v>
      </c>
      <c r="H7" s="41" t="n">
        <v>1</v>
      </c>
      <c r="I7" s="41" t="n">
        <v>3</v>
      </c>
      <c r="J7" s="41" t="n">
        <v>3</v>
      </c>
      <c r="K7" s="41" t="n">
        <v>3</v>
      </c>
      <c r="L7" s="41" t="n">
        <v>3</v>
      </c>
      <c r="M7" s="41" t="n">
        <v>3</v>
      </c>
      <c r="N7" s="41" t="n">
        <v>3</v>
      </c>
      <c r="O7" s="41" t="n">
        <v>1</v>
      </c>
      <c r="P7" s="41" t="n">
        <v>0.6899999999999999</v>
      </c>
      <c r="Q7" s="41" t="n">
        <v>0</v>
      </c>
      <c r="R7" s="41" t="n">
        <v>0.3</v>
      </c>
      <c r="S7" s="41" t="n">
        <v>0.3</v>
      </c>
      <c r="T7" s="41" t="n">
        <v>0.3</v>
      </c>
      <c r="U7" s="41" t="n">
        <v>0.3</v>
      </c>
      <c r="V7" s="41" t="n">
        <v>0.3</v>
      </c>
    </row>
    <row r="8">
      <c r="A8" s="41" t="inlineStr">
        <is>
          <t>floodplain_connectivity_entrenchment_ratio_er|C and E Streams</t>
        </is>
      </c>
      <c r="B8" s="41" t="inlineStr">
        <is>
          <t>floodplain-connectivity-entrenchment-ratio-er</t>
        </is>
      </c>
      <c r="C8" s="41" t="inlineStr">
        <is>
          <t>Entrenchment Ratio (ER)</t>
        </is>
      </c>
      <c r="D8" s="41" t="inlineStr">
        <is>
          <t>C and E Streams</t>
        </is>
      </c>
      <c r="E8" s="41" t="n">
        <v>3</v>
      </c>
      <c r="F8" s="41" t="inlineStr"/>
      <c r="G8" s="41" t="n">
        <v>2</v>
      </c>
      <c r="H8" s="41" t="n">
        <v>2.4</v>
      </c>
      <c r="I8" s="41" t="n">
        <v>5</v>
      </c>
      <c r="J8" s="41" t="n">
        <v>5</v>
      </c>
      <c r="K8" s="41" t="n">
        <v>5</v>
      </c>
      <c r="L8" s="41" t="n">
        <v>5</v>
      </c>
      <c r="M8" s="41" t="n">
        <v>5</v>
      </c>
      <c r="N8" s="41" t="n">
        <v>5</v>
      </c>
      <c r="O8" s="41" t="n">
        <v>0.3</v>
      </c>
      <c r="P8" s="41" t="n">
        <v>0.7</v>
      </c>
      <c r="Q8" s="41" t="n">
        <v>1</v>
      </c>
      <c r="R8" s="41" t="n">
        <v>1</v>
      </c>
      <c r="S8" s="41" t="n">
        <v>1</v>
      </c>
      <c r="T8" s="41" t="n">
        <v>1</v>
      </c>
      <c r="U8" s="41" t="n">
        <v>1</v>
      </c>
      <c r="V8" s="41" t="n">
        <v>1</v>
      </c>
    </row>
    <row r="9">
      <c r="A9" s="41" t="inlineStr">
        <is>
          <t>floodplain_connectivity_entrenchment_ratio_er|A, B and Bc Streams</t>
        </is>
      </c>
      <c r="B9" s="41" t="inlineStr">
        <is>
          <t>floodplain-connectivity-entrenchment-ratio-er</t>
        </is>
      </c>
      <c r="C9" s="41" t="inlineStr">
        <is>
          <t>Entrenchment Ratio (ER)</t>
        </is>
      </c>
      <c r="D9" s="41" t="inlineStr">
        <is>
          <t>A, B and Bc Streams</t>
        </is>
      </c>
      <c r="E9" s="41" t="n">
        <v>3</v>
      </c>
      <c r="F9" s="41" t="inlineStr"/>
      <c r="G9" s="41" t="n">
        <v>1.2</v>
      </c>
      <c r="H9" s="41" t="n">
        <v>1.4</v>
      </c>
      <c r="I9" s="41" t="n">
        <v>2.2</v>
      </c>
      <c r="J9" s="41" t="n">
        <v>2.2</v>
      </c>
      <c r="K9" s="41" t="n">
        <v>2.2</v>
      </c>
      <c r="L9" s="41" t="n">
        <v>2.2</v>
      </c>
      <c r="M9" s="41" t="n">
        <v>2.2</v>
      </c>
      <c r="N9" s="41" t="n">
        <v>2.2</v>
      </c>
      <c r="O9" s="41" t="n">
        <v>0.3</v>
      </c>
      <c r="P9" s="41" t="n">
        <v>0.7</v>
      </c>
      <c r="Q9" s="41" t="n">
        <v>1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channel_and_floodplain_dynamics_bank_height_ratio_bhr|</t>
        </is>
      </c>
      <c r="B10" s="41" t="inlineStr">
        <is>
          <t>channel-and-floodplain-dynamics-bank-height-ratio-bhr</t>
        </is>
      </c>
      <c r="C10" s="41" t="inlineStr">
        <is>
          <t>Bank Height Ratio (BHR)</t>
        </is>
      </c>
      <c r="D10" s="41" t="inlineStr"/>
      <c r="E10" s="41" t="n">
        <v>4</v>
      </c>
      <c r="F10" s="41" t="inlineStr"/>
      <c r="G10" s="41" t="n">
        <v>1</v>
      </c>
      <c r="H10" s="41" t="n">
        <v>1.2</v>
      </c>
      <c r="I10" s="41" t="n">
        <v>1.5</v>
      </c>
      <c r="J10" s="41" t="n">
        <v>1.6</v>
      </c>
      <c r="K10" s="41" t="n">
        <v>1.6</v>
      </c>
      <c r="L10" s="41" t="n">
        <v>1.6</v>
      </c>
      <c r="M10" s="41" t="n">
        <v>1.6</v>
      </c>
      <c r="N10" s="41" t="n">
        <v>1.6</v>
      </c>
      <c r="O10" s="41" t="n">
        <v>1</v>
      </c>
      <c r="P10" s="41" t="n">
        <v>0.7</v>
      </c>
      <c r="Q10" s="41" t="n">
        <v>0.3</v>
      </c>
      <c r="R10" s="41" t="n">
        <v>0.2</v>
      </c>
      <c r="S10" s="41" t="n">
        <v>0.2</v>
      </c>
      <c r="T10" s="41" t="n">
        <v>0.2</v>
      </c>
      <c r="U10" s="41" t="n">
        <v>0.2</v>
      </c>
      <c r="V10" s="41" t="n">
        <v>0.2</v>
      </c>
    </row>
    <row r="11">
      <c r="A11" s="41" t="inlineStr">
        <is>
          <t>channel_and_floodplain_dynamics_erosion_rate|</t>
        </is>
      </c>
      <c r="B11" s="41" t="inlineStr">
        <is>
          <t>channel-and-floodplain-dynamics-erosion-rate</t>
        </is>
      </c>
      <c r="C11" s="41" t="inlineStr">
        <is>
          <t>Erosion Rate</t>
        </is>
      </c>
      <c r="D11" s="41" t="inlineStr"/>
      <c r="E11" s="41" t="n">
        <v>5</v>
      </c>
      <c r="F11" s="41" t="inlineStr"/>
      <c r="G11" s="41" t="n">
        <v>0.1</v>
      </c>
      <c r="H11" s="41" t="n">
        <v>0.19</v>
      </c>
      <c r="I11" s="41" t="n">
        <v>0.4</v>
      </c>
      <c r="J11" s="41" t="n">
        <v>0.4117</v>
      </c>
      <c r="K11" s="41" t="n">
        <v>0.71</v>
      </c>
      <c r="L11" s="41" t="n">
        <v>0.71</v>
      </c>
      <c r="M11" s="41" t="n">
        <v>0.71</v>
      </c>
      <c r="N11" s="41" t="n">
        <v>0.71</v>
      </c>
      <c r="O11" s="41" t="n">
        <v>1</v>
      </c>
      <c r="P11" s="41" t="n">
        <v>0.7</v>
      </c>
      <c r="Q11" s="41" t="n">
        <v>0.3</v>
      </c>
      <c r="R11" s="41" t="n">
        <v>0.29</v>
      </c>
      <c r="S11" s="41" t="n">
        <v>0</v>
      </c>
      <c r="T11" s="41" t="n">
        <v>0</v>
      </c>
      <c r="U11" s="41" t="n">
        <v>0</v>
      </c>
      <c r="V11" s="41" t="n">
        <v>0</v>
      </c>
    </row>
    <row r="12">
      <c r="A12" s="41" t="inlineStr">
        <is>
          <t>channel_and_floodplain_dynamics_percent_streambank_erosion|</t>
        </is>
      </c>
      <c r="B12" s="41" t="inlineStr">
        <is>
          <t>channel-and-floodplain-dynamics-percent-streambank-erosion</t>
        </is>
      </c>
      <c r="C12" s="41" t="inlineStr">
        <is>
          <t>Percent Streambank Erosion</t>
        </is>
      </c>
      <c r="D12" s="41" t="inlineStr"/>
      <c r="E12" s="41" t="n">
        <v>4</v>
      </c>
      <c r="F12" s="41" t="inlineStr"/>
      <c r="G12" s="41" t="n">
        <v>5</v>
      </c>
      <c r="H12" s="41" t="n">
        <v>9</v>
      </c>
      <c r="I12" s="41" t="n">
        <v>25</v>
      </c>
      <c r="J12" s="41" t="n">
        <v>41</v>
      </c>
      <c r="K12" s="41" t="n">
        <v>41</v>
      </c>
      <c r="L12" s="41" t="n">
        <v>41</v>
      </c>
      <c r="M12" s="41" t="n">
        <v>41</v>
      </c>
      <c r="N12" s="41" t="n">
        <v>41</v>
      </c>
      <c r="O12" s="41" t="n">
        <v>1</v>
      </c>
      <c r="P12" s="41" t="n">
        <v>0.7</v>
      </c>
      <c r="Q12" s="41" t="n">
        <v>0.3</v>
      </c>
      <c r="R12" s="41" t="n">
        <v>0</v>
      </c>
      <c r="S12" s="41" t="n">
        <v>0</v>
      </c>
      <c r="T12" s="41" t="n">
        <v>0</v>
      </c>
      <c r="U12" s="41" t="n">
        <v>0</v>
      </c>
      <c r="V12" s="41" t="n">
        <v>0</v>
      </c>
    </row>
    <row r="13">
      <c r="A13" s="41" t="inlineStr">
        <is>
          <t>channel_and_floodplain_dynamics_sinuosity|E5 streams in Unconfined Alluvial Valleys</t>
        </is>
      </c>
      <c r="B13" s="41" t="inlineStr">
        <is>
          <t>channel-and-floodplain-dynamics-sinuosity</t>
        </is>
      </c>
      <c r="C13" s="41" t="inlineStr">
        <is>
          <t>Sinuosity</t>
        </is>
      </c>
      <c r="D13" s="41" t="inlineStr">
        <is>
          <t>E5 streams in Unconfined Alluvial Valleys</t>
        </is>
      </c>
      <c r="E13" s="41" t="n">
        <v>4</v>
      </c>
      <c r="F13" s="41" t="inlineStr"/>
      <c r="G13" s="41" t="n">
        <v>0</v>
      </c>
      <c r="H13" s="41" t="n">
        <v>1</v>
      </c>
      <c r="I13" s="41" t="n">
        <v>2</v>
      </c>
      <c r="J13" s="41" t="n">
        <v>3</v>
      </c>
      <c r="K13" s="41" t="n">
        <v>3</v>
      </c>
      <c r="L13" s="41" t="n">
        <v>3</v>
      </c>
      <c r="M13" s="41" t="n">
        <v>3</v>
      </c>
      <c r="N13" s="41" t="n">
        <v>3</v>
      </c>
      <c r="O13" s="41" t="n">
        <v>0</v>
      </c>
      <c r="P13" s="41" t="n">
        <v>0.4</v>
      </c>
      <c r="Q13" s="41" t="n">
        <v>0.7</v>
      </c>
      <c r="R13" s="41" t="n">
        <v>1</v>
      </c>
      <c r="S13" s="41" t="n">
        <v>1</v>
      </c>
      <c r="T13" s="41" t="n">
        <v>1</v>
      </c>
      <c r="U13" s="41" t="n">
        <v>1</v>
      </c>
      <c r="V13" s="41" t="n">
        <v>1</v>
      </c>
    </row>
    <row r="14">
      <c r="A14" s="41" t="inlineStr">
        <is>
          <t>channel_and_floodplain_dynamics_sinuosity|Unconfined Alluvial Valleys</t>
        </is>
      </c>
      <c r="B14" s="41" t="inlineStr">
        <is>
          <t>channel-and-floodplain-dynamics-sinuosity</t>
        </is>
      </c>
      <c r="C14" s="41" t="inlineStr">
        <is>
          <t>Sinuosity</t>
        </is>
      </c>
      <c r="D14" s="41" t="inlineStr">
        <is>
          <t>Unconfined Alluvial Valleys</t>
        </is>
      </c>
      <c r="E14" s="41" t="n">
        <v>4</v>
      </c>
      <c r="F14" s="41" t="inlineStr"/>
      <c r="G14" s="41" t="n">
        <v>0</v>
      </c>
      <c r="H14" s="41" t="n">
        <v>1</v>
      </c>
      <c r="I14" s="41" t="n">
        <v>2</v>
      </c>
      <c r="J14" s="41" t="n">
        <v>3</v>
      </c>
      <c r="K14" s="41" t="n">
        <v>3</v>
      </c>
      <c r="L14" s="41" t="n">
        <v>3</v>
      </c>
      <c r="M14" s="41" t="n">
        <v>3</v>
      </c>
      <c r="N14" s="41" t="n">
        <v>3</v>
      </c>
      <c r="O14" s="41" t="n">
        <v>0</v>
      </c>
      <c r="P14" s="41" t="n">
        <v>0.4</v>
      </c>
      <c r="Q14" s="41" t="n">
        <v>0.7</v>
      </c>
      <c r="R14" s="41" t="n">
        <v>1</v>
      </c>
      <c r="S14" s="41" t="n">
        <v>1</v>
      </c>
      <c r="T14" s="41" t="n">
        <v>1</v>
      </c>
      <c r="U14" s="41" t="n">
        <v>1</v>
      </c>
      <c r="V14" s="41" t="n">
        <v>1</v>
      </c>
    </row>
    <row r="15">
      <c r="A15" s="41" t="inlineStr">
        <is>
          <t>channel_and_floodplain_dynamics_sinuosity|Confined Alluvial Valleys</t>
        </is>
      </c>
      <c r="B15" s="41" t="inlineStr">
        <is>
          <t>channel-and-floodplain-dynamics-sinuosity</t>
        </is>
      </c>
      <c r="C15" s="41" t="inlineStr">
        <is>
          <t>Sinuosity</t>
        </is>
      </c>
      <c r="D15" s="41" t="inlineStr">
        <is>
          <t>Confined Alluvial Valleys</t>
        </is>
      </c>
      <c r="E15" s="41" t="n">
        <v>2</v>
      </c>
      <c r="F15" s="41" t="inlineStr"/>
      <c r="G15" s="41" t="n">
        <v>1.15</v>
      </c>
      <c r="H15" s="41" t="n">
        <v>1.4</v>
      </c>
      <c r="I15" s="41" t="n">
        <v>1.4</v>
      </c>
      <c r="J15" s="41" t="n">
        <v>1.4</v>
      </c>
      <c r="K15" s="41" t="n">
        <v>1.4</v>
      </c>
      <c r="L15" s="41" t="n">
        <v>1.4</v>
      </c>
      <c r="M15" s="41" t="n">
        <v>1.4</v>
      </c>
      <c r="N15" s="41" t="n">
        <v>1.4</v>
      </c>
      <c r="O15" s="41" t="n">
        <v>0.7</v>
      </c>
      <c r="P15" s="41" t="n">
        <v>1</v>
      </c>
      <c r="Q15" s="41" t="n">
        <v>1</v>
      </c>
      <c r="R15" s="41" t="n">
        <v>1</v>
      </c>
      <c r="S15" s="41" t="n">
        <v>1</v>
      </c>
      <c r="T15" s="41" t="n">
        <v>1</v>
      </c>
      <c r="U15" s="41" t="n">
        <v>1</v>
      </c>
      <c r="V15" s="41" t="n">
        <v>1</v>
      </c>
    </row>
    <row r="16">
      <c r="A16" s="41" t="inlineStr">
        <is>
          <t>channel_and_floodplain_dynamics_sinuosity|Colluvial Valleys</t>
        </is>
      </c>
      <c r="B16" s="41" t="inlineStr">
        <is>
          <t>channel-and-floodplain-dynamics-sinuosity</t>
        </is>
      </c>
      <c r="C16" s="41" t="inlineStr">
        <is>
          <t>Sinuosity</t>
        </is>
      </c>
      <c r="D16" s="41" t="inlineStr">
        <is>
          <t>Colluvial Valleys</t>
        </is>
      </c>
      <c r="E16" s="41" t="n">
        <v>2</v>
      </c>
      <c r="F16" s="41" t="inlineStr"/>
      <c r="G16" s="41" t="n">
        <v>1.21</v>
      </c>
      <c r="H16" s="41" t="n">
        <v>1.3</v>
      </c>
      <c r="I16" s="41" t="n">
        <v>1.3</v>
      </c>
      <c r="J16" s="41" t="n">
        <v>1.3</v>
      </c>
      <c r="K16" s="41" t="n">
        <v>1.3</v>
      </c>
      <c r="L16" s="41" t="n">
        <v>1.3</v>
      </c>
      <c r="M16" s="41" t="n">
        <v>1.3</v>
      </c>
      <c r="N16" s="41" t="n">
        <v>1.3</v>
      </c>
      <c r="O16" s="41" t="n">
        <v>0.6899999999999999</v>
      </c>
      <c r="P16" s="41" t="n">
        <v>0.3</v>
      </c>
      <c r="Q16" s="41" t="n">
        <v>0.3</v>
      </c>
      <c r="R16" s="41" t="n">
        <v>0.3</v>
      </c>
      <c r="S16" s="41" t="n">
        <v>0.3</v>
      </c>
      <c r="T16" s="41" t="n">
        <v>0.3</v>
      </c>
      <c r="U16" s="41" t="n">
        <v>0.3</v>
      </c>
      <c r="V16" s="41" t="n">
        <v>0.3</v>
      </c>
    </row>
    <row r="17">
      <c r="A17" s="41" t="inlineStr">
        <is>
          <t>channel_and_floodplain_dynamics_soil_compaction|</t>
        </is>
      </c>
      <c r="B17" s="41" t="inlineStr">
        <is>
          <t>channel-and-floodplain-dynamics-soil-compaction</t>
        </is>
      </c>
      <c r="C17" s="41" t="inlineStr">
        <is>
          <t>Soil Compaction</t>
        </is>
      </c>
      <c r="D17" s="41" t="inlineStr"/>
      <c r="E17" s="41" t="n">
        <v>3</v>
      </c>
      <c r="F17" s="41" t="inlineStr"/>
      <c r="G17" s="41" t="n">
        <v>0</v>
      </c>
      <c r="H17" s="41" t="n">
        <v>6</v>
      </c>
      <c r="I17" s="41" t="n">
        <v>30</v>
      </c>
      <c r="J17" s="41" t="n">
        <v>30</v>
      </c>
      <c r="K17" s="41" t="n">
        <v>30</v>
      </c>
      <c r="L17" s="41" t="n">
        <v>30</v>
      </c>
      <c r="M17" s="41" t="n">
        <v>30</v>
      </c>
      <c r="N17" s="41" t="n">
        <v>30</v>
      </c>
      <c r="O17" s="41" t="n">
        <v>0</v>
      </c>
      <c r="P17" s="41" t="n">
        <v>0.3</v>
      </c>
      <c r="Q17" s="41" t="n">
        <v>1</v>
      </c>
      <c r="R17" s="41" t="n">
        <v>1</v>
      </c>
      <c r="S17" s="41" t="n">
        <v>1</v>
      </c>
      <c r="T17" s="41" t="n">
        <v>1</v>
      </c>
      <c r="U17" s="41" t="n">
        <v>1</v>
      </c>
      <c r="V17" s="41" t="n">
        <v>1</v>
      </c>
    </row>
    <row r="18">
      <c r="A18" s="41" t="inlineStr">
        <is>
          <t>sediment_continuity_aggradation_ratio|</t>
        </is>
      </c>
      <c r="B18" s="41" t="inlineStr">
        <is>
          <t>sediment-continuity-aggradation-ratio</t>
        </is>
      </c>
      <c r="C18" s="41" t="inlineStr">
        <is>
          <t>Aggradation Ratio</t>
        </is>
      </c>
      <c r="D18" s="41" t="inlineStr"/>
      <c r="E18" s="41" t="n">
        <v>4</v>
      </c>
      <c r="F18" s="41" t="inlineStr"/>
      <c r="G18" s="41" t="n">
        <v>1</v>
      </c>
      <c r="H18" s="41" t="n">
        <v>1.2</v>
      </c>
      <c r="I18" s="41" t="n">
        <v>1.4</v>
      </c>
      <c r="J18" s="41" t="n">
        <v>1.6</v>
      </c>
      <c r="K18" s="41" t="n">
        <v>1.6</v>
      </c>
      <c r="L18" s="41" t="n">
        <v>1.6</v>
      </c>
      <c r="M18" s="41" t="n">
        <v>1.6</v>
      </c>
      <c r="N18" s="41" t="n">
        <v>1.6</v>
      </c>
      <c r="O18" s="41" t="n">
        <v>1</v>
      </c>
      <c r="P18" s="41" t="n">
        <v>0.6899999999999999</v>
      </c>
      <c r="Q18" s="41" t="n">
        <v>0.3</v>
      </c>
      <c r="R18" s="41" t="n">
        <v>0</v>
      </c>
      <c r="S18" s="41" t="n">
        <v>0</v>
      </c>
      <c r="T18" s="41" t="n">
        <v>0</v>
      </c>
      <c r="U18" s="41" t="n">
        <v>0</v>
      </c>
      <c r="V18" s="41" t="n">
        <v>0</v>
      </c>
    </row>
    <row r="19">
      <c r="A19" s="41" t="inlineStr">
        <is>
          <t>bed_composition_and_large_wood_bed_material_characterization|</t>
        </is>
      </c>
      <c r="B19" s="41" t="inlineStr">
        <is>
          <t>bed-composition-and-large-wood-bed-material-characterization</t>
        </is>
      </c>
      <c r="C19" s="41" t="inlineStr">
        <is>
          <t>Bed Material Characterization</t>
        </is>
      </c>
      <c r="D19" s="41" t="inlineStr"/>
      <c r="E19" s="41" t="n">
        <v>4</v>
      </c>
      <c r="F19" s="41" t="inlineStr"/>
      <c r="G19" s="41" t="n">
        <v>0.01</v>
      </c>
      <c r="H19" s="41" t="n">
        <v>0.05</v>
      </c>
      <c r="I19" s="41" t="n">
        <v>0.1</v>
      </c>
      <c r="J19" s="41" t="n">
        <v>0.11</v>
      </c>
      <c r="K19" s="41" t="n">
        <v>0.11</v>
      </c>
      <c r="L19" s="41" t="n">
        <v>0.11</v>
      </c>
      <c r="M19" s="41" t="n">
        <v>0.11</v>
      </c>
      <c r="N19" s="41" t="n">
        <v>0.11</v>
      </c>
      <c r="O19" s="41" t="n">
        <v>0</v>
      </c>
      <c r="P19" s="41" t="n">
        <v>0.29</v>
      </c>
      <c r="Q19" s="41" t="n">
        <v>0.652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light_and_thermal_regime_canopy_coverage|</t>
        </is>
      </c>
      <c r="B20" s="41" t="inlineStr">
        <is>
          <t>light-and-thermal-regime-canopy-coverage</t>
        </is>
      </c>
      <c r="C20" s="41" t="inlineStr">
        <is>
          <t>Canopy Coverage</t>
        </is>
      </c>
      <c r="D20" s="41" t="inlineStr"/>
      <c r="E20" s="41" t="n">
        <v>4</v>
      </c>
      <c r="F20" s="41" t="inlineStr"/>
      <c r="G20" s="41" t="n">
        <v>0</v>
      </c>
      <c r="H20" s="41" t="n">
        <v>25</v>
      </c>
      <c r="I20" s="41" t="n">
        <v>61</v>
      </c>
      <c r="J20" s="41" t="n">
        <v>90.54000000000001</v>
      </c>
      <c r="K20" s="41" t="n">
        <v>90.54000000000001</v>
      </c>
      <c r="L20" s="41" t="n">
        <v>90.54000000000001</v>
      </c>
      <c r="M20" s="41" t="n">
        <v>90.54000000000001</v>
      </c>
      <c r="N20" s="41" t="n">
        <v>90.54000000000001</v>
      </c>
      <c r="O20" s="41" t="n">
        <v>0</v>
      </c>
      <c r="P20" s="41" t="n">
        <v>0.3</v>
      </c>
      <c r="Q20" s="41" t="n">
        <v>0.7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light_and_thermal_regime_summer_daily_maximum|Coldwater</t>
        </is>
      </c>
      <c r="B21" s="41" t="inlineStr">
        <is>
          <t>light-and-thermal-regime-summer-daily-maximum</t>
        </is>
      </c>
      <c r="C21" s="41" t="inlineStr">
        <is>
          <t>Summer Daily Maximum</t>
        </is>
      </c>
      <c r="D21" s="41" t="inlineStr">
        <is>
          <t>Coldwater</t>
        </is>
      </c>
      <c r="E21" s="41" t="n">
        <v>3</v>
      </c>
      <c r="F21" s="41" t="inlineStr"/>
      <c r="G21" s="41" t="n">
        <v>58</v>
      </c>
      <c r="H21" s="41" t="n">
        <v>64</v>
      </c>
      <c r="I21" s="41" t="n">
        <v>77</v>
      </c>
      <c r="J21" s="41" t="n">
        <v>77</v>
      </c>
      <c r="K21" s="41" t="n">
        <v>77</v>
      </c>
      <c r="L21" s="41" t="n">
        <v>77</v>
      </c>
      <c r="M21" s="41" t="n">
        <v>77</v>
      </c>
      <c r="N21" s="41" t="n">
        <v>77</v>
      </c>
      <c r="O21" s="41" t="n">
        <v>1</v>
      </c>
      <c r="P21" s="41" t="n">
        <v>0.7</v>
      </c>
      <c r="Q21" s="41" t="n">
        <v>0</v>
      </c>
      <c r="R21" s="41" t="n">
        <v>0</v>
      </c>
      <c r="S21" s="41" t="n">
        <v>0</v>
      </c>
      <c r="T21" s="41" t="n">
        <v>0</v>
      </c>
      <c r="U21" s="41" t="n">
        <v>0</v>
      </c>
      <c r="V21" s="41" t="n">
        <v>0</v>
      </c>
    </row>
    <row r="22">
      <c r="A22" s="41" t="inlineStr">
        <is>
          <t>light_and_thermal_regime_summer_daily_maximum|Coolwater</t>
        </is>
      </c>
      <c r="B22" s="41" t="inlineStr">
        <is>
          <t>light-and-thermal-regime-summer-daily-maximum</t>
        </is>
      </c>
      <c r="C22" s="41" t="inlineStr">
        <is>
          <t>Summer Daily Maximum</t>
        </is>
      </c>
      <c r="D22" s="41" t="inlineStr">
        <is>
          <t>Coolwater</t>
        </is>
      </c>
      <c r="E22" s="41" t="n">
        <v>2</v>
      </c>
      <c r="F22" s="41" t="inlineStr"/>
      <c r="G22" s="41" t="n">
        <v>67</v>
      </c>
      <c r="H22" s="41" t="n">
        <v>97</v>
      </c>
      <c r="I22" s="41" t="n">
        <v>97</v>
      </c>
      <c r="J22" s="41" t="n">
        <v>97</v>
      </c>
      <c r="K22" s="41" t="n">
        <v>97</v>
      </c>
      <c r="L22" s="41" t="n">
        <v>97</v>
      </c>
      <c r="M22" s="41" t="n">
        <v>97</v>
      </c>
      <c r="N22" s="41" t="n">
        <v>97</v>
      </c>
      <c r="O22" s="41" t="n">
        <v>1</v>
      </c>
      <c r="P22" s="41" t="n">
        <v>0</v>
      </c>
      <c r="Q22" s="41" t="n">
        <v>0</v>
      </c>
      <c r="R22" s="41" t="n">
        <v>0</v>
      </c>
      <c r="S22" s="41" t="n">
        <v>0</v>
      </c>
      <c r="T22" s="41" t="n">
        <v>0</v>
      </c>
      <c r="U22" s="41" t="n">
        <v>0</v>
      </c>
      <c r="V22" s="41" t="n">
        <v>0</v>
      </c>
    </row>
    <row r="23">
      <c r="A23" s="41" t="inlineStr">
        <is>
          <t>carbon_processing_basal_area|</t>
        </is>
      </c>
      <c r="B23" s="41" t="inlineStr">
        <is>
          <t>carbon-processing-basal-area</t>
        </is>
      </c>
      <c r="C23" s="41" t="inlineStr">
        <is>
          <t>Basal Area</t>
        </is>
      </c>
      <c r="D23" s="41" t="inlineStr"/>
      <c r="E23" s="41" t="n">
        <v>3</v>
      </c>
      <c r="F23" s="41" t="inlineStr"/>
      <c r="G23" s="41" t="n">
        <v>0</v>
      </c>
      <c r="H23" s="41" t="n">
        <v>40</v>
      </c>
      <c r="I23" s="41" t="n">
        <v>100</v>
      </c>
      <c r="J23" s="41" t="n">
        <v>100</v>
      </c>
      <c r="K23" s="41" t="n">
        <v>100</v>
      </c>
      <c r="L23" s="41" t="n">
        <v>100</v>
      </c>
      <c r="M23" s="41" t="n">
        <v>100</v>
      </c>
      <c r="N23" s="41" t="n">
        <v>100</v>
      </c>
      <c r="O23" s="41" t="n">
        <v>0</v>
      </c>
      <c r="P23" s="41" t="n">
        <v>0.3</v>
      </c>
      <c r="Q23" s="41" t="n">
        <v>1</v>
      </c>
      <c r="R23" s="41" t="n">
        <v>1</v>
      </c>
      <c r="S23" s="41" t="n">
        <v>1</v>
      </c>
      <c r="T23" s="41" t="n">
        <v>1</v>
      </c>
      <c r="U23" s="41" t="n">
        <v>1</v>
      </c>
      <c r="V23" s="41" t="n">
        <v>1</v>
      </c>
    </row>
    <row r="24">
      <c r="A24" s="41" t="inlineStr">
        <is>
          <t>carbon_processing_leaf_litter_processing_rate|</t>
        </is>
      </c>
      <c r="B24" s="41" t="inlineStr">
        <is>
          <t>carbon-processing-leaf-litter-processing-rate</t>
        </is>
      </c>
      <c r="C24" s="41" t="inlineStr">
        <is>
          <t>Leaf Litter Processing Rate</t>
        </is>
      </c>
      <c r="D24" s="41" t="inlineStr"/>
      <c r="E24" s="41" t="n">
        <v>3</v>
      </c>
      <c r="F24" s="41" t="inlineStr"/>
      <c r="G24" s="41" t="n">
        <v>0.5</v>
      </c>
      <c r="H24" s="41" t="n">
        <v>0.75</v>
      </c>
      <c r="I24" s="41" t="n">
        <v>1.33</v>
      </c>
      <c r="J24" s="41" t="n">
        <v>1.33</v>
      </c>
      <c r="K24" s="41" t="n">
        <v>1.33</v>
      </c>
      <c r="L24" s="41" t="n">
        <v>1.33</v>
      </c>
      <c r="M24" s="41" t="n">
        <v>1.33</v>
      </c>
      <c r="N24" s="41" t="n">
        <v>1.33</v>
      </c>
      <c r="O24" s="41" t="n">
        <v>0.3</v>
      </c>
      <c r="P24" s="41" t="n">
        <v>0.7</v>
      </c>
      <c r="Q24" s="41" t="n">
        <v>1</v>
      </c>
      <c r="R24" s="41" t="n">
        <v>1</v>
      </c>
      <c r="S24" s="41" t="n">
        <v>1</v>
      </c>
      <c r="T24" s="41" t="n">
        <v>1</v>
      </c>
      <c r="U24" s="41" t="n">
        <v>1</v>
      </c>
      <c r="V24" s="41" t="n">
        <v>1</v>
      </c>
    </row>
    <row r="25">
      <c r="A25" s="41" t="inlineStr">
        <is>
          <t>carbon_processing_riparian_vegetation_stem_density|</t>
        </is>
      </c>
      <c r="B25" s="41" t="inlineStr">
        <is>
          <t>carbon-processing-riparian-vegetation-stem-density</t>
        </is>
      </c>
      <c r="C25" s="41" t="inlineStr">
        <is>
          <t>Riparian Vegetation Stem Density</t>
        </is>
      </c>
      <c r="D25" s="41" t="inlineStr"/>
      <c r="E25" s="41" t="n">
        <v>2</v>
      </c>
      <c r="F25" s="41" t="inlineStr"/>
      <c r="G25" s="41" t="n">
        <v>0</v>
      </c>
      <c r="H25" s="41" t="n">
        <v>260</v>
      </c>
      <c r="I25" s="41" t="n">
        <v>260</v>
      </c>
      <c r="J25" s="41" t="n">
        <v>260</v>
      </c>
      <c r="K25" s="41" t="n">
        <v>260</v>
      </c>
      <c r="L25" s="41" t="n">
        <v>260</v>
      </c>
      <c r="M25" s="41" t="n">
        <v>260</v>
      </c>
      <c r="N25" s="41" t="n">
        <v>260</v>
      </c>
      <c r="O25" s="41" t="n">
        <v>0</v>
      </c>
      <c r="P25" s="41" t="n">
        <v>0.5</v>
      </c>
      <c r="Q25" s="41" t="n">
        <v>0.5</v>
      </c>
      <c r="R25" s="41" t="n">
        <v>0.5</v>
      </c>
      <c r="S25" s="41" t="n">
        <v>0.5</v>
      </c>
      <c r="T25" s="41" t="n">
        <v>0.5</v>
      </c>
      <c r="U25" s="41" t="n">
        <v>0.5</v>
      </c>
      <c r="V25" s="41" t="n">
        <v>0.5</v>
      </c>
    </row>
    <row r="26">
      <c r="A26" s="41" t="inlineStr">
        <is>
          <t>carbon_processing_shredders|Field - W/Sp - Mountains &amp; DA &lt;= 5 Sq.Mi.</t>
        </is>
      </c>
      <c r="B26" s="41" t="inlineStr">
        <is>
          <t>carbon-processing-shredders</t>
        </is>
      </c>
      <c r="C26" s="41" t="inlineStr">
        <is>
          <t>Shredders</t>
        </is>
      </c>
      <c r="D26" s="41" t="inlineStr">
        <is>
          <t>Field - W/Sp - Mountains &amp; DA &lt;= 5 Sq.Mi.</t>
        </is>
      </c>
      <c r="E26" s="41" t="n">
        <v>6</v>
      </c>
      <c r="F26" s="41" t="inlineStr"/>
      <c r="G26" s="41" t="n">
        <v>0</v>
      </c>
      <c r="H26" s="41" t="n">
        <v>4.6</v>
      </c>
      <c r="I26" s="41" t="n">
        <v>6.9</v>
      </c>
      <c r="J26" s="41" t="n">
        <v>13.8</v>
      </c>
      <c r="K26" s="41" t="n">
        <v>16.1</v>
      </c>
      <c r="L26" s="41" t="n">
        <v>23</v>
      </c>
      <c r="M26" s="41" t="n">
        <v>23</v>
      </c>
      <c r="N26" s="41" t="n">
        <v>23</v>
      </c>
      <c r="O26" s="41" t="n">
        <v>0</v>
      </c>
      <c r="P26" s="41" t="n">
        <v>0.2</v>
      </c>
      <c r="Q26" s="41" t="n">
        <v>0.3</v>
      </c>
      <c r="R26" s="41" t="n">
        <v>0.6</v>
      </c>
      <c r="S26" s="41" t="n">
        <v>0.7</v>
      </c>
      <c r="T26" s="41" t="n">
        <v>1</v>
      </c>
      <c r="U26" s="41" t="n">
        <v>1</v>
      </c>
      <c r="V26" s="41" t="n">
        <v>1</v>
      </c>
    </row>
    <row r="27">
      <c r="A27" s="41" t="inlineStr">
        <is>
          <t>carbon_processing_shredders|Field - Su - Mountains &amp; DA &lt;= 5 Sq.Mi.</t>
        </is>
      </c>
      <c r="B27" s="41" t="inlineStr">
        <is>
          <t>carbon-processing-shredders</t>
        </is>
      </c>
      <c r="C27" s="41" t="inlineStr">
        <is>
          <t>Shredders</t>
        </is>
      </c>
      <c r="D27" s="41" t="inlineStr">
        <is>
          <t>Field - Su - Mountains &amp; DA &lt;= 5 Sq.Mi.</t>
        </is>
      </c>
      <c r="E27" s="41" t="n">
        <v>6</v>
      </c>
      <c r="F27" s="41" t="inlineStr"/>
      <c r="G27" s="41" t="n">
        <v>0</v>
      </c>
      <c r="H27" s="41" t="n">
        <v>4.2</v>
      </c>
      <c r="I27" s="41" t="n">
        <v>6.3</v>
      </c>
      <c r="J27" s="41" t="n">
        <v>12.6</v>
      </c>
      <c r="K27" s="41" t="n">
        <v>14.7</v>
      </c>
      <c r="L27" s="41" t="n">
        <v>21</v>
      </c>
      <c r="M27" s="41" t="n">
        <v>21</v>
      </c>
      <c r="N27" s="41" t="n">
        <v>21</v>
      </c>
      <c r="O27" s="41" t="n">
        <v>0</v>
      </c>
      <c r="P27" s="41" t="n">
        <v>0.2</v>
      </c>
      <c r="Q27" s="41" t="n">
        <v>0.3</v>
      </c>
      <c r="R27" s="41" t="n">
        <v>0.6</v>
      </c>
      <c r="S27" s="41" t="n">
        <v>0.7</v>
      </c>
      <c r="T27" s="41" t="n">
        <v>1</v>
      </c>
      <c r="U27" s="41" t="n">
        <v>1</v>
      </c>
      <c r="V27" s="41" t="n">
        <v>1</v>
      </c>
    </row>
    <row r="28">
      <c r="A28" s="41" t="inlineStr">
        <is>
          <t>carbon_processing_shredders|Field - Fall - Mountains &amp; DA &lt;= 5 Sq.Mi.</t>
        </is>
      </c>
      <c r="B28" s="41" t="inlineStr">
        <is>
          <t>carbon-processing-shredders</t>
        </is>
      </c>
      <c r="C28" s="41" t="inlineStr">
        <is>
          <t>Shredders</t>
        </is>
      </c>
      <c r="D28" s="41" t="inlineStr">
        <is>
          <t>Field - Fall - Mountains &amp; DA &lt;= 5 Sq.Mi.</t>
        </is>
      </c>
      <c r="E28" s="41" t="n">
        <v>6</v>
      </c>
      <c r="F28" s="41" t="inlineStr"/>
      <c r="G28" s="41" t="n">
        <v>0</v>
      </c>
      <c r="H28" s="41" t="n">
        <v>3.6</v>
      </c>
      <c r="I28" s="41" t="n">
        <v>5.4</v>
      </c>
      <c r="J28" s="41" t="n">
        <v>10.8</v>
      </c>
      <c r="K28" s="41" t="n">
        <v>12.6</v>
      </c>
      <c r="L28" s="41" t="n">
        <v>18</v>
      </c>
      <c r="M28" s="41" t="n">
        <v>18</v>
      </c>
      <c r="N28" s="41" t="n">
        <v>18</v>
      </c>
      <c r="O28" s="41" t="n">
        <v>0</v>
      </c>
      <c r="P28" s="41" t="n">
        <v>0.2</v>
      </c>
      <c r="Q28" s="41" t="n">
        <v>0.3</v>
      </c>
      <c r="R28" s="41" t="n">
        <v>0.6</v>
      </c>
      <c r="S28" s="41" t="n">
        <v>0.7</v>
      </c>
      <c r="T28" s="41" t="n">
        <v>1</v>
      </c>
      <c r="U28" s="41" t="n">
        <v>1</v>
      </c>
      <c r="V28" s="41" t="n">
        <v>1</v>
      </c>
    </row>
    <row r="29">
      <c r="A29" s="41" t="inlineStr">
        <is>
          <t>carbon_processing_shredders|Field - W/Sp - Mountains &amp; 5 &lt; DA &lt; 10 Sq.Mi.</t>
        </is>
      </c>
      <c r="B29" s="41" t="inlineStr">
        <is>
          <t>carbon-processing-shredders</t>
        </is>
      </c>
      <c r="C29" s="41" t="inlineStr">
        <is>
          <t>Shredders</t>
        </is>
      </c>
      <c r="D29" s="41" t="inlineStr">
        <is>
          <t>Field - W/Sp - Mountains &amp; 5 &lt; DA &lt; 10 Sq.Mi.</t>
        </is>
      </c>
      <c r="E29" s="41" t="n">
        <v>6</v>
      </c>
      <c r="F29" s="41" t="inlineStr"/>
      <c r="G29" s="41" t="n">
        <v>0</v>
      </c>
      <c r="H29" s="41" t="n">
        <v>3.2</v>
      </c>
      <c r="I29" s="41" t="n">
        <v>4.8</v>
      </c>
      <c r="J29" s="41" t="n">
        <v>9.6</v>
      </c>
      <c r="K29" s="41" t="n">
        <v>11.2</v>
      </c>
      <c r="L29" s="41" t="n">
        <v>16</v>
      </c>
      <c r="M29" s="41" t="n">
        <v>16</v>
      </c>
      <c r="N29" s="41" t="n">
        <v>16</v>
      </c>
      <c r="O29" s="41" t="n">
        <v>0</v>
      </c>
      <c r="P29" s="41" t="n">
        <v>0.2</v>
      </c>
      <c r="Q29" s="41" t="n">
        <v>0.3</v>
      </c>
      <c r="R29" s="41" t="n">
        <v>0.6</v>
      </c>
      <c r="S29" s="41" t="n">
        <v>0.7</v>
      </c>
      <c r="T29" s="41" t="n">
        <v>1</v>
      </c>
      <c r="U29" s="41" t="n">
        <v>1</v>
      </c>
      <c r="V29" s="41" t="n">
        <v>1</v>
      </c>
    </row>
    <row r="30">
      <c r="A30" s="41" t="inlineStr">
        <is>
          <t>carbon_processing_shredders|Field - Su - Mountains &amp; 5 &lt; DA &lt; 10 Sq.Mi.</t>
        </is>
      </c>
      <c r="B30" s="41" t="inlineStr">
        <is>
          <t>carbon-processing-shredders</t>
        </is>
      </c>
      <c r="C30" s="41" t="inlineStr">
        <is>
          <t>Shredders</t>
        </is>
      </c>
      <c r="D30" s="41" t="inlineStr">
        <is>
          <t>Field - Su - Mountains &amp; 5 &lt; DA &lt; 10 Sq.Mi.</t>
        </is>
      </c>
      <c r="E30" s="41" t="n">
        <v>6</v>
      </c>
      <c r="F30" s="41" t="inlineStr"/>
      <c r="G30" s="41" t="n">
        <v>0</v>
      </c>
      <c r="H30" s="41" t="n">
        <v>2.8</v>
      </c>
      <c r="I30" s="41" t="n">
        <v>4.2</v>
      </c>
      <c r="J30" s="41" t="n">
        <v>8.4</v>
      </c>
      <c r="K30" s="41" t="n">
        <v>9.800000000000001</v>
      </c>
      <c r="L30" s="41" t="n">
        <v>14</v>
      </c>
      <c r="M30" s="41" t="n">
        <v>14</v>
      </c>
      <c r="N30" s="41" t="n">
        <v>14</v>
      </c>
      <c r="O30" s="41" t="n">
        <v>0</v>
      </c>
      <c r="P30" s="41" t="n">
        <v>0.2</v>
      </c>
      <c r="Q30" s="41" t="n">
        <v>0.3</v>
      </c>
      <c r="R30" s="41" t="n">
        <v>0.6</v>
      </c>
      <c r="S30" s="41" t="n">
        <v>0.7</v>
      </c>
      <c r="T30" s="41" t="n">
        <v>1</v>
      </c>
      <c r="U30" s="41" t="n">
        <v>1</v>
      </c>
      <c r="V30" s="41" t="n">
        <v>1</v>
      </c>
    </row>
    <row r="31">
      <c r="A31" s="41" t="inlineStr">
        <is>
          <t>carbon_processing_shredders|Field - Fall - Mountains &amp; 5 &lt; DA &lt; 10 Sq.Mi.</t>
        </is>
      </c>
      <c r="B31" s="41" t="inlineStr">
        <is>
          <t>carbon-processing-shredders</t>
        </is>
      </c>
      <c r="C31" s="41" t="inlineStr">
        <is>
          <t>Shredders</t>
        </is>
      </c>
      <c r="D31" s="41" t="inlineStr">
        <is>
          <t>Field - Fall - Mountains &amp; 5 &lt; DA &lt; 10 Sq.Mi.</t>
        </is>
      </c>
      <c r="E31" s="41" t="n">
        <v>6</v>
      </c>
      <c r="F31" s="41" t="inlineStr"/>
      <c r="G31" s="41" t="n">
        <v>0</v>
      </c>
      <c r="H31" s="41" t="n">
        <v>2.4</v>
      </c>
      <c r="I31" s="41" t="n">
        <v>3.6</v>
      </c>
      <c r="J31" s="41" t="n">
        <v>7.2</v>
      </c>
      <c r="K31" s="41" t="n">
        <v>8.4</v>
      </c>
      <c r="L31" s="41" t="n">
        <v>12</v>
      </c>
      <c r="M31" s="41" t="n">
        <v>12</v>
      </c>
      <c r="N31" s="41" t="n">
        <v>12</v>
      </c>
      <c r="O31" s="41" t="n">
        <v>0</v>
      </c>
      <c r="P31" s="41" t="n">
        <v>0.2</v>
      </c>
      <c r="Q31" s="41" t="n">
        <v>0.3</v>
      </c>
      <c r="R31" s="41" t="n">
        <v>0.6</v>
      </c>
      <c r="S31" s="41" t="n">
        <v>0.7</v>
      </c>
      <c r="T31" s="41" t="n">
        <v>1</v>
      </c>
      <c r="U31" s="41" t="n">
        <v>1</v>
      </c>
      <c r="V31" s="41" t="n">
        <v>1</v>
      </c>
    </row>
    <row r="32">
      <c r="A32" s="41" t="inlineStr">
        <is>
          <t>carbon_processing_shredders|Field - W/Sp - Mountains &amp; DA &gt;= 10 Sq.Mi.</t>
        </is>
      </c>
      <c r="B32" s="41" t="inlineStr">
        <is>
          <t>carbon-processing-shredders</t>
        </is>
      </c>
      <c r="C32" s="41" t="inlineStr">
        <is>
          <t>Shredders</t>
        </is>
      </c>
      <c r="D32" s="41" t="inlineStr">
        <is>
          <t>Field - W/Sp - Mountains &amp; DA &gt;= 10 Sq.Mi.</t>
        </is>
      </c>
      <c r="E32" s="41" t="n">
        <v>6</v>
      </c>
      <c r="F32" s="41" t="inlineStr"/>
      <c r="G32" s="41" t="n">
        <v>0</v>
      </c>
      <c r="H32" s="41" t="n">
        <v>2.8</v>
      </c>
      <c r="I32" s="41" t="n">
        <v>4.2</v>
      </c>
      <c r="J32" s="41" t="n">
        <v>8.4</v>
      </c>
      <c r="K32" s="41" t="n">
        <v>9.800000000000001</v>
      </c>
      <c r="L32" s="41" t="n">
        <v>14</v>
      </c>
      <c r="M32" s="41" t="n">
        <v>14</v>
      </c>
      <c r="N32" s="41" t="n">
        <v>14</v>
      </c>
      <c r="O32" s="41" t="n">
        <v>0</v>
      </c>
      <c r="P32" s="41" t="n">
        <v>0.2</v>
      </c>
      <c r="Q32" s="41" t="n">
        <v>0.3</v>
      </c>
      <c r="R32" s="41" t="n">
        <v>0.6</v>
      </c>
      <c r="S32" s="41" t="n">
        <v>0.7</v>
      </c>
      <c r="T32" s="41" t="n">
        <v>1</v>
      </c>
      <c r="U32" s="41" t="n">
        <v>1</v>
      </c>
      <c r="V32" s="41" t="n">
        <v>1</v>
      </c>
    </row>
    <row r="33">
      <c r="A33" s="41" t="inlineStr">
        <is>
          <t>carbon_processing_shredders|Field - Su - Mountains &amp; DA &gt;= 10 Sq.Mi.</t>
        </is>
      </c>
      <c r="B33" s="41" t="inlineStr">
        <is>
          <t>carbon-processing-shredders</t>
        </is>
      </c>
      <c r="C33" s="41" t="inlineStr">
        <is>
          <t>Shredders</t>
        </is>
      </c>
      <c r="D33" s="41" t="inlineStr">
        <is>
          <t>Field - Su - Mountains &amp; DA &gt;= 10 Sq.Mi.</t>
        </is>
      </c>
      <c r="E33" s="41" t="n">
        <v>6</v>
      </c>
      <c r="F33" s="41" t="inlineStr"/>
      <c r="G33" s="41" t="n">
        <v>0</v>
      </c>
      <c r="H33" s="41" t="n">
        <v>3.2</v>
      </c>
      <c r="I33" s="41" t="n">
        <v>4.8</v>
      </c>
      <c r="J33" s="41" t="n">
        <v>9.6</v>
      </c>
      <c r="K33" s="41" t="n">
        <v>11.2</v>
      </c>
      <c r="L33" s="41" t="n">
        <v>16</v>
      </c>
      <c r="M33" s="41" t="n">
        <v>16</v>
      </c>
      <c r="N33" s="41" t="n">
        <v>16</v>
      </c>
      <c r="O33" s="41" t="n">
        <v>0</v>
      </c>
      <c r="P33" s="41" t="n">
        <v>0.2</v>
      </c>
      <c r="Q33" s="41" t="n">
        <v>0.3</v>
      </c>
      <c r="R33" s="41" t="n">
        <v>0.6</v>
      </c>
      <c r="S33" s="41" t="n">
        <v>0.7</v>
      </c>
      <c r="T33" s="41" t="n">
        <v>1</v>
      </c>
      <c r="U33" s="41" t="n">
        <v>1</v>
      </c>
      <c r="V33" s="41" t="n">
        <v>1</v>
      </c>
    </row>
    <row r="34">
      <c r="A34" s="41" t="inlineStr">
        <is>
          <t>carbon_processing_shredders|Field - Fall - Mountains &amp; DA &gt;= 10 Sq.Mi.</t>
        </is>
      </c>
      <c r="B34" s="41" t="inlineStr">
        <is>
          <t>carbon-processing-shredders</t>
        </is>
      </c>
      <c r="C34" s="41" t="inlineStr">
        <is>
          <t>Shredders</t>
        </is>
      </c>
      <c r="D34" s="41" t="inlineStr">
        <is>
          <t>Field - Fall - Mountains &amp; DA &gt;= 10 Sq.Mi.</t>
        </is>
      </c>
      <c r="E34" s="41" t="n">
        <v>6</v>
      </c>
      <c r="F34" s="41" t="inlineStr"/>
      <c r="G34" s="41" t="n">
        <v>0</v>
      </c>
      <c r="H34" s="41" t="n">
        <v>3</v>
      </c>
      <c r="I34" s="41" t="n">
        <v>4.5</v>
      </c>
      <c r="J34" s="41" t="n">
        <v>9</v>
      </c>
      <c r="K34" s="41" t="n">
        <v>10.5</v>
      </c>
      <c r="L34" s="41" t="n">
        <v>15</v>
      </c>
      <c r="M34" s="41" t="n">
        <v>15</v>
      </c>
      <c r="N34" s="41" t="n">
        <v>15</v>
      </c>
      <c r="O34" s="41" t="n">
        <v>0</v>
      </c>
      <c r="P34" s="41" t="n">
        <v>0.2</v>
      </c>
      <c r="Q34" s="41" t="n">
        <v>0.3</v>
      </c>
      <c r="R34" s="41" t="n">
        <v>0.6</v>
      </c>
      <c r="S34" s="41" t="n">
        <v>0.7</v>
      </c>
      <c r="T34" s="41" t="n">
        <v>1</v>
      </c>
      <c r="U34" s="41" t="n">
        <v>1</v>
      </c>
      <c r="V34" s="41" t="n">
        <v>1</v>
      </c>
    </row>
    <row r="35">
      <c r="A35" s="41" t="inlineStr">
        <is>
          <t>carbon_processing_shredders|Field - W/Sp - Piedmont &amp; DA &lt;= 5 Sq.Mi.</t>
        </is>
      </c>
      <c r="B35" s="41" t="inlineStr">
        <is>
          <t>carbon-processing-shredders</t>
        </is>
      </c>
      <c r="C35" s="41" t="inlineStr">
        <is>
          <t>Shredders</t>
        </is>
      </c>
      <c r="D35" s="41" t="inlineStr">
        <is>
          <t>Field - W/Sp - Piedmont &amp; DA &lt;= 5 Sq.Mi.</t>
        </is>
      </c>
      <c r="E35" s="41" t="n">
        <v>6</v>
      </c>
      <c r="F35" s="41" t="inlineStr"/>
      <c r="G35" s="41" t="n">
        <v>0</v>
      </c>
      <c r="H35" s="41" t="n">
        <v>3.6</v>
      </c>
      <c r="I35" s="41" t="n">
        <v>5.4</v>
      </c>
      <c r="J35" s="41" t="n">
        <v>10.8</v>
      </c>
      <c r="K35" s="41" t="n">
        <v>12.6</v>
      </c>
      <c r="L35" s="41" t="n">
        <v>18</v>
      </c>
      <c r="M35" s="41" t="n">
        <v>18</v>
      </c>
      <c r="N35" s="41" t="n">
        <v>18</v>
      </c>
      <c r="O35" s="41" t="n">
        <v>0</v>
      </c>
      <c r="P35" s="41" t="n">
        <v>0.2</v>
      </c>
      <c r="Q35" s="41" t="n">
        <v>0.3</v>
      </c>
      <c r="R35" s="41" t="n">
        <v>0.6</v>
      </c>
      <c r="S35" s="41" t="n">
        <v>0.7</v>
      </c>
      <c r="T35" s="41" t="n">
        <v>1</v>
      </c>
      <c r="U35" s="41" t="n">
        <v>1</v>
      </c>
      <c r="V35" s="41" t="n">
        <v>1</v>
      </c>
    </row>
    <row r="36">
      <c r="A36" s="41" t="inlineStr">
        <is>
          <t>carbon_processing_shredders|Field - Su - Piedmont &amp; DA &lt;= 5 Sq.Mi.</t>
        </is>
      </c>
      <c r="B36" s="41" t="inlineStr">
        <is>
          <t>carbon-processing-shredders</t>
        </is>
      </c>
      <c r="C36" s="41" t="inlineStr">
        <is>
          <t>Shredders</t>
        </is>
      </c>
      <c r="D36" s="41" t="inlineStr">
        <is>
          <t>Field - Su - Piedmont &amp; DA &lt;= 5 Sq.Mi.</t>
        </is>
      </c>
      <c r="E36" s="41" t="n">
        <v>6</v>
      </c>
      <c r="F36" s="41" t="inlineStr"/>
      <c r="G36" s="41" t="n">
        <v>0</v>
      </c>
      <c r="H36" s="41" t="n">
        <v>2.4</v>
      </c>
      <c r="I36" s="41" t="n">
        <v>3.6</v>
      </c>
      <c r="J36" s="41" t="n">
        <v>7.2</v>
      </c>
      <c r="K36" s="41" t="n">
        <v>8.4</v>
      </c>
      <c r="L36" s="41" t="n">
        <v>12</v>
      </c>
      <c r="M36" s="41" t="n">
        <v>12</v>
      </c>
      <c r="N36" s="41" t="n">
        <v>12</v>
      </c>
      <c r="O36" s="41" t="n">
        <v>0</v>
      </c>
      <c r="P36" s="41" t="n">
        <v>0.2</v>
      </c>
      <c r="Q36" s="41" t="n">
        <v>0.3</v>
      </c>
      <c r="R36" s="41" t="n">
        <v>0.6</v>
      </c>
      <c r="S36" s="41" t="n">
        <v>0.7</v>
      </c>
      <c r="T36" s="41" t="n">
        <v>1</v>
      </c>
      <c r="U36" s="41" t="n">
        <v>1</v>
      </c>
      <c r="V36" s="41" t="n">
        <v>1</v>
      </c>
    </row>
    <row r="37">
      <c r="A37" s="41" t="inlineStr">
        <is>
          <t>carbon_processing_shredders|Field - Fall - Piedmont &amp; DA &lt;= 5 Sq.Mi.</t>
        </is>
      </c>
      <c r="B37" s="41" t="inlineStr">
        <is>
          <t>carbon-processing-shredders</t>
        </is>
      </c>
      <c r="C37" s="41" t="inlineStr">
        <is>
          <t>Shredders</t>
        </is>
      </c>
      <c r="D37" s="41" t="inlineStr">
        <is>
          <t>Field - Fall - Piedmont &amp; DA &lt;= 5 Sq.Mi.</t>
        </is>
      </c>
      <c r="E37" s="41" t="n">
        <v>6</v>
      </c>
      <c r="F37" s="41" t="inlineStr"/>
      <c r="G37" s="41" t="n">
        <v>0</v>
      </c>
      <c r="H37" s="41" t="n">
        <v>2.8</v>
      </c>
      <c r="I37" s="41" t="n">
        <v>4.2</v>
      </c>
      <c r="J37" s="41" t="n">
        <v>8.4</v>
      </c>
      <c r="K37" s="41" t="n">
        <v>9.800000000000001</v>
      </c>
      <c r="L37" s="41" t="n">
        <v>14</v>
      </c>
      <c r="M37" s="41" t="n">
        <v>14</v>
      </c>
      <c r="N37" s="41" t="n">
        <v>14</v>
      </c>
      <c r="O37" s="41" t="n">
        <v>0</v>
      </c>
      <c r="P37" s="41" t="n">
        <v>0.2</v>
      </c>
      <c r="Q37" s="41" t="n">
        <v>0.3</v>
      </c>
      <c r="R37" s="41" t="n">
        <v>0.6</v>
      </c>
      <c r="S37" s="41" t="n">
        <v>0.7</v>
      </c>
      <c r="T37" s="41" t="n">
        <v>1</v>
      </c>
      <c r="U37" s="41" t="n">
        <v>1</v>
      </c>
      <c r="V37" s="41" t="n">
        <v>1</v>
      </c>
    </row>
    <row r="38">
      <c r="A38" s="41" t="inlineStr">
        <is>
          <t>carbon_processing_shredders|Field - W/Sp - Piedmont &amp; 5 &lt; DA &lt; 10 Sq.Mi.</t>
        </is>
      </c>
      <c r="B38" s="41" t="inlineStr">
        <is>
          <t>carbon-processing-shredders</t>
        </is>
      </c>
      <c r="C38" s="41" t="inlineStr">
        <is>
          <t>Shredders</t>
        </is>
      </c>
      <c r="D38" s="41" t="inlineStr">
        <is>
          <t>Field - W/Sp - Piedmont &amp; 5 &lt; DA &lt; 10 Sq.Mi.</t>
        </is>
      </c>
      <c r="E38" s="41" t="n">
        <v>6</v>
      </c>
      <c r="F38" s="41" t="inlineStr"/>
      <c r="G38" s="41" t="n">
        <v>0</v>
      </c>
      <c r="H38" s="41" t="n">
        <v>2.4</v>
      </c>
      <c r="I38" s="41" t="n">
        <v>3.6</v>
      </c>
      <c r="J38" s="41" t="n">
        <v>7.2</v>
      </c>
      <c r="K38" s="41" t="n">
        <v>8.4</v>
      </c>
      <c r="L38" s="41" t="n">
        <v>12</v>
      </c>
      <c r="M38" s="41" t="n">
        <v>12</v>
      </c>
      <c r="N38" s="41" t="n">
        <v>12</v>
      </c>
      <c r="O38" s="41" t="n">
        <v>0</v>
      </c>
      <c r="P38" s="41" t="n">
        <v>0.2</v>
      </c>
      <c r="Q38" s="41" t="n">
        <v>0.3</v>
      </c>
      <c r="R38" s="41" t="n">
        <v>0.6</v>
      </c>
      <c r="S38" s="41" t="n">
        <v>0.7</v>
      </c>
      <c r="T38" s="41" t="n">
        <v>1</v>
      </c>
      <c r="U38" s="41" t="n">
        <v>1</v>
      </c>
      <c r="V38" s="41" t="n">
        <v>1</v>
      </c>
    </row>
    <row r="39">
      <c r="A39" s="41" t="inlineStr">
        <is>
          <t>carbon_processing_shredders|Field - Su - Piedmont &amp; 5 &lt; DA &lt; 10 Sq.Mi.</t>
        </is>
      </c>
      <c r="B39" s="41" t="inlineStr">
        <is>
          <t>carbon-processing-shredders</t>
        </is>
      </c>
      <c r="C39" s="41" t="inlineStr">
        <is>
          <t>Shredders</t>
        </is>
      </c>
      <c r="D39" s="41" t="inlineStr">
        <is>
          <t>Field - Su - Piedmont &amp; 5 &lt; DA &lt; 10 Sq.Mi.</t>
        </is>
      </c>
      <c r="E39" s="41" t="n">
        <v>6</v>
      </c>
      <c r="F39" s="41" t="inlineStr"/>
      <c r="G39" s="41" t="n">
        <v>0</v>
      </c>
      <c r="H39" s="41" t="n">
        <v>1</v>
      </c>
      <c r="I39" s="41" t="n">
        <v>1.5</v>
      </c>
      <c r="J39" s="41" t="n">
        <v>3</v>
      </c>
      <c r="K39" s="41" t="n">
        <v>3.5</v>
      </c>
      <c r="L39" s="41" t="n">
        <v>5</v>
      </c>
      <c r="M39" s="41" t="n">
        <v>5</v>
      </c>
      <c r="N39" s="41" t="n">
        <v>5</v>
      </c>
      <c r="O39" s="41" t="n">
        <v>0</v>
      </c>
      <c r="P39" s="41" t="n">
        <v>0.2</v>
      </c>
      <c r="Q39" s="41" t="n">
        <v>0.3</v>
      </c>
      <c r="R39" s="41" t="n">
        <v>0.6</v>
      </c>
      <c r="S39" s="41" t="n">
        <v>0.7</v>
      </c>
      <c r="T39" s="41" t="n">
        <v>1</v>
      </c>
      <c r="U39" s="41" t="n">
        <v>1</v>
      </c>
      <c r="V39" s="41" t="n">
        <v>1</v>
      </c>
    </row>
    <row r="40">
      <c r="A40" s="41" t="inlineStr">
        <is>
          <t>carbon_processing_shredders|Field - Fall - Piedmont &amp; 5 &lt; DA &lt; 10 Sq.Mi.</t>
        </is>
      </c>
      <c r="B40" s="41" t="inlineStr">
        <is>
          <t>carbon-processing-shredders</t>
        </is>
      </c>
      <c r="C40" s="41" t="inlineStr">
        <is>
          <t>Shredders</t>
        </is>
      </c>
      <c r="D40" s="41" t="inlineStr">
        <is>
          <t>Field - Fall - Piedmont &amp; 5 &lt; DA &lt; 10 Sq.Mi.</t>
        </is>
      </c>
      <c r="E40" s="41" t="n">
        <v>6</v>
      </c>
      <c r="F40" s="41" t="inlineStr"/>
      <c r="G40" s="41" t="n">
        <v>0</v>
      </c>
      <c r="H40" s="41" t="n">
        <v>1.6</v>
      </c>
      <c r="I40" s="41" t="n">
        <v>2.4</v>
      </c>
      <c r="J40" s="41" t="n">
        <v>4.8</v>
      </c>
      <c r="K40" s="41" t="n">
        <v>5.6</v>
      </c>
      <c r="L40" s="41" t="n">
        <v>8</v>
      </c>
      <c r="M40" s="41" t="n">
        <v>8</v>
      </c>
      <c r="N40" s="41" t="n">
        <v>8</v>
      </c>
      <c r="O40" s="41" t="n">
        <v>0</v>
      </c>
      <c r="P40" s="41" t="n">
        <v>0.2</v>
      </c>
      <c r="Q40" s="41" t="n">
        <v>0.3</v>
      </c>
      <c r="R40" s="41" t="n">
        <v>0.6</v>
      </c>
      <c r="S40" s="41" t="n">
        <v>0.7</v>
      </c>
      <c r="T40" s="41" t="n">
        <v>1</v>
      </c>
      <c r="U40" s="41" t="n">
        <v>1</v>
      </c>
      <c r="V40" s="41" t="n">
        <v>1</v>
      </c>
    </row>
    <row r="41">
      <c r="A41" s="41" t="inlineStr">
        <is>
          <t>carbon_processing_shredders|Field - W/Sp - Piedmont &amp; DA &gt;= 10 Sq.Mi.</t>
        </is>
      </c>
      <c r="B41" s="41" t="inlineStr">
        <is>
          <t>carbon-processing-shredders</t>
        </is>
      </c>
      <c r="C41" s="41" t="inlineStr">
        <is>
          <t>Shredders</t>
        </is>
      </c>
      <c r="D41" s="41" t="inlineStr">
        <is>
          <t>Field - W/Sp - Piedmont &amp; DA &gt;= 10 Sq.Mi.</t>
        </is>
      </c>
      <c r="E41" s="41" t="n">
        <v>6</v>
      </c>
      <c r="F41" s="41" t="inlineStr"/>
      <c r="G41" s="41" t="n">
        <v>0</v>
      </c>
      <c r="H41" s="41" t="n">
        <v>1.6</v>
      </c>
      <c r="I41" s="41" t="n">
        <v>2.4</v>
      </c>
      <c r="J41" s="41" t="n">
        <v>4.8</v>
      </c>
      <c r="K41" s="41" t="n">
        <v>5.6</v>
      </c>
      <c r="L41" s="41" t="n">
        <v>8</v>
      </c>
      <c r="M41" s="41" t="n">
        <v>8</v>
      </c>
      <c r="N41" s="41" t="n">
        <v>8</v>
      </c>
      <c r="O41" s="41" t="n">
        <v>0</v>
      </c>
      <c r="P41" s="41" t="n">
        <v>0.2</v>
      </c>
      <c r="Q41" s="41" t="n">
        <v>0.3</v>
      </c>
      <c r="R41" s="41" t="n">
        <v>0.6</v>
      </c>
      <c r="S41" s="41" t="n">
        <v>0.7</v>
      </c>
      <c r="T41" s="41" t="n">
        <v>1</v>
      </c>
      <c r="U41" s="41" t="n">
        <v>1</v>
      </c>
      <c r="V41" s="41" t="n">
        <v>1</v>
      </c>
    </row>
    <row r="42">
      <c r="A42" s="41" t="inlineStr">
        <is>
          <t>carbon_processing_shredders|Field - Su - Piedmont &amp; DA &gt;= 10 Sq.Mi.</t>
        </is>
      </c>
      <c r="B42" s="41" t="inlineStr">
        <is>
          <t>carbon-processing-shredders</t>
        </is>
      </c>
      <c r="C42" s="41" t="inlineStr">
        <is>
          <t>Shredders</t>
        </is>
      </c>
      <c r="D42" s="41" t="inlineStr">
        <is>
          <t>Field - Su - Piedmont &amp; DA &gt;= 10 Sq.Mi.</t>
        </is>
      </c>
      <c r="E42" s="41" t="n">
        <v>6</v>
      </c>
      <c r="F42" s="41" t="inlineStr"/>
      <c r="G42" s="41" t="n">
        <v>0</v>
      </c>
      <c r="H42" s="41" t="n">
        <v>1.4</v>
      </c>
      <c r="I42" s="41" t="n">
        <v>2.1</v>
      </c>
      <c r="J42" s="41" t="n">
        <v>4.2</v>
      </c>
      <c r="K42" s="41" t="n">
        <v>4.9</v>
      </c>
      <c r="L42" s="41" t="n">
        <v>7</v>
      </c>
      <c r="M42" s="41" t="n">
        <v>7</v>
      </c>
      <c r="N42" s="41" t="n">
        <v>7</v>
      </c>
      <c r="O42" s="41" t="n">
        <v>0</v>
      </c>
      <c r="P42" s="41" t="n">
        <v>0.2</v>
      </c>
      <c r="Q42" s="41" t="n">
        <v>0.3</v>
      </c>
      <c r="R42" s="41" t="n">
        <v>0.6</v>
      </c>
      <c r="S42" s="41" t="n">
        <v>0.7</v>
      </c>
      <c r="T42" s="41" t="n">
        <v>1</v>
      </c>
      <c r="U42" s="41" t="n">
        <v>1</v>
      </c>
      <c r="V42" s="41" t="n">
        <v>1</v>
      </c>
    </row>
    <row r="43">
      <c r="A43" s="41" t="inlineStr">
        <is>
          <t>carbon_processing_shredders|Field - Fall - Piedmont &amp; DA &gt;= 10 Sq.Mi.</t>
        </is>
      </c>
      <c r="B43" s="41" t="inlineStr">
        <is>
          <t>carbon-processing-shredders</t>
        </is>
      </c>
      <c r="C43" s="41" t="inlineStr">
        <is>
          <t>Shredders</t>
        </is>
      </c>
      <c r="D43" s="41" t="inlineStr">
        <is>
          <t>Field - Fall - Piedmont &amp; DA &gt;= 10 Sq.Mi.</t>
        </is>
      </c>
      <c r="E43" s="41" t="n">
        <v>6</v>
      </c>
      <c r="F43" s="41" t="inlineStr"/>
      <c r="G43" s="41" t="n">
        <v>0</v>
      </c>
      <c r="H43" s="41" t="n">
        <v>1.6</v>
      </c>
      <c r="I43" s="41" t="n">
        <v>2.4</v>
      </c>
      <c r="J43" s="41" t="n">
        <v>4.8</v>
      </c>
      <c r="K43" s="41" t="n">
        <v>5.6</v>
      </c>
      <c r="L43" s="41" t="n">
        <v>8</v>
      </c>
      <c r="M43" s="41" t="n">
        <v>8</v>
      </c>
      <c r="N43" s="41" t="n">
        <v>8</v>
      </c>
      <c r="O43" s="41" t="n">
        <v>0</v>
      </c>
      <c r="P43" s="41" t="n">
        <v>0.2</v>
      </c>
      <c r="Q43" s="41" t="n">
        <v>0.3</v>
      </c>
      <c r="R43" s="41" t="n">
        <v>0.6</v>
      </c>
      <c r="S43" s="41" t="n">
        <v>0.7</v>
      </c>
      <c r="T43" s="41" t="n">
        <v>1</v>
      </c>
      <c r="U43" s="41" t="n">
        <v>1</v>
      </c>
      <c r="V43" s="41" t="n">
        <v>1</v>
      </c>
    </row>
    <row r="44">
      <c r="A44" s="41" t="inlineStr">
        <is>
          <t>carbon_processing_shredders|Field - W/Sp - Coastal &amp; DA &lt;= 5 Sq.Mi.</t>
        </is>
      </c>
      <c r="B44" s="41" t="inlineStr">
        <is>
          <t>carbon-processing-shredders</t>
        </is>
      </c>
      <c r="C44" s="41" t="inlineStr">
        <is>
          <t>Shredders</t>
        </is>
      </c>
      <c r="D44" s="41" t="inlineStr">
        <is>
          <t>Field - W/Sp - Coastal &amp; DA &lt;= 5 Sq.Mi.</t>
        </is>
      </c>
      <c r="E44" s="41" t="n">
        <v>6</v>
      </c>
      <c r="F44" s="41" t="inlineStr"/>
      <c r="G44" s="41" t="n">
        <v>0</v>
      </c>
      <c r="H44" s="41" t="n">
        <v>6.6</v>
      </c>
      <c r="I44" s="41" t="n">
        <v>9.9</v>
      </c>
      <c r="J44" s="41" t="n">
        <v>19.8</v>
      </c>
      <c r="K44" s="41" t="n">
        <v>23.1</v>
      </c>
      <c r="L44" s="41" t="n">
        <v>33</v>
      </c>
      <c r="M44" s="41" t="n">
        <v>33</v>
      </c>
      <c r="N44" s="41" t="n">
        <v>33</v>
      </c>
      <c r="O44" s="41" t="n">
        <v>0</v>
      </c>
      <c r="P44" s="41" t="n">
        <v>0.2</v>
      </c>
      <c r="Q44" s="41" t="n">
        <v>0.3</v>
      </c>
      <c r="R44" s="41" t="n">
        <v>0.6</v>
      </c>
      <c r="S44" s="41" t="n">
        <v>0.7</v>
      </c>
      <c r="T44" s="41" t="n">
        <v>1</v>
      </c>
      <c r="U44" s="41" t="n">
        <v>1</v>
      </c>
      <c r="V44" s="41" t="n">
        <v>1</v>
      </c>
    </row>
    <row r="45">
      <c r="A45" s="41" t="inlineStr">
        <is>
          <t>carbon_processing_shredders|Field - Su - Coastal &amp; DA &lt;= 5 Sq.Mi.</t>
        </is>
      </c>
      <c r="B45" s="41" t="inlineStr">
        <is>
          <t>carbon-processing-shredders</t>
        </is>
      </c>
      <c r="C45" s="41" t="inlineStr">
        <is>
          <t>Shredders</t>
        </is>
      </c>
      <c r="D45" s="41" t="inlineStr">
        <is>
          <t>Field - Su - Coastal &amp; DA &lt;= 5 Sq.Mi.</t>
        </is>
      </c>
      <c r="E45" s="41" t="n">
        <v>6</v>
      </c>
      <c r="F45" s="41" t="inlineStr"/>
      <c r="G45" s="41" t="n">
        <v>0</v>
      </c>
      <c r="H45" s="41" t="n">
        <v>2.8</v>
      </c>
      <c r="I45" s="41" t="n">
        <v>4.2</v>
      </c>
      <c r="J45" s="41" t="n">
        <v>8.4</v>
      </c>
      <c r="K45" s="41" t="n">
        <v>9.800000000000001</v>
      </c>
      <c r="L45" s="41" t="n">
        <v>14</v>
      </c>
      <c r="M45" s="41" t="n">
        <v>14</v>
      </c>
      <c r="N45" s="41" t="n">
        <v>14</v>
      </c>
      <c r="O45" s="41" t="n">
        <v>0</v>
      </c>
      <c r="P45" s="41" t="n">
        <v>0.2</v>
      </c>
      <c r="Q45" s="41" t="n">
        <v>0.3</v>
      </c>
      <c r="R45" s="41" t="n">
        <v>0.6</v>
      </c>
      <c r="S45" s="41" t="n">
        <v>0.7</v>
      </c>
      <c r="T45" s="41" t="n">
        <v>1</v>
      </c>
      <c r="U45" s="41" t="n">
        <v>1</v>
      </c>
      <c r="V45" s="41" t="n">
        <v>1</v>
      </c>
    </row>
    <row r="46">
      <c r="A46" s="41" t="inlineStr">
        <is>
          <t>carbon_processing_shredders|Field - Fall - Coastal &amp; DA &lt;= 5 Sq.Mi.</t>
        </is>
      </c>
      <c r="B46" s="41" t="inlineStr">
        <is>
          <t>carbon-processing-shredders</t>
        </is>
      </c>
      <c r="C46" s="41" t="inlineStr">
        <is>
          <t>Shredders</t>
        </is>
      </c>
      <c r="D46" s="41" t="inlineStr">
        <is>
          <t>Field - Fall - Coastal &amp; DA &lt;= 5 Sq.Mi.</t>
        </is>
      </c>
      <c r="E46" s="41" t="n">
        <v>6</v>
      </c>
      <c r="F46" s="41" t="inlineStr"/>
      <c r="G46" s="41" t="n">
        <v>0</v>
      </c>
      <c r="H46" s="41" t="n">
        <v>5</v>
      </c>
      <c r="I46" s="41" t="n">
        <v>7.5</v>
      </c>
      <c r="J46" s="41" t="n">
        <v>15</v>
      </c>
      <c r="K46" s="41" t="n">
        <v>17.5</v>
      </c>
      <c r="L46" s="41" t="n">
        <v>25</v>
      </c>
      <c r="M46" s="41" t="n">
        <v>25</v>
      </c>
      <c r="N46" s="41" t="n">
        <v>25</v>
      </c>
      <c r="O46" s="41" t="n">
        <v>0</v>
      </c>
      <c r="P46" s="41" t="n">
        <v>0.2</v>
      </c>
      <c r="Q46" s="41" t="n">
        <v>0.3</v>
      </c>
      <c r="R46" s="41" t="n">
        <v>0.6</v>
      </c>
      <c r="S46" s="41" t="n">
        <v>0.7</v>
      </c>
      <c r="T46" s="41" t="n">
        <v>1</v>
      </c>
      <c r="U46" s="41" t="n">
        <v>1</v>
      </c>
      <c r="V46" s="41" t="n">
        <v>1</v>
      </c>
    </row>
    <row r="47">
      <c r="A47" s="41" t="inlineStr">
        <is>
          <t>carbon_processing_shredders|Field - W/Sp - Coastal &amp; 5 &lt; DA &lt; 10 Sq.Mi.</t>
        </is>
      </c>
      <c r="B47" s="41" t="inlineStr">
        <is>
          <t>carbon-processing-shredders</t>
        </is>
      </c>
      <c r="C47" s="41" t="inlineStr">
        <is>
          <t>Shredders</t>
        </is>
      </c>
      <c r="D47" s="41" t="inlineStr">
        <is>
          <t>Field - W/Sp - Coastal &amp; 5 &lt; DA &lt; 10 Sq.Mi.</t>
        </is>
      </c>
      <c r="E47" s="41" t="n">
        <v>6</v>
      </c>
      <c r="F47" s="41" t="inlineStr"/>
      <c r="G47" s="41" t="n">
        <v>0</v>
      </c>
      <c r="H47" s="41" t="n">
        <v>4</v>
      </c>
      <c r="I47" s="41" t="n">
        <v>6</v>
      </c>
      <c r="J47" s="41" t="n">
        <v>12</v>
      </c>
      <c r="K47" s="41" t="n">
        <v>14</v>
      </c>
      <c r="L47" s="41" t="n">
        <v>20</v>
      </c>
      <c r="M47" s="41" t="n">
        <v>20</v>
      </c>
      <c r="N47" s="41" t="n">
        <v>20</v>
      </c>
      <c r="O47" s="41" t="n">
        <v>0</v>
      </c>
      <c r="P47" s="41" t="n">
        <v>0.2</v>
      </c>
      <c r="Q47" s="41" t="n">
        <v>0.3</v>
      </c>
      <c r="R47" s="41" t="n">
        <v>0.6</v>
      </c>
      <c r="S47" s="41" t="n">
        <v>0.7</v>
      </c>
      <c r="T47" s="41" t="n">
        <v>1</v>
      </c>
      <c r="U47" s="41" t="n">
        <v>1</v>
      </c>
      <c r="V47" s="41" t="n">
        <v>1</v>
      </c>
    </row>
    <row r="48">
      <c r="A48" s="41" t="inlineStr">
        <is>
          <t>carbon_processing_shredders|Field - Su - Coastal &amp; 5 &lt; DA &lt; 10 Sq.Mi.</t>
        </is>
      </c>
      <c r="B48" s="41" t="inlineStr">
        <is>
          <t>carbon-processing-shredders</t>
        </is>
      </c>
      <c r="C48" s="41" t="inlineStr">
        <is>
          <t>Shredders</t>
        </is>
      </c>
      <c r="D48" s="41" t="inlineStr">
        <is>
          <t>Field - Su - Coastal &amp; 5 &lt; DA &lt; 10 Sq.Mi.</t>
        </is>
      </c>
      <c r="E48" s="41" t="n">
        <v>6</v>
      </c>
      <c r="F48" s="41" t="inlineStr"/>
      <c r="G48" s="41" t="n">
        <v>0</v>
      </c>
      <c r="H48" s="41" t="n">
        <v>2.6</v>
      </c>
      <c r="I48" s="41" t="n">
        <v>3.9</v>
      </c>
      <c r="J48" s="41" t="n">
        <v>7.8</v>
      </c>
      <c r="K48" s="41" t="n">
        <v>9.1</v>
      </c>
      <c r="L48" s="41" t="n">
        <v>13</v>
      </c>
      <c r="M48" s="41" t="n">
        <v>13</v>
      </c>
      <c r="N48" s="41" t="n">
        <v>13</v>
      </c>
      <c r="O48" s="41" t="n">
        <v>0</v>
      </c>
      <c r="P48" s="41" t="n">
        <v>0.2</v>
      </c>
      <c r="Q48" s="41" t="n">
        <v>0.3</v>
      </c>
      <c r="R48" s="41" t="n">
        <v>0.6</v>
      </c>
      <c r="S48" s="41" t="n">
        <v>0.7</v>
      </c>
      <c r="T48" s="41" t="n">
        <v>1</v>
      </c>
      <c r="U48" s="41" t="n">
        <v>1</v>
      </c>
      <c r="V48" s="41" t="n">
        <v>1</v>
      </c>
    </row>
    <row r="49">
      <c r="A49" s="41" t="inlineStr">
        <is>
          <t>carbon_processing_shredders|Field - Fall - Coastal &amp; 5 &lt; DA &lt; 10 Sq.Mi.</t>
        </is>
      </c>
      <c r="B49" s="41" t="inlineStr">
        <is>
          <t>carbon-processing-shredders</t>
        </is>
      </c>
      <c r="C49" s="41" t="inlineStr">
        <is>
          <t>Shredders</t>
        </is>
      </c>
      <c r="D49" s="41" t="inlineStr">
        <is>
          <t>Field - Fall - Coastal &amp; 5 &lt; DA &lt; 10 Sq.Mi.</t>
        </is>
      </c>
      <c r="E49" s="41" t="n">
        <v>6</v>
      </c>
      <c r="F49" s="41" t="inlineStr"/>
      <c r="G49" s="41" t="n">
        <v>0</v>
      </c>
      <c r="H49" s="41" t="n">
        <v>2.4</v>
      </c>
      <c r="I49" s="41" t="n">
        <v>3.6</v>
      </c>
      <c r="J49" s="41" t="n">
        <v>7.2</v>
      </c>
      <c r="K49" s="41" t="n">
        <v>8.4</v>
      </c>
      <c r="L49" s="41" t="n">
        <v>12</v>
      </c>
      <c r="M49" s="41" t="n">
        <v>12</v>
      </c>
      <c r="N49" s="41" t="n">
        <v>12</v>
      </c>
      <c r="O49" s="41" t="n">
        <v>0</v>
      </c>
      <c r="P49" s="41" t="n">
        <v>0.2</v>
      </c>
      <c r="Q49" s="41" t="n">
        <v>0.3</v>
      </c>
      <c r="R49" s="41" t="n">
        <v>0.6</v>
      </c>
      <c r="S49" s="41" t="n">
        <v>0.7</v>
      </c>
      <c r="T49" s="41" t="n">
        <v>1</v>
      </c>
      <c r="U49" s="41" t="n">
        <v>1</v>
      </c>
      <c r="V49" s="41" t="n">
        <v>1</v>
      </c>
    </row>
    <row r="50">
      <c r="A50" s="41" t="inlineStr">
        <is>
          <t>carbon_processing_shredders|Field - W/Sp - Coastal &amp; DA &gt;= 10 Sq.Mi.</t>
        </is>
      </c>
      <c r="B50" s="41" t="inlineStr">
        <is>
          <t>carbon-processing-shredders</t>
        </is>
      </c>
      <c r="C50" s="41" t="inlineStr">
        <is>
          <t>Shredders</t>
        </is>
      </c>
      <c r="D50" s="41" t="inlineStr">
        <is>
          <t>Field - W/Sp - Coastal &amp; DA &gt;= 10 Sq.Mi.</t>
        </is>
      </c>
      <c r="E50" s="41" t="n">
        <v>6</v>
      </c>
      <c r="F50" s="41" t="inlineStr"/>
      <c r="G50" s="41" t="n">
        <v>0</v>
      </c>
      <c r="H50" s="41" t="n">
        <v>3.4</v>
      </c>
      <c r="I50" s="41" t="n">
        <v>5.1</v>
      </c>
      <c r="J50" s="41" t="n">
        <v>10.2</v>
      </c>
      <c r="K50" s="41" t="n">
        <v>11.9</v>
      </c>
      <c r="L50" s="41" t="n">
        <v>17</v>
      </c>
      <c r="M50" s="41" t="n">
        <v>17</v>
      </c>
      <c r="N50" s="41" t="n">
        <v>17</v>
      </c>
      <c r="O50" s="41" t="n">
        <v>0</v>
      </c>
      <c r="P50" s="41" t="n">
        <v>0.2</v>
      </c>
      <c r="Q50" s="41" t="n">
        <v>0.3</v>
      </c>
      <c r="R50" s="41" t="n">
        <v>0.6</v>
      </c>
      <c r="S50" s="41" t="n">
        <v>0.7</v>
      </c>
      <c r="T50" s="41" t="n">
        <v>1</v>
      </c>
      <c r="U50" s="41" t="n">
        <v>1</v>
      </c>
      <c r="V50" s="41" t="n">
        <v>1</v>
      </c>
    </row>
    <row r="51">
      <c r="A51" s="41" t="inlineStr">
        <is>
          <t>carbon_processing_shredders|Field - Su - Coastal &amp; DA &gt;= 10 Sq.Mi.</t>
        </is>
      </c>
      <c r="B51" s="41" t="inlineStr">
        <is>
          <t>carbon-processing-shredders</t>
        </is>
      </c>
      <c r="C51" s="41" t="inlineStr">
        <is>
          <t>Shredders</t>
        </is>
      </c>
      <c r="D51" s="41" t="inlineStr">
        <is>
          <t>Field - Su - Coastal &amp; DA &gt;= 10 Sq.Mi.</t>
        </is>
      </c>
      <c r="E51" s="41" t="n">
        <v>6</v>
      </c>
      <c r="F51" s="41" t="inlineStr"/>
      <c r="G51" s="41" t="n">
        <v>0</v>
      </c>
      <c r="H51" s="41" t="n">
        <v>3.2</v>
      </c>
      <c r="I51" s="41" t="n">
        <v>4.8</v>
      </c>
      <c r="J51" s="41" t="n">
        <v>9.6</v>
      </c>
      <c r="K51" s="41" t="n">
        <v>11.2</v>
      </c>
      <c r="L51" s="41" t="n">
        <v>16</v>
      </c>
      <c r="M51" s="41" t="n">
        <v>16</v>
      </c>
      <c r="N51" s="41" t="n">
        <v>16</v>
      </c>
      <c r="O51" s="41" t="n">
        <v>0</v>
      </c>
      <c r="P51" s="41" t="n">
        <v>0.2</v>
      </c>
      <c r="Q51" s="41" t="n">
        <v>0.3</v>
      </c>
      <c r="R51" s="41" t="n">
        <v>0.6</v>
      </c>
      <c r="S51" s="41" t="n">
        <v>0.7</v>
      </c>
      <c r="T51" s="41" t="n">
        <v>1</v>
      </c>
      <c r="U51" s="41" t="n">
        <v>1</v>
      </c>
      <c r="V51" s="41" t="n">
        <v>1</v>
      </c>
    </row>
    <row r="52">
      <c r="A52" s="41" t="inlineStr">
        <is>
          <t>carbon_processing_shredders|Field - Fall - Coastal &amp; DA &gt;= 10 Sq.Mi.</t>
        </is>
      </c>
      <c r="B52" s="41" t="inlineStr">
        <is>
          <t>carbon-processing-shredders</t>
        </is>
      </c>
      <c r="C52" s="41" t="inlineStr">
        <is>
          <t>Shredders</t>
        </is>
      </c>
      <c r="D52" s="41" t="inlineStr">
        <is>
          <t>Field - Fall - Coastal &amp; DA &gt;= 10 Sq.Mi.</t>
        </is>
      </c>
      <c r="E52" s="41" t="n">
        <v>6</v>
      </c>
      <c r="F52" s="41" t="inlineStr"/>
      <c r="G52" s="41" t="n">
        <v>0</v>
      </c>
      <c r="H52" s="41" t="n">
        <v>1.6</v>
      </c>
      <c r="I52" s="41" t="n">
        <v>2.4</v>
      </c>
      <c r="J52" s="41" t="n">
        <v>4.8</v>
      </c>
      <c r="K52" s="41" t="n">
        <v>5.6</v>
      </c>
      <c r="L52" s="41" t="n">
        <v>8</v>
      </c>
      <c r="M52" s="41" t="n">
        <v>8</v>
      </c>
      <c r="N52" s="41" t="n">
        <v>8</v>
      </c>
      <c r="O52" s="41" t="n">
        <v>0</v>
      </c>
      <c r="P52" s="41" t="n">
        <v>0.2</v>
      </c>
      <c r="Q52" s="41" t="n">
        <v>0.3</v>
      </c>
      <c r="R52" s="41" t="n">
        <v>0.6</v>
      </c>
      <c r="S52" s="41" t="n">
        <v>0.7</v>
      </c>
      <c r="T52" s="41" t="n">
        <v>1</v>
      </c>
      <c r="U52" s="41" t="n">
        <v>1</v>
      </c>
      <c r="V52" s="41" t="n">
        <v>1</v>
      </c>
    </row>
    <row r="53">
      <c r="A53" s="41" t="inlineStr">
        <is>
          <t>nutrient_cycling_buffer_width|Stream Type A, B, or Bc</t>
        </is>
      </c>
      <c r="B53" s="41" t="inlineStr">
        <is>
          <t>nutrient-cycling-buffer-width</t>
        </is>
      </c>
      <c r="C53" s="41" t="inlineStr">
        <is>
          <t>Buffer Width</t>
        </is>
      </c>
      <c r="D53" s="41" t="inlineStr">
        <is>
          <t>Stream Type A, B, or Bc</t>
        </is>
      </c>
      <c r="E53" s="41" t="n">
        <v>4</v>
      </c>
      <c r="F53" s="41" t="inlineStr"/>
      <c r="G53" s="41" t="n">
        <v>0</v>
      </c>
      <c r="H53" s="41" t="n">
        <v>13</v>
      </c>
      <c r="I53" s="41" t="n">
        <v>30</v>
      </c>
      <c r="J53" s="41" t="n">
        <v>50</v>
      </c>
      <c r="K53" s="41" t="n">
        <v>50</v>
      </c>
      <c r="L53" s="41" t="n">
        <v>50</v>
      </c>
      <c r="M53" s="41" t="n">
        <v>50</v>
      </c>
      <c r="N53" s="41" t="n">
        <v>50</v>
      </c>
      <c r="O53" s="41" t="n">
        <v>0</v>
      </c>
      <c r="P53" s="41" t="n">
        <v>0.3</v>
      </c>
      <c r="Q53" s="41" t="n">
        <v>0.7</v>
      </c>
      <c r="R53" s="41" t="n">
        <v>1</v>
      </c>
      <c r="S53" s="41" t="n">
        <v>1</v>
      </c>
      <c r="T53" s="41" t="n">
        <v>1</v>
      </c>
      <c r="U53" s="41" t="n">
        <v>1</v>
      </c>
      <c r="V53" s="41" t="n">
        <v>1</v>
      </c>
    </row>
    <row r="54">
      <c r="A54" s="41" t="inlineStr">
        <is>
          <t>nutrient_cycling_buffer_width|Stream type C or E</t>
        </is>
      </c>
      <c r="B54" s="41" t="inlineStr">
        <is>
          <t>nutrient-cycling-buffer-width</t>
        </is>
      </c>
      <c r="C54" s="41" t="inlineStr">
        <is>
          <t>Buffer Width</t>
        </is>
      </c>
      <c r="D54" s="41" t="inlineStr">
        <is>
          <t>Stream type C or E</t>
        </is>
      </c>
      <c r="E54" s="41" t="n">
        <v>4</v>
      </c>
      <c r="F54" s="41" t="inlineStr"/>
      <c r="G54" s="41" t="n">
        <v>0</v>
      </c>
      <c r="H54" s="41" t="n">
        <v>30</v>
      </c>
      <c r="I54" s="41" t="n">
        <v>45</v>
      </c>
      <c r="J54" s="41" t="n">
        <v>150</v>
      </c>
      <c r="K54" s="41" t="n">
        <v>150</v>
      </c>
      <c r="L54" s="41" t="n">
        <v>150</v>
      </c>
      <c r="M54" s="41" t="n">
        <v>150</v>
      </c>
      <c r="N54" s="41" t="n">
        <v>150</v>
      </c>
      <c r="O54" s="41" t="n">
        <v>0</v>
      </c>
      <c r="P54" s="41" t="n">
        <v>0.3</v>
      </c>
      <c r="Q54" s="41" t="n">
        <v>0.7</v>
      </c>
      <c r="R54" s="41" t="n">
        <v>1</v>
      </c>
      <c r="S54" s="41" t="n">
        <v>1</v>
      </c>
      <c r="T54" s="41" t="n">
        <v>1</v>
      </c>
      <c r="U54" s="41" t="n">
        <v>1</v>
      </c>
      <c r="V54" s="41" t="n">
        <v>1</v>
      </c>
    </row>
    <row r="55">
      <c r="A55" s="41" t="inlineStr">
        <is>
          <t>nutrient_cycling_total_nitrogen|</t>
        </is>
      </c>
      <c r="B55" s="41" t="inlineStr">
        <is>
          <t>nutrient-cycling-total-nitrogen</t>
        </is>
      </c>
      <c r="C55" s="41" t="inlineStr">
        <is>
          <t>Total Nitrogen</t>
        </is>
      </c>
      <c r="D55" s="41" t="inlineStr"/>
      <c r="E55" s="41" t="n">
        <v>4</v>
      </c>
      <c r="F55" s="41" t="inlineStr"/>
      <c r="G55" s="41" t="n">
        <v>0</v>
      </c>
      <c r="H55" s="41" t="n">
        <v>0.7</v>
      </c>
      <c r="I55" s="41" t="n">
        <v>2</v>
      </c>
      <c r="J55" s="41" t="n">
        <v>3.9</v>
      </c>
      <c r="K55" s="41" t="n">
        <v>3.9</v>
      </c>
      <c r="L55" s="41" t="n">
        <v>3.9</v>
      </c>
      <c r="M55" s="41" t="n">
        <v>3.9</v>
      </c>
      <c r="N55" s="41" t="n">
        <v>3.9</v>
      </c>
      <c r="O55" s="41" t="n">
        <v>1</v>
      </c>
      <c r="P55" s="41" t="n">
        <v>0.7</v>
      </c>
      <c r="Q55" s="41" t="n">
        <v>0.3</v>
      </c>
      <c r="R55" s="41" t="n">
        <v>0.082174</v>
      </c>
      <c r="S55" s="41" t="n">
        <v>0.082174</v>
      </c>
      <c r="T55" s="41" t="n">
        <v>0.082174</v>
      </c>
      <c r="U55" s="41" t="n">
        <v>0.082174</v>
      </c>
      <c r="V55" s="41" t="n">
        <v>0.082174</v>
      </c>
    </row>
    <row r="56">
      <c r="A56" s="41" t="inlineStr">
        <is>
          <t>nutrient_cycling_total_phosphorous|</t>
        </is>
      </c>
      <c r="B56" s="41" t="inlineStr">
        <is>
          <t>nutrient-cycling-total-phosphorous</t>
        </is>
      </c>
      <c r="C56" s="41" t="inlineStr">
        <is>
          <t>Total Phosphorous</t>
        </is>
      </c>
      <c r="D56" s="41" t="inlineStr"/>
      <c r="E56" s="41" t="n">
        <v>4</v>
      </c>
      <c r="F56" s="41" t="inlineStr"/>
      <c r="G56" s="41" t="n">
        <v>0</v>
      </c>
      <c r="H56" s="41" t="n">
        <v>0.09</v>
      </c>
      <c r="I56" s="41" t="n">
        <v>0.18</v>
      </c>
      <c r="J56" s="41" t="n">
        <v>0.236</v>
      </c>
      <c r="K56" s="41" t="n">
        <v>0.236</v>
      </c>
      <c r="L56" s="41" t="n">
        <v>0.236</v>
      </c>
      <c r="M56" s="41" t="n">
        <v>0.236</v>
      </c>
      <c r="N56" s="41" t="n">
        <v>0.236</v>
      </c>
      <c r="O56" s="41" t="n">
        <v>1</v>
      </c>
      <c r="P56" s="41" t="n">
        <v>0.7</v>
      </c>
      <c r="Q56" s="41" t="n">
        <v>0.3</v>
      </c>
      <c r="R56" s="41" t="n">
        <v>0</v>
      </c>
      <c r="S56" s="41" t="n">
        <v>0</v>
      </c>
      <c r="T56" s="41" t="n">
        <v>0</v>
      </c>
      <c r="U56" s="41" t="n">
        <v>0</v>
      </c>
      <c r="V56" s="41" t="n">
        <v>0</v>
      </c>
    </row>
    <row r="57">
      <c r="A57" s="41" t="inlineStr">
        <is>
          <t>water_and_soil_quality_fecal_coliform_bacteria|</t>
        </is>
      </c>
      <c r="B57" s="41" t="inlineStr">
        <is>
          <t>water-and-soil-quality-fecal-coliform-bacteria</t>
        </is>
      </c>
      <c r="C57" s="41" t="inlineStr">
        <is>
          <t>Fecal Coliform Bacteria</t>
        </is>
      </c>
      <c r="D57" s="41" t="inlineStr"/>
      <c r="E57" s="41" t="n">
        <v>4</v>
      </c>
      <c r="F57" s="41" t="inlineStr"/>
      <c r="G57" s="41" t="n">
        <v>0</v>
      </c>
      <c r="H57" s="41" t="n">
        <v>85.27572484</v>
      </c>
      <c r="I57" s="41" t="n">
        <v>199</v>
      </c>
      <c r="J57" s="41" t="n">
        <v>284.2524161</v>
      </c>
      <c r="K57" s="41" t="n">
        <v>284.2524161</v>
      </c>
      <c r="L57" s="41" t="n">
        <v>284.2524161</v>
      </c>
      <c r="M57" s="41" t="n">
        <v>284.2524161</v>
      </c>
      <c r="N57" s="41" t="n">
        <v>284.2524161</v>
      </c>
      <c r="O57" s="41" t="n">
        <v>1</v>
      </c>
      <c r="P57" s="41" t="n">
        <v>0.7</v>
      </c>
      <c r="Q57" s="41" t="n">
        <v>0.3</v>
      </c>
      <c r="R57" s="41" t="n">
        <v>0</v>
      </c>
      <c r="S57" s="41" t="n">
        <v>0</v>
      </c>
      <c r="T57" s="41" t="n">
        <v>0</v>
      </c>
      <c r="U57" s="41" t="n">
        <v>0</v>
      </c>
      <c r="V57" s="41" t="n">
        <v>0</v>
      </c>
    </row>
    <row r="58">
      <c r="A58" s="41" t="inlineStr">
        <is>
          <t>water_and_soil_quality_specific_conductivity|Piedmont</t>
        </is>
      </c>
      <c r="B58" s="41" t="inlineStr">
        <is>
          <t>water-and-soil-quality-specific-conductivity</t>
        </is>
      </c>
      <c r="C58" s="41" t="inlineStr">
        <is>
          <t>Specific Conductivity</t>
        </is>
      </c>
      <c r="D58" s="41" t="inlineStr">
        <is>
          <t>Piedmont</t>
        </is>
      </c>
      <c r="E58" s="41" t="n">
        <v>3</v>
      </c>
      <c r="F58" s="41" t="inlineStr"/>
      <c r="G58" s="41" t="n">
        <v>78</v>
      </c>
      <c r="H58" s="41" t="n">
        <v>229</v>
      </c>
      <c r="I58" s="41" t="n">
        <v>342.8846154</v>
      </c>
      <c r="J58" s="41" t="n">
        <v>342.8846154</v>
      </c>
      <c r="K58" s="41" t="n">
        <v>342.8846154</v>
      </c>
      <c r="L58" s="41" t="n">
        <v>342.8846154</v>
      </c>
      <c r="M58" s="41" t="n">
        <v>342.8846154</v>
      </c>
      <c r="N58" s="41" t="n">
        <v>342.8846154</v>
      </c>
      <c r="O58" s="41" t="n">
        <v>0.6899999999999999</v>
      </c>
      <c r="P58" s="41" t="n">
        <v>0.3</v>
      </c>
      <c r="Q58" s="41" t="n">
        <v>0</v>
      </c>
      <c r="R58" s="41" t="n">
        <v>0</v>
      </c>
      <c r="S58" s="41" t="n">
        <v>0</v>
      </c>
      <c r="T58" s="41" t="n">
        <v>0</v>
      </c>
      <c r="U58" s="41" t="n">
        <v>0</v>
      </c>
      <c r="V58" s="41" t="n">
        <v>0</v>
      </c>
    </row>
    <row r="59">
      <c r="A59" s="41" t="inlineStr">
        <is>
          <t>water_and_soil_quality_specific_conductivity|Mountain Region</t>
        </is>
      </c>
      <c r="B59" s="41" t="inlineStr">
        <is>
          <t>water-and-soil-quality-specific-conductivity</t>
        </is>
      </c>
      <c r="C59" s="41" t="inlineStr">
        <is>
          <t>Specific Conductivity</t>
        </is>
      </c>
      <c r="D59" s="41" t="inlineStr">
        <is>
          <t>Mountain Region</t>
        </is>
      </c>
      <c r="E59" s="41" t="n">
        <v>3</v>
      </c>
      <c r="F59" s="41" t="inlineStr"/>
      <c r="G59" s="41" t="n">
        <v>41</v>
      </c>
      <c r="H59" s="41" t="n">
        <v>66</v>
      </c>
      <c r="I59" s="41" t="n">
        <v>85.23076923000001</v>
      </c>
      <c r="J59" s="41" t="n">
        <v>85.23076923000001</v>
      </c>
      <c r="K59" s="41" t="n">
        <v>85.23076923000001</v>
      </c>
      <c r="L59" s="41" t="n">
        <v>85.23076923000001</v>
      </c>
      <c r="M59" s="41" t="n">
        <v>85.23076923000001</v>
      </c>
      <c r="N59" s="41" t="n">
        <v>85.23076923000001</v>
      </c>
      <c r="O59" s="41" t="n">
        <v>0.6899999999999999</v>
      </c>
      <c r="P59" s="41" t="n">
        <v>0.3</v>
      </c>
      <c r="Q59" s="41" t="n">
        <v>0</v>
      </c>
      <c r="R59" s="41" t="n">
        <v>0</v>
      </c>
      <c r="S59" s="41" t="n">
        <v>0</v>
      </c>
      <c r="T59" s="41" t="n">
        <v>0</v>
      </c>
      <c r="U59" s="41" t="n">
        <v>0</v>
      </c>
      <c r="V59" s="41" t="n">
        <v>0</v>
      </c>
    </row>
    <row r="60">
      <c r="A60" s="41" t="inlineStr">
        <is>
          <t>habitat_provision_lwd_pieces|</t>
        </is>
      </c>
      <c r="B60" s="41" t="inlineStr">
        <is>
          <t>habitat-provision-lwd-pieces</t>
        </is>
      </c>
      <c r="C60" s="41" t="inlineStr">
        <is>
          <t>LWD # Pieces</t>
        </is>
      </c>
      <c r="D60" s="41" t="inlineStr"/>
      <c r="E60" s="41" t="n">
        <v>4</v>
      </c>
      <c r="F60" s="41" t="inlineStr"/>
      <c r="G60" s="41" t="n">
        <v>0</v>
      </c>
      <c r="H60" s="41" t="n">
        <v>10</v>
      </c>
      <c r="I60" s="41" t="n">
        <v>15</v>
      </c>
      <c r="J60" s="41" t="n">
        <v>30</v>
      </c>
      <c r="K60" s="41" t="n">
        <v>30</v>
      </c>
      <c r="L60" s="41" t="n">
        <v>30</v>
      </c>
      <c r="M60" s="41" t="n">
        <v>30</v>
      </c>
      <c r="N60" s="41" t="n">
        <v>30</v>
      </c>
      <c r="O60" s="41" t="n">
        <v>0</v>
      </c>
      <c r="P60" s="41" t="n">
        <v>0.3</v>
      </c>
      <c r="Q60" s="41" t="n">
        <v>0.6899999999999999</v>
      </c>
      <c r="R60" s="41" t="n">
        <v>1</v>
      </c>
      <c r="S60" s="41" t="n">
        <v>1</v>
      </c>
      <c r="T60" s="41" t="n">
        <v>1</v>
      </c>
      <c r="U60" s="41" t="n">
        <v>1</v>
      </c>
      <c r="V60" s="41" t="n">
        <v>1</v>
      </c>
    </row>
    <row r="61">
      <c r="A61" s="41" t="inlineStr">
        <is>
          <t>habitat_provision_lwd_index|</t>
        </is>
      </c>
      <c r="B61" s="41" t="inlineStr">
        <is>
          <t>habitat-provision-lwd-index</t>
        </is>
      </c>
      <c r="C61" s="41" t="inlineStr">
        <is>
          <t>LWD Index</t>
        </is>
      </c>
      <c r="D61" s="41" t="inlineStr"/>
      <c r="E61" s="41" t="n">
        <v>4</v>
      </c>
      <c r="F61" s="41" t="inlineStr"/>
      <c r="G61" s="41" t="n">
        <v>0</v>
      </c>
      <c r="H61" s="41" t="n">
        <v>200</v>
      </c>
      <c r="I61" s="41" t="n">
        <v>300</v>
      </c>
      <c r="J61" s="41" t="n">
        <v>700</v>
      </c>
      <c r="K61" s="41" t="n">
        <v>700</v>
      </c>
      <c r="L61" s="41" t="n">
        <v>700</v>
      </c>
      <c r="M61" s="41" t="n">
        <v>700</v>
      </c>
      <c r="N61" s="41" t="n">
        <v>700</v>
      </c>
      <c r="O61" s="41" t="n">
        <v>0</v>
      </c>
      <c r="P61" s="41" t="n">
        <v>0.3</v>
      </c>
      <c r="Q61" s="41" t="n">
        <v>0.7</v>
      </c>
      <c r="R61" s="41" t="n">
        <v>1</v>
      </c>
      <c r="S61" s="41" t="n">
        <v>1</v>
      </c>
      <c r="T61" s="41" t="n">
        <v>1</v>
      </c>
      <c r="U61" s="41" t="n">
        <v>1</v>
      </c>
      <c r="V61" s="41" t="n">
        <v>1</v>
      </c>
    </row>
    <row r="62">
      <c r="A62" s="41" t="inlineStr">
        <is>
          <t>habitat_provision_percent_riffle|Streams &lt; 3% slope</t>
        </is>
      </c>
      <c r="B62" s="41" t="inlineStr">
        <is>
          <t>habitat-provision-percent-riffle</t>
        </is>
      </c>
      <c r="C62" s="41" t="inlineStr">
        <is>
          <t>Percent Riffle</t>
        </is>
      </c>
      <c r="D62" s="41" t="inlineStr">
        <is>
          <t>Streams &lt; 3% slope</t>
        </is>
      </c>
      <c r="E62" s="41" t="n">
        <v>3</v>
      </c>
      <c r="F62" s="41" t="inlineStr"/>
      <c r="G62" s="41" t="n">
        <v>31.42857143</v>
      </c>
      <c r="H62" s="41" t="n">
        <v>40</v>
      </c>
      <c r="I62" s="41" t="n">
        <v>60</v>
      </c>
      <c r="J62" s="41" t="n">
        <v>60</v>
      </c>
      <c r="K62" s="41" t="n">
        <v>60</v>
      </c>
      <c r="L62" s="41" t="n">
        <v>60</v>
      </c>
      <c r="M62" s="41" t="n">
        <v>60</v>
      </c>
      <c r="N62" s="41" t="n">
        <v>60</v>
      </c>
      <c r="O62" s="41" t="n">
        <v>0</v>
      </c>
      <c r="P62" s="41" t="n">
        <v>0.3</v>
      </c>
      <c r="Q62" s="41" t="n">
        <v>1</v>
      </c>
      <c r="R62" s="41" t="n">
        <v>1</v>
      </c>
      <c r="S62" s="41" t="n">
        <v>1</v>
      </c>
      <c r="T62" s="41" t="n">
        <v>1</v>
      </c>
      <c r="U62" s="41" t="n">
        <v>1</v>
      </c>
      <c r="V62" s="41" t="n">
        <v>1</v>
      </c>
    </row>
    <row r="63">
      <c r="A63" s="41" t="inlineStr">
        <is>
          <t>habitat_provision_percent_riffle|Streams 3%-10% slope</t>
        </is>
      </c>
      <c r="B63" s="41" t="inlineStr">
        <is>
          <t>habitat-provision-percent-riffle</t>
        </is>
      </c>
      <c r="C63" s="41" t="inlineStr">
        <is>
          <t>Percent Riffle</t>
        </is>
      </c>
      <c r="D63" s="41" t="inlineStr">
        <is>
          <t>Streams 3%-10% slope</t>
        </is>
      </c>
      <c r="E63" s="41" t="n">
        <v>4</v>
      </c>
      <c r="F63" s="41" t="inlineStr"/>
      <c r="G63" s="41" t="n">
        <v>33.10161663</v>
      </c>
      <c r="H63" s="41" t="n">
        <v>40</v>
      </c>
      <c r="I63" s="41" t="n">
        <v>49</v>
      </c>
      <c r="J63" s="41" t="n">
        <v>50</v>
      </c>
      <c r="K63" s="41" t="n">
        <v>50</v>
      </c>
      <c r="L63" s="41" t="n">
        <v>50</v>
      </c>
      <c r="M63" s="41" t="n">
        <v>50</v>
      </c>
      <c r="N63" s="41" t="n">
        <v>50</v>
      </c>
      <c r="O63" s="41" t="n">
        <v>0</v>
      </c>
      <c r="P63" s="41" t="n">
        <v>0.3</v>
      </c>
      <c r="Q63" s="41" t="n">
        <v>0.6899999999999999</v>
      </c>
      <c r="R63" s="41" t="n">
        <v>1</v>
      </c>
      <c r="S63" s="41" t="n">
        <v>1</v>
      </c>
      <c r="T63" s="41" t="n">
        <v>1</v>
      </c>
      <c r="U63" s="41" t="n">
        <v>1</v>
      </c>
      <c r="V63" s="41" t="n">
        <v>1</v>
      </c>
    </row>
    <row r="64">
      <c r="A64" s="41" t="inlineStr">
        <is>
          <t>habitat_provision_percent_riffle|Streams &gt;10% slope</t>
        </is>
      </c>
      <c r="B64" s="41" t="inlineStr">
        <is>
          <t>habitat-provision-percent-riffle</t>
        </is>
      </c>
      <c r="C64" s="41" t="inlineStr">
        <is>
          <t>Percent Riffle</t>
        </is>
      </c>
      <c r="D64" s="41" t="inlineStr">
        <is>
          <t>Streams &gt;10% slope</t>
        </is>
      </c>
      <c r="E64" s="41" t="n">
        <v>4</v>
      </c>
      <c r="F64" s="41" t="inlineStr"/>
      <c r="G64" s="41" t="n">
        <v>66.7145</v>
      </c>
      <c r="H64" s="41" t="n">
        <v>70</v>
      </c>
      <c r="I64" s="41" t="n">
        <v>75</v>
      </c>
      <c r="J64" s="41" t="n">
        <v>80</v>
      </c>
      <c r="K64" s="41" t="n">
        <v>80</v>
      </c>
      <c r="L64" s="41" t="n">
        <v>80</v>
      </c>
      <c r="M64" s="41" t="n">
        <v>80</v>
      </c>
      <c r="N64" s="41" t="n">
        <v>80</v>
      </c>
      <c r="O64" s="41" t="n">
        <v>0</v>
      </c>
      <c r="P64" s="41" t="n">
        <v>0.3</v>
      </c>
      <c r="Q64" s="41" t="n">
        <v>0.6899999999999999</v>
      </c>
      <c r="R64" s="41" t="n">
        <v>1</v>
      </c>
      <c r="S64" s="41" t="n">
        <v>1</v>
      </c>
      <c r="T64" s="41" t="n">
        <v>1</v>
      </c>
      <c r="U64" s="41" t="n">
        <v>1</v>
      </c>
      <c r="V64" s="41" t="n">
        <v>1</v>
      </c>
    </row>
    <row r="65">
      <c r="A65" s="41" t="inlineStr">
        <is>
          <t>habitat_provision_pool_depth_ratio|gravel bed C and E stream</t>
        </is>
      </c>
      <c r="B65" s="41" t="inlineStr">
        <is>
          <t>habitat-provision-pool-depth-ratio</t>
        </is>
      </c>
      <c r="C65" s="41" t="inlineStr">
        <is>
          <t>Pool Depth Ratio</t>
        </is>
      </c>
      <c r="D65" s="41" t="inlineStr">
        <is>
          <t>gravel bed C and E stream</t>
        </is>
      </c>
      <c r="E65" s="41" t="n">
        <v>4</v>
      </c>
      <c r="F65" s="41" t="inlineStr"/>
      <c r="G65" s="41" t="n">
        <v>1.1</v>
      </c>
      <c r="H65" s="41" t="n">
        <v>1.2</v>
      </c>
      <c r="I65" s="41" t="n">
        <v>1.51</v>
      </c>
      <c r="J65" s="41" t="n">
        <v>1.742540494</v>
      </c>
      <c r="K65" s="41" t="n">
        <v>1.742540494</v>
      </c>
      <c r="L65" s="41" t="n">
        <v>1.742540494</v>
      </c>
      <c r="M65" s="41" t="n">
        <v>1.742540494</v>
      </c>
      <c r="N65" s="41" t="n">
        <v>1.742540494</v>
      </c>
      <c r="O65" s="41" t="n">
        <v>0</v>
      </c>
      <c r="P65" s="41" t="n">
        <v>0.3</v>
      </c>
      <c r="Q65" s="41" t="n">
        <v>0.7</v>
      </c>
      <c r="R65" s="41" t="n">
        <v>1</v>
      </c>
      <c r="S65" s="41" t="n">
        <v>1</v>
      </c>
      <c r="T65" s="41" t="n">
        <v>1</v>
      </c>
      <c r="U65" s="41" t="n">
        <v>1</v>
      </c>
      <c r="V65" s="41" t="n">
        <v>1</v>
      </c>
    </row>
    <row r="66">
      <c r="A66" s="41" t="inlineStr">
        <is>
          <t>habitat_provision_pool_depth_ratio|sand bed C and E stream</t>
        </is>
      </c>
      <c r="B66" s="41" t="inlineStr">
        <is>
          <t>habitat-provision-pool-depth-ratio</t>
        </is>
      </c>
      <c r="C66" s="41" t="inlineStr">
        <is>
          <t>Pool Depth Ratio</t>
        </is>
      </c>
      <c r="D66" s="41" t="inlineStr">
        <is>
          <t>sand bed C and E stream</t>
        </is>
      </c>
      <c r="E66" s="41" t="n">
        <v>4</v>
      </c>
      <c r="F66" s="41" t="inlineStr"/>
      <c r="G66" s="41" t="n">
        <v>1.1</v>
      </c>
      <c r="H66" s="41" t="n">
        <v>1.15</v>
      </c>
      <c r="I66" s="41" t="n">
        <v>1.21</v>
      </c>
      <c r="J66" s="41" t="n">
        <v>1.2513</v>
      </c>
      <c r="K66" s="41" t="n">
        <v>1.2513</v>
      </c>
      <c r="L66" s="41" t="n">
        <v>1.2513</v>
      </c>
      <c r="M66" s="41" t="n">
        <v>1.2513</v>
      </c>
      <c r="N66" s="41" t="n">
        <v>1.2513</v>
      </c>
      <c r="O66" s="41" t="n">
        <v>0</v>
      </c>
      <c r="P66" s="41" t="n">
        <v>0.3</v>
      </c>
      <c r="Q66" s="41" t="n">
        <v>0.7</v>
      </c>
      <c r="R66" s="41" t="n">
        <v>1</v>
      </c>
      <c r="S66" s="41" t="n">
        <v>1</v>
      </c>
      <c r="T66" s="41" t="n">
        <v>1</v>
      </c>
      <c r="U66" s="41" t="n">
        <v>1</v>
      </c>
      <c r="V66" s="41" t="n">
        <v>1</v>
      </c>
    </row>
    <row r="67">
      <c r="A67" s="41" t="inlineStr">
        <is>
          <t>habitat_provision_pool_depth_ratio|A, B and Bc stream</t>
        </is>
      </c>
      <c r="B67" s="41" t="inlineStr">
        <is>
          <t>habitat-provision-pool-depth-ratio</t>
        </is>
      </c>
      <c r="C67" s="41" t="inlineStr">
        <is>
          <t>Pool Depth Ratio</t>
        </is>
      </c>
      <c r="D67" s="41" t="inlineStr">
        <is>
          <t>A, B and Bc stream</t>
        </is>
      </c>
      <c r="E67" s="41" t="n">
        <v>4</v>
      </c>
      <c r="F67" s="41" t="inlineStr"/>
      <c r="G67" s="41" t="n">
        <v>1.1</v>
      </c>
      <c r="H67" s="41" t="n">
        <v>1.2</v>
      </c>
      <c r="I67" s="41" t="n">
        <v>1.51</v>
      </c>
      <c r="J67" s="41" t="n">
        <v>1.742540494</v>
      </c>
      <c r="K67" s="41" t="n">
        <v>1.742540494</v>
      </c>
      <c r="L67" s="41" t="n">
        <v>1.742540494</v>
      </c>
      <c r="M67" s="41" t="n">
        <v>1.742540494</v>
      </c>
      <c r="N67" s="41" t="n">
        <v>1.742540494</v>
      </c>
      <c r="O67" s="41" t="n">
        <v>0</v>
      </c>
      <c r="P67" s="41" t="n">
        <v>0.3</v>
      </c>
      <c r="Q67" s="41" t="n">
        <v>0.7</v>
      </c>
      <c r="R67" s="41" t="n">
        <v>1</v>
      </c>
      <c r="S67" s="41" t="n">
        <v>1</v>
      </c>
      <c r="T67" s="41" t="n">
        <v>1</v>
      </c>
      <c r="U67" s="41" t="n">
        <v>1</v>
      </c>
      <c r="V67" s="41" t="n">
        <v>1</v>
      </c>
    </row>
    <row r="68">
      <c r="A68" s="41" t="inlineStr">
        <is>
          <t>habitat_provision_pool_spacing_ratio|slope &lt; 4% &amp; DA &gt;=10 &amp; C or E stream types</t>
        </is>
      </c>
      <c r="B68" s="41" t="inlineStr">
        <is>
          <t>habitat-provision-pool-spacing-ratio</t>
        </is>
      </c>
      <c r="C68" s="41" t="inlineStr">
        <is>
          <t>Pool Spacing Ratio</t>
        </is>
      </c>
      <c r="D68" s="41" t="inlineStr">
        <is>
          <t>slope &lt; 4% &amp; DA &gt;=10 &amp; C or E stream types</t>
        </is>
      </c>
      <c r="E68" s="41" t="n">
        <v>5</v>
      </c>
      <c r="F68" s="41" t="inlineStr"/>
      <c r="G68" s="41" t="n">
        <v>2.9416</v>
      </c>
      <c r="H68" s="41" t="n">
        <v>3.2</v>
      </c>
      <c r="I68" s="41" t="n">
        <v>4</v>
      </c>
      <c r="J68" s="41" t="n">
        <v>7.8</v>
      </c>
      <c r="K68" s="41" t="n">
        <v>8.066800000000001</v>
      </c>
      <c r="L68" s="41" t="n">
        <v>8.066800000000001</v>
      </c>
      <c r="M68" s="41" t="n">
        <v>8.066800000000001</v>
      </c>
      <c r="N68" s="41" t="n">
        <v>8.066800000000001</v>
      </c>
      <c r="O68" s="41" t="n">
        <v>0</v>
      </c>
      <c r="P68" s="41" t="n">
        <v>0.29</v>
      </c>
      <c r="Q68" s="41" t="n">
        <v>1</v>
      </c>
      <c r="R68" s="41" t="n">
        <v>0.3</v>
      </c>
      <c r="S68" s="41" t="n">
        <v>0</v>
      </c>
      <c r="T68" s="41" t="n">
        <v>0</v>
      </c>
      <c r="U68" s="41" t="n">
        <v>0</v>
      </c>
      <c r="V68" s="41" t="n">
        <v>0</v>
      </c>
    </row>
    <row r="69">
      <c r="A69" s="41" t="inlineStr">
        <is>
          <t>habitat_provision_pool_spacing_ratio|slope &lt; 4% &amp; DA &lt;10 &amp; C or E stream types</t>
        </is>
      </c>
      <c r="B69" s="41" t="inlineStr">
        <is>
          <t>habitat-provision-pool-spacing-ratio</t>
        </is>
      </c>
      <c r="C69" s="41" t="inlineStr">
        <is>
          <t>Pool Spacing Ratio</t>
        </is>
      </c>
      <c r="D69" s="41" t="inlineStr">
        <is>
          <t>slope &lt; 4% &amp; DA &lt;10 &amp; C or E stream types</t>
        </is>
      </c>
      <c r="E69" s="41" t="n">
        <v>2</v>
      </c>
      <c r="F69" s="41" t="inlineStr"/>
      <c r="G69" s="41" t="n">
        <v>3</v>
      </c>
      <c r="H69" s="41" t="n">
        <v>4</v>
      </c>
      <c r="I69" s="41" t="n">
        <v>4</v>
      </c>
      <c r="J69" s="41" t="n">
        <v>4</v>
      </c>
      <c r="K69" s="41" t="n">
        <v>4</v>
      </c>
      <c r="L69" s="41" t="n">
        <v>4</v>
      </c>
      <c r="M69" s="41" t="n">
        <v>4</v>
      </c>
      <c r="N69" s="41" t="n">
        <v>4</v>
      </c>
      <c r="O69" s="41" t="n">
        <v>0.3</v>
      </c>
      <c r="P69" s="41" t="n">
        <v>1</v>
      </c>
      <c r="Q69" s="41" t="n">
        <v>1</v>
      </c>
      <c r="R69" s="41" t="n">
        <v>1</v>
      </c>
      <c r="S69" s="41" t="n">
        <v>1</v>
      </c>
      <c r="T69" s="41" t="n">
        <v>1</v>
      </c>
      <c r="U69" s="41" t="n">
        <v>1</v>
      </c>
      <c r="V69" s="41" t="n">
        <v>1</v>
      </c>
    </row>
    <row r="70">
      <c r="A70" s="41" t="inlineStr">
        <is>
          <t>population_support_ept_taxa_present|Mountains</t>
        </is>
      </c>
      <c r="B70" s="41" t="inlineStr">
        <is>
          <t>population-support-ept-taxa-present</t>
        </is>
      </c>
      <c r="C70" s="41" t="inlineStr">
        <is>
          <t>EPT Taxa Present</t>
        </is>
      </c>
      <c r="D70" s="41" t="inlineStr">
        <is>
          <t>Mountains</t>
        </is>
      </c>
      <c r="E70" s="41" t="n">
        <v>4</v>
      </c>
      <c r="F70" s="41" t="inlineStr"/>
      <c r="G70" s="41" t="n">
        <v>10</v>
      </c>
      <c r="H70" s="41" t="n">
        <v>19</v>
      </c>
      <c r="I70" s="41" t="n">
        <v>28</v>
      </c>
      <c r="J70" s="41" t="n">
        <v>36</v>
      </c>
      <c r="K70" s="41" t="n">
        <v>36</v>
      </c>
      <c r="L70" s="41" t="n">
        <v>36</v>
      </c>
      <c r="M70" s="41" t="n">
        <v>36</v>
      </c>
      <c r="N70" s="41" t="n">
        <v>36</v>
      </c>
      <c r="O70" s="41" t="n">
        <v>0</v>
      </c>
      <c r="P70" s="41" t="n">
        <v>0.3</v>
      </c>
      <c r="Q70" s="41" t="n">
        <v>0.7</v>
      </c>
      <c r="R70" s="41" t="n">
        <v>1</v>
      </c>
      <c r="S70" s="41" t="n">
        <v>1</v>
      </c>
      <c r="T70" s="41" t="n">
        <v>1</v>
      </c>
      <c r="U70" s="41" t="n">
        <v>1</v>
      </c>
      <c r="V70" s="41" t="n">
        <v>1</v>
      </c>
    </row>
    <row r="71">
      <c r="A71" s="41" t="inlineStr">
        <is>
          <t>population_support_ept_taxa_present|Piedmont</t>
        </is>
      </c>
      <c r="B71" s="41" t="inlineStr">
        <is>
          <t>population-support-ept-taxa-present</t>
        </is>
      </c>
      <c r="C71" s="41" t="inlineStr">
        <is>
          <t>EPT Taxa Present</t>
        </is>
      </c>
      <c r="D71" s="41" t="inlineStr">
        <is>
          <t>Piedmont</t>
        </is>
      </c>
      <c r="E71" s="41" t="n">
        <v>4</v>
      </c>
      <c r="F71" s="41" t="inlineStr"/>
      <c r="G71" s="41" t="n">
        <v>6</v>
      </c>
      <c r="H71" s="41" t="n">
        <v>14</v>
      </c>
      <c r="I71" s="41" t="n">
        <v>21</v>
      </c>
      <c r="J71" s="41" t="n">
        <v>28</v>
      </c>
      <c r="K71" s="41" t="n">
        <v>28</v>
      </c>
      <c r="L71" s="41" t="n">
        <v>28</v>
      </c>
      <c r="M71" s="41" t="n">
        <v>28</v>
      </c>
      <c r="N71" s="41" t="n">
        <v>28</v>
      </c>
      <c r="O71" s="41" t="n">
        <v>0</v>
      </c>
      <c r="P71" s="41" t="n">
        <v>0.3</v>
      </c>
      <c r="Q71" s="41" t="n">
        <v>0.7</v>
      </c>
      <c r="R71" s="41" t="n">
        <v>1</v>
      </c>
      <c r="S71" s="41" t="n">
        <v>1</v>
      </c>
      <c r="T71" s="41" t="n">
        <v>1</v>
      </c>
      <c r="U71" s="41" t="n">
        <v>1</v>
      </c>
      <c r="V71" s="41" t="n">
        <v>1</v>
      </c>
    </row>
    <row r="72">
      <c r="A72" s="41" t="inlineStr">
        <is>
          <t>population_support_ept_taxa_present|Coastal Plain</t>
        </is>
      </c>
      <c r="B72" s="41" t="inlineStr">
        <is>
          <t>population-support-ept-taxa-present</t>
        </is>
      </c>
      <c r="C72" s="41" t="inlineStr">
        <is>
          <t>EPT Taxa Present</t>
        </is>
      </c>
      <c r="D72" s="41" t="inlineStr">
        <is>
          <t>Coastal Plain</t>
        </is>
      </c>
      <c r="E72" s="41" t="n">
        <v>4</v>
      </c>
      <c r="F72" s="41" t="inlineStr"/>
      <c r="G72" s="41" t="n">
        <v>5</v>
      </c>
      <c r="H72" s="41" t="n">
        <v>12</v>
      </c>
      <c r="I72" s="41" t="n">
        <v>18</v>
      </c>
      <c r="J72" s="41" t="n">
        <v>24</v>
      </c>
      <c r="K72" s="41" t="n">
        <v>24</v>
      </c>
      <c r="L72" s="41" t="n">
        <v>24</v>
      </c>
      <c r="M72" s="41" t="n">
        <v>24</v>
      </c>
      <c r="N72" s="41" t="n">
        <v>24</v>
      </c>
      <c r="O72" s="41" t="n">
        <v>0</v>
      </c>
      <c r="P72" s="41" t="n">
        <v>0.3</v>
      </c>
      <c r="Q72" s="41" t="n">
        <v>0.7</v>
      </c>
      <c r="R72" s="41" t="n">
        <v>1</v>
      </c>
      <c r="S72" s="41" t="n">
        <v>1</v>
      </c>
      <c r="T72" s="41" t="n">
        <v>1</v>
      </c>
      <c r="U72" s="41" t="n">
        <v>1</v>
      </c>
      <c r="V72" s="41" t="n">
        <v>1</v>
      </c>
    </row>
    <row r="73">
      <c r="A73" s="41" t="inlineStr">
        <is>
          <t>population_support_ncibi_score|French Broad, Hiwassee, Little Tennessee, New, and Watauga River basins</t>
        </is>
      </c>
      <c r="B73" s="41" t="inlineStr">
        <is>
          <t>population-support-ncibi-score</t>
        </is>
      </c>
      <c r="C73" s="41" t="inlineStr">
        <is>
          <t>NCIBI Score</t>
        </is>
      </c>
      <c r="D73" s="41" t="inlineStr">
        <is>
          <t>French Broad, Hiwassee, Little Tennessee, New, and Watauga River basins</t>
        </is>
      </c>
      <c r="E73" s="41" t="n">
        <v>4</v>
      </c>
      <c r="F73" s="41" t="inlineStr"/>
      <c r="G73" s="41" t="n">
        <v>21.15384615</v>
      </c>
      <c r="H73" s="41" t="n">
        <v>33</v>
      </c>
      <c r="I73" s="41" t="n">
        <v>48</v>
      </c>
      <c r="J73" s="41" t="n">
        <v>60</v>
      </c>
      <c r="K73" s="41" t="n">
        <v>60</v>
      </c>
      <c r="L73" s="41" t="n">
        <v>60</v>
      </c>
      <c r="M73" s="41" t="n">
        <v>60</v>
      </c>
      <c r="N73" s="41" t="n">
        <v>60</v>
      </c>
      <c r="O73" s="41" t="n">
        <v>0</v>
      </c>
      <c r="P73" s="41" t="n">
        <v>0.3</v>
      </c>
      <c r="Q73" s="41" t="n">
        <v>0.7</v>
      </c>
      <c r="R73" s="41" t="n">
        <v>1</v>
      </c>
      <c r="S73" s="41" t="n">
        <v>1</v>
      </c>
      <c r="T73" s="41" t="n">
        <v>1</v>
      </c>
      <c r="U73" s="41" t="n">
        <v>1</v>
      </c>
      <c r="V73" s="41" t="n">
        <v>1</v>
      </c>
    </row>
    <row r="74">
      <c r="A74" s="41" t="inlineStr">
        <is>
          <t>population_support_ncibi_score|Broad, Catawba, Savannah, and Yadkin River basins</t>
        </is>
      </c>
      <c r="B74" s="41" t="inlineStr">
        <is>
          <t>population-support-ncibi-score</t>
        </is>
      </c>
      <c r="C74" s="41" t="inlineStr">
        <is>
          <t>NCIBI Score</t>
        </is>
      </c>
      <c r="D74" s="41" t="inlineStr">
        <is>
          <t>Broad, Catawba, Savannah, and Yadkin River basins</t>
        </is>
      </c>
      <c r="E74" s="41" t="n">
        <v>4</v>
      </c>
      <c r="F74" s="41" t="inlineStr"/>
      <c r="G74" s="41" t="n">
        <v>26.6</v>
      </c>
      <c r="H74" s="41" t="n">
        <v>35</v>
      </c>
      <c r="I74" s="41" t="n">
        <v>48</v>
      </c>
      <c r="J74" s="41" t="n">
        <v>60</v>
      </c>
      <c r="K74" s="41" t="n">
        <v>60</v>
      </c>
      <c r="L74" s="41" t="n">
        <v>60</v>
      </c>
      <c r="M74" s="41" t="n">
        <v>60</v>
      </c>
      <c r="N74" s="41" t="n">
        <v>60</v>
      </c>
      <c r="O74" s="41" t="n">
        <v>0</v>
      </c>
      <c r="P74" s="41" t="n">
        <v>0.3</v>
      </c>
      <c r="Q74" s="41" t="n">
        <v>0.7</v>
      </c>
      <c r="R74" s="41" t="n">
        <v>1</v>
      </c>
      <c r="S74" s="41" t="n">
        <v>1</v>
      </c>
      <c r="T74" s="41" t="n">
        <v>1</v>
      </c>
      <c r="U74" s="41" t="n">
        <v>1</v>
      </c>
      <c r="V74" s="41" t="n">
        <v>1</v>
      </c>
    </row>
    <row r="75">
      <c r="A75" s="41" t="inlineStr">
        <is>
          <t>population_support_ncibi_score|Cape Fear, Neuse, Roanoke, and Tar-Pamlico River basins</t>
        </is>
      </c>
      <c r="B75" s="41" t="inlineStr">
        <is>
          <t>population-support-ncibi-score</t>
        </is>
      </c>
      <c r="C75" s="41" t="inlineStr">
        <is>
          <t>NCIBI Score</t>
        </is>
      </c>
      <c r="D75" s="41" t="inlineStr">
        <is>
          <t>Cape Fear, Neuse, Roanoke, and Tar-Pamlico River basins</t>
        </is>
      </c>
      <c r="E75" s="41" t="n">
        <v>4</v>
      </c>
      <c r="F75" s="41" t="inlineStr"/>
      <c r="G75" s="41" t="n">
        <v>25.1</v>
      </c>
      <c r="H75" s="41" t="n">
        <v>33</v>
      </c>
      <c r="I75" s="41" t="n">
        <v>46</v>
      </c>
      <c r="J75" s="41" t="n">
        <v>60</v>
      </c>
      <c r="K75" s="41" t="n">
        <v>60</v>
      </c>
      <c r="L75" s="41" t="n">
        <v>60</v>
      </c>
      <c r="M75" s="41" t="n">
        <v>60</v>
      </c>
      <c r="N75" s="41" t="n">
        <v>60</v>
      </c>
      <c r="O75" s="41" t="n">
        <v>0</v>
      </c>
      <c r="P75" s="41" t="n">
        <v>0.3</v>
      </c>
      <c r="Q75" s="41" t="n">
        <v>0.7</v>
      </c>
      <c r="R75" s="41" t="n">
        <v>1</v>
      </c>
      <c r="S75" s="41" t="n">
        <v>1</v>
      </c>
      <c r="T75" s="41" t="n">
        <v>1</v>
      </c>
      <c r="U75" s="41" t="n">
        <v>1</v>
      </c>
      <c r="V75" s="41" t="n">
        <v>1</v>
      </c>
    </row>
    <row r="78">
      <c r="A78" s="70" t="inlineStr">
        <is>
          <t>Curve sets by metric</t>
        </is>
      </c>
    </row>
    <row r="79">
      <c r="A79" s="41" t="inlineStr">
        <is>
          <t>C and E Streams</t>
        </is>
      </c>
      <c r="B79" s="5" t="inlineStr">
        <is>
          <t>Entrenchment Ratio (ER)</t>
        </is>
      </c>
    </row>
    <row r="80">
      <c r="A80" s="41" t="inlineStr">
        <is>
          <t>A, B and Bc Streams</t>
        </is>
      </c>
      <c r="B80" s="5" t="inlineStr">
        <is>
          <t>Entrenchment Ratio (ER)</t>
        </is>
      </c>
    </row>
    <row r="81">
      <c r="A81" s="41" t="inlineStr">
        <is>
          <t>E5 streams in Unconfined Alluvial Valleys</t>
        </is>
      </c>
      <c r="B81" s="5" t="inlineStr">
        <is>
          <t>Sinuosity</t>
        </is>
      </c>
    </row>
    <row r="82">
      <c r="A82" s="41" t="inlineStr">
        <is>
          <t>Unconfined Alluvial Valleys</t>
        </is>
      </c>
      <c r="B82" s="5" t="inlineStr">
        <is>
          <t>Sinuosity</t>
        </is>
      </c>
    </row>
    <row r="83">
      <c r="A83" s="41" t="inlineStr">
        <is>
          <t>Confined Alluvial Valleys</t>
        </is>
      </c>
      <c r="B83" s="5" t="inlineStr">
        <is>
          <t>Sinuosity</t>
        </is>
      </c>
    </row>
    <row r="84">
      <c r="A84" s="41" t="inlineStr">
        <is>
          <t>Colluvial Valleys</t>
        </is>
      </c>
      <c r="B84" s="5" t="inlineStr">
        <is>
          <t>Sinuosity</t>
        </is>
      </c>
    </row>
    <row r="85">
      <c r="A85" s="41" t="inlineStr">
        <is>
          <t>Coldwater</t>
        </is>
      </c>
      <c r="B85" s="5" t="inlineStr">
        <is>
          <t>Summer Daily Maximum</t>
        </is>
      </c>
    </row>
    <row r="86">
      <c r="A86" s="41" t="inlineStr">
        <is>
          <t>Coolwater</t>
        </is>
      </c>
      <c r="B86" s="5" t="inlineStr">
        <is>
          <t>Summer Daily Maximum</t>
        </is>
      </c>
    </row>
    <row r="87">
      <c r="A87" s="41" t="inlineStr">
        <is>
          <t>Field - W/Sp - Mountains &amp; DA &lt;= 5 Sq.Mi.</t>
        </is>
      </c>
      <c r="B87" s="5" t="inlineStr">
        <is>
          <t>Shredders</t>
        </is>
      </c>
    </row>
    <row r="88">
      <c r="A88" s="41" t="inlineStr">
        <is>
          <t>Field - Su - Mountains &amp; DA &lt;= 5 Sq.Mi.</t>
        </is>
      </c>
      <c r="B88" s="5" t="inlineStr">
        <is>
          <t>Shredders</t>
        </is>
      </c>
    </row>
    <row r="89">
      <c r="A89" s="41" t="inlineStr">
        <is>
          <t>Field - Fall - Mountains &amp; DA &lt;= 5 Sq.Mi.</t>
        </is>
      </c>
      <c r="B89" s="5" t="inlineStr">
        <is>
          <t>Shredders</t>
        </is>
      </c>
    </row>
    <row r="90">
      <c r="A90" s="41" t="inlineStr">
        <is>
          <t>Field - W/Sp - Mountains &amp; 5 &lt; DA &lt; 10 Sq.Mi.</t>
        </is>
      </c>
      <c r="B90" s="5" t="inlineStr">
        <is>
          <t>Shredders</t>
        </is>
      </c>
    </row>
    <row r="91">
      <c r="A91" s="41" t="inlineStr">
        <is>
          <t>Field - Su - Mountains &amp; 5 &lt; DA &lt; 10 Sq.Mi.</t>
        </is>
      </c>
      <c r="B91" s="5" t="inlineStr">
        <is>
          <t>Shredders</t>
        </is>
      </c>
    </row>
    <row r="92">
      <c r="A92" s="41" t="inlineStr">
        <is>
          <t>Field - Fall - Mountains &amp; 5 &lt; DA &lt; 10 Sq.Mi.</t>
        </is>
      </c>
      <c r="B92" s="5" t="inlineStr">
        <is>
          <t>Shredders</t>
        </is>
      </c>
    </row>
    <row r="93">
      <c r="A93" s="41" t="inlineStr">
        <is>
          <t>Field - W/Sp - Mountains &amp; DA &gt;= 10 Sq.Mi.</t>
        </is>
      </c>
      <c r="B93" s="5" t="inlineStr">
        <is>
          <t>Shredders</t>
        </is>
      </c>
    </row>
    <row r="94">
      <c r="A94" s="41" t="inlineStr">
        <is>
          <t>Field - Su - Mountains &amp; DA &gt;= 10 Sq.Mi.</t>
        </is>
      </c>
      <c r="B94" s="5" t="inlineStr">
        <is>
          <t>Shredders</t>
        </is>
      </c>
    </row>
    <row r="95">
      <c r="A95" s="41" t="inlineStr">
        <is>
          <t>Field - Fall - Mountains &amp; DA &gt;= 10 Sq.Mi.</t>
        </is>
      </c>
      <c r="B95" s="5" t="inlineStr">
        <is>
          <t>Shredders</t>
        </is>
      </c>
    </row>
    <row r="96">
      <c r="A96" s="41" t="inlineStr">
        <is>
          <t>Field - W/Sp - Piedmont &amp; DA &lt;= 5 Sq.Mi.</t>
        </is>
      </c>
      <c r="B96" s="5" t="inlineStr">
        <is>
          <t>Shredders</t>
        </is>
      </c>
    </row>
    <row r="97">
      <c r="A97" s="41" t="inlineStr">
        <is>
          <t>Field - Su - Piedmont &amp; DA &lt;= 5 Sq.Mi.</t>
        </is>
      </c>
      <c r="B97" s="5" t="inlineStr">
        <is>
          <t>Shredders</t>
        </is>
      </c>
    </row>
    <row r="98">
      <c r="A98" s="41" t="inlineStr">
        <is>
          <t>Field - Fall - Piedmont &amp; DA &lt;= 5 Sq.Mi.</t>
        </is>
      </c>
      <c r="B98" s="5" t="inlineStr">
        <is>
          <t>Shredders</t>
        </is>
      </c>
    </row>
    <row r="99">
      <c r="A99" s="41" t="inlineStr">
        <is>
          <t>Field - W/Sp - Piedmont &amp; 5 &lt; DA &lt; 10 Sq.Mi.</t>
        </is>
      </c>
      <c r="B99" s="5" t="inlineStr">
        <is>
          <t>Shredders</t>
        </is>
      </c>
    </row>
    <row r="100">
      <c r="A100" s="41" t="inlineStr">
        <is>
          <t>Field - Su - Piedmont &amp; 5 &lt; DA &lt; 10 Sq.Mi.</t>
        </is>
      </c>
      <c r="B100" s="5" t="inlineStr">
        <is>
          <t>Shredders</t>
        </is>
      </c>
    </row>
    <row r="101">
      <c r="A101" s="41" t="inlineStr">
        <is>
          <t>Field - Fall - Piedmont &amp; 5 &lt; DA &lt; 10 Sq.Mi.</t>
        </is>
      </c>
      <c r="B101" s="5" t="inlineStr">
        <is>
          <t>Shredders</t>
        </is>
      </c>
    </row>
    <row r="102">
      <c r="A102" s="41" t="inlineStr">
        <is>
          <t>Field - W/Sp - Piedmont &amp; DA &gt;= 10 Sq.Mi.</t>
        </is>
      </c>
      <c r="B102" s="5" t="inlineStr">
        <is>
          <t>Shredders</t>
        </is>
      </c>
    </row>
    <row r="103">
      <c r="A103" s="41" t="inlineStr">
        <is>
          <t>Field - Su - Piedmont &amp; DA &gt;= 10 Sq.Mi.</t>
        </is>
      </c>
      <c r="B103" s="5" t="inlineStr">
        <is>
          <t>Shredders</t>
        </is>
      </c>
    </row>
    <row r="104">
      <c r="A104" s="41" t="inlineStr">
        <is>
          <t>Field - Fall - Piedmont &amp; DA &gt;= 10 Sq.Mi.</t>
        </is>
      </c>
      <c r="B104" s="5" t="inlineStr">
        <is>
          <t>Shredders</t>
        </is>
      </c>
    </row>
    <row r="105">
      <c r="A105" s="41" t="inlineStr">
        <is>
          <t>Field - W/Sp - Coastal &amp; DA &lt;= 5 Sq.Mi.</t>
        </is>
      </c>
      <c r="B105" s="5" t="inlineStr">
        <is>
          <t>Shredders</t>
        </is>
      </c>
    </row>
    <row r="106">
      <c r="A106" s="41" t="inlineStr">
        <is>
          <t>Field - Su - Coastal &amp; DA &lt;= 5 Sq.Mi.</t>
        </is>
      </c>
      <c r="B106" s="5" t="inlineStr">
        <is>
          <t>Shredders</t>
        </is>
      </c>
    </row>
    <row r="107">
      <c r="A107" s="41" t="inlineStr">
        <is>
          <t>Field - Fall - Coastal &amp; DA &lt;= 5 Sq.Mi.</t>
        </is>
      </c>
      <c r="B107" s="5" t="inlineStr">
        <is>
          <t>Shredders</t>
        </is>
      </c>
    </row>
    <row r="108">
      <c r="A108" s="41" t="inlineStr">
        <is>
          <t>Field - W/Sp - Coastal &amp; 5 &lt; DA &lt; 10 Sq.Mi.</t>
        </is>
      </c>
      <c r="B108" s="5" t="inlineStr">
        <is>
          <t>Shredders</t>
        </is>
      </c>
    </row>
    <row r="109">
      <c r="A109" s="41" t="inlineStr">
        <is>
          <t>Field - Su - Coastal &amp; 5 &lt; DA &lt; 10 Sq.Mi.</t>
        </is>
      </c>
      <c r="B109" s="5" t="inlineStr">
        <is>
          <t>Shredders</t>
        </is>
      </c>
    </row>
    <row r="110">
      <c r="A110" s="41" t="inlineStr">
        <is>
          <t>Field - Fall - Coastal &amp; 5 &lt; DA &lt; 10 Sq.Mi.</t>
        </is>
      </c>
      <c r="B110" s="5" t="inlineStr">
        <is>
          <t>Shredders</t>
        </is>
      </c>
    </row>
    <row r="111">
      <c r="A111" s="41" t="inlineStr">
        <is>
          <t>Field - W/Sp - Coastal &amp; DA &gt;= 10 Sq.Mi.</t>
        </is>
      </c>
      <c r="B111" s="5" t="inlineStr">
        <is>
          <t>Shredders</t>
        </is>
      </c>
    </row>
    <row r="112">
      <c r="A112" s="41" t="inlineStr">
        <is>
          <t>Field - Su - Coastal &amp; DA &gt;= 10 Sq.Mi.</t>
        </is>
      </c>
      <c r="B112" s="5" t="inlineStr">
        <is>
          <t>Shredders</t>
        </is>
      </c>
    </row>
    <row r="113">
      <c r="A113" s="41" t="inlineStr">
        <is>
          <t>Field - Fall - Coastal &amp; DA &gt;= 10 Sq.Mi.</t>
        </is>
      </c>
      <c r="B113" s="5" t="inlineStr">
        <is>
          <t>Shredders</t>
        </is>
      </c>
    </row>
    <row r="114">
      <c r="A114" s="41" t="inlineStr">
        <is>
          <t>Stream Type A, B, or Bc</t>
        </is>
      </c>
      <c r="B114" s="5" t="inlineStr">
        <is>
          <t>Buffer Width</t>
        </is>
      </c>
    </row>
    <row r="115">
      <c r="A115" s="41" t="inlineStr">
        <is>
          <t>Stream type C or E</t>
        </is>
      </c>
      <c r="B115" s="5" t="inlineStr">
        <is>
          <t>Buffer Width</t>
        </is>
      </c>
    </row>
    <row r="116">
      <c r="A116" s="41" t="inlineStr">
        <is>
          <t>Piedmont</t>
        </is>
      </c>
      <c r="B116" s="5" t="inlineStr">
        <is>
          <t>Specific Conductivity</t>
        </is>
      </c>
    </row>
    <row r="117">
      <c r="A117" s="41" t="inlineStr">
        <is>
          <t>Mountain Region</t>
        </is>
      </c>
      <c r="B117" s="5" t="inlineStr">
        <is>
          <t>Specific Conductivity</t>
        </is>
      </c>
    </row>
    <row r="118">
      <c r="A118" s="41" t="inlineStr">
        <is>
          <t>Streams &lt; 3% slope</t>
        </is>
      </c>
      <c r="B118" s="5" t="inlineStr">
        <is>
          <t>Percent Riffle</t>
        </is>
      </c>
    </row>
    <row r="119">
      <c r="A119" s="41" t="inlineStr">
        <is>
          <t>Streams 3%-10% slope</t>
        </is>
      </c>
      <c r="B119" s="5" t="inlineStr">
        <is>
          <t>Percent Riffle</t>
        </is>
      </c>
    </row>
    <row r="120">
      <c r="A120" s="41" t="inlineStr">
        <is>
          <t>Streams &gt;10% slope</t>
        </is>
      </c>
      <c r="B120" s="5" t="inlineStr">
        <is>
          <t>Percent Riffle</t>
        </is>
      </c>
    </row>
    <row r="121">
      <c r="A121" s="41" t="inlineStr">
        <is>
          <t>gravel bed C and E stream</t>
        </is>
      </c>
      <c r="B121" s="5" t="inlineStr">
        <is>
          <t>Pool Depth Ratio</t>
        </is>
      </c>
    </row>
    <row r="122">
      <c r="A122" s="41" t="inlineStr">
        <is>
          <t>sand bed C and E stream</t>
        </is>
      </c>
      <c r="B122" s="5" t="inlineStr">
        <is>
          <t>Pool Depth Ratio</t>
        </is>
      </c>
    </row>
    <row r="123">
      <c r="A123" s="41" t="inlineStr">
        <is>
          <t>A, B and Bc stream</t>
        </is>
      </c>
      <c r="B123" s="5" t="inlineStr">
        <is>
          <t>Pool Depth Ratio</t>
        </is>
      </c>
    </row>
    <row r="124">
      <c r="A124" s="41" t="inlineStr">
        <is>
          <t>slope &lt; 4% &amp; DA &gt;=10 &amp; C or E stream types</t>
        </is>
      </c>
      <c r="B124" s="5" t="inlineStr">
        <is>
          <t>Pool Spacing Ratio</t>
        </is>
      </c>
    </row>
    <row r="125">
      <c r="A125" s="41" t="inlineStr">
        <is>
          <t>slope &lt; 4% &amp; DA &lt;10 &amp; C or E stream types</t>
        </is>
      </c>
      <c r="B125" s="5" t="inlineStr">
        <is>
          <t>Pool Spacing Ratio</t>
        </is>
      </c>
    </row>
    <row r="126">
      <c r="A126" s="41" t="inlineStr">
        <is>
          <t>Mountains</t>
        </is>
      </c>
      <c r="B126" s="5" t="inlineStr">
        <is>
          <t>EPT Taxa Present</t>
        </is>
      </c>
    </row>
    <row r="127">
      <c r="A127" s="41" t="inlineStr">
        <is>
          <t>Piedmont</t>
        </is>
      </c>
      <c r="B127" s="5" t="inlineStr">
        <is>
          <t>EPT Taxa Present</t>
        </is>
      </c>
    </row>
    <row r="128">
      <c r="A128" s="41" t="inlineStr">
        <is>
          <t>Coastal Plain</t>
        </is>
      </c>
      <c r="B128" s="5" t="inlineStr">
        <is>
          <t>EPT Taxa Present</t>
        </is>
      </c>
    </row>
    <row r="129">
      <c r="A129" s="41" t="inlineStr">
        <is>
          <t>French Broad, Hiwassee, Little Tennessee, New, and Watauga River basins</t>
        </is>
      </c>
      <c r="B129" s="5" t="inlineStr">
        <is>
          <t>NCIBI Score</t>
        </is>
      </c>
    </row>
    <row r="130">
      <c r="A130" s="41" t="inlineStr">
        <is>
          <t>Broad, Catawba, Savannah, and Yadkin River basins</t>
        </is>
      </c>
      <c r="B130" s="5" t="inlineStr">
        <is>
          <t>NCIBI Score</t>
        </is>
      </c>
    </row>
    <row r="131">
      <c r="A131" s="41" t="inlineStr">
        <is>
          <t>Cape Fear, Neuse, Roanoke, and Tar-Pamlico River basins</t>
        </is>
      </c>
      <c r="B131" s="5" t="inlineStr">
        <is>
          <t>NCIBI Score</t>
        </is>
      </c>
    </row>
    <row r="134">
      <c r="A134" s="70" t="inlineStr">
        <is>
          <t>Condition classes</t>
        </is>
      </c>
    </row>
    <row r="135">
      <c r="A135" t="inlineStr">
        <is>
          <t>Metric index: at or below 0.39 Non-Functioning, at or below 0.69 Functioning At-Risk, above Functioning.</t>
        </is>
      </c>
    </row>
    <row r="136">
      <c r="A136" t="inlineStr">
        <is>
          <t>Function score (0 to 15): at or below 5 Non-Functioning, at or below 10 Functioning At-Risk, above Functioning.</t>
        </is>
      </c>
    </row>
    <row r="137">
      <c r="A13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nc-sqt-adapted</t>
        </is>
      </c>
    </row>
    <row r="5">
      <c r="A5" s="41" t="inlineStr">
        <is>
          <t>Assessment name</t>
        </is>
      </c>
      <c r="B5" s="41" t="inlineStr">
        <is>
          <t>NC SQT Adapted</t>
        </is>
      </c>
    </row>
    <row r="6">
      <c r="A6" s="41" t="inlineStr">
        <is>
          <t>Version</t>
        </is>
      </c>
      <c r="B6" s="41" t="n">
        <v>2</v>
      </c>
    </row>
    <row r="7">
      <c r="A7" s="41" t="inlineStr">
        <is>
          <t>Lifecycle status</t>
        </is>
      </c>
      <c r="B7" s="41" t="inlineStr">
        <is>
          <t>Preliminary</t>
        </is>
      </c>
    </row>
    <row r="8">
      <c r="A8" s="41" t="inlineStr">
        <is>
          <t>Content digest</t>
        </is>
      </c>
      <c r="B8" s="41" t="inlineStr">
        <is>
          <t>sha256:b7d335a29033af4302053cf22b1b3c3074939c6e7c51237d6254d83aaac219eb</t>
        </is>
      </c>
    </row>
    <row r="9">
      <c r="A9" s="41" t="inlineStr">
        <is>
          <t>Region</t>
        </is>
      </c>
      <c r="B9" s="41" t="inlineStr">
        <is>
          <t>state NC North Carolina</t>
        </is>
      </c>
    </row>
    <row r="10">
      <c r="A10" s="41" t="inlineStr">
        <is>
          <t>Source</t>
        </is>
      </c>
      <c r="B10" s="41" t="inlineStr">
        <is>
          <t>North Carolina SQT</t>
        </is>
      </c>
    </row>
    <row r="11">
      <c r="A11" s="41" t="inlineStr">
        <is>
          <t>Reference method</t>
        </is>
      </c>
      <c r="B11" s="41" t="inlineStr"/>
    </row>
    <row r="12">
      <c r="A12" s="41" t="inlineStr">
        <is>
          <t>Reference screen</t>
        </is>
      </c>
      <c r="B12" s="41" t="inlineStr"/>
    </row>
    <row r="13">
      <c r="A13" s="41" t="inlineStr">
        <is>
          <t>Scoring method</t>
        </is>
      </c>
      <c r="B13" s="41" t="inlineStr"/>
    </row>
    <row r="14">
      <c r="A14" s="41" t="inlineStr">
        <is>
          <t>Functions scored</t>
        </is>
      </c>
      <c r="B14" s="41" t="n">
        <v>12</v>
      </c>
    </row>
    <row r="15">
      <c r="A15" s="41" t="inlineStr">
        <is>
          <t>Metrics</t>
        </is>
      </c>
      <c r="B15" s="41" t="n">
        <v>29</v>
      </c>
    </row>
    <row r="16">
      <c r="A16" s="41" t="inlineStr">
        <is>
          <t>Function coverage</t>
        </is>
      </c>
      <c r="B16" s="41" t="inlineStr">
        <is>
          <t>This assessment covers 12 of 20 STAF functions (8 documented exclusions).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9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and floodplain dynamics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Sediment continuity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Bed composition and large wood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Light &amp; thermal regime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Carbon processing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Nutrient cycling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Water &amp; soil quality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6">
      <c r="A16" s="70" t="inlineStr">
        <is>
          <t>Outcome</t>
        </is>
      </c>
      <c r="B16" s="70" t="inlineStr">
        <is>
          <t>Score</t>
        </is>
      </c>
      <c r="C16" s="70" t="inlineStr">
        <is>
          <t>Non-Functioning (0.00-0.39)</t>
        </is>
      </c>
      <c r="D16" s="70" t="inlineStr">
        <is>
          <t>Functioning At-Risk (0.40-0.69)</t>
        </is>
      </c>
      <c r="E16" s="70" t="inlineStr">
        <is>
          <t>Functioning (0.70-1.00)</t>
        </is>
      </c>
    </row>
    <row r="17">
      <c r="A17" t="inlineStr">
        <is>
          <t>Physical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  <row r="18">
      <c r="A18" t="inlineStr">
        <is>
          <t>Chemical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  <row r="19">
      <c r="A19" t="inlineStr">
        <is>
          <t>Biological</t>
        </is>
      </c>
      <c r="B19">
        <f>'Results'!$B$20</f>
        <v/>
      </c>
      <c r="C19" s="72">
        <f>IF('ChartData'!$B$19&lt;=0.39,'ChartData'!$B$19,NA())</f>
        <v/>
      </c>
      <c r="D19" s="72">
        <f>IF(AND('ChartData'!$B$19&gt;0.39,'ChartData'!$B$19&lt;=0.69),'ChartData'!$B$19,NA())</f>
        <v/>
      </c>
      <c r="E19" s="72">
        <f>IF('ChartData'!$B$19&gt;0.69,'ChartData'!$B$19,NA())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2026-09-24T15:33:30Z</dcterms:created>
  <dcterms:modified xmlns:dcterms="http://purl.org/dc/terms/" xmlns:xsi="http://www.w3.org/2001/XMLSchema-instance" xsi:type="dcterms:W3CDTF">2026-09-24T15:33:30Z</dcterms:modified>
  <cp:lastModifiedBy>DEEP</cp:lastModifiedBy>
  <cp:contentStatus>Preliminary</cp:contentStatus>
</cp:coreProperties>
</file>