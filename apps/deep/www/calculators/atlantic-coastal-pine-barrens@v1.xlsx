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'Reference'!$A$5:$A$46</definedName>
    <definedName name="curve_x1">'Reference'!$G$5:$G$46</definedName>
    <definedName name="curve_y1">'Reference'!$O$5:$O$46</definedName>
    <definedName name="curve_x2">'Reference'!$H$5:$H$46</definedName>
    <definedName name="curve_y2">'Reference'!$P$5:$P$46</definedName>
    <definedName name="curve_x3">'Reference'!$I$5:$I$46</definedName>
    <definedName name="curve_y3">'Reference'!$Q$5:$Q$46</definedName>
    <definedName name="curve_x4">'Reference'!$J$5:$J$46</definedName>
    <definedName name="curve_y4">'Reference'!$R$5:$R$46</definedName>
    <definedName name="curve_x5">'Reference'!$K$5:$K$46</definedName>
    <definedName name="curve_y5">'Reference'!$S$5:$S$46</definedName>
    <definedName name="curve_x6">'Reference'!$L$5:$L$46</definedName>
    <definedName name="curve_y6">'Reference'!$T$5:$T$46</definedName>
    <definedName name="curve_x7">'Reference'!$M$5:$M$46</definedName>
    <definedName name="curve_y7">'Reference'!$U$5:$U$46</definedName>
    <definedName name="curve_x8">'Reference'!$N$5:$N$46</definedName>
    <definedName name="curve_y8">'Reference'!$V$5:$V$46</definedName>
    <definedName name="strata_spring_phab_bfwd_rat">'Reference'!$A$50:$A$52</definedName>
    <definedName name="strata_spring_phab_xbkf_h">'Reference'!$A$53:$A$55</definedName>
    <definedName name="strata_spring_phab_lrbs_use">'Reference'!$A$56:$A$58</definedName>
    <definedName name="strata_spring_phab_xcdenmid">'Reference'!$A$59:$A$62</definedName>
    <definedName name="strata_spring_phab_xfc_nat">'Reference'!$A$63:$A$66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ph">'Metrics'!$V$26</definedName>
    <definedName name="idx_spring_chem_cond">'Metrics'!$V$27</definedName>
    <definedName name="idx_spring_phab_xfc_nat">'Metrics'!$V$28</definedName>
    <definedName name="idx_spring_phab_pct_fast">'Metrics'!$V$29</definedName>
    <definedName name="idx_spring_bent_totlntax">'Metrics'!$V$30</definedName>
    <definedName name="idx_spring_fish_mmi_fish">'Metrics'!$V$31</definedName>
    <definedName name="idx_spring_bent_hprime">'Metrics'!$V$32</definedName>
    <definedName name="idx_spring_bent_mmi_bent">'Metrics'!$V$33</definedName>
    <definedName name="idx_spring_nid_dams_1mi">'Metrics'!$V$34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st_spring_phab_bfwd_rat">'DEEP Score'!$F$18</definedName>
    <definedName name="in_spring_phab_rp100_cm">'DEEP Score'!$E$19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phab_pct_fast">'DEEP Score'!$E$41</definedName>
    <definedName name="in_spring_bent_totlntax">'DEEP Score'!$E$42</definedName>
    <definedName name="in_spring_fish_mmi_fish">'DEEP Score'!$E$43</definedName>
    <definedName name="in_spring_bent_hprime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Atlantic Coastal Pine Barrens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3" t="inlineStr">
        <is>
          <t>Reference condition. Reference condition is set by a fixed landscape-pressure screen, never by a score. 19 borrow comparable least-disturbed stations from a wider region, stating the region and the transfer risk. 4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18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Atlantic Coastal Pine Barrens reference assessment</t>
        </is>
      </c>
    </row>
    <row r="3">
      <c r="A3" s="4" t="inlineStr">
        <is>
          <t>Version 1 | USEPA NRSA 2013-24 (L3 ecoregion 84),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Bankfull width:depth ratio</t>
        </is>
      </c>
      <c r="D18" s="13" t="inlineStr"/>
      <c r="E18" s="14" t="n"/>
      <c r="F18" s="37" t="inlineStr">
        <is>
          <t>All streams (pooled)</t>
        </is>
      </c>
      <c r="G18" s="16">
        <f>IF('Metrics'!$V$11="","",'Metrics'!$V$11)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IF('Metrics'!$V$12="","",'Metrics'!$V$12)</f>
        <v/>
      </c>
      <c r="H19" s="20" t="n"/>
      <c r="I19" s="26" t="n"/>
    </row>
    <row r="20">
      <c r="A20" s="38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39">
        <f>IF('DEEP Score'!$E$12="","",'DEEP Score'!$E$12)</f>
        <v/>
      </c>
      <c r="F20" s="40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41">
        <f>IF('DEEP Score'!$E$18="","",'DEEP Score'!$E$18)</f>
        <v/>
      </c>
      <c r="F21" s="42">
        <f>IF('DEEP Score'!$F$18="","",'DEEP Score'!$F$18)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43" t="inlineStr">
        <is>
          <t>All streams (pooled)</t>
        </is>
      </c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4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41">
        <f>IF('DEEP Score'!$E$18="","",'DEEP Score'!$E$18)</f>
        <v/>
      </c>
      <c r="F25" s="42">
        <f>IF('DEEP Score'!$F$18="","",'DEEP Score'!$F$18)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5">
        <f>IF('Metrics'!$V$13="","",'Metrics'!$V$13)</f>
        <v/>
      </c>
      <c r="H26" s="20" t="n"/>
      <c r="I26" s="26" t="n"/>
    </row>
    <row r="27">
      <c r="A27" s="44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4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37" t="inlineStr">
        <is>
          <t>All streams (pooled)</t>
        </is>
      </c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5">
        <f>IF('DEEP Score'!$E$23="","",'DEEP Score'!$E$23)</f>
        <v/>
      </c>
      <c r="F30" s="46" t="inlineStr"/>
      <c r="G30" s="25">
        <f>IF('Metrics'!$V$14="","",'Metrics'!$V$14)</f>
        <v/>
      </c>
      <c r="H30" s="20" t="n"/>
      <c r="I30" s="26" t="n"/>
    </row>
    <row r="31">
      <c r="A31" s="44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IF('Metrics'!$V$19="","",'Metrics'!$V$19)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IF('Metrics'!$V$20="","",'Metrics'!$V$20)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IF('Metrics'!$V$21="","",'Metrics'!$V$21)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43" t="inlineStr">
        <is>
          <t>All streams (pooled)</t>
        </is>
      </c>
      <c r="G34" s="25">
        <f>IF('Metrics'!$V$22="","",'Metrics'!$V$22)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IF('Metrics'!$V$23="","",'Metrics'!$V$23)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IF('Metrics'!$V$24="","",'Metrics'!$V$24)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IF('Metrics'!$V$25="","",'Metrics'!$V$25)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IF('Metrics'!$V$26="","",'Metrics'!$V$26)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IF('Metrics'!$V$27="","",'Metrics'!$V$27)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Natural fish cover</t>
        </is>
      </c>
      <c r="D40" s="13" t="inlineStr">
        <is>
          <t>frac</t>
        </is>
      </c>
      <c r="E40" s="14" t="n"/>
      <c r="F40" s="37" t="inlineStr">
        <is>
          <t>All streams (pooled)</t>
        </is>
      </c>
      <c r="G40" s="16">
        <f>IF('Metrics'!$V$28="","",'Metrics'!$V$28)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Fast-water / riffle habitat</t>
        </is>
      </c>
      <c r="D41" s="22" t="inlineStr">
        <is>
          <t>%</t>
        </is>
      </c>
      <c r="E41" s="23" t="n"/>
      <c r="F41" s="24" t="inlineStr"/>
      <c r="G41" s="25">
        <f>IF('Metrics'!$V$29="","",'Metrics'!$V$29)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IF('Metrics'!$V$30="","",'Metrics'!$V$30)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Fish MMI</t>
        </is>
      </c>
      <c r="D43" s="22" t="inlineStr">
        <is>
          <t>MMI points</t>
        </is>
      </c>
      <c r="E43" s="23" t="n"/>
      <c r="F43" s="24" t="inlineStr"/>
      <c r="G43" s="25">
        <f>IF('Metrics'!$V$31="","",'Metrics'!$V$31)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Shannon diversity (H')</t>
        </is>
      </c>
      <c r="D44" s="13" t="inlineStr">
        <is>
          <t>H'</t>
        </is>
      </c>
      <c r="E44" s="14" t="n"/>
      <c r="F44" s="15" t="inlineStr"/>
      <c r="G44" s="16">
        <f>IF('Metrics'!$V$32="","",'Metrics'!$V$32)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Benthic macroinvertebrate MMI</t>
        </is>
      </c>
      <c r="D45" s="22" t="inlineStr">
        <is>
          <t>MMI points</t>
        </is>
      </c>
      <c r="E45" s="23" t="n"/>
      <c r="F45" s="24" t="inlineStr"/>
      <c r="G45" s="25">
        <f>IF('Metrics'!$V$33="","",'Metrics'!$V$33)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IF('Metrics'!$V$34="","",'Metrics'!$V$34)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Native fish taxa richness</t>
        </is>
      </c>
      <c r="C58" s="4" t="inlineStr">
        <is>
          <t>Population support</t>
        </is>
      </c>
    </row>
    <row r="60">
      <c r="A60" s="5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18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Score'!$E$18="","",'DEEP Score'!$E$18)</f>
        <v/>
      </c>
      <c r="C11" s="69">
        <f>IF('DEEP Score'!$F$18="","All streams (pooled)",'DEEP Score'!$F$18)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Residual pool depth</t>
        </is>
      </c>
      <c r="B12" s="69">
        <f>IF('DEEP Score'!$E$19="","",'DEEP Score'!$E$19)</f>
        <v/>
      </c>
      <c r="C12" s="69">
        <f>""</f>
        <v/>
      </c>
      <c r="D12" s="69">
        <f>"spring_phab_rp100_cm|"&amp;'Metrics'!$C$12</f>
        <v/>
      </c>
      <c r="E12" s="69">
        <f>IFERROR(MATCH('Metrics'!$D$12,curve_key,0),MATCH("spring_phab_rp100_cm|",curve_key,0))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height above channel</t>
        </is>
      </c>
      <c r="B13" s="69">
        <f>IF('DEEP Score'!$E$22="","",'DEEP Score'!$E$22)</f>
        <v/>
      </c>
      <c r="C13" s="69">
        <f>IF('DEEP Score'!$F$22="","All streams (pooled)",'DEEP Score'!$F$22)</f>
        <v/>
      </c>
      <c r="D13" s="69">
        <f>"spring_phab_xbkf_h|"&amp;'Metrics'!$C$13</f>
        <v/>
      </c>
      <c r="E13" s="69">
        <f>IFERROR(MATCH('Metrics'!$D$13,curve_key,0),MATCH("spring_phab_xbkf_h|All streams (pooled)",curve_key,0))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Score'!$E$29="","",'DEEP Score'!$E$29)</f>
        <v/>
      </c>
      <c r="C18" s="69">
        <f>IF('DEEP Score'!$F$29="","All streams (pooled)",'DEEP Score'!$F$29)</f>
        <v/>
      </c>
      <c r="D18" s="69">
        <f>"spring_phab_lrbs_use|"&amp;'Metrics'!$C$18</f>
        <v/>
      </c>
      <c r="E18" s="69">
        <f>IFERROR(MATCH('Metrics'!$D$18,curve_key,0),MATCH("spring_phab_lrbs_use|All streams (pooled)",curve_key,0))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Substrate size</t>
        </is>
      </c>
      <c r="B19" s="69">
        <f>IF('DEEP Score'!$E$31="","",'DEEP Score'!$E$31)</f>
        <v/>
      </c>
      <c r="C19" s="69">
        <f>""</f>
        <v/>
      </c>
      <c r="D19" s="69">
        <f>"spring_phab_lsub_dmm|"&amp;'Metrics'!$C$19</f>
        <v/>
      </c>
      <c r="E19" s="69">
        <f>IFERROR(MATCH('Metrics'!$D$19,curve_key,0),MATCH("spring_phab_lsub_dmm|",curve_key,0))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Large wood volume</t>
        </is>
      </c>
      <c r="B20" s="69">
        <f>IF('DEEP Score'!$E$32="","",'DEEP Score'!$E$32)</f>
        <v/>
      </c>
      <c r="C20" s="69">
        <f>""</f>
        <v/>
      </c>
      <c r="D20" s="69">
        <f>"spring_phab_lwdeqvolm100|"&amp;'Metrics'!$C$20</f>
        <v/>
      </c>
      <c r="E20" s="69">
        <f>IFERROR(MATCH('Metrics'!$D$20,curve_key,0),MATCH("spring_phab_lwdeqvolm100|",curve_key,0))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Chlorophyll a</t>
        </is>
      </c>
      <c r="B21" s="69">
        <f>IF('DEEP Score'!$E$33="","",'DEEP Score'!$E$33)</f>
        <v/>
      </c>
      <c r="C21" s="69">
        <f>""</f>
        <v/>
      </c>
      <c r="D21" s="69">
        <f>"spring_chem_chla|"&amp;'Metrics'!$C$21</f>
        <v/>
      </c>
      <c r="E21" s="69">
        <f>IFERROR(MATCH('Metrics'!$D$21,curve_key,0),MATCH("spring_chem_chla|",curve_key,0))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Canopy density, mid-channel</t>
        </is>
      </c>
      <c r="B22" s="69">
        <f>IF('DEEP Score'!$E$34="","",'DEEP Score'!$E$34)</f>
        <v/>
      </c>
      <c r="C22" s="69">
        <f>IF('DEEP Score'!$F$34="","All streams (pooled)",'DEEP Score'!$F$34)</f>
        <v/>
      </c>
      <c r="D22" s="69">
        <f>"spring_phab_xcdenmid|"&amp;'Metrics'!$C$22</f>
        <v/>
      </c>
      <c r="E22" s="69">
        <f>IFERROR(MATCH('Metrics'!$D$22,curve_key,0),MATCH("spring_phab_xcdenmid|All streams (pooled)",curve_key,0))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Riparian veg cover, woody</t>
        </is>
      </c>
      <c r="B23" s="69">
        <f>IF('DEEP Score'!$E$35="","",'DEEP Score'!$E$35)</f>
        <v/>
      </c>
      <c r="C23" s="69">
        <f>""</f>
        <v/>
      </c>
      <c r="D23" s="69">
        <f>"spring_phab_xcmgw|"&amp;'Metrics'!$C$23</f>
        <v/>
      </c>
      <c r="E23" s="69">
        <f>IFERROR(MATCH('Metrics'!$D$23,curve_key,0),MATCH("spring_phab_xcmgw|",curve_key,0))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nitrogen</t>
        </is>
      </c>
      <c r="B24" s="69">
        <f>IF('DEEP Score'!$E$36="","",'DEEP Score'!$E$36)</f>
        <v/>
      </c>
      <c r="C24" s="69">
        <f>""</f>
        <v/>
      </c>
      <c r="D24" s="69">
        <f>"spring_chem_ntl|"&amp;'Metrics'!$C$24</f>
        <v/>
      </c>
      <c r="E24" s="69">
        <f>IFERROR(MATCH('Metrics'!$D$24,curve_key,0),MATCH("spring_chem_ntl|",curve_key,0))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Total phosphorus</t>
        </is>
      </c>
      <c r="B25" s="69">
        <f>IF('DEEP Score'!$E$37="","",'DEEP Score'!$E$37)</f>
        <v/>
      </c>
      <c r="C25" s="69">
        <f>""</f>
        <v/>
      </c>
      <c r="D25" s="69">
        <f>"spring_chem_ptl|"&amp;'Metrics'!$C$25</f>
        <v/>
      </c>
      <c r="E25" s="69">
        <f>IFERROR(MATCH('Metrics'!$D$25,curve_key,0),MATCH("spring_chem_ptl|",curve_key,0))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pH</t>
        </is>
      </c>
      <c r="B26" s="69">
        <f>IF('DEEP Score'!$E$38="","",'DEEP Score'!$E$38)</f>
        <v/>
      </c>
      <c r="C26" s="69">
        <f>""</f>
        <v/>
      </c>
      <c r="D26" s="69">
        <f>"spring_chem_ph|"&amp;'Metrics'!$C$26</f>
        <v/>
      </c>
      <c r="E26" s="69">
        <f>IFERROR(MATCH('Metrics'!$D$26,curve_key,0),MATCH("spring_chem_ph|",curve_key,0))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Specific conductivity</t>
        </is>
      </c>
      <c r="B27" s="69">
        <f>IF('DEEP Score'!$E$39="","",'DEEP Score'!$E$39)</f>
        <v/>
      </c>
      <c r="C27" s="69">
        <f>""</f>
        <v/>
      </c>
      <c r="D27" s="69">
        <f>"spring_chem_cond|"&amp;'Metrics'!$C$27</f>
        <v/>
      </c>
      <c r="E27" s="69">
        <f>IFERROR(MATCH('Metrics'!$D$27,curve_key,0),MATCH("spring_chem_cond|",curve_key,0))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Score'!$E$40="","",'DEEP Score'!$E$40)</f>
        <v/>
      </c>
      <c r="C28" s="69">
        <f>IF('DEEP Score'!$F$40="","All streams (pooled)",'DEEP Score'!$F$40)</f>
        <v/>
      </c>
      <c r="D28" s="69">
        <f>"spring_phab_xfc_nat|"&amp;'Metrics'!$C$28</f>
        <v/>
      </c>
      <c r="E28" s="69">
        <f>IFERROR(MATCH('Metrics'!$D$28,curve_key,0),MATCH("spring_phab_xfc_nat|All streams (pooled)",curve_key,0))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Fast-water / riffle habitat</t>
        </is>
      </c>
      <c r="B29" s="69">
        <f>IF('DEEP Score'!$E$41="","",'DEEP Score'!$E$41)</f>
        <v/>
      </c>
      <c r="C29" s="69">
        <f>""</f>
        <v/>
      </c>
      <c r="D29" s="69">
        <f>"spring_phab_pct_fast|"&amp;'Metrics'!$C$29</f>
        <v/>
      </c>
      <c r="E29" s="69">
        <f>IFERROR(MATCH('Metrics'!$D$29,curve_key,0),MATCH("spring_phab_pct_fast|",curve_key,0))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Benthic total taxa richness</t>
        </is>
      </c>
      <c r="B30" s="69">
        <f>IF('DEEP Score'!$E$42="","",'DEEP Score'!$E$42)</f>
        <v/>
      </c>
      <c r="C30" s="69">
        <f>""</f>
        <v/>
      </c>
      <c r="D30" s="69">
        <f>"spring_bent_totlntax|"&amp;'Metrics'!$C$30</f>
        <v/>
      </c>
      <c r="E30" s="69">
        <f>IFERROR(MATCH('Metrics'!$D$30,curve_key,0),MATCH("spring_bent_totlntax|",curve_key,0))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Fish MMI</t>
        </is>
      </c>
      <c r="B31" s="69">
        <f>IF('DEEP Score'!$E$43="","",'DEEP Score'!$E$43)</f>
        <v/>
      </c>
      <c r="C31" s="69">
        <f>""</f>
        <v/>
      </c>
      <c r="D31" s="69">
        <f>"spring_fish_mmi_fish|"&amp;'Metrics'!$C$31</f>
        <v/>
      </c>
      <c r="E31" s="69">
        <f>IFERROR(MATCH('Metrics'!$D$31,curve_key,0),MATCH("spring_fish_mmi_fish|",curve_key,0))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Shannon diversity (H')</t>
        </is>
      </c>
      <c r="B32" s="69">
        <f>IF('DEEP Score'!$E$44="","",'DEEP Score'!$E$44)</f>
        <v/>
      </c>
      <c r="C32" s="69">
        <f>""</f>
        <v/>
      </c>
      <c r="D32" s="69">
        <f>"spring_bent_hprime|"&amp;'Metrics'!$C$32</f>
        <v/>
      </c>
      <c r="E32" s="69">
        <f>IFERROR(MATCH('Metrics'!$D$32,curve_key,0),MATCH("spring_bent_hprime|",curve_key,0))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Benthic macroinvertebrate MMI</t>
        </is>
      </c>
      <c r="B33" s="69">
        <f>IF('DEEP Score'!$E$45="","",'DEEP Score'!$E$45)</f>
        <v/>
      </c>
      <c r="C33" s="69">
        <f>""</f>
        <v/>
      </c>
      <c r="D33" s="69">
        <f>"spring_bent_mmi_bent|"&amp;'Metrics'!$C$33</f>
        <v/>
      </c>
      <c r="E33" s="69">
        <f>IFERROR(MATCH('Metrics'!$D$33,curve_key,0),MATCH("spring_bent_mmi_bent|",curve_key,0))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68" t="inlineStr">
        <is>
          <t>Mapped dams within one mile</t>
        </is>
      </c>
      <c r="B34" s="69">
        <f>IF('DEEP Score'!$E$46="","",'DEEP Score'!$E$46)</f>
        <v/>
      </c>
      <c r="C34" s="69">
        <f>""</f>
        <v/>
      </c>
      <c r="D34" s="69">
        <f>"spring_nid_dams_1mi|"&amp;'Metrics'!$C$34</f>
        <v/>
      </c>
      <c r="E34" s="69">
        <f>IFERROR(MATCH('Metrics'!$D$34,curve_key,0),MATCH("spring_nid_dams_1mi|",curve_key,0))</f>
        <v/>
      </c>
      <c r="F34" s="69">
        <f>INDEX(curve_x1,'Metrics'!$E$34)</f>
        <v/>
      </c>
      <c r="G34" s="69">
        <f>INDEX(curve_x2,'Metrics'!$E$34)</f>
        <v/>
      </c>
      <c r="H34" s="69">
        <f>INDEX(curve_x3,'Metrics'!$E$34)</f>
        <v/>
      </c>
      <c r="I34" s="69">
        <f>INDEX(curve_x4,'Metrics'!$E$34)</f>
        <v/>
      </c>
      <c r="J34" s="69">
        <f>INDEX(curve_x5,'Metrics'!$E$34)</f>
        <v/>
      </c>
      <c r="K34" s="69">
        <f>INDEX(curve_x6,'Metrics'!$E$34)</f>
        <v/>
      </c>
      <c r="L34" s="69">
        <f>INDEX(curve_x7,'Metrics'!$E$34)</f>
        <v/>
      </c>
      <c r="M34" s="69">
        <f>INDEX(curve_x8,'Metrics'!$E$34)</f>
        <v/>
      </c>
      <c r="N34" s="69">
        <f>INDEX(curve_y1,'Metrics'!$E$34)</f>
        <v/>
      </c>
      <c r="O34" s="69">
        <f>INDEX(curve_y2,'Metrics'!$E$34)</f>
        <v/>
      </c>
      <c r="P34" s="69">
        <f>INDEX(curve_y3,'Metrics'!$E$34)</f>
        <v/>
      </c>
      <c r="Q34" s="69">
        <f>INDEX(curve_y4,'Metrics'!$E$34)</f>
        <v/>
      </c>
      <c r="R34" s="69">
        <f>INDEX(curve_y5,'Metrics'!$E$34)</f>
        <v/>
      </c>
      <c r="S34" s="69">
        <f>INDEX(curve_y6,'Metrics'!$E$34)</f>
        <v/>
      </c>
      <c r="T34" s="69">
        <f>INDEX(curve_y7,'Metrics'!$E$34)</f>
        <v/>
      </c>
      <c r="U34" s="69">
        <f>INDEX(curve_y8,'Metrics'!$E$34)</f>
        <v/>
      </c>
      <c r="V34" s="70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</t>
        </is>
      </c>
      <c r="D7" s="68" t="inlineStr"/>
      <c r="E7" s="68" t="n">
        <v>5</v>
      </c>
      <c r="F7" s="68" t="inlineStr">
        <is>
          <t>17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68" t="n">
        <v>0</v>
      </c>
      <c r="H7" s="68" t="n">
        <v>0.02571428571428571</v>
      </c>
      <c r="I7" s="68" t="n">
        <v>0.06</v>
      </c>
      <c r="J7" s="68" t="n">
        <v>10.11</v>
      </c>
      <c r="K7" s="68" t="n">
        <v>15.135</v>
      </c>
      <c r="L7" s="68" t="n">
        <v>15.135</v>
      </c>
      <c r="M7" s="68" t="n">
        <v>15.135</v>
      </c>
      <c r="N7" s="68" t="n">
        <v>15.135</v>
      </c>
      <c r="O7" s="68" t="n">
        <v>0</v>
      </c>
      <c r="P7" s="68" t="n">
        <v>0.3</v>
      </c>
      <c r="Q7" s="68" t="n">
        <v>0.7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required); confidence capped at 39.</t>
        </is>
      </c>
      <c r="G9" s="68" t="n">
        <v>0</v>
      </c>
      <c r="H9" s="68" t="n">
        <v>17.81166428571428</v>
      </c>
      <c r="I9" s="68" t="n">
        <v>41.56055</v>
      </c>
      <c r="J9" s="68" t="n">
        <v>68.29367500000001</v>
      </c>
      <c r="K9" s="68" t="n">
        <v>81.66023750000001</v>
      </c>
      <c r="L9" s="68" t="n">
        <v>81.66023750000001</v>
      </c>
      <c r="M9" s="68" t="n">
        <v>81.66023750000001</v>
      </c>
      <c r="N9" s="68" t="n">
        <v>81.66023750000001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8</v>
      </c>
      <c r="F11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8" t="n">
        <v>0</v>
      </c>
      <c r="H11" s="68" t="n">
        <v>0.3852357864379883</v>
      </c>
      <c r="I11" s="68" t="n">
        <v>4.376598954200745</v>
      </c>
      <c r="J11" s="68" t="n">
        <v>6.525794506072998</v>
      </c>
      <c r="K11" s="68" t="n">
        <v>12.66635322570801</v>
      </c>
      <c r="L11" s="68" t="n">
        <v>14.81554877758026</v>
      </c>
      <c r="M11" s="68" t="n">
        <v>18.80691194534302</v>
      </c>
      <c r="N11" s="68" t="n">
        <v>24.94747066497803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0.7</v>
      </c>
      <c r="U11" s="68" t="n">
        <v>0.3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8</v>
      </c>
      <c r="F12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8" t="n">
        <v>0</v>
      </c>
      <c r="H12" s="68" t="n">
        <v>0.5824580192565918</v>
      </c>
      <c r="I12" s="68" t="n">
        <v>3.987200427055359</v>
      </c>
      <c r="J12" s="68" t="n">
        <v>5.820523262023926</v>
      </c>
      <c r="K12" s="68" t="n">
        <v>11.05858850479126</v>
      </c>
      <c r="L12" s="68" t="n">
        <v>12.89191133975983</v>
      </c>
      <c r="M12" s="68" t="n">
        <v>16.29665374755859</v>
      </c>
      <c r="N12" s="68" t="n">
        <v>21.53471899032593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8</v>
      </c>
      <c r="F13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8" t="n">
        <v>0</v>
      </c>
      <c r="H13" s="68" t="n">
        <v>0.3028059005737305</v>
      </c>
      <c r="I13" s="68" t="n">
        <v>6.290498900413514</v>
      </c>
      <c r="J13" s="68" t="n">
        <v>9.514641284942627</v>
      </c>
      <c r="K13" s="68" t="n">
        <v>18.72647666931152</v>
      </c>
      <c r="L13" s="68" t="n">
        <v>21.95061905384064</v>
      </c>
      <c r="M13" s="68" t="n">
        <v>27.93831205368042</v>
      </c>
      <c r="N13" s="68" t="n">
        <v>37.15014743804932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spring_phab_rp100_cm|</t>
        </is>
      </c>
      <c r="B14" s="68" t="inlineStr">
        <is>
          <t>spring-phab-rp100-cm</t>
        </is>
      </c>
      <c r="C14" s="68" t="inlineStr">
        <is>
          <t>Residual pool depth</t>
        </is>
      </c>
      <c r="D14" s="68" t="inlineStr"/>
      <c r="E14" s="68" t="n">
        <v>5</v>
      </c>
      <c r="F14" s="68" t="inlineStr">
        <is>
          <t>49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4" s="68" t="n">
        <v>0</v>
      </c>
      <c r="H14" s="68" t="n">
        <v>5.160713604518345</v>
      </c>
      <c r="I14" s="68" t="n">
        <v>12.04166507720947</v>
      </c>
      <c r="J14" s="68" t="n">
        <v>29.4162654876709</v>
      </c>
      <c r="K14" s="68" t="n">
        <v>38.10356569290161</v>
      </c>
      <c r="L14" s="68" t="n">
        <v>38.10356569290161</v>
      </c>
      <c r="M14" s="68" t="n">
        <v>38.10356569290161</v>
      </c>
      <c r="N14" s="68" t="n">
        <v>38.10356569290161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1</v>
      </c>
      <c r="U14" s="68" t="n">
        <v>1</v>
      </c>
      <c r="V14" s="68" t="n">
        <v>1</v>
      </c>
    </row>
    <row r="15">
      <c r="A15" s="68" t="inlineStr">
        <is>
          <t>spring_phab_xbkf_h|All streams (pooled)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All streams (pooled)</t>
        </is>
      </c>
      <c r="E15" s="68" t="n">
        <v>7</v>
      </c>
      <c r="F15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0.1689886372536421</v>
      </c>
      <c r="I15" s="68" t="n">
        <v>0.3143181875348091</v>
      </c>
      <c r="J15" s="68" t="n">
        <v>0.7295454740524292</v>
      </c>
      <c r="K15" s="68" t="n">
        <v>0.8748750243335962</v>
      </c>
      <c r="L15" s="68" t="n">
        <v>1.144772760570049</v>
      </c>
      <c r="M15" s="68" t="n">
        <v>1.560000047087669</v>
      </c>
      <c r="N15" s="68" t="n">
        <v>1.560000047087669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spring_phab_xbkf_h|Small stream (10 to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Small stream (10 to 100 km2)</t>
        </is>
      </c>
      <c r="E16" s="68" t="n">
        <v>7</v>
      </c>
      <c r="F16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0.09721590317785742</v>
      </c>
      <c r="I16" s="68" t="n">
        <v>0.2590909078717232</v>
      </c>
      <c r="J16" s="68" t="n">
        <v>0.7215909212827682</v>
      </c>
      <c r="K16" s="68" t="n">
        <v>0.883465925976634</v>
      </c>
      <c r="L16" s="68" t="n">
        <v>1.184090934693813</v>
      </c>
      <c r="M16" s="68" t="n">
        <v>1.646590948104858</v>
      </c>
      <c r="N16" s="68" t="n">
        <v>1.646590948104858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spring_phab_xbkf_h|Large stream (over 100 km2)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Large stream (over 100 km2)</t>
        </is>
      </c>
      <c r="E17" s="68" t="n">
        <v>8</v>
      </c>
      <c r="F17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8" t="n">
        <v>0.1804544627666473</v>
      </c>
      <c r="H17" s="68" t="n">
        <v>0.3322726786136627</v>
      </c>
      <c r="I17" s="68" t="n">
        <v>0.4309545189142227</v>
      </c>
      <c r="J17" s="68" t="n">
        <v>0.4840908944606781</v>
      </c>
      <c r="K17" s="68" t="n">
        <v>0.6359091103076935</v>
      </c>
      <c r="L17" s="68" t="n">
        <v>0.6890454858541488</v>
      </c>
      <c r="M17" s="68" t="n">
        <v>0.7877273261547089</v>
      </c>
      <c r="N17" s="68" t="n">
        <v>0.9395455420017242</v>
      </c>
      <c r="O17" s="68" t="n">
        <v>0</v>
      </c>
      <c r="P17" s="68" t="n">
        <v>0.3</v>
      </c>
      <c r="Q17" s="68" t="n">
        <v>0.7</v>
      </c>
      <c r="R17" s="68" t="n">
        <v>1</v>
      </c>
      <c r="S17" s="68" t="n">
        <v>1</v>
      </c>
      <c r="T17" s="68" t="n">
        <v>0.7</v>
      </c>
      <c r="U17" s="68" t="n">
        <v>0.3</v>
      </c>
      <c r="V17" s="68" t="n">
        <v>0</v>
      </c>
    </row>
    <row r="18">
      <c r="A18" s="68" t="inlineStr">
        <is>
          <t>spring_phab_pct_safn|</t>
        </is>
      </c>
      <c r="B18" s="68" t="inlineStr">
        <is>
          <t>spring-phab-pct-safn</t>
        </is>
      </c>
      <c r="C18" s="68" t="inlineStr">
        <is>
          <t>Sand + fines</t>
        </is>
      </c>
      <c r="D18" s="68" t="inlineStr"/>
      <c r="E18" s="68" t="n">
        <v>4</v>
      </c>
      <c r="F18" s="68" t="inlineStr">
        <is>
          <t>33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8" s="68" t="n">
        <v>49.99999618530273</v>
      </c>
      <c r="H18" s="68" t="n">
        <v>64.76190185546875</v>
      </c>
      <c r="I18" s="68" t="n">
        <v>94.28571319580078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spring_phab_xembed|</t>
        </is>
      </c>
      <c r="B19" s="68" t="inlineStr">
        <is>
          <t>spring-phab-xembed</t>
        </is>
      </c>
      <c r="C19" s="68" t="inlineStr">
        <is>
          <t>Embeddedness</t>
        </is>
      </c>
      <c r="D19" s="68" t="inlineStr"/>
      <c r="E19" s="68" t="n">
        <v>4</v>
      </c>
      <c r="F19" s="68" t="inlineStr">
        <is>
          <t>29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9" s="68" t="n">
        <v>64.72727584838867</v>
      </c>
      <c r="H19" s="68" t="n">
        <v>75.09091186523438</v>
      </c>
      <c r="I19" s="68" t="n">
        <v>95.81818389892578</v>
      </c>
      <c r="J19" s="68" t="n">
        <v>100</v>
      </c>
      <c r="K19" s="68" t="n">
        <v>100</v>
      </c>
      <c r="L19" s="68" t="n">
        <v>100</v>
      </c>
      <c r="M19" s="68" t="n">
        <v>100</v>
      </c>
      <c r="N19" s="68" t="n">
        <v>100</v>
      </c>
      <c r="O19" s="68" t="n">
        <v>1</v>
      </c>
      <c r="P19" s="68" t="n">
        <v>1</v>
      </c>
      <c r="Q19" s="68" t="n">
        <v>0.7</v>
      </c>
      <c r="R19" s="68" t="n">
        <v>0</v>
      </c>
      <c r="S19" s="68" t="n">
        <v>0</v>
      </c>
      <c r="T19" s="68" t="n">
        <v>0</v>
      </c>
      <c r="U19" s="68" t="n">
        <v>0</v>
      </c>
      <c r="V19" s="68" t="n">
        <v>0</v>
      </c>
    </row>
    <row r="20">
      <c r="A20" s="68" t="inlineStr">
        <is>
          <t>spring_phab_sinu|</t>
        </is>
      </c>
      <c r="B20" s="68" t="inlineStr">
        <is>
          <t>spring-phab-sinu</t>
        </is>
      </c>
      <c r="C20" s="68" t="inlineStr">
        <is>
          <t>Sinuosity</t>
        </is>
      </c>
      <c r="D20" s="68" t="inlineStr"/>
      <c r="E20" s="68" t="n">
        <v>4</v>
      </c>
      <c r="F20" s="68" t="inlineStr">
        <is>
          <t>44 least-disturbed stations borrowed from Level I ecoregion 8 (Eastern Temperate Forests) under the regional screen (agriculture at most 25 percent), transfer risk high</t>
        </is>
      </c>
      <c r="G20" s="68" t="n">
        <v>1</v>
      </c>
      <c r="H20" s="68" t="n">
        <v>1.125549018383026</v>
      </c>
      <c r="I20" s="68" t="n">
        <v>1.472143352031708</v>
      </c>
      <c r="J20" s="68" t="n">
        <v>1.645440518856049</v>
      </c>
      <c r="K20" s="68" t="n">
        <v>1.645440518856049</v>
      </c>
      <c r="L20" s="68" t="n">
        <v>1.645440518856049</v>
      </c>
      <c r="M20" s="68" t="n">
        <v>1.645440518856049</v>
      </c>
      <c r="N20" s="68" t="n">
        <v>1.645440518856049</v>
      </c>
      <c r="O20" s="68" t="n">
        <v>0</v>
      </c>
      <c r="P20" s="68" t="n">
        <v>0.7</v>
      </c>
      <c r="Q20" s="68" t="n">
        <v>1</v>
      </c>
      <c r="R20" s="68" t="n">
        <v>1</v>
      </c>
      <c r="S20" s="68" t="n">
        <v>1</v>
      </c>
      <c r="T20" s="68" t="n">
        <v>1</v>
      </c>
      <c r="U20" s="68" t="n">
        <v>1</v>
      </c>
      <c r="V20" s="68" t="n">
        <v>1</v>
      </c>
    </row>
    <row r="21">
      <c r="A21" s="68" t="inlineStr">
        <is>
          <t>spring_phab_xbka|</t>
        </is>
      </c>
      <c r="B21" s="68" t="inlineStr">
        <is>
          <t>spring-phab-xbka</t>
        </is>
      </c>
      <c r="C21" s="68" t="inlineStr">
        <is>
          <t>Bank angle</t>
        </is>
      </c>
      <c r="D21" s="68" t="inlineStr"/>
      <c r="E21" s="68" t="n">
        <v>7</v>
      </c>
      <c r="F21" s="68" t="inlineStr">
        <is>
          <t>45 least-disturbed stations borrowed from Level I ecoregion 8 (Eastern Temperate Forests) under the regional screen (agriculture at most 25 percent), transfer risk moderate</t>
        </is>
      </c>
      <c r="G21" s="68" t="n">
        <v>0</v>
      </c>
      <c r="H21" s="68" t="n">
        <v>18.74545335769653</v>
      </c>
      <c r="I21" s="68" t="n">
        <v>25.04545402526855</v>
      </c>
      <c r="J21" s="68" t="n">
        <v>43.04545593261719</v>
      </c>
      <c r="K21" s="68" t="n">
        <v>49.34545660018921</v>
      </c>
      <c r="L21" s="68" t="n">
        <v>61.04545783996582</v>
      </c>
      <c r="M21" s="68" t="n">
        <v>79.04545974731445</v>
      </c>
      <c r="N21" s="68" t="n">
        <v>79.04545974731445</v>
      </c>
      <c r="O21" s="68" t="n">
        <v>0.7</v>
      </c>
      <c r="P21" s="68" t="n">
        <v>0.7</v>
      </c>
      <c r="Q21" s="68" t="n">
        <v>1</v>
      </c>
      <c r="R21" s="68" t="n">
        <v>1</v>
      </c>
      <c r="S21" s="68" t="n">
        <v>0.7</v>
      </c>
      <c r="T21" s="68" t="n">
        <v>0.3</v>
      </c>
      <c r="U21" s="68" t="n">
        <v>0</v>
      </c>
      <c r="V21" s="68" t="n">
        <v>0</v>
      </c>
    </row>
    <row r="22">
      <c r="A22" s="68" t="inlineStr">
        <is>
          <t>spring_phab_lrbs_use|All streams (pooled)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All streams (pooled)</t>
        </is>
      </c>
      <c r="E22" s="68" t="n">
        <v>8</v>
      </c>
      <c r="F22" s="68" t="inlineStr">
        <is>
          <t>50 least-disturbed stations borrowed from Level I ecoregion 8 (Eastern Temperate Forests) under the regional screen (agriculture at most 25 percent), transfer risk high</t>
        </is>
      </c>
      <c r="G22" s="68" t="n">
        <v>-3.135848075151443</v>
      </c>
      <c r="H22" s="68" t="n">
        <v>-2.293628424406052</v>
      </c>
      <c r="I22" s="68" t="n">
        <v>-1.746185651421547</v>
      </c>
      <c r="J22" s="68" t="n">
        <v>-1.45140877366066</v>
      </c>
      <c r="K22" s="68" t="n">
        <v>-0.6091891229152679</v>
      </c>
      <c r="L22" s="68" t="n">
        <v>-0.3144122451543808</v>
      </c>
      <c r="M22" s="68" t="n">
        <v>0.2330305278301239</v>
      </c>
      <c r="N22" s="68" t="n">
        <v>1.075250178575516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spring_phab_lrbs_use|Small stream (10 to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Small stream (10 to 100 km2)</t>
        </is>
      </c>
      <c r="E23" s="68" t="n">
        <v>8</v>
      </c>
      <c r="F23" s="68" t="inlineStr">
        <is>
          <t>50 least-disturbed stations borrowed from Level I ecoregion 8 (Eastern Temperate Forests) under the regional screen (agriculture at most 25 percent), transfer risk high</t>
        </is>
      </c>
      <c r="G23" s="68" t="n">
        <v>-2.957659184932709</v>
      </c>
      <c r="H23" s="68" t="n">
        <v>-2.204533979296684</v>
      </c>
      <c r="I23" s="68" t="n">
        <v>-1.715002595633268</v>
      </c>
      <c r="J23" s="68" t="n">
        <v>-1.45140877366066</v>
      </c>
      <c r="K23" s="68" t="n">
        <v>-0.6982835680246353</v>
      </c>
      <c r="L23" s="68" t="n">
        <v>-0.4346897460520268</v>
      </c>
      <c r="M23" s="68" t="n">
        <v>0.05484163761138916</v>
      </c>
      <c r="N23" s="68" t="n">
        <v>0.8079668432474136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spring_phab_lrbs_use|Large stream (over 100 km2)</t>
        </is>
      </c>
      <c r="B24" s="68" t="inlineStr">
        <is>
          <t>spring-phab-lrbs-use</t>
        </is>
      </c>
      <c r="C24" s="68" t="inlineStr">
        <is>
          <t>Relative bed stability</t>
        </is>
      </c>
      <c r="D24" s="68" t="inlineStr">
        <is>
          <t>Large stream (over 100 km2)</t>
        </is>
      </c>
      <c r="E24" s="68" t="n">
        <v>8</v>
      </c>
      <c r="F24" s="68" t="inlineStr">
        <is>
          <t>50 least-disturbed stations borrowed from Level I ecoregion 8 (Eastern Temperate Forests) under the regional screen (agriculture at most 25 percent), transfer risk high</t>
        </is>
      </c>
      <c r="G24" s="68" t="n">
        <v>-3.162163376808167</v>
      </c>
      <c r="H24" s="68" t="n">
        <v>-2.280444234609604</v>
      </c>
      <c r="I24" s="68" t="n">
        <v>-1.707326792180538</v>
      </c>
      <c r="J24" s="68" t="n">
        <v>-1.398725092411041</v>
      </c>
      <c r="K24" s="68" t="n">
        <v>-0.5170059502124786</v>
      </c>
      <c r="L24" s="68" t="n">
        <v>-0.2084042504429817</v>
      </c>
      <c r="M24" s="68" t="n">
        <v>0.364713191986084</v>
      </c>
      <c r="N24" s="68" t="n">
        <v>1.246432334184647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0.7</v>
      </c>
      <c r="U24" s="68" t="n">
        <v>0.3</v>
      </c>
      <c r="V24" s="68" t="n">
        <v>0</v>
      </c>
    </row>
    <row r="25">
      <c r="A25" s="68" t="inlineStr">
        <is>
          <t>spring_phab_lsub_dmm|</t>
        </is>
      </c>
      <c r="B25" s="68" t="inlineStr">
        <is>
          <t>spring-phab-lsub-dmm</t>
        </is>
      </c>
      <c r="C25" s="68" t="inlineStr">
        <is>
          <t>Substrate size</t>
        </is>
      </c>
      <c r="D25" s="68" t="inlineStr"/>
      <c r="E25" s="68" t="n">
        <v>5</v>
      </c>
      <c r="F25" s="68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25" s="68" t="n">
        <v>-2.410627465695143</v>
      </c>
      <c r="H25" s="68" t="n">
        <v>-1.6354427523911</v>
      </c>
      <c r="I25" s="68" t="n">
        <v>-0.4726656824350357</v>
      </c>
      <c r="J25" s="68" t="n">
        <v>0.3025190308690071</v>
      </c>
      <c r="K25" s="68" t="n">
        <v>0.6901113875210285</v>
      </c>
      <c r="L25" s="68" t="n">
        <v>0.6901113875210285</v>
      </c>
      <c r="M25" s="68" t="n">
        <v>0.6901113875210285</v>
      </c>
      <c r="N25" s="68" t="n">
        <v>0.6901113875210285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1</v>
      </c>
      <c r="U25" s="68" t="n">
        <v>1</v>
      </c>
      <c r="V25" s="68" t="n">
        <v>1</v>
      </c>
    </row>
    <row r="26">
      <c r="A26" s="68" t="inlineStr">
        <is>
          <t>spring_phab_lwdeqvolm100|</t>
        </is>
      </c>
      <c r="B26" s="68" t="inlineStr">
        <is>
          <t>spring-phab-lwdeqvolm100</t>
        </is>
      </c>
      <c r="C26" s="68" t="inlineStr">
        <is>
          <t>Large wood volume</t>
        </is>
      </c>
      <c r="D26" s="68" t="inlineStr"/>
      <c r="E26" s="68" t="n">
        <v>5</v>
      </c>
      <c r="F26" s="68" t="inlineStr">
        <is>
          <t>Reference curve fitted to comparable least-disturbed stations drawn from the national pool, because this ecoregion and its parents hold too few of their own.</t>
        </is>
      </c>
      <c r="G26" s="68" t="n">
        <v>0</v>
      </c>
      <c r="H26" s="68" t="n">
        <v>0.04875000140496662</v>
      </c>
      <c r="I26" s="68" t="n">
        <v>0.1137500032782555</v>
      </c>
      <c r="J26" s="68" t="n">
        <v>4.510000228881836</v>
      </c>
      <c r="K26" s="68" t="n">
        <v>6.708125341683626</v>
      </c>
      <c r="L26" s="68" t="n">
        <v>6.708125341683626</v>
      </c>
      <c r="M26" s="68" t="n">
        <v>6.708125341683626</v>
      </c>
      <c r="N26" s="68" t="n">
        <v>6.708125341683626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spring_chem_chla|</t>
        </is>
      </c>
      <c r="B27" s="68" t="inlineStr">
        <is>
          <t>spring-chem-chla</t>
        </is>
      </c>
      <c r="C27" s="68" t="inlineStr">
        <is>
          <t>Chlorophyll a</t>
        </is>
      </c>
      <c r="D27" s="68" t="inlineStr"/>
      <c r="E27" s="68" t="n">
        <v>5</v>
      </c>
      <c r="F27" s="68" t="inlineStr">
        <is>
          <t>39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7" s="68" t="n">
        <v>0</v>
      </c>
      <c r="H27" s="68" t="n">
        <v>0.5900000035762787</v>
      </c>
      <c r="I27" s="68" t="n">
        <v>2.075000047683716</v>
      </c>
      <c r="J27" s="68" t="n">
        <v>4.302500113844872</v>
      </c>
      <c r="K27" s="68" t="n">
        <v>5.787500157952309</v>
      </c>
      <c r="L27" s="68" t="n">
        <v>5.787500157952309</v>
      </c>
      <c r="M27" s="68" t="n">
        <v>5.787500157952309</v>
      </c>
      <c r="N27" s="68" t="n">
        <v>5.787500157952309</v>
      </c>
      <c r="O27" s="68" t="n">
        <v>1</v>
      </c>
      <c r="P27" s="68" t="n">
        <v>1</v>
      </c>
      <c r="Q27" s="68" t="n">
        <v>0.7</v>
      </c>
      <c r="R27" s="68" t="n">
        <v>0.3</v>
      </c>
      <c r="S27" s="68" t="n">
        <v>0</v>
      </c>
      <c r="T27" s="68" t="n">
        <v>0</v>
      </c>
      <c r="U27" s="68" t="n">
        <v>0</v>
      </c>
      <c r="V27" s="68" t="n">
        <v>0</v>
      </c>
    </row>
    <row r="28">
      <c r="A28" s="68" t="inlineStr">
        <is>
          <t>spring_phab_xcdenmid|All streams (pooled)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All streams (pooled)</t>
        </is>
      </c>
      <c r="E28" s="68" t="n">
        <v>5</v>
      </c>
      <c r="F28" s="68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8" t="n">
        <v>0</v>
      </c>
      <c r="H28" s="68" t="n">
        <v>27.10800239018031</v>
      </c>
      <c r="I28" s="68" t="n">
        <v>63.2520055770874</v>
      </c>
      <c r="J28" s="68" t="n">
        <v>94.11764526367188</v>
      </c>
      <c r="K28" s="68" t="n">
        <v>100</v>
      </c>
      <c r="L28" s="68" t="n">
        <v>100</v>
      </c>
      <c r="M28" s="68" t="n">
        <v>100</v>
      </c>
      <c r="N28" s="68" t="n">
        <v>100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spring_phab_xcdenmid|Headwater (10 km2 and under)</t>
        </is>
      </c>
      <c r="B29" s="68" t="inlineStr">
        <is>
          <t>spring-phab-xcdenmid</t>
        </is>
      </c>
      <c r="C29" s="68" t="inlineStr">
        <is>
          <t>Canopy density, mid-channel</t>
        </is>
      </c>
      <c r="D29" s="68" t="inlineStr">
        <is>
          <t>Headwater (10 km2 and under)</t>
        </is>
      </c>
      <c r="E29" s="68" t="n">
        <v>5</v>
      </c>
      <c r="F29" s="68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8" t="n">
        <v>0</v>
      </c>
      <c r="H29" s="68" t="n">
        <v>36.03896222795759</v>
      </c>
      <c r="I29" s="68" t="n">
        <v>84.09091186523438</v>
      </c>
      <c r="J29" s="68" t="n">
        <v>98.12834167480469</v>
      </c>
      <c r="K29" s="68" t="n">
        <v>100</v>
      </c>
      <c r="L29" s="68" t="n">
        <v>100</v>
      </c>
      <c r="M29" s="68" t="n">
        <v>100</v>
      </c>
      <c r="N29" s="68" t="n">
        <v>100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spring_phab_xcdenmid|Small stream (10 to 100 km2)</t>
        </is>
      </c>
      <c r="B30" s="68" t="inlineStr">
        <is>
          <t>spring-phab-xcdenmid</t>
        </is>
      </c>
      <c r="C30" s="68" t="inlineStr">
        <is>
          <t>Canopy density, mid-channel</t>
        </is>
      </c>
      <c r="D30" s="68" t="inlineStr">
        <is>
          <t>Small stream (10 to 100 km2)</t>
        </is>
      </c>
      <c r="E30" s="68" t="n">
        <v>5</v>
      </c>
      <c r="F30" s="68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0" s="68" t="n">
        <v>0</v>
      </c>
      <c r="H30" s="68" t="n">
        <v>27.21543175833566</v>
      </c>
      <c r="I30" s="68" t="n">
        <v>63.5026741027832</v>
      </c>
      <c r="J30" s="68" t="n">
        <v>90.3074836730957</v>
      </c>
      <c r="K30" s="68" t="n">
        <v>100</v>
      </c>
      <c r="L30" s="68" t="n">
        <v>100</v>
      </c>
      <c r="M30" s="68" t="n">
        <v>100</v>
      </c>
      <c r="N30" s="68" t="n">
        <v>100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spring_phab_xcdenmid|Large stream (over 100 km2)</t>
        </is>
      </c>
      <c r="B31" s="68" t="inlineStr">
        <is>
          <t>spring-phab-xcdenmid</t>
        </is>
      </c>
      <c r="C31" s="68" t="inlineStr">
        <is>
          <t>Canopy density, mid-channel</t>
        </is>
      </c>
      <c r="D31" s="68" t="inlineStr">
        <is>
          <t>Large stream (over 100 km2)</t>
        </is>
      </c>
      <c r="E31" s="68" t="n">
        <v>5</v>
      </c>
      <c r="F31" s="68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1" s="68" t="n">
        <v>0</v>
      </c>
      <c r="H31" s="68" t="n">
        <v>9.834388324192592</v>
      </c>
      <c r="I31" s="68" t="n">
        <v>22.94690608978271</v>
      </c>
      <c r="J31" s="68" t="n">
        <v>82.28609848022461</v>
      </c>
      <c r="K31" s="68" t="n">
        <v>100</v>
      </c>
      <c r="L31" s="68" t="n">
        <v>100</v>
      </c>
      <c r="M31" s="68" t="n">
        <v>100</v>
      </c>
      <c r="N31" s="68" t="n">
        <v>100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spring_phab_xcmgw|</t>
        </is>
      </c>
      <c r="B32" s="68" t="inlineStr">
        <is>
          <t>spring-phab-xcmgw</t>
        </is>
      </c>
      <c r="C32" s="68" t="inlineStr">
        <is>
          <t>Riparian veg cover, woody</t>
        </is>
      </c>
      <c r="D32" s="68" t="inlineStr"/>
      <c r="E32" s="68" t="n">
        <v>5</v>
      </c>
      <c r="F32" s="68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32" s="68" t="n">
        <v>0</v>
      </c>
      <c r="H32" s="68" t="n">
        <v>0.3821529916354588</v>
      </c>
      <c r="I32" s="68" t="n">
        <v>0.8916903138160706</v>
      </c>
      <c r="J32" s="68" t="n">
        <v>1.519318222999573</v>
      </c>
      <c r="K32" s="68" t="n">
        <v>1.833132177591324</v>
      </c>
      <c r="L32" s="68" t="n">
        <v>1.833132177591324</v>
      </c>
      <c r="M32" s="68" t="n">
        <v>1.833132177591324</v>
      </c>
      <c r="N32" s="68" t="n">
        <v>1.833132177591324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spring_chem_ntl|</t>
        </is>
      </c>
      <c r="B33" s="68" t="inlineStr">
        <is>
          <t>spring-chem-ntl</t>
        </is>
      </c>
      <c r="C33" s="68" t="inlineStr">
        <is>
          <t>Total nitrogen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0.6245000000000001</v>
      </c>
      <c r="I33" s="68" t="n">
        <v>1.081</v>
      </c>
      <c r="J33" s="68" t="n">
        <v>1.67445</v>
      </c>
      <c r="K33" s="68" t="n">
        <v>1.67445</v>
      </c>
      <c r="L33" s="68" t="n">
        <v>1.67445</v>
      </c>
      <c r="M33" s="68" t="n">
        <v>1.67445</v>
      </c>
      <c r="N33" s="68" t="n">
        <v>1.67445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spring_chem_ptl|</t>
        </is>
      </c>
      <c r="B34" s="68" t="inlineStr">
        <is>
          <t>spring-chem-ptl</t>
        </is>
      </c>
      <c r="C34" s="68" t="inlineStr">
        <is>
          <t>Total phosphorus</t>
        </is>
      </c>
      <c r="D34" s="68" t="inlineStr"/>
      <c r="E34" s="68" t="n">
        <v>4</v>
      </c>
      <c r="F34" s="68" t="inlineStr">
        <is>
          <t>Scored against a published criterion rather than against stations from this ecoregion. The criterion carries its own definition of reference, which need not match this assessment's.</t>
        </is>
      </c>
      <c r="G34" s="68" t="n">
        <v>0</v>
      </c>
      <c r="H34" s="68" t="n">
        <v>55.95</v>
      </c>
      <c r="I34" s="68" t="n">
        <v>103</v>
      </c>
      <c r="J34" s="68" t="n">
        <v>164.165</v>
      </c>
      <c r="K34" s="68" t="n">
        <v>164.165</v>
      </c>
      <c r="L34" s="68" t="n">
        <v>164.165</v>
      </c>
      <c r="M34" s="68" t="n">
        <v>164.165</v>
      </c>
      <c r="N34" s="68" t="n">
        <v>164.165</v>
      </c>
      <c r="O34" s="68" t="n">
        <v>1</v>
      </c>
      <c r="P34" s="68" t="n">
        <v>0.6899999999999999</v>
      </c>
      <c r="Q34" s="68" t="n">
        <v>0.39</v>
      </c>
      <c r="R34" s="68" t="n">
        <v>0</v>
      </c>
      <c r="S34" s="68" t="n">
        <v>0</v>
      </c>
      <c r="T34" s="68" t="n">
        <v>0</v>
      </c>
      <c r="U34" s="68" t="n">
        <v>0</v>
      </c>
      <c r="V34" s="68" t="n">
        <v>0</v>
      </c>
    </row>
    <row r="35">
      <c r="A35" s="68" t="inlineStr">
        <is>
          <t>spring_chem_ph|</t>
        </is>
      </c>
      <c r="B35" s="68" t="inlineStr">
        <is>
          <t>spring-chem-ph</t>
        </is>
      </c>
      <c r="C35" s="68" t="inlineStr">
        <is>
          <t>pH</t>
        </is>
      </c>
      <c r="D35" s="68" t="inlineStr"/>
      <c r="E35" s="68" t="n">
        <v>8</v>
      </c>
      <c r="F35" s="68" t="inlineStr">
        <is>
          <t>39 least-disturbed stations borrowed from Level I ecoregion 8 (Eastern Temperate Forests) under the regional screen (agriculture at most 25 percent), transfer risk moderate</t>
        </is>
      </c>
      <c r="G35" s="68" t="n">
        <v>5.59499979019165</v>
      </c>
      <c r="H35" s="68" t="n">
        <v>6.244999885559082</v>
      </c>
      <c r="I35" s="68" t="n">
        <v>6.667499947547912</v>
      </c>
      <c r="J35" s="68" t="n">
        <v>6.894999980926514</v>
      </c>
      <c r="K35" s="68" t="n">
        <v>7.545000076293945</v>
      </c>
      <c r="L35" s="68" t="n">
        <v>7.772500109672547</v>
      </c>
      <c r="M35" s="68" t="n">
        <v>8.195000171661377</v>
      </c>
      <c r="N35" s="68" t="n">
        <v>8.845000267028809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0.7</v>
      </c>
      <c r="U35" s="68" t="n">
        <v>0.3</v>
      </c>
      <c r="V35" s="68" t="n">
        <v>0</v>
      </c>
    </row>
    <row r="36">
      <c r="A36" s="68" t="inlineStr">
        <is>
          <t>spring_chem_cond|</t>
        </is>
      </c>
      <c r="B36" s="68" t="inlineStr">
        <is>
          <t>spring-chem-cond</t>
        </is>
      </c>
      <c r="C36" s="68" t="inlineStr">
        <is>
          <t>Specific conductivity</t>
        </is>
      </c>
      <c r="D36" s="68" t="inlineStr"/>
      <c r="E36" s="68" t="n">
        <v>4</v>
      </c>
      <c r="F36" s="68" t="inlineStr">
        <is>
          <t>Scored against a published criterion rather than against stations from this ecoregion. The criterion carries its own definition of reference, which need not match this assessment's.</t>
        </is>
      </c>
      <c r="G36" s="68" t="n">
        <v>0</v>
      </c>
      <c r="H36" s="68" t="n">
        <v>500.05</v>
      </c>
      <c r="I36" s="68" t="n">
        <v>1000.05</v>
      </c>
      <c r="J36" s="68" t="n">
        <v>1650.05</v>
      </c>
      <c r="K36" s="68" t="n">
        <v>1650.05</v>
      </c>
      <c r="L36" s="68" t="n">
        <v>1650.05</v>
      </c>
      <c r="M36" s="68" t="n">
        <v>1650.05</v>
      </c>
      <c r="N36" s="68" t="n">
        <v>1650.05</v>
      </c>
      <c r="O36" s="68" t="n">
        <v>1</v>
      </c>
      <c r="P36" s="68" t="n">
        <v>0.6899999999999999</v>
      </c>
      <c r="Q36" s="68" t="n">
        <v>0.39</v>
      </c>
      <c r="R36" s="68" t="n">
        <v>0</v>
      </c>
      <c r="S36" s="68" t="n">
        <v>0</v>
      </c>
      <c r="T36" s="68" t="n">
        <v>0</v>
      </c>
      <c r="U36" s="68" t="n">
        <v>0</v>
      </c>
      <c r="V36" s="68" t="n">
        <v>0</v>
      </c>
    </row>
    <row r="37">
      <c r="A37" s="68" t="inlineStr">
        <is>
          <t>spring_phab_xfc_nat|All streams (pooled)</t>
        </is>
      </c>
      <c r="B37" s="68" t="inlineStr">
        <is>
          <t>spring-phab-xfc-nat</t>
        </is>
      </c>
      <c r="C37" s="68" t="inlineStr">
        <is>
          <t>Natural fish cover</t>
        </is>
      </c>
      <c r="D37" s="68" t="inlineStr">
        <is>
          <t>All streams (pooled)</t>
        </is>
      </c>
      <c r="E37" s="68" t="n">
        <v>5</v>
      </c>
      <c r="F37" s="68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7" s="68" t="n">
        <v>0</v>
      </c>
      <c r="H37" s="68" t="n">
        <v>0.08376623051507133</v>
      </c>
      <c r="I37" s="68" t="n">
        <v>0.1954545378684998</v>
      </c>
      <c r="J37" s="68" t="n">
        <v>0.615340918302536</v>
      </c>
      <c r="K37" s="68" t="n">
        <v>0.8252841085195541</v>
      </c>
      <c r="L37" s="68" t="n">
        <v>0.8252841085195541</v>
      </c>
      <c r="M37" s="68" t="n">
        <v>0.8252841085195541</v>
      </c>
      <c r="N37" s="68" t="n">
        <v>0.8252841085195541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spring_phab_xfc_nat|Headwater (10 km2 and under)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Headwater (10 km2 and under)</t>
        </is>
      </c>
      <c r="E38" s="68" t="n">
        <v>5</v>
      </c>
      <c r="F38" s="68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8" t="n">
        <v>0</v>
      </c>
      <c r="H38" s="68" t="n">
        <v>0.07110389534916196</v>
      </c>
      <c r="I38" s="68" t="n">
        <v>0.1659090891480446</v>
      </c>
      <c r="J38" s="68" t="n">
        <v>0.6102272868156433</v>
      </c>
      <c r="K38" s="68" t="n">
        <v>0.8323863856494427</v>
      </c>
      <c r="L38" s="68" t="n">
        <v>0.8323863856494427</v>
      </c>
      <c r="M38" s="68" t="n">
        <v>0.8323863856494427</v>
      </c>
      <c r="N38" s="68" t="n">
        <v>0.8323863856494427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spring_phab_xfc_nat|Small stream (10 to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Small stream (10 to 100 km2)</t>
        </is>
      </c>
      <c r="E39" s="68" t="n">
        <v>5</v>
      </c>
      <c r="F39" s="68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8" t="n">
        <v>0</v>
      </c>
      <c r="H39" s="68" t="n">
        <v>0.09545454382896423</v>
      </c>
      <c r="I39" s="68" t="n">
        <v>0.2227272689342499</v>
      </c>
      <c r="J39" s="68" t="n">
        <v>0.6659091114997864</v>
      </c>
      <c r="K39" s="68" t="n">
        <v>0.8875000327825546</v>
      </c>
      <c r="L39" s="68" t="n">
        <v>0.8875000327825546</v>
      </c>
      <c r="M39" s="68" t="n">
        <v>0.8875000327825546</v>
      </c>
      <c r="N39" s="68" t="n">
        <v>0.8875000327825546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spring_phab_xfc_nat|Large stream (over 100 km2)</t>
        </is>
      </c>
      <c r="B40" s="68" t="inlineStr">
        <is>
          <t>spring-phab-xfc-nat</t>
        </is>
      </c>
      <c r="C40" s="68" t="inlineStr">
        <is>
          <t>Natural fish cover</t>
        </is>
      </c>
      <c r="D40" s="68" t="inlineStr">
        <is>
          <t>Large stream (over 100 km2)</t>
        </is>
      </c>
      <c r="E40" s="68" t="n">
        <v>5</v>
      </c>
      <c r="F40" s="68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8" t="n">
        <v>0</v>
      </c>
      <c r="H40" s="68" t="n">
        <v>0.0754870128418718</v>
      </c>
      <c r="I40" s="68" t="n">
        <v>0.1761363632977009</v>
      </c>
      <c r="J40" s="68" t="n">
        <v>0.5051136165857315</v>
      </c>
      <c r="K40" s="68" t="n">
        <v>0.6696022432297468</v>
      </c>
      <c r="L40" s="68" t="n">
        <v>0.6696022432297468</v>
      </c>
      <c r="M40" s="68" t="n">
        <v>0.6696022432297468</v>
      </c>
      <c r="N40" s="68" t="n">
        <v>0.6696022432297468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spring_phab_pct_fast|</t>
        </is>
      </c>
      <c r="B41" s="68" t="inlineStr">
        <is>
          <t>spring-phab-pct-fast</t>
        </is>
      </c>
      <c r="C41" s="68" t="inlineStr">
        <is>
          <t>Fast-water / riffle habitat</t>
        </is>
      </c>
      <c r="D41" s="68" t="inlineStr"/>
      <c r="E41" s="68" t="n">
        <v>5</v>
      </c>
      <c r="F41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+0.16, at most 0.05 allowed); confidence capped at 39.</t>
        </is>
      </c>
      <c r="G41" s="68" t="n">
        <v>0</v>
      </c>
      <c r="H41" s="68" t="n">
        <v>0.8380345702171326</v>
      </c>
      <c r="I41" s="68" t="n">
        <v>1.955413997173309</v>
      </c>
      <c r="J41" s="68" t="n">
        <v>38</v>
      </c>
      <c r="K41" s="68" t="n">
        <v>56.02229300141335</v>
      </c>
      <c r="L41" s="68" t="n">
        <v>56.02229300141335</v>
      </c>
      <c r="M41" s="68" t="n">
        <v>56.02229300141335</v>
      </c>
      <c r="N41" s="68" t="n">
        <v>56.02229300141335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spring_bent_totlntax|</t>
        </is>
      </c>
      <c r="B42" s="68" t="inlineStr">
        <is>
          <t>spring-bent-totlntax</t>
        </is>
      </c>
      <c r="C42" s="68" t="inlineStr">
        <is>
          <t>Benthic total taxa richness</t>
        </is>
      </c>
      <c r="D42" s="68" t="inlineStr"/>
      <c r="E42" s="68" t="n">
        <v>5</v>
      </c>
      <c r="F42" s="68" t="inlineStr">
        <is>
          <t>10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2" s="68" t="n">
        <v>0</v>
      </c>
      <c r="H42" s="68" t="n">
        <v>20.25</v>
      </c>
      <c r="I42" s="68" t="n">
        <v>47.25</v>
      </c>
      <c r="J42" s="68" t="n">
        <v>57.75</v>
      </c>
      <c r="K42" s="68" t="n">
        <v>63</v>
      </c>
      <c r="L42" s="68" t="n">
        <v>63</v>
      </c>
      <c r="M42" s="68" t="n">
        <v>63</v>
      </c>
      <c r="N42" s="68" t="n">
        <v>63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spring_fish_mmi_fish|</t>
        </is>
      </c>
      <c r="B43" s="68" t="inlineStr">
        <is>
          <t>spring-fish-mmi-fish</t>
        </is>
      </c>
      <c r="C43" s="68" t="inlineStr">
        <is>
          <t>Fish MMI</t>
        </is>
      </c>
      <c r="D43" s="68" t="inlineStr"/>
      <c r="E43" s="68" t="n">
        <v>4</v>
      </c>
      <c r="F43" s="68" t="inlineStr">
        <is>
          <t>Scored against a published criterion rather than against stations from this ecoregion. The criterion carries its own definition of reference, which need not match this assessment's.</t>
        </is>
      </c>
      <c r="G43" s="68" t="n">
        <v>33.145</v>
      </c>
      <c r="H43" s="68" t="n">
        <v>46.795</v>
      </c>
      <c r="I43" s="68" t="n">
        <v>57.295</v>
      </c>
      <c r="J43" s="68" t="n">
        <v>68.145</v>
      </c>
      <c r="K43" s="68" t="n">
        <v>68.145</v>
      </c>
      <c r="L43" s="68" t="n">
        <v>68.145</v>
      </c>
      <c r="M43" s="68" t="n">
        <v>68.145</v>
      </c>
      <c r="N43" s="68" t="n">
        <v>68.145</v>
      </c>
      <c r="O43" s="68" t="n">
        <v>0</v>
      </c>
      <c r="P43" s="68" t="n">
        <v>0.39</v>
      </c>
      <c r="Q43" s="68" t="n">
        <v>0.6899999999999999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spring_bent_hprime|</t>
        </is>
      </c>
      <c r="B44" s="68" t="inlineStr">
        <is>
          <t>spring-bent-hprime</t>
        </is>
      </c>
      <c r="C44" s="68" t="inlineStr">
        <is>
          <t>Shannon diversity (H')</t>
        </is>
      </c>
      <c r="D44" s="68" t="inlineStr"/>
      <c r="E44" s="68" t="n">
        <v>5</v>
      </c>
      <c r="F44" s="68" t="inlineStr">
        <is>
          <t>10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44" s="68" t="n">
        <v>0</v>
      </c>
      <c r="H44" s="68" t="n">
        <v>1.330714268343789</v>
      </c>
      <c r="I44" s="68" t="n">
        <v>3.104999959468842</v>
      </c>
      <c r="J44" s="68" t="n">
        <v>3.425000071525574</v>
      </c>
      <c r="K44" s="68" t="n">
        <v>3.58500012755394</v>
      </c>
      <c r="L44" s="68" t="n">
        <v>3.58500012755394</v>
      </c>
      <c r="M44" s="68" t="n">
        <v>3.58500012755394</v>
      </c>
      <c r="N44" s="68" t="n">
        <v>3.58500012755394</v>
      </c>
      <c r="O44" s="68" t="n">
        <v>0</v>
      </c>
      <c r="P44" s="68" t="n">
        <v>0.3</v>
      </c>
      <c r="Q44" s="68" t="n">
        <v>0.7</v>
      </c>
      <c r="R44" s="68" t="n">
        <v>1</v>
      </c>
      <c r="S44" s="68" t="n">
        <v>1</v>
      </c>
      <c r="T44" s="68" t="n">
        <v>1</v>
      </c>
      <c r="U44" s="68" t="n">
        <v>1</v>
      </c>
      <c r="V44" s="68" t="n">
        <v>1</v>
      </c>
    </row>
    <row r="45">
      <c r="A45" s="68" t="inlineStr">
        <is>
          <t>spring_bent_mmi_bent|</t>
        </is>
      </c>
      <c r="B45" s="68" t="inlineStr">
        <is>
          <t>spring-bent-mmi-bent</t>
        </is>
      </c>
      <c r="C45" s="68" t="inlineStr">
        <is>
          <t>Benthic macroinvertebrate MMI</t>
        </is>
      </c>
      <c r="D45" s="68" t="inlineStr"/>
      <c r="E45" s="68" t="n">
        <v>4</v>
      </c>
      <c r="F45" s="68" t="inlineStr">
        <is>
          <t>Scored against a published criterion rather than against stations from this ecoregion. The criterion carries its own definition of reference, which need not match this assessment's.</t>
        </is>
      </c>
      <c r="G45" s="68" t="n">
        <v>22.235</v>
      </c>
      <c r="H45" s="68" t="n">
        <v>40.695</v>
      </c>
      <c r="I45" s="68" t="n">
        <v>54.895</v>
      </c>
      <c r="J45" s="68" t="n">
        <v>69.568333</v>
      </c>
      <c r="K45" s="68" t="n">
        <v>69.568333</v>
      </c>
      <c r="L45" s="68" t="n">
        <v>69.568333</v>
      </c>
      <c r="M45" s="68" t="n">
        <v>69.568333</v>
      </c>
      <c r="N45" s="68" t="n">
        <v>69.568333</v>
      </c>
      <c r="O45" s="68" t="n">
        <v>0</v>
      </c>
      <c r="P45" s="68" t="n">
        <v>0.39</v>
      </c>
      <c r="Q45" s="68" t="n">
        <v>0.6899999999999999</v>
      </c>
      <c r="R45" s="68" t="n">
        <v>1</v>
      </c>
      <c r="S45" s="68" t="n">
        <v>1</v>
      </c>
      <c r="T45" s="68" t="n">
        <v>1</v>
      </c>
      <c r="U45" s="68" t="n">
        <v>1</v>
      </c>
      <c r="V45" s="68" t="n">
        <v>1</v>
      </c>
    </row>
    <row r="46">
      <c r="A46" s="68" t="inlineStr">
        <is>
          <t>spring_nid_dams_1mi|</t>
        </is>
      </c>
      <c r="B46" s="68" t="inlineStr">
        <is>
          <t>spring-nid-dams-1mi</t>
        </is>
      </c>
      <c r="C46" s="68" t="inlineStr">
        <is>
          <t>Mapped dams within one mile</t>
        </is>
      </c>
      <c r="D46" s="68" t="inlineStr"/>
      <c r="E46" s="68" t="n">
        <v>4</v>
      </c>
      <c r="F46" s="68" t="inlineStr">
        <is>
          <t>Fixed criteria, the same in every region</t>
        </is>
      </c>
      <c r="G46" s="68" t="n">
        <v>0</v>
      </c>
      <c r="H46" s="68" t="n">
        <v>1</v>
      </c>
      <c r="I46" s="68" t="n">
        <v>2</v>
      </c>
      <c r="J46" s="68" t="n">
        <v>3</v>
      </c>
      <c r="K46" s="68" t="n">
        <v>3</v>
      </c>
      <c r="L46" s="68" t="n">
        <v>3</v>
      </c>
      <c r="M46" s="68" t="n">
        <v>3</v>
      </c>
      <c r="N46" s="68" t="n">
        <v>3</v>
      </c>
      <c r="O46" s="68" t="n">
        <v>1</v>
      </c>
      <c r="P46" s="68" t="n">
        <v>0.545</v>
      </c>
      <c r="Q46" s="68" t="n">
        <v>0.195</v>
      </c>
      <c r="R46" s="68" t="n">
        <v>0</v>
      </c>
      <c r="S46" s="68" t="n">
        <v>0</v>
      </c>
      <c r="T46" s="68" t="n">
        <v>0</v>
      </c>
      <c r="U46" s="68" t="n">
        <v>0</v>
      </c>
      <c r="V46" s="68" t="n">
        <v>0</v>
      </c>
    </row>
    <row r="49">
      <c r="A49" s="57" t="inlineStr">
        <is>
          <t>Curve sets by metric</t>
        </is>
      </c>
    </row>
    <row r="50">
      <c r="A50" s="68" t="inlineStr">
        <is>
          <t>All streams (pooled)</t>
        </is>
      </c>
      <c r="B50" s="4" t="inlineStr">
        <is>
          <t>Bankfull width:depth ratio</t>
        </is>
      </c>
    </row>
    <row r="51">
      <c r="A51" s="68" t="inlineStr">
        <is>
          <t>Small stream (10 to 100 km2)</t>
        </is>
      </c>
      <c r="B51" s="4" t="inlineStr">
        <is>
          <t>Bankfull width:depth ratio</t>
        </is>
      </c>
    </row>
    <row r="52">
      <c r="A52" s="68" t="inlineStr">
        <is>
          <t>Large stream (over 100 km2)</t>
        </is>
      </c>
      <c r="B52" s="4" t="inlineStr">
        <is>
          <t>Bankfull width:depth ratio</t>
        </is>
      </c>
    </row>
    <row r="53">
      <c r="A53" s="68" t="inlineStr">
        <is>
          <t>All streams (pooled)</t>
        </is>
      </c>
      <c r="B53" s="4" t="inlineStr">
        <is>
          <t>Bankfull height above channel</t>
        </is>
      </c>
    </row>
    <row r="54">
      <c r="A54" s="68" t="inlineStr">
        <is>
          <t>Small stream (10 to 100 km2)</t>
        </is>
      </c>
      <c r="B54" s="4" t="inlineStr">
        <is>
          <t>Bankfull height above channel</t>
        </is>
      </c>
    </row>
    <row r="55">
      <c r="A55" s="68" t="inlineStr">
        <is>
          <t>Large stream (over 100 km2)</t>
        </is>
      </c>
      <c r="B55" s="4" t="inlineStr">
        <is>
          <t>Bankfull height above channel</t>
        </is>
      </c>
    </row>
    <row r="56">
      <c r="A56" s="68" t="inlineStr">
        <is>
          <t>All streams (pooled)</t>
        </is>
      </c>
      <c r="B56" s="4" t="inlineStr">
        <is>
          <t>Relative bed stability</t>
        </is>
      </c>
    </row>
    <row r="57">
      <c r="A57" s="68" t="inlineStr">
        <is>
          <t>Small stream (10 to 100 km2)</t>
        </is>
      </c>
      <c r="B57" s="4" t="inlineStr">
        <is>
          <t>Relative bed stability</t>
        </is>
      </c>
    </row>
    <row r="58">
      <c r="A58" s="68" t="inlineStr">
        <is>
          <t>Large stream (over 100 km2)</t>
        </is>
      </c>
      <c r="B58" s="4" t="inlineStr">
        <is>
          <t>Relative bed stability</t>
        </is>
      </c>
    </row>
    <row r="59">
      <c r="A59" s="68" t="inlineStr">
        <is>
          <t>All streams (pooled)</t>
        </is>
      </c>
      <c r="B59" s="4" t="inlineStr">
        <is>
          <t>Canopy density, mid-channel</t>
        </is>
      </c>
    </row>
    <row r="60">
      <c r="A60" s="68" t="inlineStr">
        <is>
          <t>Headwater (10 km2 and under)</t>
        </is>
      </c>
      <c r="B60" s="4" t="inlineStr">
        <is>
          <t>Canopy density, mid-channel</t>
        </is>
      </c>
    </row>
    <row r="61">
      <c r="A61" s="68" t="inlineStr">
        <is>
          <t>Small stream (10 to 100 km2)</t>
        </is>
      </c>
      <c r="B61" s="4" t="inlineStr">
        <is>
          <t>Canopy density, mid-channel</t>
        </is>
      </c>
    </row>
    <row r="62">
      <c r="A62" s="68" t="inlineStr">
        <is>
          <t>Large stream (over 100 km2)</t>
        </is>
      </c>
      <c r="B62" s="4" t="inlineStr">
        <is>
          <t>Canopy density, mid-channel</t>
        </is>
      </c>
    </row>
    <row r="63">
      <c r="A63" s="68" t="inlineStr">
        <is>
          <t>All streams (pooled)</t>
        </is>
      </c>
      <c r="B63" s="4" t="inlineStr">
        <is>
          <t>Natural fish cover</t>
        </is>
      </c>
    </row>
    <row r="64">
      <c r="A64" s="68" t="inlineStr">
        <is>
          <t>Headwater (10 km2 and under)</t>
        </is>
      </c>
      <c r="B64" s="4" t="inlineStr">
        <is>
          <t>Natural fish cover</t>
        </is>
      </c>
    </row>
    <row r="65">
      <c r="A65" s="68" t="inlineStr">
        <is>
          <t>Small stream (10 to 100 km2)</t>
        </is>
      </c>
      <c r="B65" s="4" t="inlineStr">
        <is>
          <t>Natural fish cover</t>
        </is>
      </c>
    </row>
    <row r="66">
      <c r="A66" s="68" t="inlineStr">
        <is>
          <t>Large stream (over 100 km2)</t>
        </is>
      </c>
      <c r="B66" s="4" t="inlineStr">
        <is>
          <t>Natural fish cover</t>
        </is>
      </c>
    </row>
    <row r="69">
      <c r="A69" s="57" t="inlineStr">
        <is>
          <t>Condition classes</t>
        </is>
      </c>
    </row>
    <row r="70">
      <c r="A70" t="inlineStr">
        <is>
          <t>Metric index: at or below 0.39 Non-Functioning, at or below 0.69 Functioning At-Risk, above Functioning.</t>
        </is>
      </c>
    </row>
    <row r="71">
      <c r="A71" t="inlineStr">
        <is>
          <t>Function score (0 to 15): at or below 5 Non-Functioning, at or below 10 Functioning At-Risk, above Functioning.</t>
        </is>
      </c>
    </row>
    <row r="72">
      <c r="A7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atlantic-coastal-pine-barrens</t>
        </is>
      </c>
    </row>
    <row r="5">
      <c r="A5" s="68" t="inlineStr">
        <is>
          <t>Assessment name</t>
        </is>
      </c>
      <c r="B5" s="68" t="inlineStr">
        <is>
          <t>Atlantic Coastal Pine Barrens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sha256:aa270bf0739bcae77f15ac1c9d309300368e1cfb280a0bdcd9a22c1ad259252b</t>
        </is>
      </c>
    </row>
    <row r="9">
      <c r="A9" s="68" t="inlineStr">
        <is>
          <t>Region</t>
        </is>
      </c>
      <c r="B9" s="68" t="inlineStr">
        <is>
          <t>ecoregion 84 Atlantic Coastal Pine Barrens</t>
        </is>
      </c>
    </row>
    <row r="10">
      <c r="A10" s="68" t="inlineStr">
        <is>
          <t>Source</t>
        </is>
      </c>
      <c r="B10" s="68" t="inlineStr">
        <is>
          <t>USEPA NRSA 2013-24 (L3 ecoregion 84),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30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2026-09-30T07:04:23Z</dcterms:created>
  <dcterms:modified xmlns:dcterms="http://purl.org/dc/terms/" xmlns:xsi="http://www.w3.org/2001/XMLSchema-instance" xsi:type="dcterms:W3CDTF">2026-09-30T07:04:23Z</dcterms:modified>
  <cp:lastModifiedBy>DEEP</cp:lastModifiedBy>
</cp:coreProperties>
</file>