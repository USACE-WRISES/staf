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'Reference'!$A$5:$A$37</definedName>
    <definedName name="curve_x1">'Reference'!$G$5:$G$37</definedName>
    <definedName name="curve_y1">'Reference'!$O$5:$O$37</definedName>
    <definedName name="curve_x2">'Reference'!$H$5:$H$37</definedName>
    <definedName name="curve_y2">'Reference'!$P$5:$P$37</definedName>
    <definedName name="curve_x3">'Reference'!$I$5:$I$37</definedName>
    <definedName name="curve_y3">'Reference'!$Q$5:$Q$37</definedName>
    <definedName name="curve_x4">'Reference'!$J$5:$J$37</definedName>
    <definedName name="curve_y4">'Reference'!$R$5:$R$37</definedName>
    <definedName name="curve_x5">'Reference'!$K$5:$K$37</definedName>
    <definedName name="curve_y5">'Reference'!$S$5:$S$37</definedName>
    <definedName name="curve_x6">'Reference'!$L$5:$L$37</definedName>
    <definedName name="curve_y6">'Reference'!$T$5:$T$37</definedName>
    <definedName name="curve_x7">'Reference'!$M$5:$M$37</definedName>
    <definedName name="curve_y7">'Reference'!$U$5:$U$37</definedName>
    <definedName name="curve_x8">'Reference'!$N$5:$N$37</definedName>
    <definedName name="curve_y8">'Reference'!$V$5:$V$37</definedName>
    <definedName name="strata_spring_phab_rp100_cm">'Reference'!$A$41:$A$43</definedName>
    <definedName name="strata_spring_phab_xbkf_h">'Reference'!$A$44:$A$46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phab_xcdenmid">'Metrics'!$V$20</definedName>
    <definedName name="idx_spring_chem_chla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ept_ntax">'Metrics'!$V$31</definedName>
    <definedName name="idx_spring_bent_mmi_bent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in_spring_phab_rp100_cm">'DEEP Score'!$E$19</definedName>
    <definedName name="st_spring_phab_rp100_cm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wdeqvolm100">'DEEP Score'!$E$32</definedName>
    <definedName name="in_spring_phab_xcdenmid">'DEEP Score'!$E$33</definedName>
    <definedName name="in_spring_chem_chla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Texas Blackland Prairies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23 borrow comparable least-disturbed stations from a wider region, stating the region and the transfer risk. 4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Texas Blackland Prairies reference assessment</t>
        </is>
      </c>
    </row>
    <row r="3">
      <c r="A3" s="5" t="inlineStr">
        <is>
          <t>Version 1 | Draft | USEPA NRSA 2013-24 (L3 ecoregion 32),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16" t="inlineStr"/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38" t="inlineStr">
        <is>
          <t>All streams (pooled)</t>
        </is>
      </c>
      <c r="G19" s="26">
        <f>IF('Metrics'!$V$12="","",'Metrics'!$V$12)</f>
        <v/>
      </c>
      <c r="H19" s="21" t="n"/>
      <c r="I19" s="27" t="n"/>
    </row>
    <row r="20">
      <c r="A20" s="39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0">
        <f>IF('DEEP Score'!$E$12="","",'DEEP Score'!$E$12)</f>
        <v/>
      </c>
      <c r="F20" s="41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42">
        <f>IF('DEEP Score'!$E$18="","",'DEEP Score'!$E$18)</f>
        <v/>
      </c>
      <c r="F21" s="43" t="inlineStr"/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38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42">
        <f>IF('DEEP Score'!$E$18="","",'DEEP Score'!$E$18)</f>
        <v/>
      </c>
      <c r="F25" s="43" t="inlineStr"/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16" t="inlineStr"/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IF('Metrics'!$V$14="","",'Metrics'!$V$14)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42">
        <f>IF('DEEP Score'!$E$24="","",'DEEP Score'!$E$24)</f>
        <v/>
      </c>
      <c r="F31" s="43" t="inlineStr"/>
      <c r="G31" s="17">
        <f>IF('Metrics'!$V$15="","",'Metrics'!$V$15)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7" t="inlineStr">
        <is>
          <t>Physicochemistry</t>
        </is>
      </c>
      <c r="B33" s="12" t="inlineStr">
        <is>
          <t>Light &amp; thermal regime</t>
        </is>
      </c>
      <c r="C33" s="13" t="inlineStr">
        <is>
          <t>Canopy density, mid-channel</t>
        </is>
      </c>
      <c r="D33" s="14" t="inlineStr">
        <is>
          <t>%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Chlorophyll a</t>
        </is>
      </c>
      <c r="D34" s="23" t="inlineStr">
        <is>
          <t>ug/L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8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7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49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49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49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0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6" t="inlineStr">
        <is>
          <t>Notes</t>
        </is>
      </c>
    </row>
    <row r="58">
      <c r="A58" s="57" t="n"/>
      <c r="B58" s="58" t="n"/>
      <c r="C58" s="58" t="n"/>
      <c r="D58" s="58" t="n"/>
      <c r="E58" s="58" t="n"/>
      <c r="F58" s="58" t="n"/>
      <c r="G58" s="58" t="n"/>
      <c r="H58" s="58" t="n"/>
      <c r="I58" s="59" t="n"/>
    </row>
    <row r="59">
      <c r="A59" s="60" t="n"/>
      <c r="B59" s="61" t="n"/>
      <c r="C59" s="61" t="n"/>
      <c r="D59" s="61" t="n"/>
      <c r="E59" s="61" t="n"/>
      <c r="F59" s="61" t="n"/>
      <c r="G59" s="61" t="n"/>
      <c r="H59" s="61" t="n"/>
      <c r="I59" s="62" t="n"/>
    </row>
    <row r="60">
      <c r="A60" s="60" t="n"/>
      <c r="B60" s="61" t="n"/>
      <c r="C60" s="61" t="n"/>
      <c r="D60" s="61" t="n"/>
      <c r="E60" s="61" t="n"/>
      <c r="F60" s="61" t="n"/>
      <c r="G60" s="61" t="n"/>
      <c r="H60" s="61" t="n"/>
      <c r="I60" s="62" t="n"/>
    </row>
    <row r="61">
      <c r="A61" s="60" t="n"/>
      <c r="B61" s="61" t="n"/>
      <c r="C61" s="61" t="n"/>
      <c r="D61" s="61" t="n"/>
      <c r="E61" s="61" t="n"/>
      <c r="F61" s="61" t="n"/>
      <c r="G61" s="61" t="n"/>
      <c r="H61" s="61" t="n"/>
      <c r="I61" s="62" t="n"/>
    </row>
    <row r="62">
      <c r="A62" s="60" t="n"/>
      <c r="B62" s="61" t="n"/>
      <c r="C62" s="61" t="n"/>
      <c r="D62" s="61" t="n"/>
      <c r="E62" s="61" t="n"/>
      <c r="F62" s="61" t="n"/>
      <c r="G62" s="61" t="n"/>
      <c r="H62" s="61" t="n"/>
      <c r="I62" s="62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 cover of the watershed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Bankfull width:depth ratio</t>
        </is>
      </c>
      <c r="B11" s="68">
        <f>IF('DEEP Score'!$E$18="","",'DEEP Score'!$E$18)</f>
        <v/>
      </c>
      <c r="C11" s="68">
        <f>""</f>
        <v/>
      </c>
      <c r="D11" s="68">
        <f>"spring_phab_bfwd_rat|"&amp;'Metrics'!$C$11</f>
        <v/>
      </c>
      <c r="E11" s="68">
        <f>IFERROR(MATCH('Metrics'!$D$11,curve_key,0),MATCH("spring_phab_bfwd_rat|",curve_key,0))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Residual pool depth</t>
        </is>
      </c>
      <c r="B12" s="68">
        <f>IF('DEEP Score'!$E$19="","",'DEEP Score'!$E$19)</f>
        <v/>
      </c>
      <c r="C12" s="68">
        <f>IF('DEEP Score'!$F$19="","All streams (pooled)",'DEEP Score'!$F$19)</f>
        <v/>
      </c>
      <c r="D12" s="68">
        <f>"spring_phab_rp100_cm|"&amp;'Metrics'!$C$12</f>
        <v/>
      </c>
      <c r="E12" s="68">
        <f>IFERROR(MATCH('Metrics'!$D$12,curve_key,0),MATCH("spring_phab_rp100_cm|All streams (pooled)",curve_key,0))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Bankfull height above channel</t>
        </is>
      </c>
      <c r="B13" s="68">
        <f>IF('DEEP Score'!$E$22="","",'DEEP Score'!$E$22)</f>
        <v/>
      </c>
      <c r="C13" s="68">
        <f>IF('DEEP Score'!$F$22="","All streams (pooled)",'DEEP Score'!$F$22)</f>
        <v/>
      </c>
      <c r="D13" s="68">
        <f>"spring_phab_xbkf_h|"&amp;'Metrics'!$C$13</f>
        <v/>
      </c>
      <c r="E13" s="68">
        <f>IFERROR(MATCH('Metrics'!$D$13,curve_key,0),MATCH("spring_phab_xbkf_h|All streams (pooled)",curve_key,0))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Sand + fines</t>
        </is>
      </c>
      <c r="B14" s="68">
        <f>IF('DEEP Score'!$E$23="","",'DEEP Score'!$E$23)</f>
        <v/>
      </c>
      <c r="C14" s="68">
        <f>""</f>
        <v/>
      </c>
      <c r="D14" s="68">
        <f>"spring_phab_pct_safn|"&amp;'Metrics'!$C$14</f>
        <v/>
      </c>
      <c r="E14" s="68">
        <f>IFERROR(MATCH('Metrics'!$D$14,curve_key,0),MATCH("spring_phab_pct_safn|",curve_key,0))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Embeddedness</t>
        </is>
      </c>
      <c r="B15" s="68">
        <f>IF('DEEP Score'!$E$24="","",'DEEP Score'!$E$24)</f>
        <v/>
      </c>
      <c r="C15" s="68">
        <f>""</f>
        <v/>
      </c>
      <c r="D15" s="68">
        <f>"spring_phab_xembed|"&amp;'Metrics'!$C$15</f>
        <v/>
      </c>
      <c r="E15" s="68">
        <f>IFERROR(MATCH('Metrics'!$D$15,curve_key,0),MATCH("spring_phab_xembed|",curve_key,0))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Sinuosity</t>
        </is>
      </c>
      <c r="B16" s="68">
        <f>IF('DEEP Score'!$E$27="","",'DEEP Score'!$E$27)</f>
        <v/>
      </c>
      <c r="C16" s="68">
        <f>""</f>
        <v/>
      </c>
      <c r="D16" s="68">
        <f>"spring_phab_sinu|"&amp;'Metrics'!$C$16</f>
        <v/>
      </c>
      <c r="E16" s="68">
        <f>IFERROR(MATCH('Metrics'!$D$16,curve_key,0),MATCH("spring_phab_sinu|",curve_key,0))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Bank angle</t>
        </is>
      </c>
      <c r="B17" s="68">
        <f>IF('DEEP Score'!$E$28="","",'DEEP Score'!$E$28)</f>
        <v/>
      </c>
      <c r="C17" s="68">
        <f>""</f>
        <v/>
      </c>
      <c r="D17" s="68">
        <f>"spring_phab_xbka|"&amp;'Metrics'!$C$17</f>
        <v/>
      </c>
      <c r="E17" s="68">
        <f>IFERROR(MATCH('Metrics'!$D$17,curve_key,0),MATCH("spring_phab_xbka|",curve_key,0))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Relative bed stability</t>
        </is>
      </c>
      <c r="B18" s="68">
        <f>IF('DEEP Score'!$E$29="","",'DEEP Score'!$E$29)</f>
        <v/>
      </c>
      <c r="C18" s="68">
        <f>""</f>
        <v/>
      </c>
      <c r="D18" s="68">
        <f>"spring_phab_lrbs_use|"&amp;'Metrics'!$C$18</f>
        <v/>
      </c>
      <c r="E18" s="68">
        <f>IFERROR(MATCH('Metrics'!$D$18,curve_key,0),MATCH("spring_phab_lrbs_use|",curve_key,0))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Large wood volume</t>
        </is>
      </c>
      <c r="B19" s="68">
        <f>IF('DEEP Score'!$E$32="","",'DEEP Score'!$E$32)</f>
        <v/>
      </c>
      <c r="C19" s="68">
        <f>""</f>
        <v/>
      </c>
      <c r="D19" s="68">
        <f>"spring_phab_lwdeqvolm100|"&amp;'Metrics'!$C$19</f>
        <v/>
      </c>
      <c r="E19" s="68">
        <f>IFERROR(MATCH('Metrics'!$D$19,curve_key,0),MATCH("spring_phab_lwdeqvolm100|",curve_key,0))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Canopy density, mid-channel</t>
        </is>
      </c>
      <c r="B20" s="68">
        <f>IF('DEEP Score'!$E$33="","",'DEEP Score'!$E$33)</f>
        <v/>
      </c>
      <c r="C20" s="68">
        <f>""</f>
        <v/>
      </c>
      <c r="D20" s="68">
        <f>"spring_phab_xcdenmid|"&amp;'Metrics'!$C$20</f>
        <v/>
      </c>
      <c r="E20" s="68">
        <f>IFERROR(MATCH('Metrics'!$D$20,curve_key,0),MATCH("spring_phab_xcdenmid|",curve_key,0))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Chlorophyll a</t>
        </is>
      </c>
      <c r="B21" s="68">
        <f>IF('DEEP Score'!$E$34="","",'DEEP Score'!$E$34)</f>
        <v/>
      </c>
      <c r="C21" s="68">
        <f>""</f>
        <v/>
      </c>
      <c r="D21" s="68">
        <f>"spring_chem_chla|"&amp;'Metrics'!$C$21</f>
        <v/>
      </c>
      <c r="E21" s="68">
        <f>IFERROR(MATCH('Metrics'!$D$21,curve_key,0),MATCH("spring_chem_chla|",curve_key,0))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Riparian veg cover, woody</t>
        </is>
      </c>
      <c r="B22" s="68">
        <f>IF('DEEP Score'!$E$35="","",'DEEP Score'!$E$35)</f>
        <v/>
      </c>
      <c r="C22" s="68">
        <f>""</f>
        <v/>
      </c>
      <c r="D22" s="68">
        <f>"spring_phab_xcmgw|"&amp;'Metrics'!$C$22</f>
        <v/>
      </c>
      <c r="E22" s="68">
        <f>IFERROR(MATCH('Metrics'!$D$22,curve_key,0),MATCH("spring_phab_xcmgw|",curve_key,0))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nitrogen</t>
        </is>
      </c>
      <c r="B23" s="68">
        <f>IF('DEEP Score'!$E$36="","",'DEEP Score'!$E$36)</f>
        <v/>
      </c>
      <c r="C23" s="68">
        <f>""</f>
        <v/>
      </c>
      <c r="D23" s="68">
        <f>"spring_chem_ntl|"&amp;'Metrics'!$C$23</f>
        <v/>
      </c>
      <c r="E23" s="68">
        <f>IFERROR(MATCH('Metrics'!$D$23,curve_key,0),MATCH("spring_chem_ntl|",curve_key,0))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Total phosphorus</t>
        </is>
      </c>
      <c r="B24" s="68">
        <f>IF('DEEP Score'!$E$37="","",'DEEP Score'!$E$37)</f>
        <v/>
      </c>
      <c r="C24" s="68">
        <f>""</f>
        <v/>
      </c>
      <c r="D24" s="68">
        <f>"spring_chem_ptl|"&amp;'Metrics'!$C$24</f>
        <v/>
      </c>
      <c r="E24" s="68">
        <f>IFERROR(MATCH('Metrics'!$D$24,curve_key,0),MATCH("spring_chem_ptl|",curve_key,0))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pH</t>
        </is>
      </c>
      <c r="B25" s="68">
        <f>IF('DEEP Score'!$E$38="","",'DEEP Score'!$E$38)</f>
        <v/>
      </c>
      <c r="C25" s="68">
        <f>""</f>
        <v/>
      </c>
      <c r="D25" s="68">
        <f>"spring_chem_ph|"&amp;'Metrics'!$C$25</f>
        <v/>
      </c>
      <c r="E25" s="68">
        <f>IFERROR(MATCH('Metrics'!$D$25,curve_key,0),MATCH("spring_chem_ph|",curve_key,0))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Specific conductivity</t>
        </is>
      </c>
      <c r="B26" s="68">
        <f>IF('DEEP Score'!$E$39="","",'DEEP Score'!$E$39)</f>
        <v/>
      </c>
      <c r="C26" s="68">
        <f>""</f>
        <v/>
      </c>
      <c r="D26" s="68">
        <f>"spring_chem_cond|"&amp;'Metrics'!$C$26</f>
        <v/>
      </c>
      <c r="E26" s="68">
        <f>IFERROR(MATCH('Metrics'!$D$26,curve_key,0),MATCH("spring_chem_cond|",curve_key,0))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Fast-water / riffle habitat</t>
        </is>
      </c>
      <c r="B27" s="68">
        <f>IF('DEEP Score'!$E$40="","",'DEEP Score'!$E$40)</f>
        <v/>
      </c>
      <c r="C27" s="68">
        <f>""</f>
        <v/>
      </c>
      <c r="D27" s="68">
        <f>"spring_phab_pct_fast|"&amp;'Metrics'!$C$27</f>
        <v/>
      </c>
      <c r="E27" s="68">
        <f>IFERROR(MATCH('Metrics'!$D$27,curve_key,0),MATCH("spring_phab_pct_fast|",curve_key,0))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Natural fish cover</t>
        </is>
      </c>
      <c r="B28" s="68">
        <f>IF('DEEP Score'!$E$41="","",'DEEP Score'!$E$41)</f>
        <v/>
      </c>
      <c r="C28" s="68">
        <f>""</f>
        <v/>
      </c>
      <c r="D28" s="68">
        <f>"spring_phab_xfc_nat|"&amp;'Metrics'!$C$28</f>
        <v/>
      </c>
      <c r="E28" s="68">
        <f>IFERROR(MATCH('Metrics'!$D$28,curve_key,0),MATCH("spring_phab_xfc_nat|",curve_key,0))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Benthic total taxa richness</t>
        </is>
      </c>
      <c r="B29" s="68">
        <f>IF('DEEP Score'!$E$42="","",'DEEP Score'!$E$42)</f>
        <v/>
      </c>
      <c r="C29" s="68">
        <f>""</f>
        <v/>
      </c>
      <c r="D29" s="68">
        <f>"spring_bent_totlntax|"&amp;'Metrics'!$C$29</f>
        <v/>
      </c>
      <c r="E29" s="68">
        <f>IFERROR(MATCH('Metrics'!$D$29,curve_key,0),MATCH("spring_bent_totlntax|",curve_key,0))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Native fish taxa richness</t>
        </is>
      </c>
      <c r="B30" s="68">
        <f>IF('DEEP Score'!$E$43="","",'DEEP Score'!$E$43)</f>
        <v/>
      </c>
      <c r="C30" s="68">
        <f>""</f>
        <v/>
      </c>
      <c r="D30" s="68">
        <f>"spring_fish_nat_totlntax|"&amp;'Metrics'!$C$30</f>
        <v/>
      </c>
      <c r="E30" s="68">
        <f>IFERROR(MATCH('Metrics'!$D$30,curve_key,0),MATCH("spring_fish_nat_totlntax|",curve_key,0))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EPT taxa richness</t>
        </is>
      </c>
      <c r="B31" s="68">
        <f>IF('DEEP Score'!$E$44="","",'DEEP Score'!$E$44)</f>
        <v/>
      </c>
      <c r="C31" s="68">
        <f>""</f>
        <v/>
      </c>
      <c r="D31" s="68">
        <f>"spring_bent_ept_ntax|"&amp;'Metrics'!$C$31</f>
        <v/>
      </c>
      <c r="E31" s="68">
        <f>IFERROR(MATCH('Metrics'!$D$31,curve_key,0),MATCH("spring_bent_ept_ntax|",curve_key,0))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7" t="inlineStr">
        <is>
          <t>Benthic macroinvertebrate MMI</t>
        </is>
      </c>
      <c r="B32" s="68">
        <f>IF('DEEP Score'!$E$45="","",'DEEP Score'!$E$45)</f>
        <v/>
      </c>
      <c r="C32" s="68">
        <f>""</f>
        <v/>
      </c>
      <c r="D32" s="68">
        <f>"spring_bent_mmi_bent|"&amp;'Metrics'!$C$32</f>
        <v/>
      </c>
      <c r="E32" s="68">
        <f>IFERROR(MATCH('Metrics'!$D$32,curve_key,0),MATCH("spring_bent_mmi_bent|",curve_key,0))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7" t="inlineStr">
        <is>
          <t>Mapped dams within one mile</t>
        </is>
      </c>
      <c r="B33" s="68">
        <f>IF('DEEP Score'!$E$46="","",'DEEP Score'!$E$46)</f>
        <v/>
      </c>
      <c r="C33" s="68">
        <f>""</f>
        <v/>
      </c>
      <c r="D33" s="68">
        <f>"spring_nid_dams_1mi|"&amp;'Metrics'!$C$33</f>
        <v/>
      </c>
      <c r="E33" s="68">
        <f>IFERROR(MATCH('Metrics'!$D$33,curve_key,0),MATCH("spring_nid_dams_1mi|",curve_key,0))</f>
        <v/>
      </c>
      <c r="F33" s="68">
        <f>INDEX(curve_x1,'Metrics'!$E$33)</f>
        <v/>
      </c>
      <c r="G33" s="68">
        <f>INDEX(curve_x2,'Metrics'!$E$33)</f>
        <v/>
      </c>
      <c r="H33" s="68">
        <f>INDEX(curve_x3,'Metrics'!$E$33)</f>
        <v/>
      </c>
      <c r="I33" s="68">
        <f>INDEX(curve_x4,'Metrics'!$E$33)</f>
        <v/>
      </c>
      <c r="J33" s="68">
        <f>INDEX(curve_x5,'Metrics'!$E$33)</f>
        <v/>
      </c>
      <c r="K33" s="68">
        <f>INDEX(curve_x6,'Metrics'!$E$33)</f>
        <v/>
      </c>
      <c r="L33" s="68">
        <f>INDEX(curve_x7,'Metrics'!$E$33)</f>
        <v/>
      </c>
      <c r="M33" s="68">
        <f>INDEX(curve_x8,'Metrics'!$E$33)</f>
        <v/>
      </c>
      <c r="N33" s="68">
        <f>INDEX(curve_y1,'Metrics'!$E$33)</f>
        <v/>
      </c>
      <c r="O33" s="68">
        <f>INDEX(curve_y2,'Metrics'!$E$33)</f>
        <v/>
      </c>
      <c r="P33" s="68">
        <f>INDEX(curve_y3,'Metrics'!$E$33)</f>
        <v/>
      </c>
      <c r="Q33" s="68">
        <f>INDEX(curve_y4,'Metrics'!$E$33)</f>
        <v/>
      </c>
      <c r="R33" s="68">
        <f>INDEX(curve_y5,'Metrics'!$E$33)</f>
        <v/>
      </c>
      <c r="S33" s="68">
        <f>INDEX(curve_y6,'Metrics'!$E$33)</f>
        <v/>
      </c>
      <c r="T33" s="68">
        <f>INDEX(curve_y7,'Metrics'!$E$33)</f>
        <v/>
      </c>
      <c r="U33" s="68">
        <f>INDEX(curve_y8,'Metrics'!$E$33)</f>
        <v/>
      </c>
      <c r="V33" s="69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Score'!G27:G28)=0,"",SUM('DEEP Score'!G27:G28)/COUNT('DEEP Score'!G27:G28)*15)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Score'!G29:G30)=0,"",SUM('DEEP Score'!G29:G30)/COUNT('DEEP Score'!G29:G30)*15)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Score'!G31:G32)=0,"",SUM('DEEP Score'!G31:G32)/COUNT('DEEP Score'!G31:G32)*15)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Score'!G33:G34)=0,"",SUM('DEEP Score'!G33:G34)/COUNT('DEEP Score'!G33:G34)*15)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Score'!G35:G35)=0,"",SUM('DEEP Score'!G35:G35)/COUNT('DEEP Score'!G35:G35)*15)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Score'!G36:G37)=0,"",SUM('DEEP Score'!G36:G37)/COUNT('DEEP Score'!G36:G37)*15)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Score'!G38:G39)=0,"",SUM('DEEP Score'!G38:G39)/COUNT('DEEP Score'!G38:G39)*15)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Score'!G40:G41)=0,"",SUM('DEEP Score'!G40:G41)/COUNT('DEEP Score'!G40:G41)*15)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Score'!G42:G43)=0,"",SUM('DEEP Score'!G42:G43)/COUNT('DEEP Score'!G42:G43)*15)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Score'!G44:G45)=0,"",SUM('DEEP Score'!G44:G45)/COUNT('DEEP Score'!G44:G45)*15)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Score'!G46:G46)=0,"",SUM('DEEP Score'!G46:G46)/COUNT('DEEP Score'!G46:G46)*15)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5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 cover of the watershed</t>
        </is>
      </c>
      <c r="D7" s="67" t="inlineStr"/>
      <c r="E7" s="67" t="n">
        <v>4</v>
      </c>
      <c r="F7" s="67" t="inlineStr">
        <is>
          <t>Adopted from EASI's national screening method (provisional)</t>
        </is>
      </c>
      <c r="G7" s="67" t="n">
        <v>0</v>
      </c>
      <c r="H7" s="67" t="n">
        <v>0.995</v>
      </c>
      <c r="I7" s="67" t="n">
        <v>5</v>
      </c>
      <c r="J7" s="67" t="n">
        <v>9.138500000000001</v>
      </c>
      <c r="K7" s="67" t="n">
        <v>9.138500000000001</v>
      </c>
      <c r="L7" s="67" t="n">
        <v>9.138500000000001</v>
      </c>
      <c r="M7" s="67" t="n">
        <v>9.138500000000001</v>
      </c>
      <c r="N7" s="67" t="n">
        <v>9.138500000000001</v>
      </c>
      <c r="O7" s="67" t="n">
        <v>0.315468</v>
      </c>
      <c r="P7" s="67" t="n">
        <v>0.39</v>
      </c>
      <c r="Q7" s="67" t="n">
        <v>0.6899999999999999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required); confidence capped at 39.</t>
        </is>
      </c>
      <c r="G9" s="67" t="n">
        <v>0</v>
      </c>
      <c r="H9" s="67" t="n">
        <v>27.60453214285715</v>
      </c>
      <c r="I9" s="67" t="n">
        <v>64.41057500000001</v>
      </c>
      <c r="J9" s="67" t="n">
        <v>71.91265</v>
      </c>
      <c r="K9" s="67" t="n">
        <v>75.66368749999999</v>
      </c>
      <c r="L9" s="67" t="n">
        <v>75.66368749999999</v>
      </c>
      <c r="M9" s="67" t="n">
        <v>75.66368749999999</v>
      </c>
      <c r="N9" s="67" t="n">
        <v>75.66368749999999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spring_phab_bfwd_rat|</t>
        </is>
      </c>
      <c r="B11" s="67" t="inlineStr">
        <is>
          <t>spring-phab-bfwd-rat</t>
        </is>
      </c>
      <c r="C11" s="67" t="inlineStr">
        <is>
          <t>Bankfull width:depth ratio</t>
        </is>
      </c>
      <c r="D11" s="67" t="inlineStr"/>
      <c r="E11" s="67" t="n">
        <v>7</v>
      </c>
      <c r="F11" s="67" t="inlineStr">
        <is>
          <t>25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1" s="67" t="n">
        <v>0</v>
      </c>
      <c r="H11" s="67" t="n">
        <v>3.032968664169312</v>
      </c>
      <c r="I11" s="67" t="n">
        <v>5.392398834228516</v>
      </c>
      <c r="J11" s="67" t="n">
        <v>12.13362789154053</v>
      </c>
      <c r="K11" s="67" t="n">
        <v>14.49305806159973</v>
      </c>
      <c r="L11" s="67" t="n">
        <v>18.87485694885254</v>
      </c>
      <c r="M11" s="67" t="n">
        <v>25.61608600616455</v>
      </c>
      <c r="N11" s="67" t="n">
        <v>25.61608600616455</v>
      </c>
      <c r="O11" s="67" t="n">
        <v>0</v>
      </c>
      <c r="P11" s="67" t="n">
        <v>0.7</v>
      </c>
      <c r="Q11" s="67" t="n">
        <v>1</v>
      </c>
      <c r="R11" s="67" t="n">
        <v>1</v>
      </c>
      <c r="S11" s="67" t="n">
        <v>0.7</v>
      </c>
      <c r="T11" s="67" t="n">
        <v>0.3</v>
      </c>
      <c r="U11" s="67" t="n">
        <v>0</v>
      </c>
      <c r="V11" s="67" t="n">
        <v>0</v>
      </c>
    </row>
    <row r="12">
      <c r="A12" s="67" t="inlineStr">
        <is>
          <t>spring_phab_rp100_cm|All streams (pooled)</t>
        </is>
      </c>
      <c r="B12" s="67" t="inlineStr">
        <is>
          <t>spring-phab-rp100-cm</t>
        </is>
      </c>
      <c r="C12" s="67" t="inlineStr">
        <is>
          <t>Residual pool depth</t>
        </is>
      </c>
      <c r="D12" s="67" t="inlineStr">
        <is>
          <t>All streams (pooled)</t>
        </is>
      </c>
      <c r="E12" s="67" t="n">
        <v>5</v>
      </c>
      <c r="F12" s="67" t="inlineStr">
        <is>
          <t>53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2" s="67" t="n">
        <v>0</v>
      </c>
      <c r="H12" s="67" t="n">
        <v>5.172404153006418</v>
      </c>
      <c r="I12" s="67" t="n">
        <v>12.06894302368164</v>
      </c>
      <c r="J12" s="67" t="n">
        <v>36.01540756225586</v>
      </c>
      <c r="K12" s="67" t="n">
        <v>47.98863983154297</v>
      </c>
      <c r="L12" s="67" t="n">
        <v>47.98863983154297</v>
      </c>
      <c r="M12" s="67" t="n">
        <v>47.98863983154297</v>
      </c>
      <c r="N12" s="67" t="n">
        <v>47.98863983154297</v>
      </c>
      <c r="O12" s="67" t="n">
        <v>0</v>
      </c>
      <c r="P12" s="67" t="n">
        <v>0.3</v>
      </c>
      <c r="Q12" s="67" t="n">
        <v>0.7</v>
      </c>
      <c r="R12" s="67" t="n">
        <v>1</v>
      </c>
      <c r="S12" s="67" t="n">
        <v>1</v>
      </c>
      <c r="T12" s="67" t="n">
        <v>1</v>
      </c>
      <c r="U12" s="67" t="n">
        <v>1</v>
      </c>
      <c r="V12" s="67" t="n">
        <v>1</v>
      </c>
    </row>
    <row r="13">
      <c r="A13" s="67" t="inlineStr">
        <is>
          <t>spring_phab_rp100_cm|Low gradient (under 0.5 percent)</t>
        </is>
      </c>
      <c r="B13" s="67" t="inlineStr">
        <is>
          <t>spring-phab-rp100-cm</t>
        </is>
      </c>
      <c r="C13" s="67" t="inlineStr">
        <is>
          <t>Residual pool depth</t>
        </is>
      </c>
      <c r="D13" s="67" t="inlineStr">
        <is>
          <t>Low gradient (under 0.5 percent)</t>
        </is>
      </c>
      <c r="E13" s="67" t="n">
        <v>5</v>
      </c>
      <c r="F13" s="67" t="inlineStr">
        <is>
          <t>53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3" s="67" t="n">
        <v>0</v>
      </c>
      <c r="H13" s="67" t="n">
        <v>5.172404153006418</v>
      </c>
      <c r="I13" s="67" t="n">
        <v>12.06894302368164</v>
      </c>
      <c r="J13" s="67" t="n">
        <v>43.03918075561523</v>
      </c>
      <c r="K13" s="67" t="n">
        <v>58.52429962158203</v>
      </c>
      <c r="L13" s="67" t="n">
        <v>58.52429962158203</v>
      </c>
      <c r="M13" s="67" t="n">
        <v>58.52429962158203</v>
      </c>
      <c r="N13" s="67" t="n">
        <v>58.52429962158203</v>
      </c>
      <c r="O13" s="67" t="n">
        <v>0</v>
      </c>
      <c r="P13" s="67" t="n">
        <v>0.3</v>
      </c>
      <c r="Q13" s="67" t="n">
        <v>0.7</v>
      </c>
      <c r="R13" s="67" t="n">
        <v>1</v>
      </c>
      <c r="S13" s="67" t="n">
        <v>1</v>
      </c>
      <c r="T13" s="67" t="n">
        <v>1</v>
      </c>
      <c r="U13" s="67" t="n">
        <v>1</v>
      </c>
      <c r="V13" s="67" t="n">
        <v>1</v>
      </c>
    </row>
    <row r="14">
      <c r="A14" s="67" t="inlineStr">
        <is>
          <t>spring_phab_rp100_cm|Moderate gradient (0.5 to 2 percent)</t>
        </is>
      </c>
      <c r="B14" s="67" t="inlineStr">
        <is>
          <t>spring-phab-rp100-cm</t>
        </is>
      </c>
      <c r="C14" s="67" t="inlineStr">
        <is>
          <t>Residual pool depth</t>
        </is>
      </c>
      <c r="D14" s="67" t="inlineStr">
        <is>
          <t>Moderate gradient (0.5 to 2 percent)</t>
        </is>
      </c>
      <c r="E14" s="67" t="n">
        <v>5</v>
      </c>
      <c r="F14" s="67" t="inlineStr">
        <is>
          <t>53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4" s="67" t="n">
        <v>0</v>
      </c>
      <c r="H14" s="67" t="n">
        <v>6.330738953181675</v>
      </c>
      <c r="I14" s="67" t="n">
        <v>14.77172422409058</v>
      </c>
      <c r="J14" s="67" t="n">
        <v>24.18071508407593</v>
      </c>
      <c r="K14" s="67" t="n">
        <v>28.8852105140686</v>
      </c>
      <c r="L14" s="67" t="n">
        <v>28.8852105140686</v>
      </c>
      <c r="M14" s="67" t="n">
        <v>28.8852105140686</v>
      </c>
      <c r="N14" s="67" t="n">
        <v>28.8852105140686</v>
      </c>
      <c r="O14" s="67" t="n">
        <v>0</v>
      </c>
      <c r="P14" s="67" t="n">
        <v>0.3</v>
      </c>
      <c r="Q14" s="67" t="n">
        <v>0.7</v>
      </c>
      <c r="R14" s="67" t="n">
        <v>1</v>
      </c>
      <c r="S14" s="67" t="n">
        <v>1</v>
      </c>
      <c r="T14" s="67" t="n">
        <v>1</v>
      </c>
      <c r="U14" s="67" t="n">
        <v>1</v>
      </c>
      <c r="V14" s="67" t="n">
        <v>1</v>
      </c>
    </row>
    <row r="15">
      <c r="A15" s="67" t="inlineStr">
        <is>
          <t>spring_phab_xbkf_h|All streams (pooled)</t>
        </is>
      </c>
      <c r="B15" s="67" t="inlineStr">
        <is>
          <t>spring-phab-xbkf-h</t>
        </is>
      </c>
      <c r="C15" s="67" t="inlineStr">
        <is>
          <t>Bankfull height above channel</t>
        </is>
      </c>
      <c r="D15" s="67" t="inlineStr">
        <is>
          <t>All streams (pooled)</t>
        </is>
      </c>
      <c r="E15" s="67" t="n">
        <v>7</v>
      </c>
      <c r="F15" s="67" t="inlineStr">
        <is>
          <t>53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7" t="n">
        <v>0</v>
      </c>
      <c r="H15" s="67" t="n">
        <v>0.1471818089485168</v>
      </c>
      <c r="I15" s="67" t="n">
        <v>0.3272727131843567</v>
      </c>
      <c r="J15" s="67" t="n">
        <v>0.8418181538581848</v>
      </c>
      <c r="K15" s="67" t="n">
        <v>1.021909058094025</v>
      </c>
      <c r="L15" s="67" t="n">
        <v>1.356363594532013</v>
      </c>
      <c r="M15" s="67" t="n">
        <v>1.870909035205841</v>
      </c>
      <c r="N15" s="67" t="n">
        <v>1.870909035205841</v>
      </c>
      <c r="O15" s="67" t="n">
        <v>0</v>
      </c>
      <c r="P15" s="67" t="n">
        <v>0.7</v>
      </c>
      <c r="Q15" s="67" t="n">
        <v>1</v>
      </c>
      <c r="R15" s="67" t="n">
        <v>1</v>
      </c>
      <c r="S15" s="67" t="n">
        <v>0.7</v>
      </c>
      <c r="T15" s="67" t="n">
        <v>0.3</v>
      </c>
      <c r="U15" s="67" t="n">
        <v>0</v>
      </c>
      <c r="V15" s="67" t="n">
        <v>0</v>
      </c>
    </row>
    <row r="16">
      <c r="A16" s="67" t="inlineStr">
        <is>
          <t>spring_phab_xbkf_h|Small stream (10 to 100 km2)</t>
        </is>
      </c>
      <c r="B16" s="67" t="inlineStr">
        <is>
          <t>spring-phab-xbkf-h</t>
        </is>
      </c>
      <c r="C16" s="67" t="inlineStr">
        <is>
          <t>Bankfull height above channel</t>
        </is>
      </c>
      <c r="D16" s="67" t="inlineStr">
        <is>
          <t>Small stream (10 to 100 km2)</t>
        </is>
      </c>
      <c r="E16" s="67" t="n">
        <v>7</v>
      </c>
      <c r="F16" s="67" t="inlineStr">
        <is>
          <t>53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7" t="n">
        <v>0</v>
      </c>
      <c r="H16" s="67" t="n">
        <v>0.1207727238535881</v>
      </c>
      <c r="I16" s="67" t="n">
        <v>0.2827272713184357</v>
      </c>
      <c r="J16" s="67" t="n">
        <v>0.7454545497894287</v>
      </c>
      <c r="K16" s="67" t="n">
        <v>0.9074090972542763</v>
      </c>
      <c r="L16" s="67" t="n">
        <v>1.208181828260422</v>
      </c>
      <c r="M16" s="67" t="n">
        <v>1.670909106731415</v>
      </c>
      <c r="N16" s="67" t="n">
        <v>1.670909106731415</v>
      </c>
      <c r="O16" s="67" t="n">
        <v>0</v>
      </c>
      <c r="P16" s="67" t="n">
        <v>0.7</v>
      </c>
      <c r="Q16" s="67" t="n">
        <v>1</v>
      </c>
      <c r="R16" s="67" t="n">
        <v>1</v>
      </c>
      <c r="S16" s="67" t="n">
        <v>0.7</v>
      </c>
      <c r="T16" s="67" t="n">
        <v>0.3</v>
      </c>
      <c r="U16" s="67" t="n">
        <v>0</v>
      </c>
      <c r="V16" s="67" t="n">
        <v>0</v>
      </c>
    </row>
    <row r="17">
      <c r="A17" s="67" t="inlineStr">
        <is>
          <t>spring_phab_xbkf_h|Large stream (over 100 km2)</t>
        </is>
      </c>
      <c r="B17" s="67" t="inlineStr">
        <is>
          <t>spring-phab-xbkf-h</t>
        </is>
      </c>
      <c r="C17" s="67" t="inlineStr">
        <is>
          <t>Bankfull height above channel</t>
        </is>
      </c>
      <c r="D17" s="67" t="inlineStr">
        <is>
          <t>Large stream (over 100 km2)</t>
        </is>
      </c>
      <c r="E17" s="67" t="n">
        <v>7</v>
      </c>
      <c r="F17" s="67" t="inlineStr">
        <is>
          <t>53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7" t="n">
        <v>0</v>
      </c>
      <c r="H17" s="67" t="n">
        <v>0.1822954464703798</v>
      </c>
      <c r="I17" s="67" t="n">
        <v>0.3568181768059731</v>
      </c>
      <c r="J17" s="67" t="n">
        <v>0.8554545491933823</v>
      </c>
      <c r="K17" s="67" t="n">
        <v>1.029977279528975</v>
      </c>
      <c r="L17" s="67" t="n">
        <v>1.354090921580791</v>
      </c>
      <c r="M17" s="67" t="n">
        <v>1.852727293968201</v>
      </c>
      <c r="N17" s="67" t="n">
        <v>1.852727293968201</v>
      </c>
      <c r="O17" s="67" t="n">
        <v>0</v>
      </c>
      <c r="P17" s="67" t="n">
        <v>0.7</v>
      </c>
      <c r="Q17" s="67" t="n">
        <v>1</v>
      </c>
      <c r="R17" s="67" t="n">
        <v>1</v>
      </c>
      <c r="S17" s="67" t="n">
        <v>0.7</v>
      </c>
      <c r="T17" s="67" t="n">
        <v>0.3</v>
      </c>
      <c r="U17" s="67" t="n">
        <v>0</v>
      </c>
      <c r="V17" s="67" t="n">
        <v>0</v>
      </c>
    </row>
    <row r="18">
      <c r="A18" s="67" t="inlineStr">
        <is>
          <t>spring_phab_pct_safn|</t>
        </is>
      </c>
      <c r="B18" s="67" t="inlineStr">
        <is>
          <t>spring-phab-pct-safn</t>
        </is>
      </c>
      <c r="C18" s="67" t="inlineStr">
        <is>
          <t>Sand + fines</t>
        </is>
      </c>
      <c r="D18" s="67" t="inlineStr"/>
      <c r="E18" s="67" t="n">
        <v>4</v>
      </c>
      <c r="F18" s="67" t="inlineStr">
        <is>
          <t>26 least-disturbed stations borrowed from Level II ecoregion 9.4 (South Central Semi-Arid Prairies) under the regional screen (agriculture at most 25 percent), transfer risk low</t>
        </is>
      </c>
      <c r="G18" s="67" t="n">
        <v>15</v>
      </c>
      <c r="H18" s="67" t="n">
        <v>30.7142858505249</v>
      </c>
      <c r="I18" s="67" t="n">
        <v>62.14285755157471</v>
      </c>
      <c r="J18" s="67" t="n">
        <v>100</v>
      </c>
      <c r="K18" s="67" t="n">
        <v>100</v>
      </c>
      <c r="L18" s="67" t="n">
        <v>100</v>
      </c>
      <c r="M18" s="67" t="n">
        <v>100</v>
      </c>
      <c r="N18" s="67" t="n">
        <v>100</v>
      </c>
      <c r="O18" s="67" t="n">
        <v>1</v>
      </c>
      <c r="P18" s="67" t="n">
        <v>1</v>
      </c>
      <c r="Q18" s="67" t="n">
        <v>0.7</v>
      </c>
      <c r="R18" s="67" t="n">
        <v>0</v>
      </c>
      <c r="S18" s="67" t="n">
        <v>0</v>
      </c>
      <c r="T18" s="67" t="n">
        <v>0</v>
      </c>
      <c r="U18" s="67" t="n">
        <v>0</v>
      </c>
      <c r="V18" s="67" t="n">
        <v>0</v>
      </c>
    </row>
    <row r="19">
      <c r="A19" s="67" t="inlineStr">
        <is>
          <t>spring_phab_xembed|</t>
        </is>
      </c>
      <c r="B19" s="67" t="inlineStr">
        <is>
          <t>spring-phab-xembed</t>
        </is>
      </c>
      <c r="C19" s="67" t="inlineStr">
        <is>
          <t>Embeddedness</t>
        </is>
      </c>
      <c r="D19" s="67" t="inlineStr"/>
      <c r="E19" s="67" t="n">
        <v>4</v>
      </c>
      <c r="F19" s="67" t="inlineStr">
        <is>
          <t>25 least-disturbed stations borrowed from Level II ecoregion 9.4 (South Central Semi-Arid Prairies) under the regional screen (agriculture at most 25 percent), transfer risk low</t>
        </is>
      </c>
      <c r="G19" s="67" t="n">
        <v>56.22726821899414</v>
      </c>
      <c r="H19" s="67" t="n">
        <v>65.18181610107422</v>
      </c>
      <c r="I19" s="67" t="n">
        <v>83.09091186523438</v>
      </c>
      <c r="J19" s="67" t="n">
        <v>100</v>
      </c>
      <c r="K19" s="67" t="n">
        <v>100</v>
      </c>
      <c r="L19" s="67" t="n">
        <v>100</v>
      </c>
      <c r="M19" s="67" t="n">
        <v>100</v>
      </c>
      <c r="N19" s="67" t="n">
        <v>100</v>
      </c>
      <c r="O19" s="67" t="n">
        <v>1</v>
      </c>
      <c r="P19" s="67" t="n">
        <v>1</v>
      </c>
      <c r="Q19" s="67" t="n">
        <v>0.7</v>
      </c>
      <c r="R19" s="67" t="n">
        <v>0</v>
      </c>
      <c r="S19" s="67" t="n">
        <v>0</v>
      </c>
      <c r="T19" s="67" t="n">
        <v>0</v>
      </c>
      <c r="U19" s="67" t="n">
        <v>0</v>
      </c>
      <c r="V19" s="67" t="n">
        <v>0</v>
      </c>
    </row>
    <row r="20">
      <c r="A20" s="67" t="inlineStr">
        <is>
          <t>spring_phab_sinu|</t>
        </is>
      </c>
      <c r="B20" s="67" t="inlineStr">
        <is>
          <t>spring-phab-sinu</t>
        </is>
      </c>
      <c r="C20" s="67" t="inlineStr">
        <is>
          <t>Sinuosity</t>
        </is>
      </c>
      <c r="D20" s="67" t="inlineStr"/>
      <c r="E20" s="67" t="n">
        <v>4</v>
      </c>
      <c r="F20" s="67" t="inlineStr">
        <is>
          <t>25 least-disturbed stations borrowed from Level II ecoregion 9.4 (South Central Semi-Arid Prairies) under the regional screen (agriculture at most 25 percent), transfer risk moderate</t>
        </is>
      </c>
      <c r="G20" s="67" t="n">
        <v>1</v>
      </c>
      <c r="H20" s="67" t="n">
        <v>1.124881148338318</v>
      </c>
      <c r="I20" s="67" t="n">
        <v>1.381324052810669</v>
      </c>
      <c r="J20" s="67" t="n">
        <v>1.509545505046844</v>
      </c>
      <c r="K20" s="67" t="n">
        <v>1.509545505046844</v>
      </c>
      <c r="L20" s="67" t="n">
        <v>1.509545505046844</v>
      </c>
      <c r="M20" s="67" t="n">
        <v>1.509545505046844</v>
      </c>
      <c r="N20" s="67" t="n">
        <v>1.509545505046844</v>
      </c>
      <c r="O20" s="67" t="n">
        <v>0</v>
      </c>
      <c r="P20" s="67" t="n">
        <v>0.7</v>
      </c>
      <c r="Q20" s="67" t="n">
        <v>1</v>
      </c>
      <c r="R20" s="67" t="n">
        <v>1</v>
      </c>
      <c r="S20" s="67" t="n">
        <v>1</v>
      </c>
      <c r="T20" s="67" t="n">
        <v>1</v>
      </c>
      <c r="U20" s="67" t="n">
        <v>1</v>
      </c>
      <c r="V20" s="67" t="n">
        <v>1</v>
      </c>
    </row>
    <row r="21">
      <c r="A21" s="67" t="inlineStr">
        <is>
          <t>spring_phab_xbka|</t>
        </is>
      </c>
      <c r="B21" s="67" t="inlineStr">
        <is>
          <t>spring-phab-xbka</t>
        </is>
      </c>
      <c r="C21" s="67" t="inlineStr">
        <is>
          <t>Bank angle</t>
        </is>
      </c>
      <c r="D21" s="67" t="inlineStr"/>
      <c r="E21" s="67" t="n">
        <v>7</v>
      </c>
      <c r="F21" s="67" t="inlineStr">
        <is>
          <t>25 least-disturbed stations borrowed from Level II ecoregion 9.4 (South Central Semi-Arid Prairies) under the regional screen (agriculture at most 25 percent), transfer risk low</t>
        </is>
      </c>
      <c r="G21" s="67" t="n">
        <v>7.454544067382812</v>
      </c>
      <c r="H21" s="67" t="n">
        <v>22.15454578399658</v>
      </c>
      <c r="I21" s="67" t="n">
        <v>25.27272796630859</v>
      </c>
      <c r="J21" s="67" t="n">
        <v>34.18181991577148</v>
      </c>
      <c r="K21" s="67" t="n">
        <v>37.3000020980835</v>
      </c>
      <c r="L21" s="67" t="n">
        <v>43.09091186523438</v>
      </c>
      <c r="M21" s="67" t="n">
        <v>52.00000381469727</v>
      </c>
      <c r="N21" s="67" t="n">
        <v>52.00000381469727</v>
      </c>
      <c r="O21" s="67" t="n">
        <v>0.7</v>
      </c>
      <c r="P21" s="67" t="n">
        <v>0.7</v>
      </c>
      <c r="Q21" s="67" t="n">
        <v>1</v>
      </c>
      <c r="R21" s="67" t="n">
        <v>1</v>
      </c>
      <c r="S21" s="67" t="n">
        <v>0.7</v>
      </c>
      <c r="T21" s="67" t="n">
        <v>0.3</v>
      </c>
      <c r="U21" s="67" t="n">
        <v>0</v>
      </c>
      <c r="V21" s="67" t="n">
        <v>0</v>
      </c>
    </row>
    <row r="22">
      <c r="A22" s="67" t="inlineStr">
        <is>
          <t>spring_phab_lrbs_use|</t>
        </is>
      </c>
      <c r="B22" s="67" t="inlineStr">
        <is>
          <t>spring-phab-lrbs-use</t>
        </is>
      </c>
      <c r="C22" s="67" t="inlineStr">
        <is>
          <t>Relative bed stability</t>
        </is>
      </c>
      <c r="D22" s="67" t="inlineStr"/>
      <c r="E22" s="67" t="n">
        <v>8</v>
      </c>
      <c r="F22" s="67" t="inlineStr">
        <is>
          <t>26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2" s="67" t="n">
        <v>-3.577613532543182</v>
      </c>
      <c r="H22" s="67" t="n">
        <v>-2.62652750313282</v>
      </c>
      <c r="I22" s="67" t="n">
        <v>-2.008321584016085</v>
      </c>
      <c r="J22" s="67" t="n">
        <v>-1.675441473722458</v>
      </c>
      <c r="K22" s="67" t="n">
        <v>-0.7243554443120956</v>
      </c>
      <c r="L22" s="67" t="n">
        <v>-0.3914753340184689</v>
      </c>
      <c r="M22" s="67" t="n">
        <v>0.2267305850982666</v>
      </c>
      <c r="N22" s="67" t="n">
        <v>1.177816614508629</v>
      </c>
      <c r="O22" s="67" t="n">
        <v>0</v>
      </c>
      <c r="P22" s="67" t="n">
        <v>0.3</v>
      </c>
      <c r="Q22" s="67" t="n">
        <v>0.7</v>
      </c>
      <c r="R22" s="67" t="n">
        <v>1</v>
      </c>
      <c r="S22" s="67" t="n">
        <v>1</v>
      </c>
      <c r="T22" s="67" t="n">
        <v>0.7</v>
      </c>
      <c r="U22" s="67" t="n">
        <v>0.3</v>
      </c>
      <c r="V22" s="67" t="n">
        <v>0</v>
      </c>
    </row>
    <row r="23">
      <c r="A23" s="67" t="inlineStr">
        <is>
          <t>spring_phab_lwdeqvolm100|</t>
        </is>
      </c>
      <c r="B23" s="67" t="inlineStr">
        <is>
          <t>spring-phab-lwdeqvolm100</t>
        </is>
      </c>
      <c r="C23" s="67" t="inlineStr">
        <is>
          <t>Large wood volume</t>
        </is>
      </c>
      <c r="D23" s="67" t="inlineStr"/>
      <c r="E23" s="67" t="n">
        <v>5</v>
      </c>
      <c r="F23" s="67" t="inlineStr">
        <is>
          <t>Reference curve fitted to comparable least-disturbed stations drawn from the national pool, because this ecoregion and its parents hold too few of their own.</t>
        </is>
      </c>
      <c r="G23" s="67" t="n">
        <v>0</v>
      </c>
      <c r="H23" s="67" t="n">
        <v>0.1612244865724019</v>
      </c>
      <c r="I23" s="67" t="n">
        <v>0.3761904686689377</v>
      </c>
      <c r="J23" s="67" t="n">
        <v>13.54428386688232</v>
      </c>
      <c r="K23" s="67" t="n">
        <v>20.12833056598902</v>
      </c>
      <c r="L23" s="67" t="n">
        <v>20.12833056598902</v>
      </c>
      <c r="M23" s="67" t="n">
        <v>20.12833056598902</v>
      </c>
      <c r="N23" s="67" t="n">
        <v>20.12833056598902</v>
      </c>
      <c r="O23" s="67" t="n">
        <v>0</v>
      </c>
      <c r="P23" s="67" t="n">
        <v>0.3</v>
      </c>
      <c r="Q23" s="67" t="n">
        <v>0.7</v>
      </c>
      <c r="R23" s="67" t="n">
        <v>1</v>
      </c>
      <c r="S23" s="67" t="n">
        <v>1</v>
      </c>
      <c r="T23" s="67" t="n">
        <v>1</v>
      </c>
      <c r="U23" s="67" t="n">
        <v>1</v>
      </c>
      <c r="V23" s="67" t="n">
        <v>1</v>
      </c>
    </row>
    <row r="24">
      <c r="A24" s="67" t="inlineStr">
        <is>
          <t>spring_phab_xcdenmid|</t>
        </is>
      </c>
      <c r="B24" s="67" t="inlineStr">
        <is>
          <t>spring-phab-xcdenmid</t>
        </is>
      </c>
      <c r="C24" s="67" t="inlineStr">
        <is>
          <t>Canopy density, mid-channel</t>
        </is>
      </c>
      <c r="D24" s="67" t="inlineStr"/>
      <c r="E24" s="67" t="n">
        <v>5</v>
      </c>
      <c r="F24" s="67" t="inlineStr">
        <is>
          <t>26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4" s="67" t="n">
        <v>0</v>
      </c>
      <c r="H24" s="67" t="n">
        <v>11.40183346612113</v>
      </c>
      <c r="I24" s="67" t="n">
        <v>26.60427808761597</v>
      </c>
      <c r="J24" s="67" t="n">
        <v>65.77539920806885</v>
      </c>
      <c r="K24" s="67" t="n">
        <v>85.36095976829529</v>
      </c>
      <c r="L24" s="67" t="n">
        <v>85.36095976829529</v>
      </c>
      <c r="M24" s="67" t="n">
        <v>85.36095976829529</v>
      </c>
      <c r="N24" s="67" t="n">
        <v>85.36095976829529</v>
      </c>
      <c r="O24" s="67" t="n">
        <v>0</v>
      </c>
      <c r="P24" s="67" t="n">
        <v>0.3</v>
      </c>
      <c r="Q24" s="67" t="n">
        <v>0.7</v>
      </c>
      <c r="R24" s="67" t="n">
        <v>1</v>
      </c>
      <c r="S24" s="67" t="n">
        <v>1</v>
      </c>
      <c r="T24" s="67" t="n">
        <v>1</v>
      </c>
      <c r="U24" s="67" t="n">
        <v>1</v>
      </c>
      <c r="V24" s="67" t="n">
        <v>1</v>
      </c>
    </row>
    <row r="25">
      <c r="A25" s="67" t="inlineStr">
        <is>
          <t>spring_chem_chla|</t>
        </is>
      </c>
      <c r="B25" s="67" t="inlineStr">
        <is>
          <t>spring-chem-chla</t>
        </is>
      </c>
      <c r="C25" s="67" t="inlineStr">
        <is>
          <t>Chlorophyll a</t>
        </is>
      </c>
      <c r="D25" s="67" t="inlineStr"/>
      <c r="E25" s="67" t="n">
        <v>5</v>
      </c>
      <c r="F25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25" s="67" t="n">
        <v>0</v>
      </c>
      <c r="H25" s="67" t="n">
        <v>2.176000118255615</v>
      </c>
      <c r="I25" s="67" t="n">
        <v>8.159999847412109</v>
      </c>
      <c r="J25" s="67" t="n">
        <v>17.13599944114685</v>
      </c>
      <c r="K25" s="67" t="n">
        <v>23.11999917030334</v>
      </c>
      <c r="L25" s="67" t="n">
        <v>23.11999917030334</v>
      </c>
      <c r="M25" s="67" t="n">
        <v>23.11999917030334</v>
      </c>
      <c r="N25" s="67" t="n">
        <v>23.11999917030334</v>
      </c>
      <c r="O25" s="67" t="n">
        <v>1</v>
      </c>
      <c r="P25" s="67" t="n">
        <v>1</v>
      </c>
      <c r="Q25" s="67" t="n">
        <v>0.7</v>
      </c>
      <c r="R25" s="67" t="n">
        <v>0.3</v>
      </c>
      <c r="S25" s="67" t="n">
        <v>0</v>
      </c>
      <c r="T25" s="67" t="n">
        <v>0</v>
      </c>
      <c r="U25" s="67" t="n">
        <v>0</v>
      </c>
      <c r="V25" s="67" t="n">
        <v>0</v>
      </c>
    </row>
    <row r="26">
      <c r="A26" s="67" t="inlineStr">
        <is>
          <t>spring_phab_xcmgw|</t>
        </is>
      </c>
      <c r="B26" s="67" t="inlineStr">
        <is>
          <t>spring-phab-xcmgw</t>
        </is>
      </c>
      <c r="C26" s="67" t="inlineStr">
        <is>
          <t>Riparian veg cover, woody</t>
        </is>
      </c>
      <c r="D26" s="67" t="inlineStr"/>
      <c r="E26" s="67" t="n">
        <v>5</v>
      </c>
      <c r="F26" s="67" t="inlineStr">
        <is>
          <t>21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+0.10, at most 0.05 allowed); confidence capped at 39.</t>
        </is>
      </c>
      <c r="G26" s="67" t="n">
        <v>0</v>
      </c>
      <c r="H26" s="67" t="n">
        <v>0.2220779146466936</v>
      </c>
      <c r="I26" s="67" t="n">
        <v>0.5181818008422852</v>
      </c>
      <c r="J26" s="67" t="n">
        <v>0.9852272868156433</v>
      </c>
      <c r="K26" s="67" t="n">
        <v>1.218750029802322</v>
      </c>
      <c r="L26" s="67" t="n">
        <v>1.218750029802322</v>
      </c>
      <c r="M26" s="67" t="n">
        <v>1.218750029802322</v>
      </c>
      <c r="N26" s="67" t="n">
        <v>1.218750029802322</v>
      </c>
      <c r="O26" s="67" t="n">
        <v>0</v>
      </c>
      <c r="P26" s="67" t="n">
        <v>0.3</v>
      </c>
      <c r="Q26" s="67" t="n">
        <v>0.7</v>
      </c>
      <c r="R26" s="67" t="n">
        <v>1</v>
      </c>
      <c r="S26" s="67" t="n">
        <v>1</v>
      </c>
      <c r="T26" s="67" t="n">
        <v>1</v>
      </c>
      <c r="U26" s="67" t="n">
        <v>1</v>
      </c>
      <c r="V26" s="67" t="n">
        <v>1</v>
      </c>
    </row>
    <row r="27">
      <c r="A27" s="67" t="inlineStr">
        <is>
          <t>spring_chem_ntl|</t>
        </is>
      </c>
      <c r="B27" s="67" t="inlineStr">
        <is>
          <t>spring-chem-ntl</t>
        </is>
      </c>
      <c r="C27" s="67" t="inlineStr">
        <is>
          <t>Total nitrogen</t>
        </is>
      </c>
      <c r="D27" s="67" t="inlineStr"/>
      <c r="E27" s="67" t="n">
        <v>4</v>
      </c>
      <c r="F27" s="67" t="inlineStr">
        <is>
          <t>Scored against a published criterion rather than against stations from this ecoregion. The criterion carries its own definition of reference, which need not match this assessment's.</t>
        </is>
      </c>
      <c r="G27" s="67" t="n">
        <v>0</v>
      </c>
      <c r="H27" s="67" t="n">
        <v>0.5815</v>
      </c>
      <c r="I27" s="67" t="n">
        <v>1.069</v>
      </c>
      <c r="J27" s="67" t="n">
        <v>1.70275</v>
      </c>
      <c r="K27" s="67" t="n">
        <v>1.70275</v>
      </c>
      <c r="L27" s="67" t="n">
        <v>1.70275</v>
      </c>
      <c r="M27" s="67" t="n">
        <v>1.70275</v>
      </c>
      <c r="N27" s="67" t="n">
        <v>1.70275</v>
      </c>
      <c r="O27" s="67" t="n">
        <v>1</v>
      </c>
      <c r="P27" s="67" t="n">
        <v>0.6899999999999999</v>
      </c>
      <c r="Q27" s="67" t="n">
        <v>0.39</v>
      </c>
      <c r="R27" s="67" t="n">
        <v>0</v>
      </c>
      <c r="S27" s="67" t="n">
        <v>0</v>
      </c>
      <c r="T27" s="67" t="n">
        <v>0</v>
      </c>
      <c r="U27" s="67" t="n">
        <v>0</v>
      </c>
      <c r="V27" s="67" t="n">
        <v>0</v>
      </c>
    </row>
    <row r="28">
      <c r="A28" s="67" t="inlineStr">
        <is>
          <t>spring_chem_ptl|</t>
        </is>
      </c>
      <c r="B28" s="67" t="inlineStr">
        <is>
          <t>spring-chem-ptl</t>
        </is>
      </c>
      <c r="C28" s="67" t="inlineStr">
        <is>
          <t>Total phosphorus</t>
        </is>
      </c>
      <c r="D28" s="67" t="inlineStr"/>
      <c r="E28" s="67" t="n">
        <v>4</v>
      </c>
      <c r="F28" s="67" t="inlineStr">
        <is>
          <t>Scored against a published criterion rather than against stations from this ecoregion. The criterion carries its own definition of reference, which need not match this assessment's.</t>
        </is>
      </c>
      <c r="G28" s="67" t="n">
        <v>0</v>
      </c>
      <c r="H28" s="67" t="n">
        <v>55.85</v>
      </c>
      <c r="I28" s="67" t="n">
        <v>127</v>
      </c>
      <c r="J28" s="67" t="n">
        <v>219.495</v>
      </c>
      <c r="K28" s="67" t="n">
        <v>219.495</v>
      </c>
      <c r="L28" s="67" t="n">
        <v>219.495</v>
      </c>
      <c r="M28" s="67" t="n">
        <v>219.495</v>
      </c>
      <c r="N28" s="67" t="n">
        <v>219.495</v>
      </c>
      <c r="O28" s="67" t="n">
        <v>1</v>
      </c>
      <c r="P28" s="67" t="n">
        <v>0.6899999999999999</v>
      </c>
      <c r="Q28" s="67" t="n">
        <v>0.39</v>
      </c>
      <c r="R28" s="67" t="n">
        <v>0</v>
      </c>
      <c r="S28" s="67" t="n">
        <v>0</v>
      </c>
      <c r="T28" s="67" t="n">
        <v>0</v>
      </c>
      <c r="U28" s="67" t="n">
        <v>0</v>
      </c>
      <c r="V28" s="67" t="n">
        <v>0</v>
      </c>
    </row>
    <row r="29">
      <c r="A29" s="67" t="inlineStr">
        <is>
          <t>spring_chem_ph|</t>
        </is>
      </c>
      <c r="B29" s="67" t="inlineStr">
        <is>
          <t>spring-chem-ph</t>
        </is>
      </c>
      <c r="C29" s="67" t="inlineStr">
        <is>
          <t>pH</t>
        </is>
      </c>
      <c r="D29" s="67" t="inlineStr"/>
      <c r="E29" s="67" t="n">
        <v>8</v>
      </c>
      <c r="F29" s="67" t="inlineStr">
        <is>
          <t>17 least-disturbed stations borrowed from Level II ecoregion 9.4 (South Central Semi-Arid Prairies) under the regional screen (agriculture at most 25 percent), transfer risk low</t>
        </is>
      </c>
      <c r="G29" s="67" t="n">
        <v>7.540000915527344</v>
      </c>
      <c r="H29" s="67" t="n">
        <v>7.780000686645508</v>
      </c>
      <c r="I29" s="67" t="n">
        <v>7.936000537872315</v>
      </c>
      <c r="J29" s="67" t="n">
        <v>8.020000457763672</v>
      </c>
      <c r="K29" s="67" t="n">
        <v>8.260000228881836</v>
      </c>
      <c r="L29" s="67" t="n">
        <v>8.344000148773194</v>
      </c>
      <c r="M29" s="67" t="n">
        <v>8.5</v>
      </c>
      <c r="N29" s="67" t="n">
        <v>8.739999771118164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0.7</v>
      </c>
      <c r="U29" s="67" t="n">
        <v>0.3</v>
      </c>
      <c r="V29" s="67" t="n">
        <v>0</v>
      </c>
    </row>
    <row r="30">
      <c r="A30" s="67" t="inlineStr">
        <is>
          <t>spring_chem_cond|</t>
        </is>
      </c>
      <c r="B30" s="67" t="inlineStr">
        <is>
          <t>spring-chem-cond</t>
        </is>
      </c>
      <c r="C30" s="67" t="inlineStr">
        <is>
          <t>Specific conductivity</t>
        </is>
      </c>
      <c r="D30" s="67" t="inlineStr"/>
      <c r="E30" s="67" t="n">
        <v>4</v>
      </c>
      <c r="F30" s="67" t="inlineStr">
        <is>
          <t>Scored against a published criterion rather than against stations from this ecoregion. The criterion carries its own definition of reference, which need not match this assessment's.</t>
        </is>
      </c>
      <c r="G30" s="67" t="n">
        <v>0</v>
      </c>
      <c r="H30" s="67" t="n">
        <v>1000.05</v>
      </c>
      <c r="I30" s="67" t="n">
        <v>2000.05</v>
      </c>
      <c r="J30" s="67" t="n">
        <v>3300.05</v>
      </c>
      <c r="K30" s="67" t="n">
        <v>3300.05</v>
      </c>
      <c r="L30" s="67" t="n">
        <v>3300.05</v>
      </c>
      <c r="M30" s="67" t="n">
        <v>3300.05</v>
      </c>
      <c r="N30" s="67" t="n">
        <v>3300.05</v>
      </c>
      <c r="O30" s="67" t="n">
        <v>1</v>
      </c>
      <c r="P30" s="67" t="n">
        <v>0.6899999999999999</v>
      </c>
      <c r="Q30" s="67" t="n">
        <v>0.39</v>
      </c>
      <c r="R30" s="67" t="n">
        <v>0</v>
      </c>
      <c r="S30" s="67" t="n">
        <v>0</v>
      </c>
      <c r="T30" s="67" t="n">
        <v>0</v>
      </c>
      <c r="U30" s="67" t="n">
        <v>0</v>
      </c>
      <c r="V30" s="67" t="n">
        <v>0</v>
      </c>
    </row>
    <row r="31">
      <c r="A31" s="67" t="inlineStr">
        <is>
          <t>spring_phab_pct_fast|</t>
        </is>
      </c>
      <c r="B31" s="67" t="inlineStr">
        <is>
          <t>spring-phab-pct-fast</t>
        </is>
      </c>
      <c r="C31" s="67" t="inlineStr">
        <is>
          <t>Fast-water / riffle habitat</t>
        </is>
      </c>
      <c r="D31" s="67" t="inlineStr"/>
      <c r="E31" s="67" t="n">
        <v>5</v>
      </c>
      <c r="F31" s="67" t="inlineStr">
        <is>
          <t>26 least-disturbed stations borrowed from Level II ecoregion 9.4 (South Central Semi-Arid Prairies) under the regional screen (agriculture at most 25 percent), transfer risk low</t>
        </is>
      </c>
      <c r="G31" s="67" t="n">
        <v>0</v>
      </c>
      <c r="H31" s="67" t="n">
        <v>1.392857142857143</v>
      </c>
      <c r="I31" s="67" t="n">
        <v>3.25</v>
      </c>
      <c r="J31" s="67" t="n">
        <v>18.2059121131897</v>
      </c>
      <c r="K31" s="67" t="n">
        <v>25.68386816978455</v>
      </c>
      <c r="L31" s="67" t="n">
        <v>25.68386816978455</v>
      </c>
      <c r="M31" s="67" t="n">
        <v>25.68386816978455</v>
      </c>
      <c r="N31" s="67" t="n">
        <v>25.68386816978455</v>
      </c>
      <c r="O31" s="67" t="n">
        <v>0</v>
      </c>
      <c r="P31" s="67" t="n">
        <v>0.3</v>
      </c>
      <c r="Q31" s="67" t="n">
        <v>0.7</v>
      </c>
      <c r="R31" s="67" t="n">
        <v>1</v>
      </c>
      <c r="S31" s="67" t="n">
        <v>1</v>
      </c>
      <c r="T31" s="67" t="n">
        <v>1</v>
      </c>
      <c r="U31" s="67" t="n">
        <v>1</v>
      </c>
      <c r="V31" s="67" t="n">
        <v>1</v>
      </c>
    </row>
    <row r="32">
      <c r="A32" s="67" t="inlineStr">
        <is>
          <t>spring_phab_xfc_nat|</t>
        </is>
      </c>
      <c r="B32" s="67" t="inlineStr">
        <is>
          <t>spring-phab-xfc-nat</t>
        </is>
      </c>
      <c r="C32" s="67" t="inlineStr">
        <is>
          <t>Natural fish cover</t>
        </is>
      </c>
      <c r="D32" s="67" t="inlineStr"/>
      <c r="E32" s="67" t="n">
        <v>5</v>
      </c>
      <c r="F32" s="67" t="inlineStr">
        <is>
          <t>28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2" s="67" t="n">
        <v>0</v>
      </c>
      <c r="H32" s="67" t="n">
        <v>0.08133116790226527</v>
      </c>
      <c r="I32" s="67" t="n">
        <v>0.1897727251052856</v>
      </c>
      <c r="J32" s="67" t="n">
        <v>0.3193181753158569</v>
      </c>
      <c r="K32" s="67" t="n">
        <v>0.3840909004211426</v>
      </c>
      <c r="L32" s="67" t="n">
        <v>0.3840909004211426</v>
      </c>
      <c r="M32" s="67" t="n">
        <v>0.3840909004211426</v>
      </c>
      <c r="N32" s="67" t="n">
        <v>0.3840909004211426</v>
      </c>
      <c r="O32" s="67" t="n">
        <v>0</v>
      </c>
      <c r="P32" s="67" t="n">
        <v>0.3</v>
      </c>
      <c r="Q32" s="67" t="n">
        <v>0.7</v>
      </c>
      <c r="R32" s="67" t="n">
        <v>1</v>
      </c>
      <c r="S32" s="67" t="n">
        <v>1</v>
      </c>
      <c r="T32" s="67" t="n">
        <v>1</v>
      </c>
      <c r="U32" s="67" t="n">
        <v>1</v>
      </c>
      <c r="V32" s="67" t="n">
        <v>1</v>
      </c>
    </row>
    <row r="33">
      <c r="A33" s="67" t="inlineStr">
        <is>
          <t>spring_bent_totlntax|</t>
        </is>
      </c>
      <c r="B33" s="67" t="inlineStr">
        <is>
          <t>spring-bent-totlntax</t>
        </is>
      </c>
      <c r="C33" s="67" t="inlineStr">
        <is>
          <t>Benthic total taxa richness</t>
        </is>
      </c>
      <c r="D33" s="67" t="inlineStr"/>
      <c r="E33" s="67" t="n">
        <v>5</v>
      </c>
      <c r="F33" s="67" t="inlineStr">
        <is>
          <t>12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33" s="67" t="n">
        <v>0</v>
      </c>
      <c r="H33" s="67" t="n">
        <v>13.28571428571429</v>
      </c>
      <c r="I33" s="67" t="n">
        <v>31</v>
      </c>
      <c r="J33" s="67" t="n">
        <v>37</v>
      </c>
      <c r="K33" s="67" t="n">
        <v>40</v>
      </c>
      <c r="L33" s="67" t="n">
        <v>40</v>
      </c>
      <c r="M33" s="67" t="n">
        <v>40</v>
      </c>
      <c r="N33" s="67" t="n">
        <v>40</v>
      </c>
      <c r="O33" s="67" t="n">
        <v>0</v>
      </c>
      <c r="P33" s="67" t="n">
        <v>0.3</v>
      </c>
      <c r="Q33" s="67" t="n">
        <v>0.7</v>
      </c>
      <c r="R33" s="67" t="n">
        <v>1</v>
      </c>
      <c r="S33" s="67" t="n">
        <v>1</v>
      </c>
      <c r="T33" s="67" t="n">
        <v>1</v>
      </c>
      <c r="U33" s="67" t="n">
        <v>1</v>
      </c>
      <c r="V33" s="67" t="n">
        <v>1</v>
      </c>
    </row>
    <row r="34">
      <c r="A34" s="67" t="inlineStr">
        <is>
          <t>spring_fish_nat_totlntax|</t>
        </is>
      </c>
      <c r="B34" s="67" t="inlineStr">
        <is>
          <t>spring-fish-nat-totlntax</t>
        </is>
      </c>
      <c r="C34" s="67" t="inlineStr">
        <is>
          <t>Native fish taxa richness</t>
        </is>
      </c>
      <c r="D34" s="67" t="inlineStr"/>
      <c r="E34" s="67" t="n">
        <v>5</v>
      </c>
      <c r="F34" s="67" t="inlineStr">
        <is>
          <t>14 least-disturbed stations borrowed from NARS-9 region SPL under the regional screen (agriculture at most 25 percent), transfer risk moderate</t>
        </is>
      </c>
      <c r="G34" s="67" t="n">
        <v>0</v>
      </c>
      <c r="H34" s="67" t="n">
        <v>2.571428571428572</v>
      </c>
      <c r="I34" s="67" t="n">
        <v>6</v>
      </c>
      <c r="J34" s="67" t="n">
        <v>12</v>
      </c>
      <c r="K34" s="67" t="n">
        <v>15</v>
      </c>
      <c r="L34" s="67" t="n">
        <v>15</v>
      </c>
      <c r="M34" s="67" t="n">
        <v>15</v>
      </c>
      <c r="N34" s="67" t="n">
        <v>15</v>
      </c>
      <c r="O34" s="67" t="n">
        <v>0</v>
      </c>
      <c r="P34" s="67" t="n">
        <v>0.3</v>
      </c>
      <c r="Q34" s="67" t="n">
        <v>0.7</v>
      </c>
      <c r="R34" s="67" t="n">
        <v>1</v>
      </c>
      <c r="S34" s="67" t="n">
        <v>1</v>
      </c>
      <c r="T34" s="67" t="n">
        <v>1</v>
      </c>
      <c r="U34" s="67" t="n">
        <v>1</v>
      </c>
      <c r="V34" s="67" t="n">
        <v>1</v>
      </c>
    </row>
    <row r="35">
      <c r="A35" s="67" t="inlineStr">
        <is>
          <t>spring_bent_ept_ntax|</t>
        </is>
      </c>
      <c r="B35" s="67" t="inlineStr">
        <is>
          <t>spring-bent-ept-ntax</t>
        </is>
      </c>
      <c r="C35" s="67" t="inlineStr">
        <is>
          <t>EPT taxa richness</t>
        </is>
      </c>
      <c r="D35" s="67" t="inlineStr"/>
      <c r="E35" s="67" t="n">
        <v>5</v>
      </c>
      <c r="F35" s="67" t="inlineStr">
        <is>
          <t>15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35" s="67" t="n">
        <v>0</v>
      </c>
      <c r="H35" s="67" t="n">
        <v>1.714285714285714</v>
      </c>
      <c r="I35" s="67" t="n">
        <v>4</v>
      </c>
      <c r="J35" s="67" t="n">
        <v>8</v>
      </c>
      <c r="K35" s="67" t="n">
        <v>10</v>
      </c>
      <c r="L35" s="67" t="n">
        <v>10</v>
      </c>
      <c r="M35" s="67" t="n">
        <v>10</v>
      </c>
      <c r="N35" s="67" t="n">
        <v>10</v>
      </c>
      <c r="O35" s="67" t="n">
        <v>0</v>
      </c>
      <c r="P35" s="67" t="n">
        <v>0.3</v>
      </c>
      <c r="Q35" s="67" t="n">
        <v>0.7</v>
      </c>
      <c r="R35" s="67" t="n">
        <v>1</v>
      </c>
      <c r="S35" s="67" t="n">
        <v>1</v>
      </c>
      <c r="T35" s="67" t="n">
        <v>1</v>
      </c>
      <c r="U35" s="67" t="n">
        <v>1</v>
      </c>
      <c r="V35" s="67" t="n">
        <v>1</v>
      </c>
    </row>
    <row r="36">
      <c r="A36" s="67" t="inlineStr">
        <is>
          <t>spring_bent_mmi_bent|</t>
        </is>
      </c>
      <c r="B36" s="67" t="inlineStr">
        <is>
          <t>spring-bent-mmi-bent</t>
        </is>
      </c>
      <c r="C36" s="67" t="inlineStr">
        <is>
          <t>Benthic macroinvertebrate MMI</t>
        </is>
      </c>
      <c r="D36" s="67" t="inlineStr"/>
      <c r="E36" s="67" t="n">
        <v>4</v>
      </c>
      <c r="F36" s="67" t="inlineStr">
        <is>
          <t>Scored against a published criterion rather than against stations from this ecoregion. The criterion carries its own definition of reference, which need not match this assessment's.</t>
        </is>
      </c>
      <c r="G36" s="67" t="n">
        <v>2.835</v>
      </c>
      <c r="H36" s="67" t="n">
        <v>21.295</v>
      </c>
      <c r="I36" s="67" t="n">
        <v>35.495</v>
      </c>
      <c r="J36" s="67" t="n">
        <v>50.168333</v>
      </c>
      <c r="K36" s="67" t="n">
        <v>50.168333</v>
      </c>
      <c r="L36" s="67" t="n">
        <v>50.168333</v>
      </c>
      <c r="M36" s="67" t="n">
        <v>50.168333</v>
      </c>
      <c r="N36" s="67" t="n">
        <v>50.168333</v>
      </c>
      <c r="O36" s="67" t="n">
        <v>0</v>
      </c>
      <c r="P36" s="67" t="n">
        <v>0.39</v>
      </c>
      <c r="Q36" s="67" t="n">
        <v>0.6899999999999999</v>
      </c>
      <c r="R36" s="67" t="n">
        <v>1</v>
      </c>
      <c r="S36" s="67" t="n">
        <v>1</v>
      </c>
      <c r="T36" s="67" t="n">
        <v>1</v>
      </c>
      <c r="U36" s="67" t="n">
        <v>1</v>
      </c>
      <c r="V36" s="67" t="n">
        <v>1</v>
      </c>
    </row>
    <row r="37">
      <c r="A37" s="67" t="inlineStr">
        <is>
          <t>spring_nid_dams_1mi|</t>
        </is>
      </c>
      <c r="B37" s="67" t="inlineStr">
        <is>
          <t>spring-nid-dams-1mi</t>
        </is>
      </c>
      <c r="C37" s="67" t="inlineStr">
        <is>
          <t>Mapped dams within one mile</t>
        </is>
      </c>
      <c r="D37" s="67" t="inlineStr"/>
      <c r="E37" s="67" t="n">
        <v>4</v>
      </c>
      <c r="F37" s="67" t="inlineStr">
        <is>
          <t>Fixed criteria, the same in every region</t>
        </is>
      </c>
      <c r="G37" s="67" t="n">
        <v>0</v>
      </c>
      <c r="H37" s="67" t="n">
        <v>1</v>
      </c>
      <c r="I37" s="67" t="n">
        <v>2</v>
      </c>
      <c r="J37" s="67" t="n">
        <v>3</v>
      </c>
      <c r="K37" s="67" t="n">
        <v>3</v>
      </c>
      <c r="L37" s="67" t="n">
        <v>3</v>
      </c>
      <c r="M37" s="67" t="n">
        <v>3</v>
      </c>
      <c r="N37" s="67" t="n">
        <v>3</v>
      </c>
      <c r="O37" s="67" t="n">
        <v>1</v>
      </c>
      <c r="P37" s="67" t="n">
        <v>0.545</v>
      </c>
      <c r="Q37" s="67" t="n">
        <v>0.195</v>
      </c>
      <c r="R37" s="67" t="n">
        <v>0</v>
      </c>
      <c r="S37" s="67" t="n">
        <v>0</v>
      </c>
      <c r="T37" s="67" t="n">
        <v>0</v>
      </c>
      <c r="U37" s="67" t="n">
        <v>0</v>
      </c>
      <c r="V37" s="67" t="n">
        <v>0</v>
      </c>
    </row>
    <row r="40">
      <c r="A40" s="70" t="inlineStr">
        <is>
          <t>Curve sets by metric</t>
        </is>
      </c>
    </row>
    <row r="41">
      <c r="A41" s="67" t="inlineStr">
        <is>
          <t>All streams (pooled)</t>
        </is>
      </c>
      <c r="B41" s="5" t="inlineStr">
        <is>
          <t>Residual pool depth</t>
        </is>
      </c>
    </row>
    <row r="42">
      <c r="A42" s="67" t="inlineStr">
        <is>
          <t>Low gradient (under 0.5 percent)</t>
        </is>
      </c>
      <c r="B42" s="5" t="inlineStr">
        <is>
          <t>Residual pool depth</t>
        </is>
      </c>
    </row>
    <row r="43">
      <c r="A43" s="67" t="inlineStr">
        <is>
          <t>Moderate gradient (0.5 to 2 percent)</t>
        </is>
      </c>
      <c r="B43" s="5" t="inlineStr">
        <is>
          <t>Residual pool depth</t>
        </is>
      </c>
    </row>
    <row r="44">
      <c r="A44" s="67" t="inlineStr">
        <is>
          <t>All streams (pooled)</t>
        </is>
      </c>
      <c r="B44" s="5" t="inlineStr">
        <is>
          <t>Bankfull height above channel</t>
        </is>
      </c>
    </row>
    <row r="45">
      <c r="A45" s="67" t="inlineStr">
        <is>
          <t>Small stream (10 to 100 km2)</t>
        </is>
      </c>
      <c r="B45" s="5" t="inlineStr">
        <is>
          <t>Bankfull height above channel</t>
        </is>
      </c>
    </row>
    <row r="46">
      <c r="A46" s="67" t="inlineStr">
        <is>
          <t>Large stream (over 100 km2)</t>
        </is>
      </c>
      <c r="B46" s="5" t="inlineStr">
        <is>
          <t>Bankfull height above channel</t>
        </is>
      </c>
    </row>
    <row r="49">
      <c r="A49" s="70" t="inlineStr">
        <is>
          <t>Condition classes</t>
        </is>
      </c>
    </row>
    <row r="50">
      <c r="A50" t="inlineStr">
        <is>
          <t>Metric index: at or below 0.39 Non-Functioning, at or below 0.69 Functioning At-Risk, above Functioning.</t>
        </is>
      </c>
    </row>
    <row r="51">
      <c r="A51" t="inlineStr">
        <is>
          <t>Function score (0 to 15): at or below 5 Non-Functioning, at or below 10 Functioning At-Risk, above Functioning.</t>
        </is>
      </c>
    </row>
    <row r="52">
      <c r="A5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7" t="inlineStr">
        <is>
          <t>Assessment id</t>
        </is>
      </c>
      <c r="B4" s="67" t="inlineStr">
        <is>
          <t>texas-blackland-prairies</t>
        </is>
      </c>
    </row>
    <row r="5">
      <c r="A5" s="67" t="inlineStr">
        <is>
          <t>Assessment name</t>
        </is>
      </c>
      <c r="B5" s="67" t="inlineStr">
        <is>
          <t>Texas Blackland Prairies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>
        <is>
          <t>Draft</t>
        </is>
      </c>
    </row>
    <row r="8">
      <c r="A8" s="67" t="inlineStr">
        <is>
          <t>Content digest</t>
        </is>
      </c>
      <c r="B8" s="67" t="inlineStr">
        <is>
          <t>sha256:f4f3b6b4fb55cb03e2fcea4ccf0eade80f5994eca514149efbffe0dd082adea4</t>
        </is>
      </c>
    </row>
    <row r="9">
      <c r="A9" s="67" t="inlineStr">
        <is>
          <t>Region</t>
        </is>
      </c>
      <c r="B9" s="67" t="inlineStr">
        <is>
          <t>ecoregion 32 Texas Blackland Prairies</t>
        </is>
      </c>
    </row>
    <row r="10">
      <c r="A10" s="67" t="inlineStr">
        <is>
          <t>Source</t>
        </is>
      </c>
      <c r="B10" s="67" t="inlineStr">
        <is>
          <t>USEPA NRSA 2013-24 (L3 ecoregion 32),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29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1.1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70" t="inlineStr">
        <is>
          <t>Outcome</t>
        </is>
      </c>
      <c r="B24" s="70" t="inlineStr">
        <is>
          <t>Score</t>
        </is>
      </c>
      <c r="C24" s="70" t="inlineStr">
        <is>
          <t>Non-Functioning (0.00-0.39)</t>
        </is>
      </c>
      <c r="D24" s="70" t="inlineStr">
        <is>
          <t>Functioning At-Risk (0.40-0.69)</t>
        </is>
      </c>
      <c r="E24" s="70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2026-09-30T07:05:29Z</dcterms:created>
  <dcterms:modified xmlns:dcterms="http://purl.org/dc/terms/" xmlns:xsi="http://www.w3.org/2001/XMLSchema-instance" xsi:type="dcterms:W3CDTF">2026-09-30T07:05:29Z</dcterms:modified>
  <cp:lastModifiedBy>DEEP</cp:lastModifiedBy>
  <cp:contentStatus>Draft</cp:contentStatus>
</cp:coreProperties>
</file>