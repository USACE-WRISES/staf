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'Reference'!$A$5:$A$40</definedName>
    <definedName name="curve_x1">'Reference'!$G$5:$G$40</definedName>
    <definedName name="curve_y1">'Reference'!$O$5:$O$40</definedName>
    <definedName name="curve_x2">'Reference'!$H$5:$H$40</definedName>
    <definedName name="curve_y2">'Reference'!$P$5:$P$40</definedName>
    <definedName name="curve_x3">'Reference'!$I$5:$I$40</definedName>
    <definedName name="curve_y3">'Reference'!$Q$5:$Q$40</definedName>
    <definedName name="curve_x4">'Reference'!$J$5:$J$40</definedName>
    <definedName name="curve_y4">'Reference'!$R$5:$R$40</definedName>
    <definedName name="curve_x5">'Reference'!$K$5:$K$40</definedName>
    <definedName name="curve_y5">'Reference'!$S$5:$S$40</definedName>
    <definedName name="curve_x6">'Reference'!$L$5:$L$40</definedName>
    <definedName name="curve_y6">'Reference'!$T$5:$T$40</definedName>
    <definedName name="curve_x7">'Reference'!$M$5:$M$40</definedName>
    <definedName name="curve_y7">'Reference'!$U$5:$U$40</definedName>
    <definedName name="curve_x8">'Reference'!$N$5:$N$40</definedName>
    <definedName name="curve_y8">'Reference'!$V$5:$V$40</definedName>
    <definedName name="strata_spring_phab_bfwd_rat">'Reference'!$A$44:$A$46</definedName>
    <definedName name="strata_spring_phab_xbkf_h">'Reference'!$A$47:$A$49</definedName>
    <definedName name="strata_spring_phab_lrbs_use">'Reference'!$A$50:$A$52</definedName>
    <definedName name="strata_spring_phab_pct_fast">'Reference'!$A$53:$A$55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xcdenmid">'Metrics'!$V$19</definedName>
    <definedName name="idx_spring_chem_chla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cond">'Metrics'!$V$24</definedName>
    <definedName name="idx_spring_chem_ph">'Metrics'!$V$25</definedName>
    <definedName name="idx_spring_phab_pct_fast">'Metrics'!$V$26</definedName>
    <definedName name="idx_spring_phab_xfc_nat">'Metrics'!$V$27</definedName>
    <definedName name="idx_spring_fish_mmi_fish">'Metrics'!$V$28</definedName>
    <definedName name="idx_spring_fish_nat_lithpind">'Metrics'!$V$29</definedName>
    <definedName name="idx_spring_bent_mmi_bent">'Metrics'!$V$30</definedName>
    <definedName name="idx_spring_bent_hprime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xcdenmid">'DEEP Score'!$E$33</definedName>
    <definedName name="in_spring_chem_chla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ph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in_spring_fish_mmi_fish">'DEEP Score'!$E$42</definedName>
    <definedName name="in_spring_fish_nat_lithpind">'DEEP Score'!$E$43</definedName>
    <definedName name="in_spring_bent_mmi_bent">'DEEP Score'!$E$44</definedName>
    <definedName name="in_spring_bent_hprime">'DEEP Score'!$E$45</definedName>
    <definedName name="in_spring_nid_dams_1mi">'DEEP Score'!$E$46</definedName>
    <definedName name="site_notes">'DEEP Score'!$A$65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Central California Foothills and Coastal Mountains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13 borrow comparable least-disturbed stations from a wider region, stating the region and the transfer risk. 6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15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70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Central California Foothills and Coastal Mountains reference assessment</t>
        </is>
      </c>
    </row>
    <row r="3">
      <c r="A3" s="5" t="inlineStr">
        <is>
          <t>Version 1 | Draft | USEPA NRSA 2013-24 (L3 ecoregion 6),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5">
        <f>IF('DEEP Score'!$E$24="","",'DEEP Score'!$E$24)</f>
        <v/>
      </c>
      <c r="F32" s="46" t="inlineStr"/>
      <c r="G32" s="26">
        <f>IF('Metrics'!$V$14="","",'Metrics'!$V$14)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Canopy density, mid-channel</t>
        </is>
      </c>
      <c r="D33" s="14" t="inlineStr">
        <is>
          <t>%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Chlorophyll a</t>
        </is>
      </c>
      <c r="D34" s="23" t="inlineStr">
        <is>
          <t>ug/L</t>
        </is>
      </c>
      <c r="E34" s="24" t="n"/>
      <c r="F34" s="25" t="inlineStr"/>
      <c r="G34" s="26">
        <f>IF('Metrics'!$V$20="","",'Metrics'!$V$20)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Specific conductivity</t>
        </is>
      </c>
      <c r="D38" s="14" t="inlineStr">
        <is>
          <t>uS/cm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pH</t>
        </is>
      </c>
      <c r="D39" s="23" t="inlineStr">
        <is>
          <t>Std. Units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Fish MMI</t>
        </is>
      </c>
      <c r="D42" s="14" t="inlineStr">
        <is>
          <t>MMI points</t>
        </is>
      </c>
      <c r="E42" s="15" t="n"/>
      <c r="F42" s="16" t="inlineStr"/>
      <c r="G42" s="17">
        <f>IF('Metrics'!$V$28="","",'Metrics'!$V$28)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Simple lithophil fish individuals</t>
        </is>
      </c>
      <c r="D43" s="23" t="inlineStr">
        <is>
          <t>%</t>
        </is>
      </c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Benthic macroinvertebrate MMI</t>
        </is>
      </c>
      <c r="D44" s="14" t="inlineStr">
        <is>
          <t>MMI points</t>
        </is>
      </c>
      <c r="E44" s="15" t="n"/>
      <c r="F44" s="16" t="inlineStr"/>
      <c r="G44" s="17">
        <f>IF('Metrics'!$V$30="","",'Metrics'!$V$30)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Shannon diversity (H')</t>
        </is>
      </c>
      <c r="D45" s="23" t="inlineStr">
        <is>
          <t>H'</t>
        </is>
      </c>
      <c r="E45" s="24" t="n"/>
      <c r="F45" s="25" t="inlineStr"/>
      <c r="G45" s="26">
        <f>IF('Metrics'!$V$31="","",'Metrics'!$V$31)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IF('Metrics'!$V$32="","",'Metrics'!$V$32)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EPT taxa richness</t>
        </is>
      </c>
      <c r="C58" s="5" t="inlineStr">
        <is>
          <t>Community dynamics</t>
        </is>
      </c>
    </row>
    <row r="59">
      <c r="A59" t="inlineStr">
        <is>
          <t>Benthic total taxa richness</t>
        </is>
      </c>
      <c r="C59" s="5" t="inlineStr">
        <is>
          <t>Population support</t>
        </is>
      </c>
    </row>
    <row r="60">
      <c r="A60" t="inlineStr">
        <is>
          <t>Native fish taxa richness</t>
        </is>
      </c>
      <c r="C60" s="5" t="inlineStr">
        <is>
          <t>Population support</t>
        </is>
      </c>
    </row>
    <row r="61">
      <c r="A61" t="inlineStr">
        <is>
          <t>Large wood volume</t>
        </is>
      </c>
      <c r="C61" s="5" t="inlineStr">
        <is>
          <t>Bed composition and bedform dynamics</t>
        </is>
      </c>
    </row>
    <row r="62">
      <c r="A62" t="inlineStr">
        <is>
          <t>Residual pool depth</t>
        </is>
      </c>
      <c r="C62" s="5" t="inlineStr">
        <is>
          <t>Low flow and baseflow dynamics</t>
        </is>
      </c>
    </row>
    <row r="64">
      <c r="A64" s="6" t="inlineStr">
        <is>
          <t>Notes</t>
        </is>
      </c>
    </row>
    <row r="65">
      <c r="A65" s="59" t="n"/>
      <c r="B65" s="60" t="n"/>
      <c r="C65" s="60" t="n"/>
      <c r="D65" s="60" t="n"/>
      <c r="E65" s="60" t="n"/>
      <c r="F65" s="60" t="n"/>
      <c r="G65" s="60" t="n"/>
      <c r="H65" s="60" t="n"/>
      <c r="I65" s="61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2" t="n"/>
      <c r="B67" s="63" t="n"/>
      <c r="C67" s="63" t="n"/>
      <c r="D67" s="63" t="n"/>
      <c r="E67" s="63" t="n"/>
      <c r="F67" s="63" t="n"/>
      <c r="G67" s="63" t="n"/>
      <c r="H67" s="63" t="n"/>
      <c r="I67" s="64" t="n"/>
    </row>
    <row r="68">
      <c r="A68" s="62" t="n"/>
      <c r="B68" s="63" t="n"/>
      <c r="C68" s="63" t="n"/>
      <c r="D68" s="63" t="n"/>
      <c r="E68" s="63" t="n"/>
      <c r="F68" s="63" t="n"/>
      <c r="G68" s="63" t="n"/>
      <c r="H68" s="63" t="n"/>
      <c r="I68" s="64" t="n"/>
    </row>
    <row r="69">
      <c r="A69" s="62" t="n"/>
      <c r="B69" s="63" t="n"/>
      <c r="C69" s="63" t="n"/>
      <c r="D69" s="63" t="n"/>
      <c r="E69" s="63" t="n"/>
      <c r="F69" s="63" t="n"/>
      <c r="G69" s="63" t="n"/>
      <c r="H69" s="63" t="n"/>
      <c r="I69" s="64" t="n"/>
    </row>
    <row r="70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A65:I70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4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Score'!$E$31="","",'DEEP Score'!$E$31)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Canopy density, mid-channel</t>
        </is>
      </c>
      <c r="B19" s="70">
        <f>IF('DEEP Score'!$E$33="","",'DEEP Score'!$E$33)</f>
        <v/>
      </c>
      <c r="C19" s="70">
        <f>""</f>
        <v/>
      </c>
      <c r="D19" s="70">
        <f>"spring_phab_xcdenmid|"&amp;'Metrics'!$C$19</f>
        <v/>
      </c>
      <c r="E19" s="70">
        <f>IFERROR(MATCH('Metrics'!$D$19,curve_key,0),MATCH("spring_phab_xcdenmid|",curve_key,0))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Score'!$E$34="","",'DEEP Score'!$E$34)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Specific conductivity</t>
        </is>
      </c>
      <c r="B24" s="70">
        <f>IF('DEEP Score'!$E$38="","",'DEEP Score'!$E$38)</f>
        <v/>
      </c>
      <c r="C24" s="70">
        <f>""</f>
        <v/>
      </c>
      <c r="D24" s="70">
        <f>"spring_chem_cond|"&amp;'Metrics'!$C$24</f>
        <v/>
      </c>
      <c r="E24" s="70">
        <f>IFERROR(MATCH('Metrics'!$D$24,curve_key,0),MATCH("spring_chem_cond|",curve_key,0))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pH</t>
        </is>
      </c>
      <c r="B25" s="70">
        <f>IF('DEEP Score'!$E$39="","",'DEEP Score'!$E$39)</f>
        <v/>
      </c>
      <c r="C25" s="70">
        <f>""</f>
        <v/>
      </c>
      <c r="D25" s="70">
        <f>"spring_chem_ph|"&amp;'Metrics'!$C$25</f>
        <v/>
      </c>
      <c r="E25" s="70">
        <f>IFERROR(MATCH('Metrics'!$D$25,curve_key,0),MATCH("spring_chem_ph|",curve_key,0))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""</f>
        <v/>
      </c>
      <c r="D27" s="70">
        <f>"spring_phab_xfc_nat|"&amp;'Metrics'!$C$27</f>
        <v/>
      </c>
      <c r="E27" s="70">
        <f>IFERROR(MATCH('Metrics'!$D$27,curve_key,0),MATCH("spring_phab_xfc_nat|",curve_key,0))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Fish MMI</t>
        </is>
      </c>
      <c r="B28" s="70">
        <f>IF('DEEP Score'!$E$42="","",'DEEP Score'!$E$42)</f>
        <v/>
      </c>
      <c r="C28" s="70">
        <f>""</f>
        <v/>
      </c>
      <c r="D28" s="70">
        <f>"spring_fish_mmi_fish|"&amp;'Metrics'!$C$28</f>
        <v/>
      </c>
      <c r="E28" s="70">
        <f>IFERROR(MATCH('Metrics'!$D$28,curve_key,0),MATCH("spring_fish_mmi_fish|",curve_key,0))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Simple lithophil fish individuals</t>
        </is>
      </c>
      <c r="B29" s="70">
        <f>IF('DEEP Score'!$E$43="","",'DEEP Score'!$E$43)</f>
        <v/>
      </c>
      <c r="C29" s="70">
        <f>""</f>
        <v/>
      </c>
      <c r="D29" s="70">
        <f>"spring_fish_nat_lithpind|"&amp;'Metrics'!$C$29</f>
        <v/>
      </c>
      <c r="E29" s="70">
        <f>IFERROR(MATCH('Metrics'!$D$29,curve_key,0),MATCH("spring_fish_nat_lithpind|",curve_key,0))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Benthic macroinvertebrate MMI</t>
        </is>
      </c>
      <c r="B30" s="70">
        <f>IF('DEEP Score'!$E$44="","",'DEEP Score'!$E$44)</f>
        <v/>
      </c>
      <c r="C30" s="70">
        <f>""</f>
        <v/>
      </c>
      <c r="D30" s="70">
        <f>"spring_bent_mmi_bent|"&amp;'Metrics'!$C$30</f>
        <v/>
      </c>
      <c r="E30" s="70">
        <f>IFERROR(MATCH('Metrics'!$D$30,curve_key,0),MATCH("spring_bent_mmi_bent|",curve_key,0))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Shannon diversity (H')</t>
        </is>
      </c>
      <c r="B31" s="70">
        <f>IF('DEEP Score'!$E$45="","",'DEEP Score'!$E$45)</f>
        <v/>
      </c>
      <c r="C31" s="70">
        <f>""</f>
        <v/>
      </c>
      <c r="D31" s="70">
        <f>"spring_bent_hprime|"&amp;'Metrics'!$C$31</f>
        <v/>
      </c>
      <c r="E31" s="70">
        <f>IFERROR(MATCH('Metrics'!$D$31,curve_key,0),MATCH("spring_bent_hprime|",curve_key,0))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Score'!$E$46="","",'DEEP Score'!$E$46)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61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36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9" t="n">
        <v>0</v>
      </c>
      <c r="H9" s="69" t="n">
        <v>25.99036071428571</v>
      </c>
      <c r="I9" s="69" t="n">
        <v>60.644175</v>
      </c>
      <c r="J9" s="69" t="n">
        <v>73.39225</v>
      </c>
      <c r="K9" s="69" t="n">
        <v>79.7662875</v>
      </c>
      <c r="L9" s="69" t="n">
        <v>79.7662875</v>
      </c>
      <c r="M9" s="69" t="n">
        <v>79.7662875</v>
      </c>
      <c r="N9" s="69" t="n">
        <v>79.7662875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8</v>
      </c>
      <c r="F11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9" t="n">
        <v>0</v>
      </c>
      <c r="H11" s="69" t="n">
        <v>1.167095899581909</v>
      </c>
      <c r="I11" s="69" t="n">
        <v>4.381768465042114</v>
      </c>
      <c r="J11" s="69" t="n">
        <v>6.112746000289917</v>
      </c>
      <c r="K11" s="69" t="n">
        <v>11.05839610099792</v>
      </c>
      <c r="L11" s="69" t="n">
        <v>12.78937363624573</v>
      </c>
      <c r="M11" s="69" t="n">
        <v>16.00404620170593</v>
      </c>
      <c r="N11" s="69" t="n">
        <v>20.94969630241394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0.7</v>
      </c>
      <c r="U11" s="69" t="n">
        <v>0.3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8</v>
      </c>
      <c r="F12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9" t="n">
        <v>0</v>
      </c>
      <c r="H12" s="69" t="n">
        <v>0.3736209869384766</v>
      </c>
      <c r="I12" s="69" t="n">
        <v>3.359202671051025</v>
      </c>
      <c r="J12" s="69" t="n">
        <v>4.966823577880859</v>
      </c>
      <c r="K12" s="69" t="n">
        <v>9.560026168823242</v>
      </c>
      <c r="L12" s="69" t="n">
        <v>11.16764707565308</v>
      </c>
      <c r="M12" s="69" t="n">
        <v>14.15322875976562</v>
      </c>
      <c r="N12" s="69" t="n">
        <v>18.74643135070801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0.7</v>
      </c>
      <c r="U12" s="69" t="n">
        <v>0.3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8</v>
      </c>
      <c r="F13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9" t="n">
        <v>0</v>
      </c>
      <c r="H13" s="69" t="n">
        <v>2.110795497894287</v>
      </c>
      <c r="I13" s="69" t="n">
        <v>5.570081877708435</v>
      </c>
      <c r="J13" s="69" t="n">
        <v>7.432774543762207</v>
      </c>
      <c r="K13" s="69" t="n">
        <v>12.75475358963013</v>
      </c>
      <c r="L13" s="69" t="n">
        <v>14.6174462556839</v>
      </c>
      <c r="M13" s="69" t="n">
        <v>18.07673263549805</v>
      </c>
      <c r="N13" s="69" t="n">
        <v>23.39871168136597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0.7</v>
      </c>
      <c r="U13" s="69" t="n">
        <v>0.3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4" s="69" t="n">
        <v>0</v>
      </c>
      <c r="H14" s="69" t="n">
        <v>0.1571136400103569</v>
      </c>
      <c r="I14" s="69" t="n">
        <v>0.2734090983867645</v>
      </c>
      <c r="J14" s="69" t="n">
        <v>0.605681836605072</v>
      </c>
      <c r="K14" s="69" t="n">
        <v>0.7219772949814797</v>
      </c>
      <c r="L14" s="69" t="n">
        <v>0.9379545748233795</v>
      </c>
      <c r="M14" s="69" t="n">
        <v>1.270227313041687</v>
      </c>
      <c r="N14" s="69" t="n">
        <v>1.270227313041687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spring_phab_xbkf_h|Small stream (10 to 100 km2)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Small stream (10 to 100 km2)</t>
        </is>
      </c>
      <c r="E15" s="69" t="n">
        <v>7</v>
      </c>
      <c r="F15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9" t="n">
        <v>0</v>
      </c>
      <c r="H15" s="69" t="n">
        <v>0.1363340977579355</v>
      </c>
      <c r="I15" s="69" t="n">
        <v>0.233681820333004</v>
      </c>
      <c r="J15" s="69" t="n">
        <v>0.5118181705474854</v>
      </c>
      <c r="K15" s="69" t="n">
        <v>0.6091658931225539</v>
      </c>
      <c r="L15" s="69" t="n">
        <v>0.7899545207619667</v>
      </c>
      <c r="M15" s="69" t="n">
        <v>1.068090870976448</v>
      </c>
      <c r="N15" s="69" t="n">
        <v>1.068090870976448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spring_phab_xbkf_h|Large stream (over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Large stream (over 100 km2)</t>
        </is>
      </c>
      <c r="E16" s="69" t="n">
        <v>8</v>
      </c>
      <c r="F16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9" t="n">
        <v>0</v>
      </c>
      <c r="H16" s="69" t="n">
        <v>0.02479797601699829</v>
      </c>
      <c r="I16" s="69" t="n">
        <v>0.2219974733889103</v>
      </c>
      <c r="J16" s="69" t="n">
        <v>0.3281818181276321</v>
      </c>
      <c r="K16" s="69" t="n">
        <v>0.631565660238266</v>
      </c>
      <c r="L16" s="69" t="n">
        <v>0.7377500049769878</v>
      </c>
      <c r="M16" s="69" t="n">
        <v>0.9349495023488998</v>
      </c>
      <c r="N16" s="69" t="n">
        <v>1.238333344459534</v>
      </c>
      <c r="O16" s="69" t="n">
        <v>0</v>
      </c>
      <c r="P16" s="69" t="n">
        <v>0.3</v>
      </c>
      <c r="Q16" s="69" t="n">
        <v>0.7</v>
      </c>
      <c r="R16" s="69" t="n">
        <v>1</v>
      </c>
      <c r="S16" s="69" t="n">
        <v>1</v>
      </c>
      <c r="T16" s="69" t="n">
        <v>0.7</v>
      </c>
      <c r="U16" s="69" t="n">
        <v>0.3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4</v>
      </c>
      <c r="F17" s="69" t="inlineStr">
        <is>
          <t>10 least-disturbed stations borrowed from Level II ecoregion 11.1 (Mediterranean California) under the regional screen (agriculture at most 25 percent), transfer risk low</t>
        </is>
      </c>
      <c r="G17" s="69" t="n">
        <v>0</v>
      </c>
      <c r="H17" s="69" t="n">
        <v>15.47619032859802</v>
      </c>
      <c r="I17" s="69" t="n">
        <v>57.20779228210449</v>
      </c>
      <c r="J17" s="69" t="n">
        <v>100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100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8" s="69" t="n">
        <v>30.26136112213135</v>
      </c>
      <c r="H18" s="69" t="n">
        <v>45.56818008422852</v>
      </c>
      <c r="I18" s="69" t="n">
        <v>76.18181800842285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99 least-disturbed stations borrowed from NARS-9 region XER under the regional screen (agriculture at most 25 percent), transfer risk high</t>
        </is>
      </c>
      <c r="G19" s="69" t="n">
        <v>1</v>
      </c>
      <c r="H19" s="69" t="n">
        <v>1.095302820205688</v>
      </c>
      <c r="I19" s="69" t="n">
        <v>1.355164289474487</v>
      </c>
      <c r="J19" s="69" t="n">
        <v>1.485095024108887</v>
      </c>
      <c r="K19" s="69" t="n">
        <v>1.485095024108887</v>
      </c>
      <c r="L19" s="69" t="n">
        <v>1.485095024108887</v>
      </c>
      <c r="M19" s="69" t="n">
        <v>1.485095024108887</v>
      </c>
      <c r="N19" s="69" t="n">
        <v>1.485095024108887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100 least-disturbed stations borrowed from NARS-9 region XER under the regional screen (agriculture at most 25 percent), transfer risk moderate</t>
        </is>
      </c>
      <c r="G20" s="69" t="n">
        <v>0</v>
      </c>
      <c r="H20" s="69" t="n">
        <v>16.01289811134338</v>
      </c>
      <c r="I20" s="69" t="n">
        <v>22.21704578399658</v>
      </c>
      <c r="J20" s="69" t="n">
        <v>39.94318199157715</v>
      </c>
      <c r="K20" s="69" t="n">
        <v>46.14732966423035</v>
      </c>
      <c r="L20" s="69" t="n">
        <v>57.66931819915771</v>
      </c>
      <c r="M20" s="69" t="n">
        <v>75.39545440673828</v>
      </c>
      <c r="N20" s="69" t="n">
        <v>75.39545440673828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1" s="69" t="n">
        <v>-4.639462798833847</v>
      </c>
      <c r="H21" s="69" t="n">
        <v>-3.286466851830482</v>
      </c>
      <c r="I21" s="69" t="n">
        <v>-2.407019486278295</v>
      </c>
      <c r="J21" s="69" t="n">
        <v>-1.933470904827118</v>
      </c>
      <c r="K21" s="69" t="n">
        <v>-0.5804749578237534</v>
      </c>
      <c r="L21" s="69" t="n">
        <v>-0.1069263763725758</v>
      </c>
      <c r="M21" s="69" t="n">
        <v>0.7725209891796112</v>
      </c>
      <c r="N21" s="69" t="n">
        <v>2.125516936182976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spring_phab_lrbs_use|Small stream (10 to 100 km2)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Small stream (10 to 100 km2)</t>
        </is>
      </c>
      <c r="E22" s="69" t="n">
        <v>8</v>
      </c>
      <c r="F22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2" s="69" t="n">
        <v>-5.864889562129974</v>
      </c>
      <c r="H22" s="69" t="n">
        <v>-4.217270106077194</v>
      </c>
      <c r="I22" s="69" t="n">
        <v>-3.146317459642887</v>
      </c>
      <c r="J22" s="69" t="n">
        <v>-2.569650650024414</v>
      </c>
      <c r="K22" s="69" t="n">
        <v>-0.9220311939716339</v>
      </c>
      <c r="L22" s="69" t="n">
        <v>-0.3453643843531609</v>
      </c>
      <c r="M22" s="69" t="n">
        <v>0.7255882620811462</v>
      </c>
      <c r="N22" s="69" t="n">
        <v>2.373207718133926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spring_phab_lrbs_use|Large stream (over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Large stream (over 100 km2)</t>
        </is>
      </c>
      <c r="E23" s="69" t="n">
        <v>8</v>
      </c>
      <c r="F23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9" t="n">
        <v>-3.217920333147049</v>
      </c>
      <c r="H23" s="69" t="n">
        <v>-2.285834178328514</v>
      </c>
      <c r="I23" s="69" t="n">
        <v>-1.679978177696466</v>
      </c>
      <c r="J23" s="69" t="n">
        <v>-1.353748023509979</v>
      </c>
      <c r="K23" s="69" t="n">
        <v>-0.4216618686914444</v>
      </c>
      <c r="L23" s="69" t="n">
        <v>-0.09543171450495724</v>
      </c>
      <c r="M23" s="69" t="n">
        <v>0.5104242861270905</v>
      </c>
      <c r="N23" s="69" t="n">
        <v>1.442510440945625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spring_phab_lsub_dmm|</t>
        </is>
      </c>
      <c r="B24" s="69" t="inlineStr">
        <is>
          <t>spring-phab-lsub-dmm</t>
        </is>
      </c>
      <c r="C24" s="69" t="inlineStr">
        <is>
          <t>Substrate size</t>
        </is>
      </c>
      <c r="D24" s="69" t="inlineStr"/>
      <c r="E24" s="69" t="n">
        <v>5</v>
      </c>
      <c r="F24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+0.06, at most 0.05 allowed); confidence capped at 39.</t>
        </is>
      </c>
      <c r="G24" s="69" t="n">
        <v>-3.540422638878226</v>
      </c>
      <c r="H24" s="69" t="n">
        <v>-2.197959752753377</v>
      </c>
      <c r="I24" s="69" t="n">
        <v>-0.184265423566103</v>
      </c>
      <c r="J24" s="69" t="n">
        <v>1.158197462558746</v>
      </c>
      <c r="K24" s="69" t="n">
        <v>1.829428905621171</v>
      </c>
      <c r="L24" s="69" t="n">
        <v>1.829428905621171</v>
      </c>
      <c r="M24" s="69" t="n">
        <v>1.829428905621171</v>
      </c>
      <c r="N24" s="69" t="n">
        <v>1.829428905621171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spring_phab_xcdenmid|</t>
        </is>
      </c>
      <c r="B25" s="69" t="inlineStr">
        <is>
          <t>spring-phab-xcdenmid</t>
        </is>
      </c>
      <c r="C25" s="69" t="inlineStr">
        <is>
          <t>Canopy density, mid-channel</t>
        </is>
      </c>
      <c r="D25" s="69" t="inlineStr"/>
      <c r="E25" s="69" t="n">
        <v>5</v>
      </c>
      <c r="F25" s="69" t="inlineStr">
        <is>
          <t>34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5" s="69" t="n">
        <v>0</v>
      </c>
      <c r="H25" s="69" t="n">
        <v>9.668640477316719</v>
      </c>
      <c r="I25" s="69" t="n">
        <v>22.56016111373901</v>
      </c>
      <c r="J25" s="69" t="n">
        <v>67.27105522155762</v>
      </c>
      <c r="K25" s="69" t="n">
        <v>89.62650227546692</v>
      </c>
      <c r="L25" s="69" t="n">
        <v>89.62650227546692</v>
      </c>
      <c r="M25" s="69" t="n">
        <v>89.62650227546692</v>
      </c>
      <c r="N25" s="69" t="n">
        <v>89.62650227546692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1</v>
      </c>
      <c r="U25" s="69" t="n">
        <v>1</v>
      </c>
      <c r="V25" s="69" t="n">
        <v>1</v>
      </c>
    </row>
    <row r="26">
      <c r="A26" s="69" t="inlineStr">
        <is>
          <t>spring_chem_chla|</t>
        </is>
      </c>
      <c r="B26" s="69" t="inlineStr">
        <is>
          <t>spring-chem-chla</t>
        </is>
      </c>
      <c r="C26" s="69" t="inlineStr">
        <is>
          <t>Chlorophyll a</t>
        </is>
      </c>
      <c r="D26" s="69" t="inlineStr"/>
      <c r="E26" s="69" t="n">
        <v>5</v>
      </c>
      <c r="F26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26" s="69" t="n">
        <v>0</v>
      </c>
      <c r="H26" s="69" t="n">
        <v>0.3752500042319298</v>
      </c>
      <c r="I26" s="69" t="n">
        <v>1.632500022649765</v>
      </c>
      <c r="J26" s="69" t="n">
        <v>3.518375050276518</v>
      </c>
      <c r="K26" s="69" t="n">
        <v>4.775625068694353</v>
      </c>
      <c r="L26" s="69" t="n">
        <v>4.775625068694353</v>
      </c>
      <c r="M26" s="69" t="n">
        <v>4.775625068694353</v>
      </c>
      <c r="N26" s="69" t="n">
        <v>4.775625068694353</v>
      </c>
      <c r="O26" s="69" t="n">
        <v>1</v>
      </c>
      <c r="P26" s="69" t="n">
        <v>1</v>
      </c>
      <c r="Q26" s="69" t="n">
        <v>0.7</v>
      </c>
      <c r="R26" s="69" t="n">
        <v>0.3</v>
      </c>
      <c r="S26" s="69" t="n">
        <v>0</v>
      </c>
      <c r="T26" s="69" t="n">
        <v>0</v>
      </c>
      <c r="U26" s="69" t="n">
        <v>0</v>
      </c>
      <c r="V26" s="69" t="n">
        <v>0</v>
      </c>
    </row>
    <row r="27">
      <c r="A27" s="69" t="inlineStr">
        <is>
          <t>spring_phab_xcmgw|</t>
        </is>
      </c>
      <c r="B27" s="69" t="inlineStr">
        <is>
          <t>spring-phab-xcmgw</t>
        </is>
      </c>
      <c r="C27" s="69" t="inlineStr">
        <is>
          <t>Riparian veg cover, woody</t>
        </is>
      </c>
      <c r="D27" s="69" t="inlineStr"/>
      <c r="E27" s="69" t="n">
        <v>5</v>
      </c>
      <c r="F27" s="69" t="inlineStr">
        <is>
          <t>34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7" s="69" t="n">
        <v>0</v>
      </c>
      <c r="H27" s="69" t="n">
        <v>0.2265827868665968</v>
      </c>
      <c r="I27" s="69" t="n">
        <v>0.5286931693553925</v>
      </c>
      <c r="J27" s="69" t="n">
        <v>0.965056836605072</v>
      </c>
      <c r="K27" s="69" t="n">
        <v>1.183238670229912</v>
      </c>
      <c r="L27" s="69" t="n">
        <v>1.183238670229912</v>
      </c>
      <c r="M27" s="69" t="n">
        <v>1.183238670229912</v>
      </c>
      <c r="N27" s="69" t="n">
        <v>1.183238670229912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spring_chem_ntl|</t>
        </is>
      </c>
      <c r="B28" s="69" t="inlineStr">
        <is>
          <t>spring-chem-ntl</t>
        </is>
      </c>
      <c r="C28" s="69" t="inlineStr">
        <is>
          <t>Total nitrogen</t>
        </is>
      </c>
      <c r="D28" s="69" t="inlineStr"/>
      <c r="E28" s="69" t="n">
        <v>4</v>
      </c>
      <c r="F28" s="69" t="inlineStr">
        <is>
          <t>Scored against a published criterion rather than against stations from this ecoregion. The criterion carries its own definition of reference, which need not match this assessment's.</t>
        </is>
      </c>
      <c r="G28" s="69" t="n">
        <v>0</v>
      </c>
      <c r="H28" s="69" t="n">
        <v>0.2855</v>
      </c>
      <c r="I28" s="69" t="n">
        <v>0.529</v>
      </c>
      <c r="J28" s="69" t="n">
        <v>0.84555</v>
      </c>
      <c r="K28" s="69" t="n">
        <v>0.84555</v>
      </c>
      <c r="L28" s="69" t="n">
        <v>0.84555</v>
      </c>
      <c r="M28" s="69" t="n">
        <v>0.84555</v>
      </c>
      <c r="N28" s="69" t="n">
        <v>0.84555</v>
      </c>
      <c r="O28" s="69" t="n">
        <v>1</v>
      </c>
      <c r="P28" s="69" t="n">
        <v>0.6899999999999999</v>
      </c>
      <c r="Q28" s="69" t="n">
        <v>0.39</v>
      </c>
      <c r="R28" s="69" t="n">
        <v>0</v>
      </c>
      <c r="S28" s="69" t="n">
        <v>0</v>
      </c>
      <c r="T28" s="69" t="n">
        <v>0</v>
      </c>
      <c r="U28" s="69" t="n">
        <v>0</v>
      </c>
      <c r="V28" s="69" t="n">
        <v>0</v>
      </c>
    </row>
    <row r="29">
      <c r="A29" s="69" t="inlineStr">
        <is>
          <t>spring_chem_ptl|</t>
        </is>
      </c>
      <c r="B29" s="69" t="inlineStr">
        <is>
          <t>spring-chem-ptl</t>
        </is>
      </c>
      <c r="C29" s="69" t="inlineStr">
        <is>
          <t>Total phosphorus</t>
        </is>
      </c>
      <c r="D29" s="69" t="inlineStr"/>
      <c r="E29" s="69" t="n">
        <v>4</v>
      </c>
      <c r="F29" s="69" t="inlineStr">
        <is>
          <t>Scored against a published criterion rather than against stations from this ecoregion. The criterion carries its own definition of reference, which need not match this assessment's.</t>
        </is>
      </c>
      <c r="G29" s="69" t="n">
        <v>0</v>
      </c>
      <c r="H29" s="69" t="n">
        <v>52.05</v>
      </c>
      <c r="I29" s="69" t="n">
        <v>95.90000000000001</v>
      </c>
      <c r="J29" s="69" t="n">
        <v>152.905</v>
      </c>
      <c r="K29" s="69" t="n">
        <v>152.905</v>
      </c>
      <c r="L29" s="69" t="n">
        <v>152.905</v>
      </c>
      <c r="M29" s="69" t="n">
        <v>152.905</v>
      </c>
      <c r="N29" s="69" t="n">
        <v>152.905</v>
      </c>
      <c r="O29" s="69" t="n">
        <v>1</v>
      </c>
      <c r="P29" s="69" t="n">
        <v>0.6899999999999999</v>
      </c>
      <c r="Q29" s="69" t="n">
        <v>0.39</v>
      </c>
      <c r="R29" s="69" t="n">
        <v>0</v>
      </c>
      <c r="S29" s="69" t="n">
        <v>0</v>
      </c>
      <c r="T29" s="69" t="n">
        <v>0</v>
      </c>
      <c r="U29" s="69" t="n">
        <v>0</v>
      </c>
      <c r="V29" s="69" t="n">
        <v>0</v>
      </c>
    </row>
    <row r="30">
      <c r="A30" s="69" t="inlineStr">
        <is>
          <t>spring_chem_cond|</t>
        </is>
      </c>
      <c r="B30" s="69" t="inlineStr">
        <is>
          <t>spring-chem-cond</t>
        </is>
      </c>
      <c r="C30" s="69" t="inlineStr">
        <is>
          <t>Specific conductivity</t>
        </is>
      </c>
      <c r="D30" s="69" t="inlineStr"/>
      <c r="E30" s="69" t="n">
        <v>4</v>
      </c>
      <c r="F30" s="69" t="inlineStr">
        <is>
          <t>Scored against a published criterion rather than against stations from this ecoregion. The criterion carries its own definition of reference, which need not match this assessment's.</t>
        </is>
      </c>
      <c r="G30" s="69" t="n">
        <v>0</v>
      </c>
      <c r="H30" s="69" t="n">
        <v>500.05</v>
      </c>
      <c r="I30" s="69" t="n">
        <v>1000.05</v>
      </c>
      <c r="J30" s="69" t="n">
        <v>1650.05</v>
      </c>
      <c r="K30" s="69" t="n">
        <v>1650.05</v>
      </c>
      <c r="L30" s="69" t="n">
        <v>1650.05</v>
      </c>
      <c r="M30" s="69" t="n">
        <v>1650.05</v>
      </c>
      <c r="N30" s="69" t="n">
        <v>1650.05</v>
      </c>
      <c r="O30" s="69" t="n">
        <v>1</v>
      </c>
      <c r="P30" s="69" t="n">
        <v>0.6899999999999999</v>
      </c>
      <c r="Q30" s="69" t="n">
        <v>0.39</v>
      </c>
      <c r="R30" s="69" t="n">
        <v>0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spring_chem_ph|</t>
        </is>
      </c>
      <c r="B31" s="69" t="inlineStr">
        <is>
          <t>spring-chem-ph</t>
        </is>
      </c>
      <c r="C31" s="69" t="inlineStr">
        <is>
          <t>pH</t>
        </is>
      </c>
      <c r="D31" s="69" t="inlineStr"/>
      <c r="E31" s="69" t="n">
        <v>8</v>
      </c>
      <c r="F31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0.68 of evaluation regions; two thirds required; net optimism +0.12, at most 0.05 allowed); confidence capped at 39.</t>
        </is>
      </c>
      <c r="G31" s="69" t="n">
        <v>5.942500114440918</v>
      </c>
      <c r="H31" s="69" t="n">
        <v>6.627500057220459</v>
      </c>
      <c r="I31" s="69" t="n">
        <v>7.07275002002716</v>
      </c>
      <c r="J31" s="69" t="n">
        <v>7.3125</v>
      </c>
      <c r="K31" s="69" t="n">
        <v>7.997499942779541</v>
      </c>
      <c r="L31" s="69" t="n">
        <v>8.23724992275238</v>
      </c>
      <c r="M31" s="69" t="n">
        <v>8.682499885559082</v>
      </c>
      <c r="N31" s="69" t="n">
        <v>9.367499828338623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0.7</v>
      </c>
      <c r="U31" s="69" t="n">
        <v>0.3</v>
      </c>
      <c r="V31" s="69" t="n">
        <v>0</v>
      </c>
    </row>
    <row r="32">
      <c r="A32" s="69" t="inlineStr">
        <is>
          <t>spring_phab_pct_fast|All streams (pooled)</t>
        </is>
      </c>
      <c r="B32" s="69" t="inlineStr">
        <is>
          <t>spring-phab-pct-fast</t>
        </is>
      </c>
      <c r="C32" s="69" t="inlineStr">
        <is>
          <t>Fast-water / riffle habitat</t>
        </is>
      </c>
      <c r="D32" s="69" t="inlineStr">
        <is>
          <t>All streams (pooled)</t>
        </is>
      </c>
      <c r="E32" s="69" t="n">
        <v>5</v>
      </c>
      <c r="F32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2" s="69" t="n">
        <v>0</v>
      </c>
      <c r="H32" s="69" t="n">
        <v>4.821428571428571</v>
      </c>
      <c r="I32" s="69" t="n">
        <v>11.25</v>
      </c>
      <c r="J32" s="69" t="n">
        <v>68.5</v>
      </c>
      <c r="K32" s="69" t="n">
        <v>97.125</v>
      </c>
      <c r="L32" s="69" t="n">
        <v>97.125</v>
      </c>
      <c r="M32" s="69" t="n">
        <v>97.125</v>
      </c>
      <c r="N32" s="69" t="n">
        <v>97.125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spring_phab_pct_fast|Moderate gradient (0.5 to 2 percent)</t>
        </is>
      </c>
      <c r="B33" s="69" t="inlineStr">
        <is>
          <t>spring-phab-pct-fast</t>
        </is>
      </c>
      <c r="C33" s="69" t="inlineStr">
        <is>
          <t>Fast-water / riffle habitat</t>
        </is>
      </c>
      <c r="D33" s="69" t="inlineStr">
        <is>
          <t>Moderate gradient (0.5 to 2 percent)</t>
        </is>
      </c>
      <c r="E33" s="69" t="n">
        <v>5</v>
      </c>
      <c r="F33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3" s="69" t="n">
        <v>0</v>
      </c>
      <c r="H33" s="69" t="n">
        <v>4.928571428571429</v>
      </c>
      <c r="I33" s="69" t="n">
        <v>11.5</v>
      </c>
      <c r="J33" s="69" t="n">
        <v>41.15384674072266</v>
      </c>
      <c r="K33" s="69" t="n">
        <v>55.98077011108398</v>
      </c>
      <c r="L33" s="69" t="n">
        <v>55.98077011108398</v>
      </c>
      <c r="M33" s="69" t="n">
        <v>55.98077011108398</v>
      </c>
      <c r="N33" s="69" t="n">
        <v>55.98077011108398</v>
      </c>
      <c r="O33" s="69" t="n">
        <v>0</v>
      </c>
      <c r="P33" s="69" t="n">
        <v>0.3</v>
      </c>
      <c r="Q33" s="69" t="n">
        <v>0.7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spring_phab_pct_fast|Steep (2 percent and above)</t>
        </is>
      </c>
      <c r="B34" s="69" t="inlineStr">
        <is>
          <t>spring-phab-pct-fast</t>
        </is>
      </c>
      <c r="C34" s="69" t="inlineStr">
        <is>
          <t>Fast-water / riffle habitat</t>
        </is>
      </c>
      <c r="D34" s="69" t="inlineStr">
        <is>
          <t>Steep (2 percent and above)</t>
        </is>
      </c>
      <c r="E34" s="69" t="n">
        <v>5</v>
      </c>
      <c r="F34" s="69" t="inlineStr">
        <is>
          <t>102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9" t="n">
        <v>0</v>
      </c>
      <c r="H34" s="69" t="n">
        <v>10.5714282989502</v>
      </c>
      <c r="I34" s="69" t="n">
        <v>24.66666603088379</v>
      </c>
      <c r="J34" s="69" t="n">
        <v>90</v>
      </c>
      <c r="K34" s="69" t="n">
        <v>100</v>
      </c>
      <c r="L34" s="69" t="n">
        <v>100</v>
      </c>
      <c r="M34" s="69" t="n">
        <v>100</v>
      </c>
      <c r="N34" s="69" t="n">
        <v>100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spring_phab_xfc_nat|</t>
        </is>
      </c>
      <c r="B35" s="69" t="inlineStr">
        <is>
          <t>spring-phab-xfc-nat</t>
        </is>
      </c>
      <c r="C35" s="69" t="inlineStr">
        <is>
          <t>Natural fish cover</t>
        </is>
      </c>
      <c r="D35" s="69" t="inlineStr"/>
      <c r="E35" s="69" t="n">
        <v>5</v>
      </c>
      <c r="F35" s="69" t="inlineStr">
        <is>
          <t>34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5" s="69" t="n">
        <v>0</v>
      </c>
      <c r="H35" s="69" t="n">
        <v>0.07816558650561742</v>
      </c>
      <c r="I35" s="69" t="n">
        <v>0.1823863685131073</v>
      </c>
      <c r="J35" s="69" t="n">
        <v>0.4704545438289642</v>
      </c>
      <c r="K35" s="69" t="n">
        <v>0.6144886314868927</v>
      </c>
      <c r="L35" s="69" t="n">
        <v>0.6144886314868927</v>
      </c>
      <c r="M35" s="69" t="n">
        <v>0.6144886314868927</v>
      </c>
      <c r="N35" s="69" t="n">
        <v>0.6144886314868927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spring_fish_mmi_fish|</t>
        </is>
      </c>
      <c r="B36" s="69" t="inlineStr">
        <is>
          <t>spring-fish-mmi-fish</t>
        </is>
      </c>
      <c r="C36" s="69" t="inlineStr">
        <is>
          <t>Fish MMI</t>
        </is>
      </c>
      <c r="D36" s="69" t="inlineStr"/>
      <c r="E36" s="69" t="n">
        <v>4</v>
      </c>
      <c r="F36" s="69" t="inlineStr">
        <is>
          <t>Scored against a published criterion rather than against stations from this ecoregion. The criterion carries its own definition of reference, which need not match this assessment's.</t>
        </is>
      </c>
      <c r="G36" s="69" t="n">
        <v>52.645</v>
      </c>
      <c r="H36" s="69" t="n">
        <v>66.295</v>
      </c>
      <c r="I36" s="69" t="n">
        <v>76.795</v>
      </c>
      <c r="J36" s="69" t="n">
        <v>87.645</v>
      </c>
      <c r="K36" s="69" t="n">
        <v>87.645</v>
      </c>
      <c r="L36" s="69" t="n">
        <v>87.645</v>
      </c>
      <c r="M36" s="69" t="n">
        <v>87.645</v>
      </c>
      <c r="N36" s="69" t="n">
        <v>87.645</v>
      </c>
      <c r="O36" s="69" t="n">
        <v>0</v>
      </c>
      <c r="P36" s="69" t="n">
        <v>0.39</v>
      </c>
      <c r="Q36" s="69" t="n">
        <v>0.6899999999999999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spring_fish_nat_lithpind|</t>
        </is>
      </c>
      <c r="B37" s="69" t="inlineStr">
        <is>
          <t>spring-fish-nat-lithpind</t>
        </is>
      </c>
      <c r="C37" s="69" t="inlineStr">
        <is>
          <t>Simple lithophil fish individuals</t>
        </is>
      </c>
      <c r="D37" s="69" t="inlineStr"/>
      <c r="E37" s="69" t="n">
        <v>4</v>
      </c>
      <c r="F37" s="69" t="inlineStr">
        <is>
          <t>Reference curve fitted to comparable least-disturbed stations drawn from the national pool, because this ecoregion and its parents hold too few of their own.</t>
        </is>
      </c>
      <c r="G37" s="69" t="n">
        <v>0</v>
      </c>
      <c r="H37" s="69" t="n">
        <v>11.38285691397531</v>
      </c>
      <c r="I37" s="69" t="n">
        <v>26.55999946594238</v>
      </c>
      <c r="J37" s="69" t="n">
        <v>100</v>
      </c>
      <c r="K37" s="69" t="n">
        <v>100</v>
      </c>
      <c r="L37" s="69" t="n">
        <v>100</v>
      </c>
      <c r="M37" s="69" t="n">
        <v>100</v>
      </c>
      <c r="N37" s="69" t="n">
        <v>100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spring_bent_mmi_bent|</t>
        </is>
      </c>
      <c r="B38" s="69" t="inlineStr">
        <is>
          <t>spring-bent-mmi-bent</t>
        </is>
      </c>
      <c r="C38" s="69" t="inlineStr">
        <is>
          <t>Benthic macroinvertebrate MMI</t>
        </is>
      </c>
      <c r="D38" s="69" t="inlineStr"/>
      <c r="E38" s="69" t="n">
        <v>4</v>
      </c>
      <c r="F38" s="69" t="inlineStr">
        <is>
          <t>Scored against a published criterion rather than against stations from this ecoregion. The criterion carries its own definition of reference, which need not match this assessment's.</t>
        </is>
      </c>
      <c r="G38" s="69" t="n">
        <v>24.335</v>
      </c>
      <c r="H38" s="69" t="n">
        <v>42.795</v>
      </c>
      <c r="I38" s="69" t="n">
        <v>56.995</v>
      </c>
      <c r="J38" s="69" t="n">
        <v>71.668333</v>
      </c>
      <c r="K38" s="69" t="n">
        <v>71.668333</v>
      </c>
      <c r="L38" s="69" t="n">
        <v>71.668333</v>
      </c>
      <c r="M38" s="69" t="n">
        <v>71.668333</v>
      </c>
      <c r="N38" s="69" t="n">
        <v>71.668333</v>
      </c>
      <c r="O38" s="69" t="n">
        <v>0</v>
      </c>
      <c r="P38" s="69" t="n">
        <v>0.39</v>
      </c>
      <c r="Q38" s="69" t="n">
        <v>0.6899999999999999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spring_bent_hprime|</t>
        </is>
      </c>
      <c r="B39" s="69" t="inlineStr">
        <is>
          <t>spring-bent-hprime</t>
        </is>
      </c>
      <c r="C39" s="69" t="inlineStr">
        <is>
          <t>Shannon diversity (H')</t>
        </is>
      </c>
      <c r="D39" s="69" t="inlineStr"/>
      <c r="E39" s="69" t="n">
        <v>5</v>
      </c>
      <c r="F39" s="69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0.58 of evaluation regions; two thirds required); confidence capped at 39.</t>
        </is>
      </c>
      <c r="G39" s="69" t="n">
        <v>0</v>
      </c>
      <c r="H39" s="69" t="n">
        <v>1.165714297975813</v>
      </c>
      <c r="I39" s="69" t="n">
        <v>2.720000028610229</v>
      </c>
      <c r="J39" s="69" t="n">
        <v>3.180000066757202</v>
      </c>
      <c r="K39" s="69" t="n">
        <v>3.410000085830688</v>
      </c>
      <c r="L39" s="69" t="n">
        <v>3.410000085830688</v>
      </c>
      <c r="M39" s="69" t="n">
        <v>3.410000085830688</v>
      </c>
      <c r="N39" s="69" t="n">
        <v>3.410000085830688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spring_nid_dams_1mi|</t>
        </is>
      </c>
      <c r="B40" s="69" t="inlineStr">
        <is>
          <t>spring-nid-dams-1mi</t>
        </is>
      </c>
      <c r="C40" s="69" t="inlineStr">
        <is>
          <t>Mapped dams within one mile</t>
        </is>
      </c>
      <c r="D40" s="69" t="inlineStr"/>
      <c r="E40" s="69" t="n">
        <v>4</v>
      </c>
      <c r="F40" s="69" t="inlineStr">
        <is>
          <t>Fixed criteria, the same in every region</t>
        </is>
      </c>
      <c r="G40" s="69" t="n">
        <v>0</v>
      </c>
      <c r="H40" s="69" t="n">
        <v>1</v>
      </c>
      <c r="I40" s="69" t="n">
        <v>2</v>
      </c>
      <c r="J40" s="69" t="n">
        <v>3</v>
      </c>
      <c r="K40" s="69" t="n">
        <v>3</v>
      </c>
      <c r="L40" s="69" t="n">
        <v>3</v>
      </c>
      <c r="M40" s="69" t="n">
        <v>3</v>
      </c>
      <c r="N40" s="69" t="n">
        <v>3</v>
      </c>
      <c r="O40" s="69" t="n">
        <v>1</v>
      </c>
      <c r="P40" s="69" t="n">
        <v>0.545</v>
      </c>
      <c r="Q40" s="69" t="n">
        <v>0.195</v>
      </c>
      <c r="R40" s="69" t="n">
        <v>0</v>
      </c>
      <c r="S40" s="69" t="n">
        <v>0</v>
      </c>
      <c r="T40" s="69" t="n">
        <v>0</v>
      </c>
      <c r="U40" s="69" t="n">
        <v>0</v>
      </c>
      <c r="V40" s="69" t="n">
        <v>0</v>
      </c>
    </row>
    <row r="43">
      <c r="A43" s="58" t="inlineStr">
        <is>
          <t>Curve sets by metric</t>
        </is>
      </c>
    </row>
    <row r="44">
      <c r="A44" s="69" t="inlineStr">
        <is>
          <t>All streams (pooled)</t>
        </is>
      </c>
      <c r="B44" s="5" t="inlineStr">
        <is>
          <t>Bankfull width:depth ratio</t>
        </is>
      </c>
    </row>
    <row r="45">
      <c r="A45" s="69" t="inlineStr">
        <is>
          <t>Small stream (10 to 100 km2)</t>
        </is>
      </c>
      <c r="B45" s="5" t="inlineStr">
        <is>
          <t>Bankfull width:depth ratio</t>
        </is>
      </c>
    </row>
    <row r="46">
      <c r="A46" s="69" t="inlineStr">
        <is>
          <t>Large stream (over 100 km2)</t>
        </is>
      </c>
      <c r="B46" s="5" t="inlineStr">
        <is>
          <t>Bankfull width:depth ratio</t>
        </is>
      </c>
    </row>
    <row r="47">
      <c r="A47" s="69" t="inlineStr">
        <is>
          <t>All streams (pooled)</t>
        </is>
      </c>
      <c r="B47" s="5" t="inlineStr">
        <is>
          <t>Bankfull height above channel</t>
        </is>
      </c>
    </row>
    <row r="48">
      <c r="A48" s="69" t="inlineStr">
        <is>
          <t>Small stream (10 to 100 km2)</t>
        </is>
      </c>
      <c r="B48" s="5" t="inlineStr">
        <is>
          <t>Bankfull height above channel</t>
        </is>
      </c>
    </row>
    <row r="49">
      <c r="A49" s="69" t="inlineStr">
        <is>
          <t>Large stream (over 100 km2)</t>
        </is>
      </c>
      <c r="B49" s="5" t="inlineStr">
        <is>
          <t>Bankfull height above channel</t>
        </is>
      </c>
    </row>
    <row r="50">
      <c r="A50" s="69" t="inlineStr">
        <is>
          <t>All streams (pooled)</t>
        </is>
      </c>
      <c r="B50" s="5" t="inlineStr">
        <is>
          <t>Relative bed stability</t>
        </is>
      </c>
    </row>
    <row r="51">
      <c r="A51" s="69" t="inlineStr">
        <is>
          <t>Small stream (10 to 100 km2)</t>
        </is>
      </c>
      <c r="B51" s="5" t="inlineStr">
        <is>
          <t>Relative bed stability</t>
        </is>
      </c>
    </row>
    <row r="52">
      <c r="A52" s="69" t="inlineStr">
        <is>
          <t>Large stream (over 100 km2)</t>
        </is>
      </c>
      <c r="B52" s="5" t="inlineStr">
        <is>
          <t>Relative bed stability</t>
        </is>
      </c>
    </row>
    <row r="53">
      <c r="A53" s="69" t="inlineStr">
        <is>
          <t>All streams (pooled)</t>
        </is>
      </c>
      <c r="B53" s="5" t="inlineStr">
        <is>
          <t>Fast-water / riffle habitat</t>
        </is>
      </c>
    </row>
    <row r="54">
      <c r="A54" s="69" t="inlineStr">
        <is>
          <t>Moderate gradient (0.5 to 2 percent)</t>
        </is>
      </c>
      <c r="B54" s="5" t="inlineStr">
        <is>
          <t>Fast-water / riffle habitat</t>
        </is>
      </c>
    </row>
    <row r="55">
      <c r="A55" s="69" t="inlineStr">
        <is>
          <t>Steep (2 percent and above)</t>
        </is>
      </c>
      <c r="B55" s="5" t="inlineStr">
        <is>
          <t>Fast-water / riffle habitat</t>
        </is>
      </c>
    </row>
    <row r="58">
      <c r="A58" s="58" t="inlineStr">
        <is>
          <t>Condition classes</t>
        </is>
      </c>
    </row>
    <row r="59">
      <c r="A59" t="inlineStr">
        <is>
          <t>Metric index: at or below 0.39 Non-Functioning, at or below 0.69 Functioning At-Risk, above Functioning.</t>
        </is>
      </c>
    </row>
    <row r="60">
      <c r="A60" t="inlineStr">
        <is>
          <t>Function score (0 to 15): at or below 5 Non-Functioning, at or below 10 Functioning At-Risk, above Functioning.</t>
        </is>
      </c>
    </row>
    <row r="61">
      <c r="A61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central-california-foothills-and-coastal-mountains</t>
        </is>
      </c>
    </row>
    <row r="5">
      <c r="A5" s="69" t="inlineStr">
        <is>
          <t>Assessment name</t>
        </is>
      </c>
      <c r="B5" s="69" t="inlineStr">
        <is>
          <t>Central California Foothills and Coastal Mountains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sha256:2ec24dcbc9840b9ecdc5528d501d1e0c431e76a4e1900c6f02110240e2f18f11</t>
        </is>
      </c>
    </row>
    <row r="9">
      <c r="A9" s="69" t="inlineStr">
        <is>
          <t>Region</t>
        </is>
      </c>
      <c r="B9" s="69" t="inlineStr">
        <is>
          <t>ecoregion 6 Central California Foothills and Coastal Mountains</t>
        </is>
      </c>
    </row>
    <row r="10">
      <c r="A10" s="69" t="inlineStr">
        <is>
          <t>Source</t>
        </is>
      </c>
      <c r="B10" s="69" t="inlineStr">
        <is>
          <t>USEPA NRSA 2013-24 (L3 ecoregion 6),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2026-09-30T07:07:24Z</dcterms:created>
  <dcterms:modified xmlns:dcterms="http://purl.org/dc/terms/" xmlns:xsi="http://www.w3.org/2001/XMLSchema-instance" xsi:type="dcterms:W3CDTF">2026-09-30T07:07:24Z</dcterms:modified>
  <cp:lastModifiedBy>DEEP</cp:lastModifiedBy>
  <cp:contentStatus>Draft</cp:contentStatus>
</cp:coreProperties>
</file>