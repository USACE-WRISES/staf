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'Reference'!$A$5:$A$42</definedName>
    <definedName name="curve_x1">'Reference'!$G$5:$G$42</definedName>
    <definedName name="curve_y1">'Reference'!$O$5:$O$42</definedName>
    <definedName name="curve_x2">'Reference'!$H$5:$H$42</definedName>
    <definedName name="curve_y2">'Reference'!$P$5:$P$42</definedName>
    <definedName name="curve_x3">'Reference'!$I$5:$I$42</definedName>
    <definedName name="curve_y3">'Reference'!$Q$5:$Q$42</definedName>
    <definedName name="curve_x4">'Reference'!$J$5:$J$42</definedName>
    <definedName name="curve_y4">'Reference'!$R$5:$R$42</definedName>
    <definedName name="curve_x5">'Reference'!$K$5:$K$42</definedName>
    <definedName name="curve_y5">'Reference'!$S$5:$S$42</definedName>
    <definedName name="curve_x6">'Reference'!$L$5:$L$42</definedName>
    <definedName name="curve_y6">'Reference'!$T$5:$T$42</definedName>
    <definedName name="curve_x7">'Reference'!$M$5:$M$42</definedName>
    <definedName name="curve_y7">'Reference'!$U$5:$U$42</definedName>
    <definedName name="curve_x8">'Reference'!$N$5:$N$42</definedName>
    <definedName name="curve_y8">'Reference'!$V$5:$V$42</definedName>
    <definedName name="strata_spring_phab_bfwd_rat">'Reference'!$A$46:$A$48</definedName>
    <definedName name="strata_spring_phab_xbkf_h">'Reference'!$A$49:$A$51</definedName>
    <definedName name="strata_spring_phab_lrbs_use">'Reference'!$A$52:$A$54</definedName>
    <definedName name="strata_spring_phab_xcdenmid">'Reference'!$A$55:$A$57</definedName>
    <definedName name="strata_spring_phab_xfc_nat">'Reference'!$A$58:$A$60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phab_xcdenmid">'Metrics'!$V$19</definedName>
    <definedName name="idx_spring_chem_chla">'Metrics'!$V$20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fish_mmi_fish">'Metrics'!$V$29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phab_xcdenmid">'DEEP Score'!$E$33</definedName>
    <definedName name="st_spring_phab_xcdenmid">'DEEP Score'!$F$33</definedName>
    <definedName name="in_spring_chem_chla">'DEEP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st_spring_phab_xfc_nat">'DEEP Score'!$F$41</definedName>
    <definedName name="in_spring_bent_totlntax">'DEEP Score'!$E$42</definedName>
    <definedName name="in_spring_fish_mmi_fish">'DEEP Score'!$E$43</definedName>
    <definedName name="in_spring_bent_ept_ntax">'DEEP Score'!$E$44</definedName>
    <definedName name="in_spring_bent_hprime">'DEEP Score'!$E$45</definedName>
    <definedName name="in_spring_nid_dams_1mi">'DEEP Score'!$E$46</definedName>
    <definedName name="site_notes">'DEEP Score'!$A$63</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Colorado Plateaus reference assessment</t>
        </is>
      </c>
    </row>
    <row r="4" ht="30" customHeight="1">
      <c r="A4" s="3" t="inlineStr">
        <is>
          <t>This workbook scores one detailed assessment. It carries the assessment's metrics and their reference curves, and it scores exactly as the DEEP web application does.</t>
        </is>
      </c>
    </row>
    <row r="5" ht="210" customHeight="1">
      <c r="A5" s="3" t="inlineStr">
        <is>
          <t>Reference condition. Reference condition is set by a fixed landscape-pressure screen, never by a score. 13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Colorado Plateaus reference assessment</t>
        </is>
      </c>
    </row>
    <row r="3">
      <c r="A3" s="4" t="inlineStr">
        <is>
          <t>Version 1 | USEPA NRSA 2013-24 (L3 ecoregion 20),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Substrate size</t>
        </is>
      </c>
      <c r="D31" s="13" t="inlineStr">
        <is>
          <t>log mm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4">
        <f>IF('DEEP Score'!$E$24="","",'DEEP Score'!$E$24)</f>
        <v/>
      </c>
      <c r="F32" s="45" t="inlineStr"/>
      <c r="G32" s="25">
        <f>IF('Metrics'!$V$14="","",'Metrics'!$V$14)</f>
        <v/>
      </c>
      <c r="H32" s="20" t="n"/>
      <c r="I32" s="26" t="n"/>
    </row>
    <row r="33">
      <c r="A33" s="47" t="inlineStr">
        <is>
          <t>Physicochemistry</t>
        </is>
      </c>
      <c r="B33" s="11" t="inlineStr">
        <is>
          <t>Light &amp; thermal regime</t>
        </is>
      </c>
      <c r="C33" s="12" t="inlineStr">
        <is>
          <t>Canopy density, mid-channel</t>
        </is>
      </c>
      <c r="D33" s="13" t="inlineStr">
        <is>
          <t>%</t>
        </is>
      </c>
      <c r="E33" s="14" t="n"/>
      <c r="F33" s="46" t="inlineStr">
        <is>
          <t>All streams (pooled)</t>
        </is>
      </c>
      <c r="G33" s="16">
        <f>IF('Metrics'!$V$19="","",'Metrics'!$V$19)</f>
        <v/>
      </c>
      <c r="H33" s="17">
        <f>IF('Results'!$B$16="","",'Results'!$B$16)</f>
        <v/>
      </c>
      <c r="I33" s="18">
        <f>IF('DEEP Score'!$H$33="","",IF('DEEP Score'!$H$33&lt;=5,"Non-Functioning",IF('DEEP Score'!$H$33&lt;=10,"Functioning At-Risk","Functioning")))</f>
        <v/>
      </c>
    </row>
    <row r="34">
      <c r="A34" s="19" t="n"/>
      <c r="B34" s="20" t="n"/>
      <c r="C34" s="21" t="inlineStr">
        <is>
          <t>Chlorophyll a</t>
        </is>
      </c>
      <c r="D34" s="22" t="inlineStr">
        <is>
          <t>ug/L</t>
        </is>
      </c>
      <c r="E34" s="23" t="n"/>
      <c r="F34" s="24" t="inlineStr"/>
      <c r="G34" s="25">
        <f>IF('Metrics'!$V$20="","",'Metrics'!$V$20)</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9" t="inlineStr">
        <is>
          <t>Biology</t>
        </is>
      </c>
      <c r="B40" s="11" t="inlineStr">
        <is>
          <t>Habitat provision</t>
        </is>
      </c>
      <c r="C40" s="12" t="inlineStr">
        <is>
          <t>Fast-water / riffle habitat</t>
        </is>
      </c>
      <c r="D40" s="13" t="inlineStr">
        <is>
          <t>%</t>
        </is>
      </c>
      <c r="E40" s="14" t="n"/>
      <c r="F40" s="15" t="inlineStr"/>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39" t="inlineStr">
        <is>
          <t>All streams (pooled)</t>
        </is>
      </c>
      <c r="G41" s="25">
        <f>IF('Metrics'!$V$27="","",'Metrics'!$V$27)</f>
        <v/>
      </c>
      <c r="H41" s="20" t="n"/>
      <c r="I41" s="26" t="n"/>
    </row>
    <row r="42">
      <c r="A42" s="49" t="inlineStr">
        <is>
          <t>Biology</t>
        </is>
      </c>
      <c r="B42" s="11" t="inlineStr">
        <is>
          <t>Population support</t>
        </is>
      </c>
      <c r="C42" s="12" t="inlineStr">
        <is>
          <t>Benthic total taxa richness</t>
        </is>
      </c>
      <c r="D42" s="13" t="inlineStr"/>
      <c r="E42" s="14" t="n"/>
      <c r="F42" s="15" t="inlineStr"/>
      <c r="G42" s="16">
        <f>IF('Metrics'!$V$28="","",'Metrics'!$V$28)</f>
        <v/>
      </c>
      <c r="H42" s="17">
        <f>IF('Results'!$B$21="","",'Results'!$B$21)</f>
        <v/>
      </c>
      <c r="I42" s="18">
        <f>IF('DEEP Score'!$H$42="","",IF('DEEP Score'!$H$42&lt;=5,"Non-Functioning",IF('DEEP Score'!$H$42&lt;=10,"Functioning At-Risk","Functioning")))</f>
        <v/>
      </c>
    </row>
    <row r="43">
      <c r="A43" s="19" t="n"/>
      <c r="B43" s="20" t="n"/>
      <c r="C43" s="21" t="inlineStr">
        <is>
          <t>Fish MMI</t>
        </is>
      </c>
      <c r="D43" s="22" t="inlineStr">
        <is>
          <t>MMI points</t>
        </is>
      </c>
      <c r="E43" s="23" t="n"/>
      <c r="F43" s="24" t="inlineStr"/>
      <c r="G43" s="25">
        <f>IF('Metrics'!$V$29="","",'Metrics'!$V$29)</f>
        <v/>
      </c>
      <c r="H43" s="20" t="n"/>
      <c r="I43" s="26" t="n"/>
    </row>
    <row r="44">
      <c r="A44" s="49" t="inlineStr">
        <is>
          <t>Biology</t>
        </is>
      </c>
      <c r="B44" s="11" t="inlineStr">
        <is>
          <t>Community dynamics</t>
        </is>
      </c>
      <c r="C44" s="12" t="inlineStr">
        <is>
          <t>EPT taxa richness</t>
        </is>
      </c>
      <c r="D44" s="13" t="inlineStr"/>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IF('Metrics'!$V$31="","",'Metrics'!$V$31)</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Native fish taxa richness</t>
        </is>
      </c>
      <c r="C58" s="4" t="inlineStr">
        <is>
          <t>Population support</t>
        </is>
      </c>
    </row>
    <row r="59">
      <c r="A59" t="inlineStr">
        <is>
          <t>Large wood volume</t>
        </is>
      </c>
      <c r="C59" s="4" t="inlineStr">
        <is>
          <t>Bed composition and bedform dynamics</t>
        </is>
      </c>
    </row>
    <row r="60">
      <c r="A60" t="inlineStr">
        <is>
          <t>Residual pool depth</t>
        </is>
      </c>
      <c r="C60" s="4" t="inlineStr">
        <is>
          <t>Low flow and baseflow dynamics</t>
        </is>
      </c>
    </row>
    <row r="62">
      <c r="A62" s="5" t="inlineStr">
        <is>
          <t>Notes</t>
        </is>
      </c>
    </row>
    <row r="63">
      <c r="A63" s="58" t="n"/>
      <c r="B63" s="59" t="n"/>
      <c r="C63" s="59" t="n"/>
      <c r="D63" s="59" t="n"/>
      <c r="E63" s="59" t="n"/>
      <c r="F63" s="59" t="n"/>
      <c r="G63" s="59" t="n"/>
      <c r="H63" s="59" t="n"/>
      <c r="I63" s="60"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1" t="n"/>
      <c r="B66" s="62" t="n"/>
      <c r="C66" s="62" t="n"/>
      <c r="D66" s="62" t="n"/>
      <c r="E66" s="62" t="n"/>
      <c r="F66" s="62" t="n"/>
      <c r="G66" s="62" t="n"/>
      <c r="H66" s="62" t="n"/>
      <c r="I66" s="63" t="n"/>
    </row>
    <row r="67">
      <c r="A67" s="61" t="n"/>
      <c r="B67" s="62" t="n"/>
      <c r="C67" s="62" t="n"/>
      <c r="D67" s="62" t="n"/>
      <c r="E67" s="62" t="n"/>
      <c r="F67" s="62" t="n"/>
      <c r="G67" s="62" t="n"/>
      <c r="H67" s="62" t="n"/>
      <c r="I67" s="63" t="n"/>
    </row>
    <row r="68">
      <c r="A68" s="64" t="n"/>
      <c r="B68" s="65" t="n"/>
      <c r="C68" s="65" t="n"/>
      <c r="D68" s="65" t="n"/>
      <c r="E68" s="65" t="n"/>
      <c r="F68" s="65" t="n"/>
      <c r="G68" s="65" t="n"/>
      <c r="H68" s="65" t="n"/>
      <c r="I68"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A63:I6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3" showDropDown="0" showInputMessage="0" showErrorMessage="1" allowBlank="1" errorTitle="Curve set" error="Choose a curve set from the list." type="list">
      <formula1>=strata_spring_phab_xcdenmid</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IF('DEEP Score'!$F$29="","All streams (pooled)",'DEEP Score'!$F$29)</f>
        <v/>
      </c>
      <c r="D17" s="69">
        <f>"spring_phab_lrbs_use|"&amp;'Metrics'!$C$17</f>
        <v/>
      </c>
      <c r="E17" s="69">
        <f>IFERROR(MATCH('Metrics'!$D$17,curve_key,0),MATCH("spring_phab_lrbs_use|All streams (pooled)",curve_key,0))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Substrate size</t>
        </is>
      </c>
      <c r="B18" s="69">
        <f>IF('DEEP Score'!$E$31="","",'DEEP Score'!$E$31)</f>
        <v/>
      </c>
      <c r="C18" s="69">
        <f>""</f>
        <v/>
      </c>
      <c r="D18" s="69">
        <f>"spring_phab_lsub_dmm|"&amp;'Metrics'!$C$18</f>
        <v/>
      </c>
      <c r="E18" s="69">
        <f>IFERROR(MATCH('Metrics'!$D$18,curve_key,0),MATCH("spring_phab_lsub_dmm|",curve_key,0))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Canopy density, mid-channel</t>
        </is>
      </c>
      <c r="B19" s="69">
        <f>IF('DEEP Score'!$E$33="","",'DEEP Score'!$E$33)</f>
        <v/>
      </c>
      <c r="C19" s="69">
        <f>IF('DEEP Score'!$F$33="","All streams (pooled)",'DEEP Score'!$F$33)</f>
        <v/>
      </c>
      <c r="D19" s="69">
        <f>"spring_phab_xcdenmid|"&amp;'Metrics'!$C$19</f>
        <v/>
      </c>
      <c r="E19" s="69">
        <f>IFERROR(MATCH('Metrics'!$D$19,curve_key,0),MATCH("spring_phab_xcdenmid|All streams (pooled)",curve_key,0))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Score'!$E$34="","",'DEEP Score'!$E$34)</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nitrogen</t>
        </is>
      </c>
      <c r="B22" s="69">
        <f>IF('DEEP Score'!$E$36="","",'DEEP Score'!$E$36)</f>
        <v/>
      </c>
      <c r="C22" s="69">
        <f>""</f>
        <v/>
      </c>
      <c r="D22" s="69">
        <f>"spring_chem_ntl|"&amp;'Metrics'!$C$22</f>
        <v/>
      </c>
      <c r="E22" s="69">
        <f>IFERROR(MATCH('Metrics'!$D$22,curve_key,0),MATCH("spring_chem_ntl|",curve_key,0))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phosphorus</t>
        </is>
      </c>
      <c r="B23" s="69">
        <f>IF('DEEP Score'!$E$37="","",'DEEP Score'!$E$37)</f>
        <v/>
      </c>
      <c r="C23" s="69">
        <f>""</f>
        <v/>
      </c>
      <c r="D23" s="69">
        <f>"spring_chem_ptl|"&amp;'Metrics'!$C$23</f>
        <v/>
      </c>
      <c r="E23" s="69">
        <f>IFERROR(MATCH('Metrics'!$D$23,curve_key,0),MATCH("spring_chem_ptl|",curve_key,0))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Score'!$E$39="","",'DEEP Score'!$E$39)</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f>
        <v/>
      </c>
      <c r="D26" s="69">
        <f>"spring_phab_pct_fast|"&amp;'Metrics'!$C$26</f>
        <v/>
      </c>
      <c r="E26" s="69">
        <f>IFERROR(MATCH('Metrics'!$D$26,curve_key,0),MATCH("spring_phab_pct_fast|",curve_key,0))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IF('DEEP Score'!$F$41="","All streams (pooled)",'DEEP Score'!$F$41)</f>
        <v/>
      </c>
      <c r="D27" s="69">
        <f>"spring_phab_xfc_nat|"&amp;'Metrics'!$C$27</f>
        <v/>
      </c>
      <c r="E27" s="69">
        <f>IFERROR(MATCH('Metrics'!$D$27,curve_key,0),MATCH("spring_phab_xfc_nat|All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Benthic total taxa richness</t>
        </is>
      </c>
      <c r="B28" s="69">
        <f>IF('DEEP Score'!$E$42="","",'DEEP Score'!$E$42)</f>
        <v/>
      </c>
      <c r="C28" s="69">
        <f>""</f>
        <v/>
      </c>
      <c r="D28" s="69">
        <f>"spring_bent_totlntax|"&amp;'Metrics'!$C$28</f>
        <v/>
      </c>
      <c r="E28" s="69">
        <f>IFERROR(MATCH('Metrics'!$D$28,curve_key,0),MATCH("spring_bent_totlntax|",curve_key,0))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Fish MMI</t>
        </is>
      </c>
      <c r="B29" s="69">
        <f>IF('DEEP Score'!$E$43="","",'DEEP Score'!$E$43)</f>
        <v/>
      </c>
      <c r="C29" s="69">
        <f>""</f>
        <v/>
      </c>
      <c r="D29" s="69">
        <f>"spring_fish_mmi_fish|"&amp;'Metrics'!$C$29</f>
        <v/>
      </c>
      <c r="E29" s="69">
        <f>IFERROR(MATCH('Metrics'!$D$29,curve_key,0),MATCH("spring_fish_mmi_fish|",curve_key,0))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EPT taxa richness</t>
        </is>
      </c>
      <c r="B30" s="69">
        <f>IF('DEEP Score'!$E$44="","",'DEEP Score'!$E$44)</f>
        <v/>
      </c>
      <c r="C30" s="69">
        <f>""</f>
        <v/>
      </c>
      <c r="D30" s="69">
        <f>"spring_bent_ept_ntax|"&amp;'Metrics'!$C$30</f>
        <v/>
      </c>
      <c r="E30" s="69">
        <f>IFERROR(MATCH('Metrics'!$D$30,curve_key,0),MATCH("spring_bent_ept_ntax|",curve_key,0))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Score'!$E$45="","",'DEEP Score'!$E$45)</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Score'!$E$46="","",'DEEP Score'!$E$46)</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33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25.74951428571429</v>
      </c>
      <c r="I9" s="68" t="n">
        <v>60.0822</v>
      </c>
      <c r="J9" s="68" t="n">
        <v>73.95659999999999</v>
      </c>
      <c r="K9" s="68" t="n">
        <v>80.8938</v>
      </c>
      <c r="L9" s="68" t="n">
        <v>80.8938</v>
      </c>
      <c r="M9" s="68" t="n">
        <v>80.8938</v>
      </c>
      <c r="N9" s="68" t="n">
        <v>80.8938</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7</v>
      </c>
      <c r="F11" s="68"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2.625894749164582</v>
      </c>
      <c r="I11" s="68" t="n">
        <v>4.624006986618042</v>
      </c>
      <c r="J11" s="68" t="n">
        <v>10.33289909362793</v>
      </c>
      <c r="K11" s="68" t="n">
        <v>12.33101133108139</v>
      </c>
      <c r="L11" s="68" t="n">
        <v>16.04179120063782</v>
      </c>
      <c r="M11" s="68" t="n">
        <v>21.75068330764771</v>
      </c>
      <c r="N11" s="68" t="n">
        <v>21.75068330764771</v>
      </c>
      <c r="O11" s="68" t="n">
        <v>0</v>
      </c>
      <c r="P11" s="68" t="n">
        <v>0.7</v>
      </c>
      <c r="Q11" s="68" t="n">
        <v>1</v>
      </c>
      <c r="R11" s="68" t="n">
        <v>1</v>
      </c>
      <c r="S11" s="68" t="n">
        <v>0.7</v>
      </c>
      <c r="T11" s="68" t="n">
        <v>0.3</v>
      </c>
      <c r="U11" s="68" t="n">
        <v>0</v>
      </c>
      <c r="V11" s="68" t="n">
        <v>0</v>
      </c>
    </row>
    <row r="12">
      <c r="A12" s="68" t="inlineStr">
        <is>
          <t>spring_phab_bfwd_rat|Small stream (10 to 100 km2)</t>
        </is>
      </c>
      <c r="B12" s="68" t="inlineStr">
        <is>
          <t>spring-phab-bfwd-rat</t>
        </is>
      </c>
      <c r="C12" s="68" t="inlineStr">
        <is>
          <t>Bankfull width:depth ratio</t>
        </is>
      </c>
      <c r="D12" s="68" t="inlineStr">
        <is>
          <t>Small stream (10 to 100 km2)</t>
        </is>
      </c>
      <c r="E12" s="68" t="n">
        <v>7</v>
      </c>
      <c r="F12" s="68"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1.762792718410492</v>
      </c>
      <c r="I12" s="68" t="n">
        <v>3.813931703567505</v>
      </c>
      <c r="J12" s="68" t="n">
        <v>9.674328804016113</v>
      </c>
      <c r="K12" s="68" t="n">
        <v>11.72546778917313</v>
      </c>
      <c r="L12" s="68" t="n">
        <v>15.53472590446472</v>
      </c>
      <c r="M12" s="68" t="n">
        <v>21.39512300491333</v>
      </c>
      <c r="N12" s="68" t="n">
        <v>21.39512300491333</v>
      </c>
      <c r="O12" s="68" t="n">
        <v>0</v>
      </c>
      <c r="P12" s="68" t="n">
        <v>0.7</v>
      </c>
      <c r="Q12" s="68" t="n">
        <v>1</v>
      </c>
      <c r="R12" s="68" t="n">
        <v>1</v>
      </c>
      <c r="S12" s="68" t="n">
        <v>0.7</v>
      </c>
      <c r="T12" s="68" t="n">
        <v>0.3</v>
      </c>
      <c r="U12" s="68" t="n">
        <v>0</v>
      </c>
      <c r="V12" s="68" t="n">
        <v>0</v>
      </c>
    </row>
    <row r="13">
      <c r="A13" s="68" t="inlineStr">
        <is>
          <t>spring_phab_bfwd_rat|Large stream (over 100 km2)</t>
        </is>
      </c>
      <c r="B13" s="68" t="inlineStr">
        <is>
          <t>spring-phab-bfwd-rat</t>
        </is>
      </c>
      <c r="C13" s="68" t="inlineStr">
        <is>
          <t>Bankfull width:depth ratio</t>
        </is>
      </c>
      <c r="D13" s="68" t="inlineStr">
        <is>
          <t>Large stream (over 100 km2)</t>
        </is>
      </c>
      <c r="E13" s="68" t="n">
        <v>8</v>
      </c>
      <c r="F13" s="68"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1.839421272277832</v>
      </c>
      <c r="I13" s="68" t="n">
        <v>4.798499631881714</v>
      </c>
      <c r="J13" s="68" t="n">
        <v>6.391849517822266</v>
      </c>
      <c r="K13" s="68" t="n">
        <v>10.9442777633667</v>
      </c>
      <c r="L13" s="68" t="n">
        <v>12.53762764930725</v>
      </c>
      <c r="M13" s="68" t="n">
        <v>15.49670600891113</v>
      </c>
      <c r="N13" s="68" t="n">
        <v>20.04913425445557</v>
      </c>
      <c r="O13" s="68" t="n">
        <v>0</v>
      </c>
      <c r="P13" s="68" t="n">
        <v>0.3</v>
      </c>
      <c r="Q13" s="68" t="n">
        <v>0.7</v>
      </c>
      <c r="R13" s="68" t="n">
        <v>1</v>
      </c>
      <c r="S13" s="68" t="n">
        <v>1</v>
      </c>
      <c r="T13" s="68" t="n">
        <v>0.7</v>
      </c>
      <c r="U13" s="68" t="n">
        <v>0.3</v>
      </c>
      <c r="V13" s="68" t="n">
        <v>0</v>
      </c>
    </row>
    <row r="14">
      <c r="A14" s="68" t="inlineStr">
        <is>
          <t>spring_phab_xbkf_h|All streams (pooled)</t>
        </is>
      </c>
      <c r="B14" s="68" t="inlineStr">
        <is>
          <t>spring-phab-xbkf-h</t>
        </is>
      </c>
      <c r="C14" s="68" t="inlineStr">
        <is>
          <t>Bankfull height above channel</t>
        </is>
      </c>
      <c r="D14" s="68" t="inlineStr">
        <is>
          <t>All streams (pooled)</t>
        </is>
      </c>
      <c r="E14" s="68" t="n">
        <v>7</v>
      </c>
      <c r="F14" s="68"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8" t="n">
        <v>0</v>
      </c>
      <c r="H14" s="68" t="n">
        <v>0.1758522793650627</v>
      </c>
      <c r="I14" s="68" t="n">
        <v>0.2788636386394501</v>
      </c>
      <c r="J14" s="68" t="n">
        <v>0.5731818079948425</v>
      </c>
      <c r="K14" s="68" t="n">
        <v>0.6761931672692298</v>
      </c>
      <c r="L14" s="68" t="n">
        <v>0.867499977350235</v>
      </c>
      <c r="M14" s="68" t="n">
        <v>1.161818146705627</v>
      </c>
      <c r="N14" s="68" t="n">
        <v>1.161818146705627</v>
      </c>
      <c r="O14" s="68" t="n">
        <v>0</v>
      </c>
      <c r="P14" s="68" t="n">
        <v>0.7</v>
      </c>
      <c r="Q14" s="68" t="n">
        <v>1</v>
      </c>
      <c r="R14" s="68" t="n">
        <v>1</v>
      </c>
      <c r="S14" s="68" t="n">
        <v>0.7</v>
      </c>
      <c r="T14" s="68" t="n">
        <v>0.3</v>
      </c>
      <c r="U14" s="68" t="n">
        <v>0</v>
      </c>
      <c r="V14" s="68" t="n">
        <v>0</v>
      </c>
    </row>
    <row r="15">
      <c r="A15" s="68" t="inlineStr">
        <is>
          <t>spring_phab_xbkf_h|Small stream (10 to 100 km2)</t>
        </is>
      </c>
      <c r="B15" s="68" t="inlineStr">
        <is>
          <t>spring-phab-xbkf-h</t>
        </is>
      </c>
      <c r="C15" s="68" t="inlineStr">
        <is>
          <t>Bankfull height above channel</t>
        </is>
      </c>
      <c r="D15" s="68" t="inlineStr">
        <is>
          <t>Small stream (10 to 100 km2)</t>
        </is>
      </c>
      <c r="E15" s="68" t="n">
        <v>8</v>
      </c>
      <c r="F15" s="68"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0.08181822299957275</v>
      </c>
      <c r="I15" s="68" t="n">
        <v>0.2236363857984543</v>
      </c>
      <c r="J15" s="68" t="n">
        <v>0.300000011920929</v>
      </c>
      <c r="K15" s="68" t="n">
        <v>0.5181818008422852</v>
      </c>
      <c r="L15" s="68" t="n">
        <v>0.5945454269647599</v>
      </c>
      <c r="M15" s="68" t="n">
        <v>0.7363635897636414</v>
      </c>
      <c r="N15" s="68" t="n">
        <v>0.9545453786849976</v>
      </c>
      <c r="O15" s="68" t="n">
        <v>0</v>
      </c>
      <c r="P15" s="68" t="n">
        <v>0.3</v>
      </c>
      <c r="Q15" s="68" t="n">
        <v>0.7</v>
      </c>
      <c r="R15" s="68" t="n">
        <v>1</v>
      </c>
      <c r="S15" s="68" t="n">
        <v>1</v>
      </c>
      <c r="T15" s="68" t="n">
        <v>0.7</v>
      </c>
      <c r="U15" s="68" t="n">
        <v>0.3</v>
      </c>
      <c r="V15" s="68" t="n">
        <v>0</v>
      </c>
    </row>
    <row r="16">
      <c r="A16" s="68" t="inlineStr">
        <is>
          <t>spring_phab_xbkf_h|Large stream (over 100 km2)</t>
        </is>
      </c>
      <c r="B16" s="68" t="inlineStr">
        <is>
          <t>spring-phab-xbkf-h</t>
        </is>
      </c>
      <c r="C16" s="68" t="inlineStr">
        <is>
          <t>Bankfull height above channel</t>
        </is>
      </c>
      <c r="D16" s="68" t="inlineStr">
        <is>
          <t>Large stream (over 100 km2)</t>
        </is>
      </c>
      <c r="E16" s="68" t="n">
        <v>7</v>
      </c>
      <c r="F16" s="68"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0.1878181770443916</v>
      </c>
      <c r="I16" s="68" t="n">
        <v>0.290909081697464</v>
      </c>
      <c r="J16" s="68" t="n">
        <v>0.585454523563385</v>
      </c>
      <c r="K16" s="68" t="n">
        <v>0.6885454282164574</v>
      </c>
      <c r="L16" s="68" t="n">
        <v>0.879999965429306</v>
      </c>
      <c r="M16" s="68" t="n">
        <v>1.174545407295227</v>
      </c>
      <c r="N16" s="68" t="n">
        <v>1.174545407295227</v>
      </c>
      <c r="O16" s="68" t="n">
        <v>0</v>
      </c>
      <c r="P16" s="68" t="n">
        <v>0.7</v>
      </c>
      <c r="Q16" s="68" t="n">
        <v>1</v>
      </c>
      <c r="R16" s="68" t="n">
        <v>1</v>
      </c>
      <c r="S16" s="68" t="n">
        <v>0.7</v>
      </c>
      <c r="T16" s="68" t="n">
        <v>0.3</v>
      </c>
      <c r="U16" s="68" t="n">
        <v>0</v>
      </c>
      <c r="V16" s="68" t="n">
        <v>0</v>
      </c>
    </row>
    <row r="17">
      <c r="A17" s="68" t="inlineStr">
        <is>
          <t>spring_phab_pct_safn|</t>
        </is>
      </c>
      <c r="B17" s="68" t="inlineStr">
        <is>
          <t>spring-phab-pct-safn</t>
        </is>
      </c>
      <c r="C17" s="68" t="inlineStr">
        <is>
          <t>Sand + fines</t>
        </is>
      </c>
      <c r="D17" s="68" t="inlineStr"/>
      <c r="E17" s="68" t="n">
        <v>4</v>
      </c>
      <c r="F17"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net optimism +0.06, at most 0.05 allowed); confidence capped at 39.</t>
        </is>
      </c>
      <c r="G17" s="68" t="n">
        <v>0</v>
      </c>
      <c r="H17" s="68" t="n">
        <v>4.761904716491699</v>
      </c>
      <c r="I17" s="68" t="n">
        <v>45.47619152069092</v>
      </c>
      <c r="J17" s="68" t="n">
        <v>100</v>
      </c>
      <c r="K17" s="68" t="n">
        <v>100</v>
      </c>
      <c r="L17" s="68" t="n">
        <v>100</v>
      </c>
      <c r="M17" s="68" t="n">
        <v>100</v>
      </c>
      <c r="N17" s="68" t="n">
        <v>100</v>
      </c>
      <c r="O17" s="68" t="n">
        <v>1</v>
      </c>
      <c r="P17" s="68" t="n">
        <v>1</v>
      </c>
      <c r="Q17" s="68" t="n">
        <v>0.7</v>
      </c>
      <c r="R17" s="68" t="n">
        <v>0</v>
      </c>
      <c r="S17" s="68" t="n">
        <v>0</v>
      </c>
      <c r="T17" s="68" t="n">
        <v>0</v>
      </c>
      <c r="U17" s="68" t="n">
        <v>0</v>
      </c>
      <c r="V17" s="68" t="n">
        <v>0</v>
      </c>
    </row>
    <row r="18">
      <c r="A18" s="68" t="inlineStr">
        <is>
          <t>spring_phab_xembed|</t>
        </is>
      </c>
      <c r="B18" s="68" t="inlineStr">
        <is>
          <t>spring-phab-xembed</t>
        </is>
      </c>
      <c r="C18" s="68" t="inlineStr">
        <is>
          <t>Embeddedness</t>
        </is>
      </c>
      <c r="D18" s="68" t="inlineStr"/>
      <c r="E18" s="68" t="n">
        <v>4</v>
      </c>
      <c r="F18"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net optimism +0.07, at most 0.05 allowed); confidence capped at 39.</t>
        </is>
      </c>
      <c r="G18" s="68" t="n">
        <v>22.53636360168457</v>
      </c>
      <c r="H18" s="68" t="n">
        <v>38.05454635620117</v>
      </c>
      <c r="I18" s="68" t="n">
        <v>69.09091186523438</v>
      </c>
      <c r="J18" s="68" t="n">
        <v>100</v>
      </c>
      <c r="K18" s="68" t="n">
        <v>100</v>
      </c>
      <c r="L18" s="68" t="n">
        <v>100</v>
      </c>
      <c r="M18" s="68" t="n">
        <v>100</v>
      </c>
      <c r="N18" s="68" t="n">
        <v>100</v>
      </c>
      <c r="O18" s="68" t="n">
        <v>1</v>
      </c>
      <c r="P18" s="68" t="n">
        <v>1</v>
      </c>
      <c r="Q18" s="68" t="n">
        <v>0.7</v>
      </c>
      <c r="R18" s="68" t="n">
        <v>0</v>
      </c>
      <c r="S18" s="68" t="n">
        <v>0</v>
      </c>
      <c r="T18" s="68" t="n">
        <v>0</v>
      </c>
      <c r="U18" s="68" t="n">
        <v>0</v>
      </c>
      <c r="V18" s="68" t="n">
        <v>0</v>
      </c>
    </row>
    <row r="19">
      <c r="A19" s="68" t="inlineStr">
        <is>
          <t>spring_phab_sinu|</t>
        </is>
      </c>
      <c r="B19" s="68" t="inlineStr">
        <is>
          <t>spring-phab-sinu</t>
        </is>
      </c>
      <c r="C19" s="68" t="inlineStr">
        <is>
          <t>Sinuosity</t>
        </is>
      </c>
      <c r="D19" s="68" t="inlineStr"/>
      <c r="E19" s="68" t="n">
        <v>4</v>
      </c>
      <c r="F19" s="68" t="inlineStr">
        <is>
          <t>35 least-disturbed stations borrowed from Level II ecoregion 10.1 (Cold Deserts) under the regional screen (agriculture at most 25 percent), transfer risk moderate</t>
        </is>
      </c>
      <c r="G19" s="68" t="n">
        <v>1</v>
      </c>
      <c r="H19" s="68" t="n">
        <v>1.163779079914093</v>
      </c>
      <c r="I19" s="68" t="n">
        <v>1.559268832206726</v>
      </c>
      <c r="J19" s="68" t="n">
        <v>1.757013708353043</v>
      </c>
      <c r="K19" s="68" t="n">
        <v>1.757013708353043</v>
      </c>
      <c r="L19" s="68" t="n">
        <v>1.757013708353043</v>
      </c>
      <c r="M19" s="68" t="n">
        <v>1.757013708353043</v>
      </c>
      <c r="N19" s="68" t="n">
        <v>1.757013708353043</v>
      </c>
      <c r="O19" s="68" t="n">
        <v>0</v>
      </c>
      <c r="P19" s="68" t="n">
        <v>0.7</v>
      </c>
      <c r="Q19" s="68" t="n">
        <v>1</v>
      </c>
      <c r="R19" s="68" t="n">
        <v>1</v>
      </c>
      <c r="S19" s="68" t="n">
        <v>1</v>
      </c>
      <c r="T19" s="68" t="n">
        <v>1</v>
      </c>
      <c r="U19" s="68" t="n">
        <v>1</v>
      </c>
      <c r="V19" s="68" t="n">
        <v>1</v>
      </c>
    </row>
    <row r="20">
      <c r="A20" s="68" t="inlineStr">
        <is>
          <t>spring_phab_xbka|</t>
        </is>
      </c>
      <c r="B20" s="68" t="inlineStr">
        <is>
          <t>spring-phab-xbka</t>
        </is>
      </c>
      <c r="C20" s="68" t="inlineStr">
        <is>
          <t>Bank angle</t>
        </is>
      </c>
      <c r="D20" s="68" t="inlineStr"/>
      <c r="E20" s="68" t="n">
        <v>7</v>
      </c>
      <c r="F20" s="68" t="inlineStr">
        <is>
          <t>Reference curve fitted to comparable least-disturbed stations drawn from the national pool, because this ecoregion and its parents hold too few of their own.</t>
        </is>
      </c>
      <c r="G20" s="68" t="n">
        <v>0</v>
      </c>
      <c r="H20" s="68" t="n">
        <v>17.5014607667923</v>
      </c>
      <c r="I20" s="68" t="n">
        <v>23.49350595474243</v>
      </c>
      <c r="J20" s="68" t="n">
        <v>40.61363506317139</v>
      </c>
      <c r="K20" s="68" t="n">
        <v>46.60568025112152</v>
      </c>
      <c r="L20" s="68" t="n">
        <v>57.73376417160034</v>
      </c>
      <c r="M20" s="68" t="n">
        <v>74.8538932800293</v>
      </c>
      <c r="N20" s="68" t="n">
        <v>74.8538932800293</v>
      </c>
      <c r="O20" s="68" t="n">
        <v>0.7</v>
      </c>
      <c r="P20" s="68" t="n">
        <v>0.7</v>
      </c>
      <c r="Q20" s="68" t="n">
        <v>1</v>
      </c>
      <c r="R20" s="68" t="n">
        <v>1</v>
      </c>
      <c r="S20" s="68" t="n">
        <v>0.7</v>
      </c>
      <c r="T20" s="68" t="n">
        <v>0.3</v>
      </c>
      <c r="U20" s="68" t="n">
        <v>0</v>
      </c>
      <c r="V20" s="68" t="n">
        <v>0</v>
      </c>
    </row>
    <row r="21">
      <c r="A21" s="68" t="inlineStr">
        <is>
          <t>spring_phab_lrbs_use|All streams (pooled)</t>
        </is>
      </c>
      <c r="B21" s="68" t="inlineStr">
        <is>
          <t>spring-phab-lrbs-use</t>
        </is>
      </c>
      <c r="C21" s="68" t="inlineStr">
        <is>
          <t>Relative bed stability</t>
        </is>
      </c>
      <c r="D21" s="68" t="inlineStr">
        <is>
          <t>All streams (pooled)</t>
        </is>
      </c>
      <c r="E21" s="68" t="n">
        <v>8</v>
      </c>
      <c r="F21" s="68" t="inlineStr">
        <is>
          <t>41 least-disturbed stations borrowed from Level I ecoregion 10 (North American Deserts) under the regional screen (agriculture at most 25 percent), transfer risk high</t>
        </is>
      </c>
      <c r="G21" s="68" t="n">
        <v>-6.305319905281067</v>
      </c>
      <c r="H21" s="68" t="n">
        <v>-4.536028444766998</v>
      </c>
      <c r="I21" s="68" t="n">
        <v>-3.385988995432854</v>
      </c>
      <c r="J21" s="68" t="n">
        <v>-2.76673698425293</v>
      </c>
      <c r="K21" s="68" t="n">
        <v>-0.9974455237388611</v>
      </c>
      <c r="L21" s="68" t="n">
        <v>-0.3781935125589371</v>
      </c>
      <c r="M21" s="68" t="n">
        <v>0.7718459367752075</v>
      </c>
      <c r="N21" s="68" t="n">
        <v>2.541137397289276</v>
      </c>
      <c r="O21" s="68" t="n">
        <v>0</v>
      </c>
      <c r="P21" s="68" t="n">
        <v>0.3</v>
      </c>
      <c r="Q21" s="68" t="n">
        <v>0.7</v>
      </c>
      <c r="R21" s="68" t="n">
        <v>1</v>
      </c>
      <c r="S21" s="68" t="n">
        <v>1</v>
      </c>
      <c r="T21" s="68" t="n">
        <v>0.7</v>
      </c>
      <c r="U21" s="68" t="n">
        <v>0.3</v>
      </c>
      <c r="V21" s="68" t="n">
        <v>0</v>
      </c>
    </row>
    <row r="22">
      <c r="A22" s="68" t="inlineStr">
        <is>
          <t>spring_phab_lrbs_use|Small stream (10 to 100 km2)</t>
        </is>
      </c>
      <c r="B22" s="68" t="inlineStr">
        <is>
          <t>spring-phab-lrbs-use</t>
        </is>
      </c>
      <c r="C22" s="68" t="inlineStr">
        <is>
          <t>Relative bed stability</t>
        </is>
      </c>
      <c r="D22" s="68" t="inlineStr">
        <is>
          <t>Small stream (10 to 100 km2)</t>
        </is>
      </c>
      <c r="E22" s="68" t="n">
        <v>8</v>
      </c>
      <c r="F22" s="68" t="inlineStr">
        <is>
          <t>41 least-disturbed stations borrowed from Level I ecoregion 10 (North American Deserts) under the regional screen (agriculture at most 25 percent), transfer risk high</t>
        </is>
      </c>
      <c r="G22" s="68" t="n">
        <v>-5.946222066879272</v>
      </c>
      <c r="H22" s="68" t="n">
        <v>-4.453880786895752</v>
      </c>
      <c r="I22" s="68" t="n">
        <v>-3.483858954906464</v>
      </c>
      <c r="J22" s="68" t="n">
        <v>-2.961539506912231</v>
      </c>
      <c r="K22" s="68" t="n">
        <v>-1.469198226928711</v>
      </c>
      <c r="L22" s="68" t="n">
        <v>-0.9468787789344788</v>
      </c>
      <c r="M22" s="68" t="n">
        <v>0.02314305305480957</v>
      </c>
      <c r="N22" s="68" t="n">
        <v>1.51548433303833</v>
      </c>
      <c r="O22" s="68" t="n">
        <v>0</v>
      </c>
      <c r="P22" s="68" t="n">
        <v>0.3</v>
      </c>
      <c r="Q22" s="68" t="n">
        <v>0.7</v>
      </c>
      <c r="R22" s="68" t="n">
        <v>1</v>
      </c>
      <c r="S22" s="68" t="n">
        <v>1</v>
      </c>
      <c r="T22" s="68" t="n">
        <v>0.7</v>
      </c>
      <c r="U22" s="68" t="n">
        <v>0.3</v>
      </c>
      <c r="V22" s="68" t="n">
        <v>0</v>
      </c>
    </row>
    <row r="23">
      <c r="A23" s="68" t="inlineStr">
        <is>
          <t>spring_phab_lrbs_use|Large stream (over 100 km2)</t>
        </is>
      </c>
      <c r="B23" s="68" t="inlineStr">
        <is>
          <t>spring-phab-lrbs-use</t>
        </is>
      </c>
      <c r="C23" s="68" t="inlineStr">
        <is>
          <t>Relative bed stability</t>
        </is>
      </c>
      <c r="D23" s="68" t="inlineStr">
        <is>
          <t>Large stream (over 100 km2)</t>
        </is>
      </c>
      <c r="E23" s="68" t="n">
        <v>8</v>
      </c>
      <c r="F23" s="68" t="inlineStr">
        <is>
          <t>41 least-disturbed stations borrowed from Level I ecoregion 10 (North American Deserts) under the regional screen (agriculture at most 25 percent), transfer risk high</t>
        </is>
      </c>
      <c r="G23" s="68" t="n">
        <v>-3.02008481323719</v>
      </c>
      <c r="H23" s="68" t="n">
        <v>-2.232417069375515</v>
      </c>
      <c r="I23" s="68" t="n">
        <v>-1.720433035865426</v>
      </c>
      <c r="J23" s="68" t="n">
        <v>-1.44474932551384</v>
      </c>
      <c r="K23" s="68" t="n">
        <v>-0.6570815816521645</v>
      </c>
      <c r="L23" s="68" t="n">
        <v>-0.3813978713005781</v>
      </c>
      <c r="M23" s="68" t="n">
        <v>0.1305861622095108</v>
      </c>
      <c r="N23" s="68" t="n">
        <v>0.9182539060711861</v>
      </c>
      <c r="O23" s="68" t="n">
        <v>0</v>
      </c>
      <c r="P23" s="68" t="n">
        <v>0.3</v>
      </c>
      <c r="Q23" s="68" t="n">
        <v>0.7</v>
      </c>
      <c r="R23" s="68" t="n">
        <v>1</v>
      </c>
      <c r="S23" s="68" t="n">
        <v>1</v>
      </c>
      <c r="T23" s="68" t="n">
        <v>0.7</v>
      </c>
      <c r="U23" s="68" t="n">
        <v>0.3</v>
      </c>
      <c r="V23" s="68" t="n">
        <v>0</v>
      </c>
    </row>
    <row r="24">
      <c r="A24" s="68" t="inlineStr">
        <is>
          <t>spring_phab_lsub_dmm|</t>
        </is>
      </c>
      <c r="B24" s="68" t="inlineStr">
        <is>
          <t>spring-phab-lsub-dmm</t>
        </is>
      </c>
      <c r="C24" s="68" t="inlineStr">
        <is>
          <t>Substrate size</t>
        </is>
      </c>
      <c r="D24" s="68" t="inlineStr"/>
      <c r="E24" s="68" t="n">
        <v>5</v>
      </c>
      <c r="F24"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24" s="68" t="n">
        <v>-4.381973840296268</v>
      </c>
      <c r="H24" s="68" t="n">
        <v>-2.549462251365185</v>
      </c>
      <c r="I24" s="68" t="n">
        <v>0.1993051320314407</v>
      </c>
      <c r="J24" s="68" t="n">
        <v>2.031816720962524</v>
      </c>
      <c r="K24" s="68" t="n">
        <v>2.948072515428066</v>
      </c>
      <c r="L24" s="68" t="n">
        <v>2.948072515428066</v>
      </c>
      <c r="M24" s="68" t="n">
        <v>2.948072515428066</v>
      </c>
      <c r="N24" s="68" t="n">
        <v>2.948072515428066</v>
      </c>
      <c r="O24" s="68" t="n">
        <v>0</v>
      </c>
      <c r="P24" s="68" t="n">
        <v>0.3</v>
      </c>
      <c r="Q24" s="68" t="n">
        <v>0.7</v>
      </c>
      <c r="R24" s="68" t="n">
        <v>1</v>
      </c>
      <c r="S24" s="68" t="n">
        <v>1</v>
      </c>
      <c r="T24" s="68" t="n">
        <v>1</v>
      </c>
      <c r="U24" s="68" t="n">
        <v>1</v>
      </c>
      <c r="V24" s="68" t="n">
        <v>1</v>
      </c>
    </row>
    <row r="25">
      <c r="A25" s="68" t="inlineStr">
        <is>
          <t>spring_phab_xcdenmid|All streams (pooled)</t>
        </is>
      </c>
      <c r="B25" s="68" t="inlineStr">
        <is>
          <t>spring-phab-xcdenmid</t>
        </is>
      </c>
      <c r="C25" s="68" t="inlineStr">
        <is>
          <t>Canopy density, mid-channel</t>
        </is>
      </c>
      <c r="D25" s="68" t="inlineStr">
        <is>
          <t>All streams (pooled)</t>
        </is>
      </c>
      <c r="E25" s="68" t="n">
        <v>5</v>
      </c>
      <c r="F25" s="68"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8" t="n">
        <v>0</v>
      </c>
      <c r="H25" s="68" t="n">
        <v>6.302520888192313</v>
      </c>
      <c r="I25" s="68" t="n">
        <v>14.70588207244873</v>
      </c>
      <c r="J25" s="68" t="n">
        <v>68.04812622070312</v>
      </c>
      <c r="K25" s="68" t="n">
        <v>94.71924829483032</v>
      </c>
      <c r="L25" s="68" t="n">
        <v>94.71924829483032</v>
      </c>
      <c r="M25" s="68" t="n">
        <v>94.71924829483032</v>
      </c>
      <c r="N25" s="68" t="n">
        <v>94.71924829483032</v>
      </c>
      <c r="O25" s="68" t="n">
        <v>0</v>
      </c>
      <c r="P25" s="68" t="n">
        <v>0.3</v>
      </c>
      <c r="Q25" s="68" t="n">
        <v>0.7</v>
      </c>
      <c r="R25" s="68" t="n">
        <v>1</v>
      </c>
      <c r="S25" s="68" t="n">
        <v>1</v>
      </c>
      <c r="T25" s="68" t="n">
        <v>1</v>
      </c>
      <c r="U25" s="68" t="n">
        <v>1</v>
      </c>
      <c r="V25" s="68" t="n">
        <v>1</v>
      </c>
    </row>
    <row r="26">
      <c r="A26" s="68" t="inlineStr">
        <is>
          <t>spring_phab_xcdenmid|Small stream (10 to 100 km2)</t>
        </is>
      </c>
      <c r="B26" s="68" t="inlineStr">
        <is>
          <t>spring-phab-xcdenmid</t>
        </is>
      </c>
      <c r="C26" s="68" t="inlineStr">
        <is>
          <t>Canopy density, mid-channel</t>
        </is>
      </c>
      <c r="D26" s="68" t="inlineStr">
        <is>
          <t>Small stream (10 to 100 km2)</t>
        </is>
      </c>
      <c r="E26" s="68" t="n">
        <v>5</v>
      </c>
      <c r="F26" s="68"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8" t="n">
        <v>0</v>
      </c>
      <c r="H26" s="68" t="n">
        <v>12.97746358598982</v>
      </c>
      <c r="I26" s="68" t="n">
        <v>30.28074836730957</v>
      </c>
      <c r="J26" s="68" t="n">
        <v>82.7807502746582</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spring_phab_xcdenmid|Large stream (over 100 km2)</t>
        </is>
      </c>
      <c r="B27" s="68" t="inlineStr">
        <is>
          <t>spring-phab-xcdenmid</t>
        </is>
      </c>
      <c r="C27" s="68" t="inlineStr">
        <is>
          <t>Canopy density, mid-channel</t>
        </is>
      </c>
      <c r="D27" s="68" t="inlineStr">
        <is>
          <t>Large stream (over 100 km2)</t>
        </is>
      </c>
      <c r="E27" s="68" t="n">
        <v>5</v>
      </c>
      <c r="F27" s="68"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8" t="n">
        <v>0</v>
      </c>
      <c r="H27" s="68" t="n">
        <v>1.919404097965785</v>
      </c>
      <c r="I27" s="68" t="n">
        <v>4.478609561920166</v>
      </c>
      <c r="J27" s="68" t="n">
        <v>34.09090805053711</v>
      </c>
      <c r="K27" s="68" t="n">
        <v>48.89705729484558</v>
      </c>
      <c r="L27" s="68" t="n">
        <v>48.89705729484558</v>
      </c>
      <c r="M27" s="68" t="n">
        <v>48.89705729484558</v>
      </c>
      <c r="N27" s="68" t="n">
        <v>48.89705729484558</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confidence capped at 39.</t>
        </is>
      </c>
      <c r="G28" s="68" t="n">
        <v>0</v>
      </c>
      <c r="H28" s="68" t="n">
        <v>0.4639999866485596</v>
      </c>
      <c r="I28" s="68" t="n">
        <v>3</v>
      </c>
      <c r="J28" s="68" t="n">
        <v>6.804000020027161</v>
      </c>
      <c r="K28" s="68" t="n">
        <v>9.340000033378601</v>
      </c>
      <c r="L28" s="68" t="n">
        <v>9.340000033378601</v>
      </c>
      <c r="M28" s="68" t="n">
        <v>9.340000033378601</v>
      </c>
      <c r="N28" s="68" t="n">
        <v>9.340000033378601</v>
      </c>
      <c r="O28" s="68" t="n">
        <v>1</v>
      </c>
      <c r="P28" s="68" t="n">
        <v>1</v>
      </c>
      <c r="Q28" s="68" t="n">
        <v>0.7</v>
      </c>
      <c r="R28" s="68" t="n">
        <v>0.3</v>
      </c>
      <c r="S28" s="68" t="n">
        <v>0</v>
      </c>
      <c r="T28" s="68" t="n">
        <v>0</v>
      </c>
      <c r="U28" s="68" t="n">
        <v>0</v>
      </c>
      <c r="V28" s="68" t="n">
        <v>0</v>
      </c>
    </row>
    <row r="29">
      <c r="A29" s="68" t="inlineStr">
        <is>
          <t>spring_phab_xcmgw|</t>
        </is>
      </c>
      <c r="B29" s="68" t="inlineStr">
        <is>
          <t>spring-phab-xcmgw</t>
        </is>
      </c>
      <c r="C29" s="68" t="inlineStr">
        <is>
          <t>Riparian veg cover, woody</t>
        </is>
      </c>
      <c r="D29" s="68" t="inlineStr"/>
      <c r="E29" s="68" t="n">
        <v>5</v>
      </c>
      <c r="F29" s="68"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9" s="68" t="n">
        <v>0</v>
      </c>
      <c r="H29" s="68" t="n">
        <v>0.1641233733722142</v>
      </c>
      <c r="I29" s="68" t="n">
        <v>0.3829545378684998</v>
      </c>
      <c r="J29" s="68" t="n">
        <v>0.9210227429866791</v>
      </c>
      <c r="K29" s="68" t="n">
        <v>1.190056845545769</v>
      </c>
      <c r="L29" s="68" t="n">
        <v>1.190056845545769</v>
      </c>
      <c r="M29" s="68" t="n">
        <v>1.190056845545769</v>
      </c>
      <c r="N29" s="68" t="n">
        <v>1.190056845545769</v>
      </c>
      <c r="O29" s="68" t="n">
        <v>0</v>
      </c>
      <c r="P29" s="68" t="n">
        <v>0.3</v>
      </c>
      <c r="Q29" s="68" t="n">
        <v>0.7</v>
      </c>
      <c r="R29" s="68" t="n">
        <v>1</v>
      </c>
      <c r="S29" s="68" t="n">
        <v>1</v>
      </c>
      <c r="T29" s="68" t="n">
        <v>1</v>
      </c>
      <c r="U29" s="68" t="n">
        <v>1</v>
      </c>
      <c r="V29" s="68" t="n">
        <v>1</v>
      </c>
    </row>
    <row r="30">
      <c r="A30" s="68" t="inlineStr">
        <is>
          <t>spring_chem_ntl|</t>
        </is>
      </c>
      <c r="B30" s="68" t="inlineStr">
        <is>
          <t>spring-chem-ntl</t>
        </is>
      </c>
      <c r="C30" s="68" t="inlineStr">
        <is>
          <t>Total nitrogen</t>
        </is>
      </c>
      <c r="D30" s="68" t="inlineStr"/>
      <c r="E30" s="68" t="n">
        <v>4</v>
      </c>
      <c r="F30" s="68" t="inlineStr">
        <is>
          <t>Scored against a published criterion rather than against stations from this ecoregion. The criterion carries its own definition of reference, which need not match this assessment's.</t>
        </is>
      </c>
      <c r="G30" s="68" t="n">
        <v>0</v>
      </c>
      <c r="H30" s="68" t="n">
        <v>0.2855</v>
      </c>
      <c r="I30" s="68" t="n">
        <v>0.529</v>
      </c>
      <c r="J30" s="68" t="n">
        <v>0.84555</v>
      </c>
      <c r="K30" s="68" t="n">
        <v>0.84555</v>
      </c>
      <c r="L30" s="68" t="n">
        <v>0.84555</v>
      </c>
      <c r="M30" s="68" t="n">
        <v>0.84555</v>
      </c>
      <c r="N30" s="68" t="n">
        <v>0.84555</v>
      </c>
      <c r="O30" s="68" t="n">
        <v>1</v>
      </c>
      <c r="P30" s="68" t="n">
        <v>0.6899999999999999</v>
      </c>
      <c r="Q30" s="68" t="n">
        <v>0.39</v>
      </c>
      <c r="R30" s="68" t="n">
        <v>0</v>
      </c>
      <c r="S30" s="68" t="n">
        <v>0</v>
      </c>
      <c r="T30" s="68" t="n">
        <v>0</v>
      </c>
      <c r="U30" s="68" t="n">
        <v>0</v>
      </c>
      <c r="V30" s="68" t="n">
        <v>0</v>
      </c>
    </row>
    <row r="31">
      <c r="A31" s="68" t="inlineStr">
        <is>
          <t>spring_chem_ptl|</t>
        </is>
      </c>
      <c r="B31" s="68" t="inlineStr">
        <is>
          <t>spring-chem-ptl</t>
        </is>
      </c>
      <c r="C31" s="68" t="inlineStr">
        <is>
          <t>Total phosphorus</t>
        </is>
      </c>
      <c r="D31" s="68" t="inlineStr"/>
      <c r="E31" s="68" t="n">
        <v>4</v>
      </c>
      <c r="F31" s="68" t="inlineStr">
        <is>
          <t>Scored against a published criterion rather than against stations from this ecoregion. The criterion carries its own definition of reference, which need not match this assessment's.</t>
        </is>
      </c>
      <c r="G31" s="68" t="n">
        <v>0</v>
      </c>
      <c r="H31" s="68" t="n">
        <v>52.05</v>
      </c>
      <c r="I31" s="68" t="n">
        <v>95.90000000000001</v>
      </c>
      <c r="J31" s="68" t="n">
        <v>152.905</v>
      </c>
      <c r="K31" s="68" t="n">
        <v>152.905</v>
      </c>
      <c r="L31" s="68" t="n">
        <v>152.905</v>
      </c>
      <c r="M31" s="68" t="n">
        <v>152.905</v>
      </c>
      <c r="N31" s="68" t="n">
        <v>152.905</v>
      </c>
      <c r="O31" s="68" t="n">
        <v>1</v>
      </c>
      <c r="P31" s="68" t="n">
        <v>0.6899999999999999</v>
      </c>
      <c r="Q31" s="68" t="n">
        <v>0.39</v>
      </c>
      <c r="R31" s="68" t="n">
        <v>0</v>
      </c>
      <c r="S31" s="68" t="n">
        <v>0</v>
      </c>
      <c r="T31" s="68" t="n">
        <v>0</v>
      </c>
      <c r="U31" s="68" t="n">
        <v>0</v>
      </c>
      <c r="V31" s="68" t="n">
        <v>0</v>
      </c>
    </row>
    <row r="32">
      <c r="A32" s="68" t="inlineStr">
        <is>
          <t>spring_chem_ph|</t>
        </is>
      </c>
      <c r="B32" s="68" t="inlineStr">
        <is>
          <t>spring-chem-ph</t>
        </is>
      </c>
      <c r="C32" s="68" t="inlineStr">
        <is>
          <t>pH</t>
        </is>
      </c>
      <c r="D32" s="68" t="inlineStr"/>
      <c r="E32" s="68" t="n">
        <v>8</v>
      </c>
      <c r="F32" s="68" t="inlineStr">
        <is>
          <t>24 least-disturbed stations borrowed from Level II ecoregion 10.1 (Cold Deserts) under the regional screen (agriculture at most 25 percent), transfer risk low</t>
        </is>
      </c>
      <c r="G32" s="68" t="n">
        <v>7.499999761581421</v>
      </c>
      <c r="H32" s="68" t="n">
        <v>7.809999942779541</v>
      </c>
      <c r="I32" s="68" t="n">
        <v>8.011500060558319</v>
      </c>
      <c r="J32" s="68" t="n">
        <v>8.120000123977661</v>
      </c>
      <c r="K32" s="68" t="n">
        <v>8.430000305175781</v>
      </c>
      <c r="L32" s="68" t="n">
        <v>8.538500368595123</v>
      </c>
      <c r="M32" s="68" t="n">
        <v>8.740000486373901</v>
      </c>
      <c r="N32" s="68" t="n">
        <v>9.050000667572021</v>
      </c>
      <c r="O32" s="68" t="n">
        <v>0</v>
      </c>
      <c r="P32" s="68" t="n">
        <v>0.3</v>
      </c>
      <c r="Q32" s="68" t="n">
        <v>0.7</v>
      </c>
      <c r="R32" s="68" t="n">
        <v>1</v>
      </c>
      <c r="S32" s="68" t="n">
        <v>1</v>
      </c>
      <c r="T32" s="68" t="n">
        <v>0.7</v>
      </c>
      <c r="U32" s="68" t="n">
        <v>0.3</v>
      </c>
      <c r="V32" s="68" t="n">
        <v>0</v>
      </c>
    </row>
    <row r="33">
      <c r="A33" s="68" t="inlineStr">
        <is>
          <t>spring_chem_turb|</t>
        </is>
      </c>
      <c r="B33" s="68" t="inlineStr">
        <is>
          <t>spring-chem-turb</t>
        </is>
      </c>
      <c r="C33" s="68" t="inlineStr">
        <is>
          <t>Turbidity</t>
        </is>
      </c>
      <c r="D33" s="68" t="inlineStr"/>
      <c r="E33" s="68" t="n">
        <v>5</v>
      </c>
      <c r="F33" s="68" t="inlineStr">
        <is>
          <t>Reference curve from a modeled expectation. The response to landscape pressure is estimated nationally and this ecoregion's own level is added, because the ecoregion holds too few streams clean enough to observe reference condition directly.</t>
        </is>
      </c>
      <c r="G33" s="68" t="n">
        <v>0</v>
      </c>
      <c r="H33" s="68" t="n">
        <v>5.236148319453902</v>
      </c>
      <c r="I33" s="68" t="n">
        <v>18.28415849353338</v>
      </c>
      <c r="J33" s="68" t="n">
        <v>37.85617375465259</v>
      </c>
      <c r="K33" s="68" t="n">
        <v>50.90418392873206</v>
      </c>
      <c r="L33" s="68" t="n">
        <v>50.90418392873206</v>
      </c>
      <c r="M33" s="68" t="n">
        <v>50.90418392873206</v>
      </c>
      <c r="N33" s="68" t="n">
        <v>50.90418392873206</v>
      </c>
      <c r="O33" s="68" t="n">
        <v>1</v>
      </c>
      <c r="P33" s="68" t="n">
        <v>1</v>
      </c>
      <c r="Q33" s="68" t="n">
        <v>0.7</v>
      </c>
      <c r="R33" s="68" t="n">
        <v>0.3</v>
      </c>
      <c r="S33" s="68" t="n">
        <v>0</v>
      </c>
      <c r="T33" s="68" t="n">
        <v>0</v>
      </c>
      <c r="U33" s="68" t="n">
        <v>0</v>
      </c>
      <c r="V33" s="68" t="n">
        <v>0</v>
      </c>
    </row>
    <row r="34">
      <c r="A34" s="68" t="inlineStr">
        <is>
          <t>spring_phab_pct_fast|</t>
        </is>
      </c>
      <c r="B34" s="68" t="inlineStr">
        <is>
          <t>spring-phab-pct-fast</t>
        </is>
      </c>
      <c r="C34" s="68" t="inlineStr">
        <is>
          <t>Fast-water / riffle habitat</t>
        </is>
      </c>
      <c r="D34" s="68" t="inlineStr"/>
      <c r="E34" s="68" t="n">
        <v>5</v>
      </c>
      <c r="F34" s="68" t="inlineStr">
        <is>
          <t>38 least-disturbed stations borrowed from Level II ecoregion 10.1 (Cold Deserts) under the regional screen (agriculture at most 25 percent), transfer risk low</t>
        </is>
      </c>
      <c r="G34" s="68" t="n">
        <v>0</v>
      </c>
      <c r="H34" s="68" t="n">
        <v>1.392857142857143</v>
      </c>
      <c r="I34" s="68" t="n">
        <v>3.25</v>
      </c>
      <c r="J34" s="68" t="n">
        <v>47.25</v>
      </c>
      <c r="K34" s="68" t="n">
        <v>69.25</v>
      </c>
      <c r="L34" s="68" t="n">
        <v>69.25</v>
      </c>
      <c r="M34" s="68" t="n">
        <v>69.25</v>
      </c>
      <c r="N34" s="68" t="n">
        <v>69.25</v>
      </c>
      <c r="O34" s="68" t="n">
        <v>0</v>
      </c>
      <c r="P34" s="68" t="n">
        <v>0.3</v>
      </c>
      <c r="Q34" s="68" t="n">
        <v>0.7</v>
      </c>
      <c r="R34" s="68" t="n">
        <v>1</v>
      </c>
      <c r="S34" s="68" t="n">
        <v>1</v>
      </c>
      <c r="T34" s="68" t="n">
        <v>1</v>
      </c>
      <c r="U34" s="68" t="n">
        <v>1</v>
      </c>
      <c r="V34" s="68" t="n">
        <v>1</v>
      </c>
    </row>
    <row r="35">
      <c r="A35" s="68" t="inlineStr">
        <is>
          <t>spring_phab_xfc_nat|All streams (pooled)</t>
        </is>
      </c>
      <c r="B35" s="68" t="inlineStr">
        <is>
          <t>spring-phab-xfc-nat</t>
        </is>
      </c>
      <c r="C35" s="68" t="inlineStr">
        <is>
          <t>Natural fish cover</t>
        </is>
      </c>
      <c r="D35" s="68" t="inlineStr">
        <is>
          <t>All streams (pooled)</t>
        </is>
      </c>
      <c r="E35" s="68" t="n">
        <v>5</v>
      </c>
      <c r="F35" s="68"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8" t="n">
        <v>0</v>
      </c>
      <c r="H35" s="68" t="n">
        <v>0.08741883082049233</v>
      </c>
      <c r="I35" s="68" t="n">
        <v>0.2039772719144821</v>
      </c>
      <c r="J35" s="68" t="n">
        <v>0.6897727251052856</v>
      </c>
      <c r="K35" s="68" t="n">
        <v>0.9326704517006874</v>
      </c>
      <c r="L35" s="68" t="n">
        <v>0.9326704517006874</v>
      </c>
      <c r="M35" s="68" t="n">
        <v>0.9326704517006874</v>
      </c>
      <c r="N35" s="68" t="n">
        <v>0.9326704517006874</v>
      </c>
      <c r="O35" s="68" t="n">
        <v>0</v>
      </c>
      <c r="P35" s="68" t="n">
        <v>0.3</v>
      </c>
      <c r="Q35" s="68" t="n">
        <v>0.7</v>
      </c>
      <c r="R35" s="68" t="n">
        <v>1</v>
      </c>
      <c r="S35" s="68" t="n">
        <v>1</v>
      </c>
      <c r="T35" s="68" t="n">
        <v>1</v>
      </c>
      <c r="U35" s="68" t="n">
        <v>1</v>
      </c>
      <c r="V35" s="68" t="n">
        <v>1</v>
      </c>
    </row>
    <row r="36">
      <c r="A36" s="68" t="inlineStr">
        <is>
          <t>spring_phab_xfc_nat|Small stream (10 to 100 km2)</t>
        </is>
      </c>
      <c r="B36" s="68" t="inlineStr">
        <is>
          <t>spring-phab-xfc-nat</t>
        </is>
      </c>
      <c r="C36" s="68" t="inlineStr">
        <is>
          <t>Natural fish cover</t>
        </is>
      </c>
      <c r="D36" s="68" t="inlineStr">
        <is>
          <t>Small stream (10 to 100 km2)</t>
        </is>
      </c>
      <c r="E36" s="68" t="n">
        <v>5</v>
      </c>
      <c r="F36" s="68"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8" t="n">
        <v>0</v>
      </c>
      <c r="H36" s="68" t="n">
        <v>0.1162987053394318</v>
      </c>
      <c r="I36" s="68" t="n">
        <v>0.2713636457920074</v>
      </c>
      <c r="J36" s="68" t="n">
        <v>0.8210227191448212</v>
      </c>
      <c r="K36" s="68" t="n">
        <v>1.095852255821228</v>
      </c>
      <c r="L36" s="68" t="n">
        <v>1.095852255821228</v>
      </c>
      <c r="M36" s="68" t="n">
        <v>1.095852255821228</v>
      </c>
      <c r="N36" s="68" t="n">
        <v>1.095852255821228</v>
      </c>
      <c r="O36" s="68" t="n">
        <v>0</v>
      </c>
      <c r="P36" s="68" t="n">
        <v>0.3</v>
      </c>
      <c r="Q36" s="68" t="n">
        <v>0.7</v>
      </c>
      <c r="R36" s="68" t="n">
        <v>1</v>
      </c>
      <c r="S36" s="68" t="n">
        <v>1</v>
      </c>
      <c r="T36" s="68" t="n">
        <v>1</v>
      </c>
      <c r="U36" s="68" t="n">
        <v>1</v>
      </c>
      <c r="V36" s="68" t="n">
        <v>1</v>
      </c>
    </row>
    <row r="37">
      <c r="A37" s="68" t="inlineStr">
        <is>
          <t>spring_phab_xfc_nat|Large stream (over 100 km2)</t>
        </is>
      </c>
      <c r="B37" s="68" t="inlineStr">
        <is>
          <t>spring-phab-xfc-nat</t>
        </is>
      </c>
      <c r="C37" s="68" t="inlineStr">
        <is>
          <t>Natural fish cover</t>
        </is>
      </c>
      <c r="D37" s="68" t="inlineStr">
        <is>
          <t>Large stream (over 100 km2)</t>
        </is>
      </c>
      <c r="E37" s="68" t="n">
        <v>5</v>
      </c>
      <c r="F37" s="68"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8" t="n">
        <v>0</v>
      </c>
      <c r="H37" s="68" t="n">
        <v>0.0662337669304439</v>
      </c>
      <c r="I37" s="68" t="n">
        <v>0.1545454561710358</v>
      </c>
      <c r="J37" s="68" t="n">
        <v>0.449999988079071</v>
      </c>
      <c r="K37" s="68" t="n">
        <v>0.5977272540330887</v>
      </c>
      <c r="L37" s="68" t="n">
        <v>0.5977272540330887</v>
      </c>
      <c r="M37" s="68" t="n">
        <v>0.5977272540330887</v>
      </c>
      <c r="N37" s="68" t="n">
        <v>0.5977272540330887</v>
      </c>
      <c r="O37" s="68" t="n">
        <v>0</v>
      </c>
      <c r="P37" s="68" t="n">
        <v>0.3</v>
      </c>
      <c r="Q37" s="68" t="n">
        <v>0.7</v>
      </c>
      <c r="R37" s="68" t="n">
        <v>1</v>
      </c>
      <c r="S37" s="68" t="n">
        <v>1</v>
      </c>
      <c r="T37" s="68" t="n">
        <v>1</v>
      </c>
      <c r="U37" s="68" t="n">
        <v>1</v>
      </c>
      <c r="V37" s="68" t="n">
        <v>1</v>
      </c>
    </row>
    <row r="38">
      <c r="A38" s="68" t="inlineStr">
        <is>
          <t>spring_bent_totlntax|</t>
        </is>
      </c>
      <c r="B38" s="68" t="inlineStr">
        <is>
          <t>spring-bent-totlntax</t>
        </is>
      </c>
      <c r="C38" s="68" t="inlineStr">
        <is>
          <t>Benthic total taxa richness</t>
        </is>
      </c>
      <c r="D38" s="68" t="inlineStr"/>
      <c r="E38" s="68" t="n">
        <v>5</v>
      </c>
      <c r="F38" s="68" t="inlineStr">
        <is>
          <t>39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38" s="68" t="n">
        <v>0</v>
      </c>
      <c r="H38" s="68" t="n">
        <v>10.07142857142857</v>
      </c>
      <c r="I38" s="68" t="n">
        <v>23.5</v>
      </c>
      <c r="J38" s="68" t="n">
        <v>34</v>
      </c>
      <c r="K38" s="68" t="n">
        <v>39.25</v>
      </c>
      <c r="L38" s="68" t="n">
        <v>39.25</v>
      </c>
      <c r="M38" s="68" t="n">
        <v>39.25</v>
      </c>
      <c r="N38" s="68" t="n">
        <v>39.25</v>
      </c>
      <c r="O38" s="68" t="n">
        <v>0</v>
      </c>
      <c r="P38" s="68" t="n">
        <v>0.3</v>
      </c>
      <c r="Q38" s="68" t="n">
        <v>0.7</v>
      </c>
      <c r="R38" s="68" t="n">
        <v>1</v>
      </c>
      <c r="S38" s="68" t="n">
        <v>1</v>
      </c>
      <c r="T38" s="68" t="n">
        <v>1</v>
      </c>
      <c r="U38" s="68" t="n">
        <v>1</v>
      </c>
      <c r="V38" s="68" t="n">
        <v>1</v>
      </c>
    </row>
    <row r="39">
      <c r="A39" s="68" t="inlineStr">
        <is>
          <t>spring_fish_mmi_fish|</t>
        </is>
      </c>
      <c r="B39" s="68" t="inlineStr">
        <is>
          <t>spring-fish-mmi-fish</t>
        </is>
      </c>
      <c r="C39" s="68" t="inlineStr">
        <is>
          <t>Fish MMI</t>
        </is>
      </c>
      <c r="D39" s="68" t="inlineStr"/>
      <c r="E39" s="68" t="n">
        <v>4</v>
      </c>
      <c r="F39" s="68" t="inlineStr">
        <is>
          <t>Scored against a published criterion rather than against stations from this ecoregion. The criterion carries its own definition of reference, which need not match this assessment's.</t>
        </is>
      </c>
      <c r="G39" s="68" t="n">
        <v>52.645</v>
      </c>
      <c r="H39" s="68" t="n">
        <v>66.295</v>
      </c>
      <c r="I39" s="68" t="n">
        <v>76.795</v>
      </c>
      <c r="J39" s="68" t="n">
        <v>87.645</v>
      </c>
      <c r="K39" s="68" t="n">
        <v>87.645</v>
      </c>
      <c r="L39" s="68" t="n">
        <v>87.645</v>
      </c>
      <c r="M39" s="68" t="n">
        <v>87.645</v>
      </c>
      <c r="N39" s="68" t="n">
        <v>87.645</v>
      </c>
      <c r="O39" s="68" t="n">
        <v>0</v>
      </c>
      <c r="P39" s="68" t="n">
        <v>0.39</v>
      </c>
      <c r="Q39" s="68" t="n">
        <v>0.6899999999999999</v>
      </c>
      <c r="R39" s="68" t="n">
        <v>1</v>
      </c>
      <c r="S39" s="68" t="n">
        <v>1</v>
      </c>
      <c r="T39" s="68" t="n">
        <v>1</v>
      </c>
      <c r="U39" s="68" t="n">
        <v>1</v>
      </c>
      <c r="V39" s="68" t="n">
        <v>1</v>
      </c>
    </row>
    <row r="40">
      <c r="A40" s="68" t="inlineStr">
        <is>
          <t>spring_bent_ept_ntax|</t>
        </is>
      </c>
      <c r="B40" s="68" t="inlineStr">
        <is>
          <t>spring-bent-ept-ntax</t>
        </is>
      </c>
      <c r="C40" s="68" t="inlineStr">
        <is>
          <t>EPT taxa richness</t>
        </is>
      </c>
      <c r="D40" s="68" t="inlineStr"/>
      <c r="E40" s="68" t="n">
        <v>5</v>
      </c>
      <c r="F40" s="68" t="inlineStr">
        <is>
          <t>39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0" s="68" t="n">
        <v>0</v>
      </c>
      <c r="H40" s="68" t="n">
        <v>1.5</v>
      </c>
      <c r="I40" s="68" t="n">
        <v>3.5</v>
      </c>
      <c r="J40" s="68" t="n">
        <v>11.5</v>
      </c>
      <c r="K40" s="68" t="n">
        <v>15.5</v>
      </c>
      <c r="L40" s="68" t="n">
        <v>15.5</v>
      </c>
      <c r="M40" s="68" t="n">
        <v>15.5</v>
      </c>
      <c r="N40" s="68" t="n">
        <v>15.5</v>
      </c>
      <c r="O40" s="68" t="n">
        <v>0</v>
      </c>
      <c r="P40" s="68" t="n">
        <v>0.3</v>
      </c>
      <c r="Q40" s="68" t="n">
        <v>0.7</v>
      </c>
      <c r="R40" s="68" t="n">
        <v>1</v>
      </c>
      <c r="S40" s="68" t="n">
        <v>1</v>
      </c>
      <c r="T40" s="68" t="n">
        <v>1</v>
      </c>
      <c r="U40" s="68" t="n">
        <v>1</v>
      </c>
      <c r="V40" s="68" t="n">
        <v>1</v>
      </c>
    </row>
    <row r="41">
      <c r="A41" s="68" t="inlineStr">
        <is>
          <t>spring_bent_hprime|</t>
        </is>
      </c>
      <c r="B41" s="68" t="inlineStr">
        <is>
          <t>spring-bent-hprime</t>
        </is>
      </c>
      <c r="C41" s="68" t="inlineStr">
        <is>
          <t>Shannon diversity (H')</t>
        </is>
      </c>
      <c r="D41" s="68" t="inlineStr"/>
      <c r="E41" s="68" t="n">
        <v>5</v>
      </c>
      <c r="F41" s="68" t="inlineStr">
        <is>
          <t>Reference curve from a modeled expectation. The response to landscape pressure is estimated nationally and this ecoregion's own level is added, because the ecoregion holds too few streams clean enough to observe reference condition directly.</t>
        </is>
      </c>
      <c r="G41" s="68" t="n">
        <v>0</v>
      </c>
      <c r="H41" s="68" t="n">
        <v>0.7863417235450676</v>
      </c>
      <c r="I41" s="68" t="n">
        <v>1.834797354938491</v>
      </c>
      <c r="J41" s="68" t="n">
        <v>2.482732605818609</v>
      </c>
      <c r="K41" s="68" t="n">
        <v>2.806700231258668</v>
      </c>
      <c r="L41" s="68" t="n">
        <v>2.806700231258668</v>
      </c>
      <c r="M41" s="68" t="n">
        <v>2.806700231258668</v>
      </c>
      <c r="N41" s="68" t="n">
        <v>2.806700231258668</v>
      </c>
      <c r="O41" s="68" t="n">
        <v>0</v>
      </c>
      <c r="P41" s="68" t="n">
        <v>0.3</v>
      </c>
      <c r="Q41" s="68" t="n">
        <v>0.7</v>
      </c>
      <c r="R41" s="68" t="n">
        <v>1</v>
      </c>
      <c r="S41" s="68" t="n">
        <v>1</v>
      </c>
      <c r="T41" s="68" t="n">
        <v>1</v>
      </c>
      <c r="U41" s="68" t="n">
        <v>1</v>
      </c>
      <c r="V41" s="68" t="n">
        <v>1</v>
      </c>
    </row>
    <row r="42">
      <c r="A42" s="68" t="inlineStr">
        <is>
          <t>spring_nid_dams_1mi|</t>
        </is>
      </c>
      <c r="B42" s="68" t="inlineStr">
        <is>
          <t>spring-nid-dams-1mi</t>
        </is>
      </c>
      <c r="C42" s="68" t="inlineStr">
        <is>
          <t>Mapped dams within one mile</t>
        </is>
      </c>
      <c r="D42" s="68" t="inlineStr"/>
      <c r="E42" s="68" t="n">
        <v>4</v>
      </c>
      <c r="F42" s="68" t="inlineStr">
        <is>
          <t>Fixed criteria, the same in every region</t>
        </is>
      </c>
      <c r="G42" s="68" t="n">
        <v>0</v>
      </c>
      <c r="H42" s="68" t="n">
        <v>1</v>
      </c>
      <c r="I42" s="68" t="n">
        <v>2</v>
      </c>
      <c r="J42" s="68" t="n">
        <v>3</v>
      </c>
      <c r="K42" s="68" t="n">
        <v>3</v>
      </c>
      <c r="L42" s="68" t="n">
        <v>3</v>
      </c>
      <c r="M42" s="68" t="n">
        <v>3</v>
      </c>
      <c r="N42" s="68" t="n">
        <v>3</v>
      </c>
      <c r="O42" s="68" t="n">
        <v>1</v>
      </c>
      <c r="P42" s="68" t="n">
        <v>0.545</v>
      </c>
      <c r="Q42" s="68" t="n">
        <v>0.195</v>
      </c>
      <c r="R42" s="68" t="n">
        <v>0</v>
      </c>
      <c r="S42" s="68" t="n">
        <v>0</v>
      </c>
      <c r="T42" s="68" t="n">
        <v>0</v>
      </c>
      <c r="U42" s="68" t="n">
        <v>0</v>
      </c>
      <c r="V42" s="68" t="n">
        <v>0</v>
      </c>
    </row>
    <row r="45">
      <c r="A45" s="57" t="inlineStr">
        <is>
          <t>Curve sets by metric</t>
        </is>
      </c>
    </row>
    <row r="46">
      <c r="A46" s="68" t="inlineStr">
        <is>
          <t>All streams (pooled)</t>
        </is>
      </c>
      <c r="B46" s="4" t="inlineStr">
        <is>
          <t>Bankfull width:depth ratio</t>
        </is>
      </c>
    </row>
    <row r="47">
      <c r="A47" s="68" t="inlineStr">
        <is>
          <t>Small stream (10 to 100 km2)</t>
        </is>
      </c>
      <c r="B47" s="4" t="inlineStr">
        <is>
          <t>Bankfull width:depth ratio</t>
        </is>
      </c>
    </row>
    <row r="48">
      <c r="A48" s="68" t="inlineStr">
        <is>
          <t>Large stream (over 100 km2)</t>
        </is>
      </c>
      <c r="B48" s="4" t="inlineStr">
        <is>
          <t>Bankfull width:depth ratio</t>
        </is>
      </c>
    </row>
    <row r="49">
      <c r="A49" s="68" t="inlineStr">
        <is>
          <t>All streams (pooled)</t>
        </is>
      </c>
      <c r="B49" s="4" t="inlineStr">
        <is>
          <t>Bankfull height above channel</t>
        </is>
      </c>
    </row>
    <row r="50">
      <c r="A50" s="68" t="inlineStr">
        <is>
          <t>Small stream (10 to 100 km2)</t>
        </is>
      </c>
      <c r="B50" s="4" t="inlineStr">
        <is>
          <t>Bankfull height above channel</t>
        </is>
      </c>
    </row>
    <row r="51">
      <c r="A51" s="68" t="inlineStr">
        <is>
          <t>Large stream (over 100 km2)</t>
        </is>
      </c>
      <c r="B51" s="4" t="inlineStr">
        <is>
          <t>Bankfull height above channel</t>
        </is>
      </c>
    </row>
    <row r="52">
      <c r="A52" s="68" t="inlineStr">
        <is>
          <t>All streams (pooled)</t>
        </is>
      </c>
      <c r="B52" s="4" t="inlineStr">
        <is>
          <t>Relative bed stability</t>
        </is>
      </c>
    </row>
    <row r="53">
      <c r="A53" s="68" t="inlineStr">
        <is>
          <t>Small stream (10 to 100 km2)</t>
        </is>
      </c>
      <c r="B53" s="4" t="inlineStr">
        <is>
          <t>Relative bed stability</t>
        </is>
      </c>
    </row>
    <row r="54">
      <c r="A54" s="68" t="inlineStr">
        <is>
          <t>Large stream (over 100 km2)</t>
        </is>
      </c>
      <c r="B54" s="4" t="inlineStr">
        <is>
          <t>Relative bed stability</t>
        </is>
      </c>
    </row>
    <row r="55">
      <c r="A55" s="68" t="inlineStr">
        <is>
          <t>All streams (pooled)</t>
        </is>
      </c>
      <c r="B55" s="4" t="inlineStr">
        <is>
          <t>Canopy density, mid-channel</t>
        </is>
      </c>
    </row>
    <row r="56">
      <c r="A56" s="68" t="inlineStr">
        <is>
          <t>Small stream (10 to 100 km2)</t>
        </is>
      </c>
      <c r="B56" s="4" t="inlineStr">
        <is>
          <t>Canopy density, mid-channel</t>
        </is>
      </c>
    </row>
    <row r="57">
      <c r="A57" s="68" t="inlineStr">
        <is>
          <t>Large stream (over 100 km2)</t>
        </is>
      </c>
      <c r="B57" s="4" t="inlineStr">
        <is>
          <t>Canopy density, mid-channel</t>
        </is>
      </c>
    </row>
    <row r="58">
      <c r="A58" s="68" t="inlineStr">
        <is>
          <t>All streams (pooled)</t>
        </is>
      </c>
      <c r="B58" s="4" t="inlineStr">
        <is>
          <t>Natural fish cover</t>
        </is>
      </c>
    </row>
    <row r="59">
      <c r="A59" s="68" t="inlineStr">
        <is>
          <t>Small stream (10 to 100 km2)</t>
        </is>
      </c>
      <c r="B59" s="4" t="inlineStr">
        <is>
          <t>Natural fish cover</t>
        </is>
      </c>
    </row>
    <row r="60">
      <c r="A60" s="68" t="inlineStr">
        <is>
          <t>Large stream (over 100 km2)</t>
        </is>
      </c>
      <c r="B60" s="4" t="inlineStr">
        <is>
          <t>Natural fish cover</t>
        </is>
      </c>
    </row>
    <row r="63">
      <c r="A63" s="57" t="inlineStr">
        <is>
          <t>Condition classes</t>
        </is>
      </c>
    </row>
    <row r="64">
      <c r="A64" t="inlineStr">
        <is>
          <t>Metric index: at or below 0.39 Non-Functioning, at or below 0.69 Functioning At-Risk, above Functioning.</t>
        </is>
      </c>
    </row>
    <row r="65">
      <c r="A65" t="inlineStr">
        <is>
          <t>Function score (0 to 15): at or below 5 Non-Functioning, at or below 10 Functioning At-Risk, above Functioning.</t>
        </is>
      </c>
    </row>
    <row r="66">
      <c r="A6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colorado-plateaus</t>
        </is>
      </c>
    </row>
    <row r="5">
      <c r="A5" s="68" t="inlineStr">
        <is>
          <t>Assessment name</t>
        </is>
      </c>
      <c r="B5" s="68" t="inlineStr">
        <is>
          <t>Colorado Plateaus reference assessment</t>
        </is>
      </c>
    </row>
    <row r="6">
      <c r="A6" s="68" t="inlineStr">
        <is>
          <t>Version</t>
        </is>
      </c>
      <c r="B6" s="68" t="n">
        <v>1</v>
      </c>
    </row>
    <row r="7">
      <c r="A7" s="68" t="inlineStr">
        <is>
          <t>Lifecycle status</t>
        </is>
      </c>
      <c r="B7" s="68" t="inlineStr"/>
    </row>
    <row r="8">
      <c r="A8" s="68" t="inlineStr">
        <is>
          <t>Content digest</t>
        </is>
      </c>
      <c r="B8" s="68" t="inlineStr">
        <is>
          <t>sha256:07eb4455d1599dccc180a7c20fb08aa3b4a5cd03a65c24883eeb71ce3134aef1</t>
        </is>
      </c>
    </row>
    <row r="9">
      <c r="A9" s="68" t="inlineStr">
        <is>
          <t>Region</t>
        </is>
      </c>
      <c r="B9" s="68" t="inlineStr">
        <is>
          <t>ecoregion 20 Colorado Plateaus</t>
        </is>
      </c>
    </row>
    <row r="10">
      <c r="A10" s="68" t="inlineStr">
        <is>
          <t>Source</t>
        </is>
      </c>
      <c r="B10" s="68" t="inlineStr">
        <is>
          <t>USEPA NRSA 2013-24 (L3 ecoregion 20),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2026-09-30T07:07:21Z</dcterms:created>
  <dcterms:modified xmlns:dcterms="http://purl.org/dc/terms/" xmlns:xsi="http://www.w3.org/2001/XMLSchema-instance" xsi:type="dcterms:W3CDTF">2026-09-30T07:07:21Z</dcterms:modified>
  <cp:lastModifiedBy>DEEP</cp:lastModifiedBy>
</cp:coreProperties>
</file>