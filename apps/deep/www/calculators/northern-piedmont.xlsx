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'Reference'!$A$5:$A$46</definedName>
    <definedName name="curve_x1">'Reference'!$G$5:$G$46</definedName>
    <definedName name="curve_y1">'Reference'!$O$5:$O$46</definedName>
    <definedName name="curve_x2">'Reference'!$H$5:$H$46</definedName>
    <definedName name="curve_y2">'Reference'!$P$5:$P$46</definedName>
    <definedName name="curve_x3">'Reference'!$I$5:$I$46</definedName>
    <definedName name="curve_y3">'Reference'!$Q$5:$Q$46</definedName>
    <definedName name="curve_x4">'Reference'!$J$5:$J$46</definedName>
    <definedName name="curve_y4">'Reference'!$R$5:$R$46</definedName>
    <definedName name="curve_x5">'Reference'!$K$5:$K$46</definedName>
    <definedName name="curve_y5">'Reference'!$S$5:$S$46</definedName>
    <definedName name="curve_x6">'Reference'!$L$5:$L$46</definedName>
    <definedName name="curve_y6">'Reference'!$T$5:$T$46</definedName>
    <definedName name="curve_x7">'Reference'!$M$5:$M$46</definedName>
    <definedName name="curve_y7">'Reference'!$U$5:$U$46</definedName>
    <definedName name="curve_x8">'Reference'!$N$5:$N$46</definedName>
    <definedName name="curve_y8">'Reference'!$V$5:$V$46</definedName>
    <definedName name="strata_spring_phab_bfwd_rat">'Reference'!$A$50:$A$53</definedName>
    <definedName name="strata_spring_phab_xbkf_h">'Reference'!$A$54:$A$57</definedName>
    <definedName name="strata_spring_phab_lrbs_use">'Reference'!$A$58:$A$61</definedName>
    <definedName name="strata_spring_phab_xcdenmid">'Reference'!$A$62:$A$64</definedName>
    <definedName name="strata_spring_phab_xfc_nat">'Reference'!$A$65:$A$67</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cond">'Metrics'!$V$26</definedName>
    <definedName name="idx_spring_phab_xfc_nat">'Metrics'!$V$27</definedName>
    <definedName name="idx_spring_phab_pct_fast">'Metrics'!$V$28</definedName>
    <definedName name="idx_spring_bent_totlntax">'Metrics'!$V$29</definedName>
    <definedName name="idx_spring_fish_nat_totlntax">'Metrics'!$V$30</definedName>
    <definedName name="idx_spring_bent_ept_ntax">'Metrics'!$V$31</definedName>
    <definedName name="idx_spring_bent_mmi_bent">'Metrics'!$V$32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xfc_nat">'DEEP Score'!$E$40</definedName>
    <definedName name="st_spring_phab_xfc_nat">'DEEP Score'!$F$40</definedName>
    <definedName name="in_spring_phab_pct_fast">'DEEP Score'!$E$41</definedName>
    <definedName name="in_spring_bent_totlntax">'DEEP Score'!$E$42</definedName>
    <definedName name="in_spring_fish_nat_totlntax">'DEEP Score'!$E$43</definedName>
    <definedName name="in_spring_bent_ept_ntax">'DEEP Score'!$E$44</definedName>
    <definedName name="in_spring_bent_mmi_bent">'DEEP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Northern Piedmont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23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18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Northern Piedmont reference assessment</t>
        </is>
      </c>
    </row>
    <row r="3">
      <c r="A3" s="5" t="inlineStr">
        <is>
          <t>Version 1 | Draft | USEPA NRSA 2013-24 (L3 ecoregion 64),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Substrate size</t>
        </is>
      </c>
      <c r="D31" s="14" t="inlineStr">
        <is>
          <t>log mm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IF('Metrics'!$V$21="","",'Metrics'!$V$21)</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IF('Metrics'!$V$26="","",'Metrics'!$V$26)</f>
        <v/>
      </c>
      <c r="H39" s="21" t="n"/>
      <c r="I39" s="27" t="n"/>
    </row>
    <row r="40">
      <c r="A40" s="50" t="inlineStr">
        <is>
          <t>Biology</t>
        </is>
      </c>
      <c r="B40" s="12" t="inlineStr">
        <is>
          <t>Habitat provision</t>
        </is>
      </c>
      <c r="C40" s="13" t="inlineStr">
        <is>
          <t>Natural fish cover</t>
        </is>
      </c>
      <c r="D40" s="14" t="inlineStr">
        <is>
          <t>frac</t>
        </is>
      </c>
      <c r="E40" s="15" t="n"/>
      <c r="F40" s="47" t="inlineStr">
        <is>
          <t>All streams (pooled)</t>
        </is>
      </c>
      <c r="G40" s="17">
        <f>IF('Metrics'!$V$27="","",'Metrics'!$V$27)</f>
        <v/>
      </c>
      <c r="H40" s="18">
        <f>IF('Results'!$B$20="","",'Results'!$B$20)</f>
        <v/>
      </c>
      <c r="I40" s="19">
        <f>IF('DEEP Score'!$H$40="","",IF('DEEP Score'!$H$40&lt;=5,"Non-Functioning",IF('DEEP Score'!$H$40&lt;=10,"Functioning At-Risk","Functioning")))</f>
        <v/>
      </c>
    </row>
    <row r="41">
      <c r="A41" s="20" t="n"/>
      <c r="B41" s="21" t="n"/>
      <c r="C41" s="22" t="inlineStr">
        <is>
          <t>Fast-water / riffle habitat</t>
        </is>
      </c>
      <c r="D41" s="23" t="inlineStr">
        <is>
          <t>%</t>
        </is>
      </c>
      <c r="E41" s="24" t="n"/>
      <c r="F41" s="25" t="inlineStr"/>
      <c r="G41" s="26">
        <f>IF('Metrics'!$V$28="","",'Metrics'!$V$28)</f>
        <v/>
      </c>
      <c r="H41" s="21" t="n"/>
      <c r="I41" s="27" t="n"/>
    </row>
    <row r="42">
      <c r="A42" s="50" t="inlineStr">
        <is>
          <t>Biology</t>
        </is>
      </c>
      <c r="B42" s="12" t="inlineStr">
        <is>
          <t>Population support</t>
        </is>
      </c>
      <c r="C42" s="13" t="inlineStr">
        <is>
          <t>Benthic total taxa richness</t>
        </is>
      </c>
      <c r="D42" s="14" t="inlineStr"/>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Native fish taxa richness</t>
        </is>
      </c>
      <c r="D43" s="23" t="inlineStr"/>
      <c r="E43" s="24" t="n"/>
      <c r="F43" s="25" t="inlineStr"/>
      <c r="G43" s="26">
        <f>IF('Metrics'!$V$30="","",'Metrics'!$V$30)</f>
        <v/>
      </c>
      <c r="H43" s="21" t="n"/>
      <c r="I43" s="27" t="n"/>
    </row>
    <row r="44">
      <c r="A44" s="50"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Benthic macroinvertebrate MMI</t>
        </is>
      </c>
      <c r="D45" s="23" t="inlineStr">
        <is>
          <t>MMI points</t>
        </is>
      </c>
      <c r="E45" s="24" t="n"/>
      <c r="F45" s="25" t="inlineStr"/>
      <c r="G45" s="26">
        <f>IF('Metrics'!$V$32="","",'Metrics'!$V$32)</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8" t="n"/>
      <c r="B58" s="59" t="n"/>
      <c r="C58" s="59" t="n"/>
      <c r="D58" s="59" t="n"/>
      <c r="E58" s="59" t="n"/>
      <c r="F58" s="59" t="n"/>
      <c r="G58" s="59" t="n"/>
      <c r="H58" s="59" t="n"/>
      <c r="I58" s="60" t="n"/>
    </row>
    <row r="59">
      <c r="A59" s="61" t="n"/>
      <c r="B59" s="62" t="n"/>
      <c r="C59" s="62" t="n"/>
      <c r="D59" s="62" t="n"/>
      <c r="E59" s="62" t="n"/>
      <c r="F59" s="62" t="n"/>
      <c r="G59" s="62" t="n"/>
      <c r="H59" s="62" t="n"/>
      <c r="I59" s="63" t="n"/>
    </row>
    <row r="60">
      <c r="A60" s="61" t="n"/>
      <c r="B60" s="62" t="n"/>
      <c r="C60" s="62" t="n"/>
      <c r="D60" s="62" t="n"/>
      <c r="E60" s="62" t="n"/>
      <c r="F60" s="62" t="n"/>
      <c r="G60" s="62" t="n"/>
      <c r="H60" s="62" t="n"/>
      <c r="I60" s="63"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4" t="n"/>
      <c r="B63" s="65" t="n"/>
      <c r="C63" s="65" t="n"/>
      <c r="D63" s="65" t="n"/>
      <c r="E63" s="65" t="n"/>
      <c r="F63" s="65" t="n"/>
      <c r="G63" s="65" t="n"/>
      <c r="H63" s="65" t="n"/>
      <c r="I63" s="66"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Score'!$E$19="","",'DEEP Score'!$E$19)</f>
        <v/>
      </c>
      <c r="C11" s="69">
        <f>IF('DEEP Score'!$F$19="","All streams (pooled)",'DEEP Score'!$F$19)</f>
        <v/>
      </c>
      <c r="D11" s="69">
        <f>"spring_phab_bfwd_rat|"&amp;'Metrics'!$C$11</f>
        <v/>
      </c>
      <c r="E11" s="69">
        <f>IFERROR(MATCH('Metrics'!$D$11,curve_key,0),MATCH("spring_phab_bfwd_rat|All streams (pooled)",curve_key,0))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height above channel</t>
        </is>
      </c>
      <c r="B12" s="69">
        <f>IF('DEEP Score'!$E$22="","",'DEEP Score'!$E$22)</f>
        <v/>
      </c>
      <c r="C12" s="69">
        <f>IF('DEEP Score'!$F$22="","All streams (pooled)",'DEEP Score'!$F$22)</f>
        <v/>
      </c>
      <c r="D12" s="69">
        <f>"spring_phab_xbkf_h|"&amp;'Metrics'!$C$12</f>
        <v/>
      </c>
      <c r="E12" s="69">
        <f>IFERROR(MATCH('Metrics'!$D$12,curve_key,0),MATCH("spring_phab_xbkf_h|All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Sand + fines</t>
        </is>
      </c>
      <c r="B13" s="69">
        <f>IF('DEEP Score'!$E$23="","",'DEEP Score'!$E$23)</f>
        <v/>
      </c>
      <c r="C13" s="69">
        <f>""</f>
        <v/>
      </c>
      <c r="D13" s="69">
        <f>"spring_phab_pct_safn|"&amp;'Metrics'!$C$13</f>
        <v/>
      </c>
      <c r="E13" s="69">
        <f>IFERROR(MATCH('Metrics'!$D$13,curve_key,0),MATCH("spring_phab_pct_safn|",curve_key,0))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Embeddedness</t>
        </is>
      </c>
      <c r="B14" s="69">
        <f>IF('DEEP Score'!$E$24="","",'DEEP Score'!$E$24)</f>
        <v/>
      </c>
      <c r="C14" s="69">
        <f>""</f>
        <v/>
      </c>
      <c r="D14" s="69">
        <f>"spring_phab_xembed|"&amp;'Metrics'!$C$14</f>
        <v/>
      </c>
      <c r="E14" s="69">
        <f>IFERROR(MATCH('Metrics'!$D$14,curve_key,0),MATCH("spring_phab_xembed|",curve_key,0))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Sinuosity</t>
        </is>
      </c>
      <c r="B15" s="69">
        <f>IF('DEEP Score'!$E$27="","",'DEEP Score'!$E$27)</f>
        <v/>
      </c>
      <c r="C15" s="69">
        <f>""</f>
        <v/>
      </c>
      <c r="D15" s="69">
        <f>"spring_phab_sinu|"&amp;'Metrics'!$C$15</f>
        <v/>
      </c>
      <c r="E15" s="69">
        <f>IFERROR(MATCH('Metrics'!$D$15,curve_key,0),MATCH("spring_phab_sinu|",curve_key,0))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Bank angle</t>
        </is>
      </c>
      <c r="B16" s="69">
        <f>IF('DEEP Score'!$E$28="","",'DEEP Score'!$E$28)</f>
        <v/>
      </c>
      <c r="C16" s="69">
        <f>""</f>
        <v/>
      </c>
      <c r="D16" s="69">
        <f>"spring_phab_xbka|"&amp;'Metrics'!$C$16</f>
        <v/>
      </c>
      <c r="E16" s="69">
        <f>IFERROR(MATCH('Metrics'!$D$16,curve_key,0),MATCH("spring_phab_xbka|",curve_key,0))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Relative bed stability</t>
        </is>
      </c>
      <c r="B17" s="69">
        <f>IF('DEEP Score'!$E$29="","",'DEEP Score'!$E$29)</f>
        <v/>
      </c>
      <c r="C17" s="69">
        <f>IF('DEEP Score'!$F$29="","All streams (pooled)",'DEEP Score'!$F$29)</f>
        <v/>
      </c>
      <c r="D17" s="69">
        <f>"spring_phab_lrbs_use|"&amp;'Metrics'!$C$17</f>
        <v/>
      </c>
      <c r="E17" s="69">
        <f>IFERROR(MATCH('Metrics'!$D$17,curve_key,0),MATCH("spring_phab_lrbs_use|All streams (pooled)",curve_key,0))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Substrate size</t>
        </is>
      </c>
      <c r="B18" s="69">
        <f>IF('DEEP Score'!$E$31="","",'DEEP Score'!$E$31)</f>
        <v/>
      </c>
      <c r="C18" s="69">
        <f>""</f>
        <v/>
      </c>
      <c r="D18" s="69">
        <f>"spring_phab_lsub_dmm|"&amp;'Metrics'!$C$18</f>
        <v/>
      </c>
      <c r="E18" s="69">
        <f>IFERROR(MATCH('Metrics'!$D$18,curve_key,0),MATCH("spring_phab_lsub_dmm|",curve_key,0))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Large wood volume</t>
        </is>
      </c>
      <c r="B19" s="69">
        <f>IF('DEEP Score'!$E$32="","",'DEEP Score'!$E$32)</f>
        <v/>
      </c>
      <c r="C19" s="69">
        <f>""</f>
        <v/>
      </c>
      <c r="D19" s="69">
        <f>"spring_phab_lwdeqvolm100|"&amp;'Metrics'!$C$19</f>
        <v/>
      </c>
      <c r="E19" s="69">
        <f>IFERROR(MATCH('Metrics'!$D$19,curve_key,0),MATCH("spring_phab_lwdeqvolm100|",curve_key,0))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IF('DEEP Score'!$F$34="","All streams (pooled)",'DEEP Score'!$F$34)</f>
        <v/>
      </c>
      <c r="D21" s="69">
        <f>"spring_phab_xcdenmid|"&amp;'Metrics'!$C$21</f>
        <v/>
      </c>
      <c r="E21" s="69">
        <f>IFERROR(MATCH('Metrics'!$D$21,curve_key,0),MATCH("spring_phab_xcdenmid|All streams (pooled)",curve_key,0))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pH</t>
        </is>
      </c>
      <c r="B25" s="69">
        <f>IF('DEEP Score'!$E$38="","",'DEEP Score'!$E$38)</f>
        <v/>
      </c>
      <c r="C25" s="69">
        <f>""</f>
        <v/>
      </c>
      <c r="D25" s="69">
        <f>"spring_chem_ph|"&amp;'Metrics'!$C$25</f>
        <v/>
      </c>
      <c r="E25" s="69">
        <f>IFERROR(MATCH('Metrics'!$D$25,curve_key,0),MATCH("spring_chem_ph|",curve_key,0))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Specific conductivity</t>
        </is>
      </c>
      <c r="B26" s="69">
        <f>IF('DEEP Score'!$E$39="","",'DEEP Score'!$E$39)</f>
        <v/>
      </c>
      <c r="C26" s="69">
        <f>""</f>
        <v/>
      </c>
      <c r="D26" s="69">
        <f>"spring_chem_cond|"&amp;'Metrics'!$C$26</f>
        <v/>
      </c>
      <c r="E26" s="69">
        <f>IFERROR(MATCH('Metrics'!$D$26,curve_key,0),MATCH("spring_chem_cond|",curve_key,0))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Score'!$E$40="","",'DEEP Score'!$E$40)</f>
        <v/>
      </c>
      <c r="C27" s="69">
        <f>IF('DEEP Score'!$F$40="","All streams (pooled)",'DEEP Score'!$F$40)</f>
        <v/>
      </c>
      <c r="D27" s="69">
        <f>"spring_phab_xfc_nat|"&amp;'Metrics'!$C$27</f>
        <v/>
      </c>
      <c r="E27" s="69">
        <f>IFERROR(MATCH('Metrics'!$D$27,curve_key,0),MATCH("spring_phab_xfc_nat|All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Fast-water / riffle habitat</t>
        </is>
      </c>
      <c r="B28" s="69">
        <f>IF('DEEP Score'!$E$41="","",'DEEP Score'!$E$41)</f>
        <v/>
      </c>
      <c r="C28" s="69">
        <f>""</f>
        <v/>
      </c>
      <c r="D28" s="69">
        <f>"spring_phab_pct_fast|"&amp;'Metrics'!$C$28</f>
        <v/>
      </c>
      <c r="E28" s="69">
        <f>IFERROR(MATCH('Metrics'!$D$28,curve_key,0),MATCH("spring_phab_pct_fast|",curve_key,0))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Score'!$E$42="","",'DEEP Score'!$E$42)</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Native fish taxa richness</t>
        </is>
      </c>
      <c r="B30" s="69">
        <f>IF('DEEP Score'!$E$43="","",'DEEP Score'!$E$43)</f>
        <v/>
      </c>
      <c r="C30" s="69">
        <f>""</f>
        <v/>
      </c>
      <c r="D30" s="69">
        <f>"spring_fish_nat_totlntax|"&amp;'Metrics'!$C$30</f>
        <v/>
      </c>
      <c r="E30" s="69">
        <f>IFERROR(MATCH('Metrics'!$D$30,curve_key,0),MATCH("spring_fish_nat_totlntax|",curve_key,0))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EPT taxa richness</t>
        </is>
      </c>
      <c r="B31" s="69">
        <f>IF('DEEP Score'!$E$44="","",'DEEP Score'!$E$44)</f>
        <v/>
      </c>
      <c r="C31" s="69">
        <f>""</f>
        <v/>
      </c>
      <c r="D31" s="69">
        <f>"spring_bent_ept_ntax|"&amp;'Metrics'!$C$31</f>
        <v/>
      </c>
      <c r="E31" s="69">
        <f>IFERROR(MATCH('Metrics'!$D$31,curve_key,0),MATCH("spring_bent_ept_ntax|",curve_key,0))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Benthic macroinvertebrate MMI</t>
        </is>
      </c>
      <c r="B32" s="69">
        <f>IF('DEEP Score'!$E$45="","",'DEEP Score'!$E$45)</f>
        <v/>
      </c>
      <c r="C32" s="69">
        <f>""</f>
        <v/>
      </c>
      <c r="D32" s="69">
        <f>"spring_bent_mmi_bent|"&amp;'Metrics'!$C$32</f>
        <v/>
      </c>
      <c r="E32" s="69">
        <f>IFERROR(MATCH('Metrics'!$D$32,curve_key,0),MATCH("spring_bent_mmi_bent|",curve_key,0))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3"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3"/>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25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0.21</v>
      </c>
      <c r="I7" s="68" t="n">
        <v>0.49</v>
      </c>
      <c r="J7" s="68" t="n">
        <v>3.54</v>
      </c>
      <c r="K7" s="68" t="n">
        <v>5.065</v>
      </c>
      <c r="L7" s="68" t="n">
        <v>5.065</v>
      </c>
      <c r="M7" s="68" t="n">
        <v>5.065</v>
      </c>
      <c r="N7" s="68" t="n">
        <v>5.065</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25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12.23352857142857</v>
      </c>
      <c r="I9" s="68" t="n">
        <v>28.5449</v>
      </c>
      <c r="J9" s="68" t="n">
        <v>49.324</v>
      </c>
      <c r="K9" s="68" t="n">
        <v>59.71355</v>
      </c>
      <c r="L9" s="68" t="n">
        <v>59.71355</v>
      </c>
      <c r="M9" s="68" t="n">
        <v>59.71355</v>
      </c>
      <c r="N9" s="68" t="n">
        <v>59.71355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spring_phab_bfwd_rat|All streams (pooled)</t>
        </is>
      </c>
      <c r="B11" s="68" t="inlineStr">
        <is>
          <t>spring-phab-bfwd-rat</t>
        </is>
      </c>
      <c r="C11" s="68" t="inlineStr">
        <is>
          <t>Bankfull width:depth ratio</t>
        </is>
      </c>
      <c r="D11" s="68" t="inlineStr">
        <is>
          <t>All streams (pooled)</t>
        </is>
      </c>
      <c r="E11" s="68" t="n">
        <v>8</v>
      </c>
      <c r="F11" s="68" t="inlineStr">
        <is>
          <t>77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8" t="n">
        <v>0</v>
      </c>
      <c r="H11" s="68" t="n">
        <v>0.2380514144897461</v>
      </c>
      <c r="I11" s="68" t="n">
        <v>3.97245569229126</v>
      </c>
      <c r="J11" s="68" t="n">
        <v>5.983288764953613</v>
      </c>
      <c r="K11" s="68" t="n">
        <v>11.72852611541748</v>
      </c>
      <c r="L11" s="68" t="n">
        <v>13.73935918807983</v>
      </c>
      <c r="M11" s="68" t="n">
        <v>17.47376346588135</v>
      </c>
      <c r="N11" s="68" t="n">
        <v>23.21900081634521</v>
      </c>
      <c r="O11" s="68" t="n">
        <v>0</v>
      </c>
      <c r="P11" s="68" t="n">
        <v>0.3</v>
      </c>
      <c r="Q11" s="68" t="n">
        <v>0.7</v>
      </c>
      <c r="R11" s="68" t="n">
        <v>1</v>
      </c>
      <c r="S11" s="68" t="n">
        <v>1</v>
      </c>
      <c r="T11" s="68" t="n">
        <v>0.7</v>
      </c>
      <c r="U11" s="68" t="n">
        <v>0.3</v>
      </c>
      <c r="V11" s="68" t="n">
        <v>0</v>
      </c>
    </row>
    <row r="12">
      <c r="A12" s="68" t="inlineStr">
        <is>
          <t>spring_phab_bfwd_rat|Headwater (10 km2 and under)</t>
        </is>
      </c>
      <c r="B12" s="68" t="inlineStr">
        <is>
          <t>spring-phab-bfwd-rat</t>
        </is>
      </c>
      <c r="C12" s="68" t="inlineStr">
        <is>
          <t>Bankfull width:depth ratio</t>
        </is>
      </c>
      <c r="D12" s="68" t="inlineStr">
        <is>
          <t>Headwater (10 km2 and under)</t>
        </is>
      </c>
      <c r="E12" s="68" t="n">
        <v>8</v>
      </c>
      <c r="F12" s="68" t="inlineStr">
        <is>
          <t>77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1.823091745376587</v>
      </c>
      <c r="I12" s="68" t="n">
        <v>4.027340406179428</v>
      </c>
      <c r="J12" s="68" t="n">
        <v>5.214243531227112</v>
      </c>
      <c r="K12" s="68" t="n">
        <v>8.605395317077637</v>
      </c>
      <c r="L12" s="68" t="n">
        <v>9.79229844212532</v>
      </c>
      <c r="M12" s="68" t="n">
        <v>11.99654710292816</v>
      </c>
      <c r="N12" s="68" t="n">
        <v>15.38769888877869</v>
      </c>
      <c r="O12" s="68" t="n">
        <v>0</v>
      </c>
      <c r="P12" s="68" t="n">
        <v>0.3</v>
      </c>
      <c r="Q12" s="68" t="n">
        <v>0.7</v>
      </c>
      <c r="R12" s="68" t="n">
        <v>1</v>
      </c>
      <c r="S12" s="68" t="n">
        <v>1</v>
      </c>
      <c r="T12" s="68" t="n">
        <v>0.7</v>
      </c>
      <c r="U12" s="68" t="n">
        <v>0.3</v>
      </c>
      <c r="V12" s="68" t="n">
        <v>0</v>
      </c>
    </row>
    <row r="13">
      <c r="A13" s="68" t="inlineStr">
        <is>
          <t>spring_phab_bfwd_rat|Small stream (10 to 100 km2)</t>
        </is>
      </c>
      <c r="B13" s="68" t="inlineStr">
        <is>
          <t>spring-phab-bfwd-rat</t>
        </is>
      </c>
      <c r="C13" s="68" t="inlineStr">
        <is>
          <t>Bankfull width:depth ratio</t>
        </is>
      </c>
      <c r="D13" s="68" t="inlineStr">
        <is>
          <t>Small stream (10 to 100 km2)</t>
        </is>
      </c>
      <c r="E13" s="68" t="n">
        <v>8</v>
      </c>
      <c r="F13" s="68" t="inlineStr">
        <is>
          <t>77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8" t="n">
        <v>0</v>
      </c>
      <c r="H13" s="68" t="n">
        <v>0.1353719234466553</v>
      </c>
      <c r="I13" s="68" t="n">
        <v>3.769629061222076</v>
      </c>
      <c r="J13" s="68" t="n">
        <v>5.726536750793457</v>
      </c>
      <c r="K13" s="68" t="n">
        <v>11.31770157814026</v>
      </c>
      <c r="L13" s="68" t="n">
        <v>13.27460926771164</v>
      </c>
      <c r="M13" s="68" t="n">
        <v>16.90886640548706</v>
      </c>
      <c r="N13" s="68" t="n">
        <v>22.50003123283386</v>
      </c>
      <c r="O13" s="68" t="n">
        <v>0</v>
      </c>
      <c r="P13" s="68" t="n">
        <v>0.3</v>
      </c>
      <c r="Q13" s="68" t="n">
        <v>0.7</v>
      </c>
      <c r="R13" s="68" t="n">
        <v>1</v>
      </c>
      <c r="S13" s="68" t="n">
        <v>1</v>
      </c>
      <c r="T13" s="68" t="n">
        <v>0.7</v>
      </c>
      <c r="U13" s="68" t="n">
        <v>0.3</v>
      </c>
      <c r="V13" s="68" t="n">
        <v>0</v>
      </c>
    </row>
    <row r="14">
      <c r="A14" s="68" t="inlineStr">
        <is>
          <t>spring_phab_bfwd_rat|Large stream (over 100 km2)</t>
        </is>
      </c>
      <c r="B14" s="68" t="inlineStr">
        <is>
          <t>spring-phab-bfwd-rat</t>
        </is>
      </c>
      <c r="C14" s="68" t="inlineStr">
        <is>
          <t>Bankfull width:depth ratio</t>
        </is>
      </c>
      <c r="D14" s="68" t="inlineStr">
        <is>
          <t>Large stream (over 100 km2)</t>
        </is>
      </c>
      <c r="E14" s="68" t="n">
        <v>7</v>
      </c>
      <c r="F14" s="68" t="inlineStr">
        <is>
          <t>77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8" t="n">
        <v>0</v>
      </c>
      <c r="H14" s="68" t="n">
        <v>5.480710434913636</v>
      </c>
      <c r="I14" s="68" t="n">
        <v>9.085323810577393</v>
      </c>
      <c r="J14" s="68" t="n">
        <v>19.3842191696167</v>
      </c>
      <c r="K14" s="68" t="n">
        <v>22.98883254528046</v>
      </c>
      <c r="L14" s="68" t="n">
        <v>29.68311452865601</v>
      </c>
      <c r="M14" s="68" t="n">
        <v>39.98200988769531</v>
      </c>
      <c r="N14" s="68" t="n">
        <v>39.98200988769531</v>
      </c>
      <c r="O14" s="68" t="n">
        <v>0</v>
      </c>
      <c r="P14" s="68" t="n">
        <v>0.7</v>
      </c>
      <c r="Q14" s="68" t="n">
        <v>1</v>
      </c>
      <c r="R14" s="68" t="n">
        <v>1</v>
      </c>
      <c r="S14" s="68" t="n">
        <v>0.7</v>
      </c>
      <c r="T14" s="68" t="n">
        <v>0.3</v>
      </c>
      <c r="U14" s="68" t="n">
        <v>0</v>
      </c>
      <c r="V14" s="68" t="n">
        <v>0</v>
      </c>
    </row>
    <row r="15">
      <c r="A15" s="68" t="inlineStr">
        <is>
          <t>spring_phab_xbkf_h|All streams (pooled)</t>
        </is>
      </c>
      <c r="B15" s="68" t="inlineStr">
        <is>
          <t>spring-phab-xbkf-h</t>
        </is>
      </c>
      <c r="C15" s="68" t="inlineStr">
        <is>
          <t>Bankfull height above channel</t>
        </is>
      </c>
      <c r="D15" s="68" t="inlineStr">
        <is>
          <t>All streams (pooled)</t>
        </is>
      </c>
      <c r="E15" s="68" t="n">
        <v>7</v>
      </c>
      <c r="F15" s="68" t="inlineStr">
        <is>
          <t>77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0.1873181760311127</v>
      </c>
      <c r="I15" s="68" t="n">
        <v>0.3199999928474426</v>
      </c>
      <c r="J15" s="68" t="n">
        <v>0.6990908980369568</v>
      </c>
      <c r="K15" s="68" t="n">
        <v>0.8317727148532867</v>
      </c>
      <c r="L15" s="68" t="n">
        <v>1.078181803226471</v>
      </c>
      <c r="M15" s="68" t="n">
        <v>1.457272708415985</v>
      </c>
      <c r="N15" s="68" t="n">
        <v>1.457272708415985</v>
      </c>
      <c r="O15" s="68" t="n">
        <v>0</v>
      </c>
      <c r="P15" s="68" t="n">
        <v>0.7</v>
      </c>
      <c r="Q15" s="68" t="n">
        <v>1</v>
      </c>
      <c r="R15" s="68" t="n">
        <v>1</v>
      </c>
      <c r="S15" s="68" t="n">
        <v>0.7</v>
      </c>
      <c r="T15" s="68" t="n">
        <v>0.3</v>
      </c>
      <c r="U15" s="68" t="n">
        <v>0</v>
      </c>
      <c r="V15" s="68" t="n">
        <v>0</v>
      </c>
    </row>
    <row r="16">
      <c r="A16" s="68" t="inlineStr">
        <is>
          <t>spring_phab_xbkf_h|Headwater (10 km2 and under)</t>
        </is>
      </c>
      <c r="B16" s="68" t="inlineStr">
        <is>
          <t>spring-phab-xbkf-h</t>
        </is>
      </c>
      <c r="C16" s="68" t="inlineStr">
        <is>
          <t>Bankfull height above channel</t>
        </is>
      </c>
      <c r="D16" s="68" t="inlineStr">
        <is>
          <t>Headwater (10 km2 and under)</t>
        </is>
      </c>
      <c r="E16" s="68" t="n">
        <v>7</v>
      </c>
      <c r="F16" s="68" t="inlineStr">
        <is>
          <t>77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6" s="68" t="n">
        <v>0</v>
      </c>
      <c r="H16" s="68" t="n">
        <v>0.1637159060686827</v>
      </c>
      <c r="I16" s="68" t="n">
        <v>0.2956818118691444</v>
      </c>
      <c r="J16" s="68" t="n">
        <v>0.6727272570133209</v>
      </c>
      <c r="K16" s="68" t="n">
        <v>0.8046931628137827</v>
      </c>
      <c r="L16" s="68" t="n">
        <v>1.049772702157497</v>
      </c>
      <c r="M16" s="68" t="n">
        <v>1.426818147301674</v>
      </c>
      <c r="N16" s="68" t="n">
        <v>1.426818147301674</v>
      </c>
      <c r="O16" s="68" t="n">
        <v>0</v>
      </c>
      <c r="P16" s="68" t="n">
        <v>0.7</v>
      </c>
      <c r="Q16" s="68" t="n">
        <v>1</v>
      </c>
      <c r="R16" s="68" t="n">
        <v>1</v>
      </c>
      <c r="S16" s="68" t="n">
        <v>0.7</v>
      </c>
      <c r="T16" s="68" t="n">
        <v>0.3</v>
      </c>
      <c r="U16" s="68" t="n">
        <v>0</v>
      </c>
      <c r="V16" s="68" t="n">
        <v>0</v>
      </c>
    </row>
    <row r="17">
      <c r="A17" s="68" t="inlineStr">
        <is>
          <t>spring_phab_xbkf_h|Small stream (10 to 100 km2)</t>
        </is>
      </c>
      <c r="B17" s="68" t="inlineStr">
        <is>
          <t>spring-phab-xbkf-h</t>
        </is>
      </c>
      <c r="C17" s="68" t="inlineStr">
        <is>
          <t>Bankfull height above channel</t>
        </is>
      </c>
      <c r="D17" s="68" t="inlineStr">
        <is>
          <t>Small stream (10 to 100 km2)</t>
        </is>
      </c>
      <c r="E17" s="68" t="n">
        <v>7</v>
      </c>
      <c r="F17" s="68" t="inlineStr">
        <is>
          <t>77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7" s="68" t="n">
        <v>0</v>
      </c>
      <c r="H17" s="68" t="n">
        <v>0.1678522855043411</v>
      </c>
      <c r="I17" s="68" t="n">
        <v>0.3068181872367859</v>
      </c>
      <c r="J17" s="68" t="n">
        <v>0.7038636207580566</v>
      </c>
      <c r="K17" s="68" t="n">
        <v>0.8428295224905014</v>
      </c>
      <c r="L17" s="68" t="n">
        <v>1.100909054279327</v>
      </c>
      <c r="M17" s="68" t="n">
        <v>1.497954487800598</v>
      </c>
      <c r="N17" s="68" t="n">
        <v>1.497954487800598</v>
      </c>
      <c r="O17" s="68" t="n">
        <v>0</v>
      </c>
      <c r="P17" s="68" t="n">
        <v>0.7</v>
      </c>
      <c r="Q17" s="68" t="n">
        <v>1</v>
      </c>
      <c r="R17" s="68" t="n">
        <v>1</v>
      </c>
      <c r="S17" s="68" t="n">
        <v>0.7</v>
      </c>
      <c r="T17" s="68" t="n">
        <v>0.3</v>
      </c>
      <c r="U17" s="68" t="n">
        <v>0</v>
      </c>
      <c r="V17" s="68" t="n">
        <v>0</v>
      </c>
    </row>
    <row r="18">
      <c r="A18" s="68" t="inlineStr">
        <is>
          <t>spring_phab_xbkf_h|Large stream (over 100 km2)</t>
        </is>
      </c>
      <c r="B18" s="68" t="inlineStr">
        <is>
          <t>spring-phab-xbkf-h</t>
        </is>
      </c>
      <c r="C18" s="68" t="inlineStr">
        <is>
          <t>Bankfull height above channel</t>
        </is>
      </c>
      <c r="D18" s="68" t="inlineStr">
        <is>
          <t>Large stream (over 100 km2)</t>
        </is>
      </c>
      <c r="E18" s="68" t="n">
        <v>8</v>
      </c>
      <c r="F18" s="68" t="inlineStr">
        <is>
          <t>77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8" s="68" t="n">
        <v>0</v>
      </c>
      <c r="H18" s="68" t="n">
        <v>0.1731818020343781</v>
      </c>
      <c r="I18" s="68" t="n">
        <v>0.3235681772232056</v>
      </c>
      <c r="J18" s="68" t="n">
        <v>0.4045454561710358</v>
      </c>
      <c r="K18" s="68" t="n">
        <v>0.6359091103076935</v>
      </c>
      <c r="L18" s="68" t="n">
        <v>0.7168863892555237</v>
      </c>
      <c r="M18" s="68" t="n">
        <v>0.8672727644443512</v>
      </c>
      <c r="N18" s="68" t="n">
        <v>1.098636418581009</v>
      </c>
      <c r="O18" s="68" t="n">
        <v>0</v>
      </c>
      <c r="P18" s="68" t="n">
        <v>0.3</v>
      </c>
      <c r="Q18" s="68" t="n">
        <v>0.7</v>
      </c>
      <c r="R18" s="68" t="n">
        <v>1</v>
      </c>
      <c r="S18" s="68" t="n">
        <v>1</v>
      </c>
      <c r="T18" s="68" t="n">
        <v>0.7</v>
      </c>
      <c r="U18" s="68" t="n">
        <v>0.3</v>
      </c>
      <c r="V18" s="68" t="n">
        <v>0</v>
      </c>
    </row>
    <row r="19">
      <c r="A19" s="68" t="inlineStr">
        <is>
          <t>spring_phab_pct_safn|</t>
        </is>
      </c>
      <c r="B19" s="68" t="inlineStr">
        <is>
          <t>spring-phab-pct-safn</t>
        </is>
      </c>
      <c r="C19" s="68" t="inlineStr">
        <is>
          <t>Sand + fines</t>
        </is>
      </c>
      <c r="D19" s="68" t="inlineStr"/>
      <c r="E19" s="68" t="n">
        <v>4</v>
      </c>
      <c r="F19" s="68" t="inlineStr">
        <is>
          <t>153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confidence capped at 39.</t>
        </is>
      </c>
      <c r="G19" s="68" t="n">
        <v>0</v>
      </c>
      <c r="H19" s="68" t="n">
        <v>28.5714282989502</v>
      </c>
      <c r="I19" s="68" t="n">
        <v>91.42857360839844</v>
      </c>
      <c r="J19" s="68" t="n">
        <v>100</v>
      </c>
      <c r="K19" s="68" t="n">
        <v>100</v>
      </c>
      <c r="L19" s="68" t="n">
        <v>100</v>
      </c>
      <c r="M19" s="68" t="n">
        <v>100</v>
      </c>
      <c r="N19" s="68" t="n">
        <v>100</v>
      </c>
      <c r="O19" s="68" t="n">
        <v>1</v>
      </c>
      <c r="P19" s="68" t="n">
        <v>1</v>
      </c>
      <c r="Q19" s="68" t="n">
        <v>0.7</v>
      </c>
      <c r="R19" s="68" t="n">
        <v>0</v>
      </c>
      <c r="S19" s="68" t="n">
        <v>0</v>
      </c>
      <c r="T19" s="68" t="n">
        <v>0</v>
      </c>
      <c r="U19" s="68" t="n">
        <v>0</v>
      </c>
      <c r="V19" s="68" t="n">
        <v>0</v>
      </c>
    </row>
    <row r="20">
      <c r="A20" s="68" t="inlineStr">
        <is>
          <t>spring_phab_xembed|</t>
        </is>
      </c>
      <c r="B20" s="68" t="inlineStr">
        <is>
          <t>spring-phab-xembed</t>
        </is>
      </c>
      <c r="C20" s="68" t="inlineStr">
        <is>
          <t>Embeddedness</t>
        </is>
      </c>
      <c r="D20" s="68" t="inlineStr"/>
      <c r="E20" s="68" t="n">
        <v>4</v>
      </c>
      <c r="F20" s="68" t="inlineStr">
        <is>
          <t>129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+0.07, at most 0.05 allowed); confidence capped at 39.</t>
        </is>
      </c>
      <c r="G20" s="68" t="n">
        <v>29.45454597473145</v>
      </c>
      <c r="H20" s="68" t="n">
        <v>50.90909194946289</v>
      </c>
      <c r="I20" s="68" t="n">
        <v>93.81818389892578</v>
      </c>
      <c r="J20" s="68" t="n">
        <v>100</v>
      </c>
      <c r="K20" s="68" t="n">
        <v>100</v>
      </c>
      <c r="L20" s="68" t="n">
        <v>100</v>
      </c>
      <c r="M20" s="68" t="n">
        <v>100</v>
      </c>
      <c r="N20" s="68" t="n">
        <v>100</v>
      </c>
      <c r="O20" s="68" t="n">
        <v>1</v>
      </c>
      <c r="P20" s="68" t="n">
        <v>1</v>
      </c>
      <c r="Q20" s="68" t="n">
        <v>0.7</v>
      </c>
      <c r="R20" s="68" t="n">
        <v>0</v>
      </c>
      <c r="S20" s="68" t="n">
        <v>0</v>
      </c>
      <c r="T20" s="68" t="n">
        <v>0</v>
      </c>
      <c r="U20" s="68" t="n">
        <v>0</v>
      </c>
      <c r="V20" s="68" t="n">
        <v>0</v>
      </c>
    </row>
    <row r="21">
      <c r="A21" s="68" t="inlineStr">
        <is>
          <t>spring_phab_sinu|</t>
        </is>
      </c>
      <c r="B21" s="68" t="inlineStr">
        <is>
          <t>spring-phab-sinu</t>
        </is>
      </c>
      <c r="C21" s="68" t="inlineStr">
        <is>
          <t>Sinuosity</t>
        </is>
      </c>
      <c r="D21" s="68" t="inlineStr"/>
      <c r="E21" s="68" t="n">
        <v>4</v>
      </c>
      <c r="F21" s="68" t="inlineStr">
        <is>
          <t>69 least-disturbed stations borrowed from Level II ecoregion 8.3 (Southeastern Usa Plains) under the regional screen (agriculture at most 37.8 percent), transfer risk moderate</t>
        </is>
      </c>
      <c r="G21" s="68" t="n">
        <v>1</v>
      </c>
      <c r="H21" s="68" t="n">
        <v>1.118072748184204</v>
      </c>
      <c r="I21" s="68" t="n">
        <v>1.443218588829041</v>
      </c>
      <c r="J21" s="68" t="n">
        <v>1.605791509151459</v>
      </c>
      <c r="K21" s="68" t="n">
        <v>1.605791509151459</v>
      </c>
      <c r="L21" s="68" t="n">
        <v>1.605791509151459</v>
      </c>
      <c r="M21" s="68" t="n">
        <v>1.605791509151459</v>
      </c>
      <c r="N21" s="68" t="n">
        <v>1.605791509151459</v>
      </c>
      <c r="O21" s="68" t="n">
        <v>0</v>
      </c>
      <c r="P21" s="68" t="n">
        <v>0.7</v>
      </c>
      <c r="Q21" s="68" t="n">
        <v>1</v>
      </c>
      <c r="R21" s="68" t="n">
        <v>1</v>
      </c>
      <c r="S21" s="68" t="n">
        <v>1</v>
      </c>
      <c r="T21" s="68" t="n">
        <v>1</v>
      </c>
      <c r="U21" s="68" t="n">
        <v>1</v>
      </c>
      <c r="V21" s="68" t="n">
        <v>1</v>
      </c>
    </row>
    <row r="22">
      <c r="A22" s="68" t="inlineStr">
        <is>
          <t>spring_phab_xbka|</t>
        </is>
      </c>
      <c r="B22" s="68" t="inlineStr">
        <is>
          <t>spring-phab-xbka</t>
        </is>
      </c>
      <c r="C22" s="68" t="inlineStr">
        <is>
          <t>Bank angle</t>
        </is>
      </c>
      <c r="D22" s="68" t="inlineStr"/>
      <c r="E22" s="68" t="n">
        <v>7</v>
      </c>
      <c r="F22" s="68" t="inlineStr">
        <is>
          <t>70 least-disturbed stations borrowed from Level II ecoregion 8.3 (Southeastern Usa Plains) under the regional screen (agriculture at most 37.8 percent), transfer risk low</t>
        </is>
      </c>
      <c r="G22" s="68" t="n">
        <v>0</v>
      </c>
      <c r="H22" s="68" t="n">
        <v>18.85113518238068</v>
      </c>
      <c r="I22" s="68" t="n">
        <v>26.43181753158569</v>
      </c>
      <c r="J22" s="68" t="n">
        <v>48.09090995788574</v>
      </c>
      <c r="K22" s="68" t="n">
        <v>55.67159230709076</v>
      </c>
      <c r="L22" s="68" t="n">
        <v>69.75000238418579</v>
      </c>
      <c r="M22" s="68" t="n">
        <v>91.40909481048584</v>
      </c>
      <c r="N22" s="68" t="n">
        <v>91.40909481048584</v>
      </c>
      <c r="O22" s="68" t="n">
        <v>0.7</v>
      </c>
      <c r="P22" s="68" t="n">
        <v>0.7</v>
      </c>
      <c r="Q22" s="68" t="n">
        <v>1</v>
      </c>
      <c r="R22" s="68" t="n">
        <v>1</v>
      </c>
      <c r="S22" s="68" t="n">
        <v>0.7</v>
      </c>
      <c r="T22" s="68" t="n">
        <v>0.3</v>
      </c>
      <c r="U22" s="68" t="n">
        <v>0</v>
      </c>
      <c r="V22" s="68" t="n">
        <v>0</v>
      </c>
    </row>
    <row r="23">
      <c r="A23" s="68" t="inlineStr">
        <is>
          <t>spring_phab_lrbs_use|All streams (pooled)</t>
        </is>
      </c>
      <c r="B23" s="68" t="inlineStr">
        <is>
          <t>spring-phab-lrbs-use</t>
        </is>
      </c>
      <c r="C23" s="68" t="inlineStr">
        <is>
          <t>Relative bed stability</t>
        </is>
      </c>
      <c r="D23" s="68" t="inlineStr">
        <is>
          <t>All streams (pooled)</t>
        </is>
      </c>
      <c r="E23" s="68" t="n">
        <v>8</v>
      </c>
      <c r="F23" s="68" t="inlineStr">
        <is>
          <t>152 least-disturbed stations borrowed from Level I ecoregion 8 (Eastern Temperate Forests) under the regional screen (agriculture at most 37.8 percent), transfer risk high</t>
        </is>
      </c>
      <c r="G23" s="68" t="n">
        <v>-4.033177684992552</v>
      </c>
      <c r="H23" s="68" t="n">
        <v>-2.74407004378736</v>
      </c>
      <c r="I23" s="68" t="n">
        <v>-1.906150077003986</v>
      </c>
      <c r="J23" s="68" t="n">
        <v>-1.454962402582169</v>
      </c>
      <c r="K23" s="68" t="n">
        <v>-0.165854761376977</v>
      </c>
      <c r="L23" s="68" t="n">
        <v>0.28533291304484</v>
      </c>
      <c r="M23" s="68" t="n">
        <v>1.123252879828215</v>
      </c>
      <c r="N23" s="68" t="n">
        <v>2.412360521033406</v>
      </c>
      <c r="O23" s="68" t="n">
        <v>0</v>
      </c>
      <c r="P23" s="68" t="n">
        <v>0.3</v>
      </c>
      <c r="Q23" s="68" t="n">
        <v>0.7</v>
      </c>
      <c r="R23" s="68" t="n">
        <v>1</v>
      </c>
      <c r="S23" s="68" t="n">
        <v>1</v>
      </c>
      <c r="T23" s="68" t="n">
        <v>0.7</v>
      </c>
      <c r="U23" s="68" t="n">
        <v>0.3</v>
      </c>
      <c r="V23" s="68" t="n">
        <v>0</v>
      </c>
    </row>
    <row r="24">
      <c r="A24" s="68" t="inlineStr">
        <is>
          <t>spring_phab_lrbs_use|Headwater (10 km2 and under)</t>
        </is>
      </c>
      <c r="B24" s="68" t="inlineStr">
        <is>
          <t>spring-phab-lrbs-use</t>
        </is>
      </c>
      <c r="C24" s="68" t="inlineStr">
        <is>
          <t>Relative bed stability</t>
        </is>
      </c>
      <c r="D24" s="68" t="inlineStr">
        <is>
          <t>Headwater (10 km2 and under)</t>
        </is>
      </c>
      <c r="E24" s="68" t="n">
        <v>8</v>
      </c>
      <c r="F24" s="68" t="inlineStr">
        <is>
          <t>152 least-disturbed stations borrowed from Level I ecoregion 8 (Eastern Temperate Forests) under the regional screen (agriculture at most 37.8 percent), transfer risk high</t>
        </is>
      </c>
      <c r="G24" s="68" t="n">
        <v>-3.913302779197693</v>
      </c>
      <c r="H24" s="68" t="n">
        <v>-2.768337965011597</v>
      </c>
      <c r="I24" s="68" t="n">
        <v>-2.024110835790634</v>
      </c>
      <c r="J24" s="68" t="n">
        <v>-1.6233731508255</v>
      </c>
      <c r="K24" s="68" t="n">
        <v>-0.4784083366394043</v>
      </c>
      <c r="L24" s="68" t="n">
        <v>-0.07767065167427067</v>
      </c>
      <c r="M24" s="68" t="n">
        <v>0.6665564775466919</v>
      </c>
      <c r="N24" s="68" t="n">
        <v>1.811521291732788</v>
      </c>
      <c r="O24" s="68" t="n">
        <v>0</v>
      </c>
      <c r="P24" s="68" t="n">
        <v>0.3</v>
      </c>
      <c r="Q24" s="68" t="n">
        <v>0.7</v>
      </c>
      <c r="R24" s="68" t="n">
        <v>1</v>
      </c>
      <c r="S24" s="68" t="n">
        <v>1</v>
      </c>
      <c r="T24" s="68" t="n">
        <v>0.7</v>
      </c>
      <c r="U24" s="68" t="n">
        <v>0.3</v>
      </c>
      <c r="V24" s="68" t="n">
        <v>0</v>
      </c>
    </row>
    <row r="25">
      <c r="A25" s="68" t="inlineStr">
        <is>
          <t>spring_phab_lrbs_use|Small stream (10 to 100 km2)</t>
        </is>
      </c>
      <c r="B25" s="68" t="inlineStr">
        <is>
          <t>spring-phab-lrbs-use</t>
        </is>
      </c>
      <c r="C25" s="68" t="inlineStr">
        <is>
          <t>Relative bed stability</t>
        </is>
      </c>
      <c r="D25" s="68" t="inlineStr">
        <is>
          <t>Small stream (10 to 100 km2)</t>
        </is>
      </c>
      <c r="E25" s="68" t="n">
        <v>8</v>
      </c>
      <c r="F25" s="68" t="inlineStr">
        <is>
          <t>152 least-disturbed stations borrowed from Level I ecoregion 8 (Eastern Temperate Forests) under the regional screen (agriculture at most 37.8 percent), transfer risk high</t>
        </is>
      </c>
      <c r="G25" s="68" t="n">
        <v>-4.0759820304811</v>
      </c>
      <c r="H25" s="68" t="n">
        <v>-2.716386763378978</v>
      </c>
      <c r="I25" s="68" t="n">
        <v>-1.832649839762598</v>
      </c>
      <c r="J25" s="68" t="n">
        <v>-1.356791496276855</v>
      </c>
      <c r="K25" s="68" t="n">
        <v>0.002803770825266838</v>
      </c>
      <c r="L25" s="68" t="n">
        <v>0.4786621143110096</v>
      </c>
      <c r="M25" s="68" t="n">
        <v>1.362399037927389</v>
      </c>
      <c r="N25" s="68" t="n">
        <v>2.721994305029511</v>
      </c>
      <c r="O25" s="68" t="n">
        <v>0</v>
      </c>
      <c r="P25" s="68" t="n">
        <v>0.3</v>
      </c>
      <c r="Q25" s="68" t="n">
        <v>0.7</v>
      </c>
      <c r="R25" s="68" t="n">
        <v>1</v>
      </c>
      <c r="S25" s="68" t="n">
        <v>1</v>
      </c>
      <c r="T25" s="68" t="n">
        <v>0.7</v>
      </c>
      <c r="U25" s="68" t="n">
        <v>0.3</v>
      </c>
      <c r="V25" s="68" t="n">
        <v>0</v>
      </c>
    </row>
    <row r="26">
      <c r="A26" s="68" t="inlineStr">
        <is>
          <t>spring_phab_lrbs_use|Large stream (over 100 km2)</t>
        </is>
      </c>
      <c r="B26" s="68" t="inlineStr">
        <is>
          <t>spring-phab-lrbs-use</t>
        </is>
      </c>
      <c r="C26" s="68" t="inlineStr">
        <is>
          <t>Relative bed stability</t>
        </is>
      </c>
      <c r="D26" s="68" t="inlineStr">
        <is>
          <t>Large stream (over 100 km2)</t>
        </is>
      </c>
      <c r="E26" s="68" t="n">
        <v>8</v>
      </c>
      <c r="F26" s="68" t="inlineStr">
        <is>
          <t>152 least-disturbed stations borrowed from Level I ecoregion 8 (Eastern Temperate Forests) under the regional screen (agriculture at most 37.8 percent), transfer risk high</t>
        </is>
      </c>
      <c r="G26" s="68" t="n">
        <v>-4.261235626414418</v>
      </c>
      <c r="H26" s="68" t="n">
        <v>-2.822339133359492</v>
      </c>
      <c r="I26" s="68" t="n">
        <v>-1.88705641287379</v>
      </c>
      <c r="J26" s="68" t="n">
        <v>-1.383442640304565</v>
      </c>
      <c r="K26" s="68" t="n">
        <v>0.05545385275036097</v>
      </c>
      <c r="L26" s="68" t="n">
        <v>0.5590676253195852</v>
      </c>
      <c r="M26" s="68" t="n">
        <v>1.494350345805287</v>
      </c>
      <c r="N26" s="68" t="n">
        <v>2.933246838860214</v>
      </c>
      <c r="O26" s="68" t="n">
        <v>0</v>
      </c>
      <c r="P26" s="68" t="n">
        <v>0.3</v>
      </c>
      <c r="Q26" s="68" t="n">
        <v>0.7</v>
      </c>
      <c r="R26" s="68" t="n">
        <v>1</v>
      </c>
      <c r="S26" s="68" t="n">
        <v>1</v>
      </c>
      <c r="T26" s="68" t="n">
        <v>0.7</v>
      </c>
      <c r="U26" s="68" t="n">
        <v>0.3</v>
      </c>
      <c r="V26" s="68" t="n">
        <v>0</v>
      </c>
    </row>
    <row r="27">
      <c r="A27" s="68" t="inlineStr">
        <is>
          <t>spring_phab_lsub_dmm|</t>
        </is>
      </c>
      <c r="B27" s="68" t="inlineStr">
        <is>
          <t>spring-phab-lsub-dmm</t>
        </is>
      </c>
      <c r="C27" s="68" t="inlineStr">
        <is>
          <t>Substrate size</t>
        </is>
      </c>
      <c r="D27" s="68" t="inlineStr"/>
      <c r="E27" s="68" t="n">
        <v>5</v>
      </c>
      <c r="F27" s="68" t="inlineStr">
        <is>
          <t>77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27" s="68" t="n">
        <v>-2.463356226682663</v>
      </c>
      <c r="H27" s="68" t="n">
        <v>-1.670131951570511</v>
      </c>
      <c r="I27" s="68" t="n">
        <v>-0.4802955389022827</v>
      </c>
      <c r="J27" s="68" t="n">
        <v>0.3129287362098694</v>
      </c>
      <c r="K27" s="68" t="n">
        <v>0.7095408737659454</v>
      </c>
      <c r="L27" s="68" t="n">
        <v>0.7095408737659454</v>
      </c>
      <c r="M27" s="68" t="n">
        <v>0.7095408737659454</v>
      </c>
      <c r="N27" s="68" t="n">
        <v>0.7095408737659454</v>
      </c>
      <c r="O27" s="68" t="n">
        <v>0</v>
      </c>
      <c r="P27" s="68" t="n">
        <v>0.3</v>
      </c>
      <c r="Q27" s="68" t="n">
        <v>0.7</v>
      </c>
      <c r="R27" s="68" t="n">
        <v>1</v>
      </c>
      <c r="S27" s="68" t="n">
        <v>1</v>
      </c>
      <c r="T27" s="68" t="n">
        <v>1</v>
      </c>
      <c r="U27" s="68" t="n">
        <v>1</v>
      </c>
      <c r="V27" s="68" t="n">
        <v>1</v>
      </c>
    </row>
    <row r="28">
      <c r="A28" s="68" t="inlineStr">
        <is>
          <t>spring_phab_lwdeqvolm100|</t>
        </is>
      </c>
      <c r="B28" s="68" t="inlineStr">
        <is>
          <t>spring-phab-lwdeqvolm100</t>
        </is>
      </c>
      <c r="C28" s="68" t="inlineStr">
        <is>
          <t>Large wood volume</t>
        </is>
      </c>
      <c r="D28" s="68" t="inlineStr"/>
      <c r="E28" s="68" t="n">
        <v>5</v>
      </c>
      <c r="F28" s="68" t="inlineStr">
        <is>
          <t>Reference curve fitted to comparable least-disturbed stations drawn from the national pool, because this ecoregion and its parents hold too few of their own.</t>
        </is>
      </c>
      <c r="G28" s="68" t="n">
        <v>0</v>
      </c>
      <c r="H28" s="68" t="n">
        <v>0.08435714351279396</v>
      </c>
      <c r="I28" s="68" t="n">
        <v>0.1968333348631859</v>
      </c>
      <c r="J28" s="68" t="n">
        <v>4.579318165779114</v>
      </c>
      <c r="K28" s="68" t="n">
        <v>6.770560581237078</v>
      </c>
      <c r="L28" s="68" t="n">
        <v>6.770560581237078</v>
      </c>
      <c r="M28" s="68" t="n">
        <v>6.770560581237078</v>
      </c>
      <c r="N28" s="68" t="n">
        <v>6.770560581237078</v>
      </c>
      <c r="O28" s="68" t="n">
        <v>0</v>
      </c>
      <c r="P28" s="68" t="n">
        <v>0.3</v>
      </c>
      <c r="Q28" s="68" t="n">
        <v>0.7</v>
      </c>
      <c r="R28" s="68" t="n">
        <v>1</v>
      </c>
      <c r="S28" s="68" t="n">
        <v>1</v>
      </c>
      <c r="T28" s="68" t="n">
        <v>1</v>
      </c>
      <c r="U28" s="68" t="n">
        <v>1</v>
      </c>
      <c r="V28" s="68" t="n">
        <v>1</v>
      </c>
    </row>
    <row r="29">
      <c r="A29" s="68" t="inlineStr">
        <is>
          <t>spring_chem_chla|</t>
        </is>
      </c>
      <c r="B29" s="68" t="inlineStr">
        <is>
          <t>spring-chem-chla</t>
        </is>
      </c>
      <c r="C29" s="68" t="inlineStr">
        <is>
          <t>Chlorophyll a</t>
        </is>
      </c>
      <c r="D29" s="68" t="inlineStr"/>
      <c r="E29" s="68" t="n">
        <v>5</v>
      </c>
      <c r="F29" s="68" t="inlineStr">
        <is>
          <t>47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9" s="68" t="n">
        <v>0</v>
      </c>
      <c r="H29" s="68" t="n">
        <v>0.7696000039577484</v>
      </c>
      <c r="I29" s="68" t="n">
        <v>3.324000000953674</v>
      </c>
      <c r="J29" s="68" t="n">
        <v>7.155599996447563</v>
      </c>
      <c r="K29" s="68" t="n">
        <v>9.709999993443489</v>
      </c>
      <c r="L29" s="68" t="n">
        <v>9.709999993443489</v>
      </c>
      <c r="M29" s="68" t="n">
        <v>9.709999993443489</v>
      </c>
      <c r="N29" s="68" t="n">
        <v>9.709999993443489</v>
      </c>
      <c r="O29" s="68" t="n">
        <v>1</v>
      </c>
      <c r="P29" s="68" t="n">
        <v>1</v>
      </c>
      <c r="Q29" s="68" t="n">
        <v>0.7</v>
      </c>
      <c r="R29" s="68" t="n">
        <v>0.3</v>
      </c>
      <c r="S29" s="68" t="n">
        <v>0</v>
      </c>
      <c r="T29" s="68" t="n">
        <v>0</v>
      </c>
      <c r="U29" s="68" t="n">
        <v>0</v>
      </c>
      <c r="V29" s="68" t="n">
        <v>0</v>
      </c>
    </row>
    <row r="30">
      <c r="A30" s="68" t="inlineStr">
        <is>
          <t>spring_phab_xcdenmid|All streams (pooled)</t>
        </is>
      </c>
      <c r="B30" s="68" t="inlineStr">
        <is>
          <t>spring-phab-xcdenmid</t>
        </is>
      </c>
      <c r="C30" s="68" t="inlineStr">
        <is>
          <t>Canopy density, mid-channel</t>
        </is>
      </c>
      <c r="D30" s="68" t="inlineStr">
        <is>
          <t>All streams (pooled)</t>
        </is>
      </c>
      <c r="E30" s="68" t="n">
        <v>5</v>
      </c>
      <c r="F30" s="68" t="inlineStr">
        <is>
          <t>55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8" t="n">
        <v>0</v>
      </c>
      <c r="H30" s="68" t="n">
        <v>34.66386631556919</v>
      </c>
      <c r="I30" s="68" t="n">
        <v>80.88235473632812</v>
      </c>
      <c r="J30" s="68" t="n">
        <v>96.52406311035156</v>
      </c>
      <c r="K30" s="68" t="n">
        <v>100</v>
      </c>
      <c r="L30" s="68" t="n">
        <v>100</v>
      </c>
      <c r="M30" s="68" t="n">
        <v>100</v>
      </c>
      <c r="N30" s="68" t="n">
        <v>100</v>
      </c>
      <c r="O30" s="68" t="n">
        <v>0</v>
      </c>
      <c r="P30" s="68" t="n">
        <v>0.3</v>
      </c>
      <c r="Q30" s="68" t="n">
        <v>0.7</v>
      </c>
      <c r="R30" s="68" t="n">
        <v>1</v>
      </c>
      <c r="S30" s="68" t="n">
        <v>1</v>
      </c>
      <c r="T30" s="68" t="n">
        <v>1</v>
      </c>
      <c r="U30" s="68" t="n">
        <v>1</v>
      </c>
      <c r="V30" s="68" t="n">
        <v>1</v>
      </c>
    </row>
    <row r="31">
      <c r="A31" s="68" t="inlineStr">
        <is>
          <t>spring_phab_xcdenmid|Headwater (10 km2 and under)</t>
        </is>
      </c>
      <c r="B31" s="68" t="inlineStr">
        <is>
          <t>spring-phab-xcdenmid</t>
        </is>
      </c>
      <c r="C31" s="68" t="inlineStr">
        <is>
          <t>Canopy density, mid-channel</t>
        </is>
      </c>
      <c r="D31" s="68" t="inlineStr">
        <is>
          <t>Headwater (10 km2 and under)</t>
        </is>
      </c>
      <c r="E31" s="68" t="n">
        <v>5</v>
      </c>
      <c r="F31" s="68" t="inlineStr">
        <is>
          <t>55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8" t="n">
        <v>0</v>
      </c>
      <c r="H31" s="68" t="n">
        <v>40.45072501046317</v>
      </c>
      <c r="I31" s="68" t="n">
        <v>94.38502502441406</v>
      </c>
      <c r="J31" s="68" t="n">
        <v>99.13101577758789</v>
      </c>
      <c r="K31" s="68" t="n">
        <v>100</v>
      </c>
      <c r="L31" s="68" t="n">
        <v>100</v>
      </c>
      <c r="M31" s="68" t="n">
        <v>100</v>
      </c>
      <c r="N31" s="68" t="n">
        <v>100</v>
      </c>
      <c r="O31" s="68" t="n">
        <v>0</v>
      </c>
      <c r="P31" s="68" t="n">
        <v>0.3</v>
      </c>
      <c r="Q31" s="68" t="n">
        <v>0.7</v>
      </c>
      <c r="R31" s="68" t="n">
        <v>1</v>
      </c>
      <c r="S31" s="68" t="n">
        <v>1</v>
      </c>
      <c r="T31" s="68" t="n">
        <v>1</v>
      </c>
      <c r="U31" s="68" t="n">
        <v>1</v>
      </c>
      <c r="V31" s="68" t="n">
        <v>1</v>
      </c>
    </row>
    <row r="32">
      <c r="A32" s="68" t="inlineStr">
        <is>
          <t>spring_phab_xcdenmid|Small stream (10 to 100 km2)</t>
        </is>
      </c>
      <c r="B32" s="68" t="inlineStr">
        <is>
          <t>spring-phab-xcdenmid</t>
        </is>
      </c>
      <c r="C32" s="68" t="inlineStr">
        <is>
          <t>Canopy density, mid-channel</t>
        </is>
      </c>
      <c r="D32" s="68" t="inlineStr">
        <is>
          <t>Small stream (10 to 100 km2)</t>
        </is>
      </c>
      <c r="E32" s="68" t="n">
        <v>5</v>
      </c>
      <c r="F32" s="68" t="inlineStr">
        <is>
          <t>55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2" s="68" t="n">
        <v>0</v>
      </c>
      <c r="H32" s="68" t="n">
        <v>32.50095503670828</v>
      </c>
      <c r="I32" s="68" t="n">
        <v>75.83556175231934</v>
      </c>
      <c r="J32" s="68" t="n">
        <v>93.38235092163086</v>
      </c>
      <c r="K32" s="68" t="n">
        <v>100</v>
      </c>
      <c r="L32" s="68" t="n">
        <v>100</v>
      </c>
      <c r="M32" s="68" t="n">
        <v>100</v>
      </c>
      <c r="N32" s="68" t="n">
        <v>100</v>
      </c>
      <c r="O32" s="68" t="n">
        <v>0</v>
      </c>
      <c r="P32" s="68" t="n">
        <v>0.3</v>
      </c>
      <c r="Q32" s="68" t="n">
        <v>0.7</v>
      </c>
      <c r="R32" s="68" t="n">
        <v>1</v>
      </c>
      <c r="S32" s="68" t="n">
        <v>1</v>
      </c>
      <c r="T32" s="68" t="n">
        <v>1</v>
      </c>
      <c r="U32" s="68" t="n">
        <v>1</v>
      </c>
      <c r="V32" s="68" t="n">
        <v>1</v>
      </c>
    </row>
    <row r="33">
      <c r="A33" s="68" t="inlineStr">
        <is>
          <t>spring_phab_xcmgw|</t>
        </is>
      </c>
      <c r="B33" s="68" t="inlineStr">
        <is>
          <t>spring-phab-xcmgw</t>
        </is>
      </c>
      <c r="C33" s="68" t="inlineStr">
        <is>
          <t>Riparian veg cover, woody</t>
        </is>
      </c>
      <c r="D33" s="68" t="inlineStr"/>
      <c r="E33" s="68" t="n">
        <v>5</v>
      </c>
      <c r="F33" s="68" t="inlineStr">
        <is>
          <t>57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3" s="68" t="n">
        <v>0</v>
      </c>
      <c r="H33" s="68" t="n">
        <v>0.3754870125225612</v>
      </c>
      <c r="I33" s="68" t="n">
        <v>0.8761363625526428</v>
      </c>
      <c r="J33" s="68" t="n">
        <v>1.384090900421143</v>
      </c>
      <c r="K33" s="68" t="n">
        <v>1.638068169355392</v>
      </c>
      <c r="L33" s="68" t="n">
        <v>1.638068169355392</v>
      </c>
      <c r="M33" s="68" t="n">
        <v>1.638068169355392</v>
      </c>
      <c r="N33" s="68" t="n">
        <v>1.638068169355392</v>
      </c>
      <c r="O33" s="68" t="n">
        <v>0</v>
      </c>
      <c r="P33" s="68" t="n">
        <v>0.3</v>
      </c>
      <c r="Q33" s="68" t="n">
        <v>0.7</v>
      </c>
      <c r="R33" s="68" t="n">
        <v>1</v>
      </c>
      <c r="S33" s="68" t="n">
        <v>1</v>
      </c>
      <c r="T33" s="68" t="n">
        <v>1</v>
      </c>
      <c r="U33" s="68" t="n">
        <v>1</v>
      </c>
      <c r="V33" s="68" t="n">
        <v>1</v>
      </c>
    </row>
    <row r="34">
      <c r="A34" s="68" t="inlineStr">
        <is>
          <t>spring_chem_ntl|</t>
        </is>
      </c>
      <c r="B34" s="68" t="inlineStr">
        <is>
          <t>spring-chem-ntl</t>
        </is>
      </c>
      <c r="C34" s="68" t="inlineStr">
        <is>
          <t>Total nitrogen</t>
        </is>
      </c>
      <c r="D34" s="68" t="inlineStr"/>
      <c r="E34" s="68" t="n">
        <v>4</v>
      </c>
      <c r="F34" s="68" t="inlineStr">
        <is>
          <t>Scored against a published criterion rather than against stations from this ecoregion. The criterion carries its own definition of reference, which need not match this assessment's.</t>
        </is>
      </c>
      <c r="G34" s="68" t="n">
        <v>0</v>
      </c>
      <c r="H34" s="68" t="n">
        <v>0.2405</v>
      </c>
      <c r="I34" s="68" t="n">
        <v>0.456</v>
      </c>
      <c r="J34" s="68" t="n">
        <v>0.73615</v>
      </c>
      <c r="K34" s="68" t="n">
        <v>0.73615</v>
      </c>
      <c r="L34" s="68" t="n">
        <v>0.73615</v>
      </c>
      <c r="M34" s="68" t="n">
        <v>0.73615</v>
      </c>
      <c r="N34" s="68" t="n">
        <v>0.73615</v>
      </c>
      <c r="O34" s="68" t="n">
        <v>1</v>
      </c>
      <c r="P34" s="68" t="n">
        <v>0.6899999999999999</v>
      </c>
      <c r="Q34" s="68" t="n">
        <v>0.39</v>
      </c>
      <c r="R34" s="68" t="n">
        <v>0</v>
      </c>
      <c r="S34" s="68" t="n">
        <v>0</v>
      </c>
      <c r="T34" s="68" t="n">
        <v>0</v>
      </c>
      <c r="U34" s="68" t="n">
        <v>0</v>
      </c>
      <c r="V34" s="68" t="n">
        <v>0</v>
      </c>
    </row>
    <row r="35">
      <c r="A35" s="68" t="inlineStr">
        <is>
          <t>spring_chem_ptl|</t>
        </is>
      </c>
      <c r="B35" s="68" t="inlineStr">
        <is>
          <t>spring-chem-ptl</t>
        </is>
      </c>
      <c r="C35" s="68" t="inlineStr">
        <is>
          <t>Total phosphorus</t>
        </is>
      </c>
      <c r="D35" s="68" t="inlineStr"/>
      <c r="E35" s="68" t="n">
        <v>4</v>
      </c>
      <c r="F35" s="68" t="inlineStr">
        <is>
          <t>Scored against a published criterion rather than against stations from this ecoregion. The criterion carries its own definition of reference, which need not match this assessment's.</t>
        </is>
      </c>
      <c r="G35" s="68" t="n">
        <v>0</v>
      </c>
      <c r="H35" s="68" t="n">
        <v>14.85</v>
      </c>
      <c r="I35" s="68" t="n">
        <v>24.4</v>
      </c>
      <c r="J35" s="68" t="n">
        <v>36.815</v>
      </c>
      <c r="K35" s="68" t="n">
        <v>36.815</v>
      </c>
      <c r="L35" s="68" t="n">
        <v>36.815</v>
      </c>
      <c r="M35" s="68" t="n">
        <v>36.815</v>
      </c>
      <c r="N35" s="68" t="n">
        <v>36.815</v>
      </c>
      <c r="O35" s="68" t="n">
        <v>1</v>
      </c>
      <c r="P35" s="68" t="n">
        <v>0.6899999999999999</v>
      </c>
      <c r="Q35" s="68" t="n">
        <v>0.39</v>
      </c>
      <c r="R35" s="68" t="n">
        <v>0</v>
      </c>
      <c r="S35" s="68" t="n">
        <v>0</v>
      </c>
      <c r="T35" s="68" t="n">
        <v>0</v>
      </c>
      <c r="U35" s="68" t="n">
        <v>0</v>
      </c>
      <c r="V35" s="68" t="n">
        <v>0</v>
      </c>
    </row>
    <row r="36">
      <c r="A36" s="68" t="inlineStr">
        <is>
          <t>spring_chem_ph|</t>
        </is>
      </c>
      <c r="B36" s="68" t="inlineStr">
        <is>
          <t>spring-chem-ph</t>
        </is>
      </c>
      <c r="C36" s="68" t="inlineStr">
        <is>
          <t>pH</t>
        </is>
      </c>
      <c r="D36" s="68" t="inlineStr"/>
      <c r="E36" s="68" t="n">
        <v>8</v>
      </c>
      <c r="F36" s="68" t="inlineStr">
        <is>
          <t>47 least-disturbed stations borrowed from Level II ecoregion 8.3 (Southeastern Usa Plains) under the regional screen (agriculture at most 37.8 percent), transfer risk low</t>
        </is>
      </c>
      <c r="G36" s="68" t="n">
        <v>6.15000057220459</v>
      </c>
      <c r="H36" s="68" t="n">
        <v>6.660000324249268</v>
      </c>
      <c r="I36" s="68" t="n">
        <v>6.991500163078308</v>
      </c>
      <c r="J36" s="68" t="n">
        <v>7.170000076293945</v>
      </c>
      <c r="K36" s="68" t="n">
        <v>7.679999828338623</v>
      </c>
      <c r="L36" s="68" t="n">
        <v>7.85849974155426</v>
      </c>
      <c r="M36" s="68" t="n">
        <v>8.189999580383301</v>
      </c>
      <c r="N36" s="68" t="n">
        <v>8.699999332427979</v>
      </c>
      <c r="O36" s="68" t="n">
        <v>0</v>
      </c>
      <c r="P36" s="68" t="n">
        <v>0.3</v>
      </c>
      <c r="Q36" s="68" t="n">
        <v>0.7</v>
      </c>
      <c r="R36" s="68" t="n">
        <v>1</v>
      </c>
      <c r="S36" s="68" t="n">
        <v>1</v>
      </c>
      <c r="T36" s="68" t="n">
        <v>0.7</v>
      </c>
      <c r="U36" s="68" t="n">
        <v>0.3</v>
      </c>
      <c r="V36" s="68" t="n">
        <v>0</v>
      </c>
    </row>
    <row r="37">
      <c r="A37" s="68" t="inlineStr">
        <is>
          <t>spring_chem_cond|</t>
        </is>
      </c>
      <c r="B37" s="68" t="inlineStr">
        <is>
          <t>spring-chem-cond</t>
        </is>
      </c>
      <c r="C37" s="68" t="inlineStr">
        <is>
          <t>Specific conductivity</t>
        </is>
      </c>
      <c r="D37" s="68" t="inlineStr"/>
      <c r="E37" s="68" t="n">
        <v>4</v>
      </c>
      <c r="F37" s="68" t="inlineStr">
        <is>
          <t>Scored against a published criterion rather than against stations from this ecoregion. The criterion carries its own definition of reference, which need not match this assessment's.</t>
        </is>
      </c>
      <c r="G37" s="68" t="n">
        <v>0</v>
      </c>
      <c r="H37" s="68" t="n">
        <v>500.05</v>
      </c>
      <c r="I37" s="68" t="n">
        <v>1000.05</v>
      </c>
      <c r="J37" s="68" t="n">
        <v>1650.05</v>
      </c>
      <c r="K37" s="68" t="n">
        <v>1650.05</v>
      </c>
      <c r="L37" s="68" t="n">
        <v>1650.05</v>
      </c>
      <c r="M37" s="68" t="n">
        <v>1650.05</v>
      </c>
      <c r="N37" s="68" t="n">
        <v>1650.05</v>
      </c>
      <c r="O37" s="68" t="n">
        <v>1</v>
      </c>
      <c r="P37" s="68" t="n">
        <v>0.6899999999999999</v>
      </c>
      <c r="Q37" s="68" t="n">
        <v>0.39</v>
      </c>
      <c r="R37" s="68" t="n">
        <v>0</v>
      </c>
      <c r="S37" s="68" t="n">
        <v>0</v>
      </c>
      <c r="T37" s="68" t="n">
        <v>0</v>
      </c>
      <c r="U37" s="68" t="n">
        <v>0</v>
      </c>
      <c r="V37" s="68" t="n">
        <v>0</v>
      </c>
    </row>
    <row r="38">
      <c r="A38" s="68" t="inlineStr">
        <is>
          <t>spring_phab_xfc_nat|All streams (pooled)</t>
        </is>
      </c>
      <c r="B38" s="68" t="inlineStr">
        <is>
          <t>spring-phab-xfc-nat</t>
        </is>
      </c>
      <c r="C38" s="68" t="inlineStr">
        <is>
          <t>Natural fish cover</t>
        </is>
      </c>
      <c r="D38" s="68" t="inlineStr">
        <is>
          <t>All streams (pooled)</t>
        </is>
      </c>
      <c r="E38" s="68" t="n">
        <v>5</v>
      </c>
      <c r="F38" s="68" t="inlineStr">
        <is>
          <t>57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8" s="68" t="n">
        <v>0</v>
      </c>
      <c r="H38" s="68" t="n">
        <v>0.07499999872275762</v>
      </c>
      <c r="I38" s="68" t="n">
        <v>0.1749999970197678</v>
      </c>
      <c r="J38" s="68" t="n">
        <v>0.5272727012634277</v>
      </c>
      <c r="K38" s="68" t="n">
        <v>0.7034090533852577</v>
      </c>
      <c r="L38" s="68" t="n">
        <v>0.7034090533852577</v>
      </c>
      <c r="M38" s="68" t="n">
        <v>0.7034090533852577</v>
      </c>
      <c r="N38" s="68" t="n">
        <v>0.7034090533852577</v>
      </c>
      <c r="O38" s="68" t="n">
        <v>0</v>
      </c>
      <c r="P38" s="68" t="n">
        <v>0.3</v>
      </c>
      <c r="Q38" s="68" t="n">
        <v>0.7</v>
      </c>
      <c r="R38" s="68" t="n">
        <v>1</v>
      </c>
      <c r="S38" s="68" t="n">
        <v>1</v>
      </c>
      <c r="T38" s="68" t="n">
        <v>1</v>
      </c>
      <c r="U38" s="68" t="n">
        <v>1</v>
      </c>
      <c r="V38" s="68" t="n">
        <v>1</v>
      </c>
    </row>
    <row r="39">
      <c r="A39" s="68" t="inlineStr">
        <is>
          <t>spring_phab_xfc_nat|Headwater (10 km2 and under)</t>
        </is>
      </c>
      <c r="B39" s="68" t="inlineStr">
        <is>
          <t>spring-phab-xfc-nat</t>
        </is>
      </c>
      <c r="C39" s="68" t="inlineStr">
        <is>
          <t>Natural fish cover</t>
        </is>
      </c>
      <c r="D39" s="68" t="inlineStr">
        <is>
          <t>Headwater (10 km2 and under)</t>
        </is>
      </c>
      <c r="E39" s="68" t="n">
        <v>5</v>
      </c>
      <c r="F39" s="68" t="inlineStr">
        <is>
          <t>57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9" s="68" t="n">
        <v>0</v>
      </c>
      <c r="H39" s="68" t="n">
        <v>0.06769480449812752</v>
      </c>
      <c r="I39" s="68" t="n">
        <v>0.1579545438289642</v>
      </c>
      <c r="J39" s="68" t="n">
        <v>0.4511363655328751</v>
      </c>
      <c r="K39" s="68" t="n">
        <v>0.5977272763848305</v>
      </c>
      <c r="L39" s="68" t="n">
        <v>0.5977272763848305</v>
      </c>
      <c r="M39" s="68" t="n">
        <v>0.5977272763848305</v>
      </c>
      <c r="N39" s="68" t="n">
        <v>0.5977272763848305</v>
      </c>
      <c r="O39" s="68" t="n">
        <v>0</v>
      </c>
      <c r="P39" s="68" t="n">
        <v>0.3</v>
      </c>
      <c r="Q39" s="68" t="n">
        <v>0.7</v>
      </c>
      <c r="R39" s="68" t="n">
        <v>1</v>
      </c>
      <c r="S39" s="68" t="n">
        <v>1</v>
      </c>
      <c r="T39" s="68" t="n">
        <v>1</v>
      </c>
      <c r="U39" s="68" t="n">
        <v>1</v>
      </c>
      <c r="V39" s="68" t="n">
        <v>1</v>
      </c>
    </row>
    <row r="40">
      <c r="A40" s="68" t="inlineStr">
        <is>
          <t>spring_phab_xfc_nat|Small stream (10 to 100 km2)</t>
        </is>
      </c>
      <c r="B40" s="68" t="inlineStr">
        <is>
          <t>spring-phab-xfc-nat</t>
        </is>
      </c>
      <c r="C40" s="68" t="inlineStr">
        <is>
          <t>Natural fish cover</t>
        </is>
      </c>
      <c r="D40" s="68" t="inlineStr">
        <is>
          <t>Small stream (10 to 100 km2)</t>
        </is>
      </c>
      <c r="E40" s="68" t="n">
        <v>5</v>
      </c>
      <c r="F40" s="68" t="inlineStr">
        <is>
          <t>57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0" s="68" t="n">
        <v>0</v>
      </c>
      <c r="H40" s="68" t="n">
        <v>0.08449675089546613</v>
      </c>
      <c r="I40" s="68" t="n">
        <v>0.1971590854227543</v>
      </c>
      <c r="J40" s="68" t="n">
        <v>0.5517045333981514</v>
      </c>
      <c r="K40" s="68" t="n">
        <v>0.72897725738585</v>
      </c>
      <c r="L40" s="68" t="n">
        <v>0.72897725738585</v>
      </c>
      <c r="M40" s="68" t="n">
        <v>0.72897725738585</v>
      </c>
      <c r="N40" s="68" t="n">
        <v>0.72897725738585</v>
      </c>
      <c r="O40" s="68" t="n">
        <v>0</v>
      </c>
      <c r="P40" s="68" t="n">
        <v>0.3</v>
      </c>
      <c r="Q40" s="68" t="n">
        <v>0.7</v>
      </c>
      <c r="R40" s="68" t="n">
        <v>1</v>
      </c>
      <c r="S40" s="68" t="n">
        <v>1</v>
      </c>
      <c r="T40" s="68" t="n">
        <v>1</v>
      </c>
      <c r="U40" s="68" t="n">
        <v>1</v>
      </c>
      <c r="V40" s="68" t="n">
        <v>1</v>
      </c>
    </row>
    <row r="41">
      <c r="A41" s="68" t="inlineStr">
        <is>
          <t>spring_phab_pct_fast|</t>
        </is>
      </c>
      <c r="B41" s="68" t="inlineStr">
        <is>
          <t>spring-phab-pct-fast</t>
        </is>
      </c>
      <c r="C41" s="68" t="inlineStr">
        <is>
          <t>Fast-water / riffle habitat</t>
        </is>
      </c>
      <c r="D41" s="68" t="inlineStr"/>
      <c r="E41" s="68" t="n">
        <v>5</v>
      </c>
      <c r="F41"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0.53 of evaluation regions; two thirds required; net optimism +0.09, at most 0.05 allowed); confidence capped at 39.</t>
        </is>
      </c>
      <c r="G41" s="68" t="n">
        <v>0</v>
      </c>
      <c r="H41" s="68" t="n">
        <v>1.169024067265647</v>
      </c>
      <c r="I41" s="68" t="n">
        <v>2.727722823619843</v>
      </c>
      <c r="J41" s="68" t="n">
        <v>37</v>
      </c>
      <c r="K41" s="68" t="n">
        <v>54.13613858819008</v>
      </c>
      <c r="L41" s="68" t="n">
        <v>54.13613858819008</v>
      </c>
      <c r="M41" s="68" t="n">
        <v>54.13613858819008</v>
      </c>
      <c r="N41" s="68" t="n">
        <v>54.13613858819008</v>
      </c>
      <c r="O41" s="68" t="n">
        <v>0</v>
      </c>
      <c r="P41" s="68" t="n">
        <v>0.3</v>
      </c>
      <c r="Q41" s="68" t="n">
        <v>0.7</v>
      </c>
      <c r="R41" s="68" t="n">
        <v>1</v>
      </c>
      <c r="S41" s="68" t="n">
        <v>1</v>
      </c>
      <c r="T41" s="68" t="n">
        <v>1</v>
      </c>
      <c r="U41" s="68" t="n">
        <v>1</v>
      </c>
      <c r="V41" s="68" t="n">
        <v>1</v>
      </c>
    </row>
    <row r="42">
      <c r="A42" s="68" t="inlineStr">
        <is>
          <t>spring_bent_totlntax|</t>
        </is>
      </c>
      <c r="B42" s="68" t="inlineStr">
        <is>
          <t>spring-bent-totlntax</t>
        </is>
      </c>
      <c r="C42" s="68" t="inlineStr">
        <is>
          <t>Benthic total taxa richness</t>
        </is>
      </c>
      <c r="D42" s="68" t="inlineStr"/>
      <c r="E42" s="68" t="n">
        <v>5</v>
      </c>
      <c r="F42" s="68" t="inlineStr">
        <is>
          <t>27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+0.08, at most 0.05 allowed); confidence capped at 39.</t>
        </is>
      </c>
      <c r="G42" s="68" t="n">
        <v>0</v>
      </c>
      <c r="H42" s="68" t="n">
        <v>19.5</v>
      </c>
      <c r="I42" s="68" t="n">
        <v>45.5</v>
      </c>
      <c r="J42" s="68" t="n">
        <v>55.5</v>
      </c>
      <c r="K42" s="68" t="n">
        <v>60.5</v>
      </c>
      <c r="L42" s="68" t="n">
        <v>60.5</v>
      </c>
      <c r="M42" s="68" t="n">
        <v>60.5</v>
      </c>
      <c r="N42" s="68" t="n">
        <v>60.5</v>
      </c>
      <c r="O42" s="68" t="n">
        <v>0</v>
      </c>
      <c r="P42" s="68" t="n">
        <v>0.3</v>
      </c>
      <c r="Q42" s="68" t="n">
        <v>0.7</v>
      </c>
      <c r="R42" s="68" t="n">
        <v>1</v>
      </c>
      <c r="S42" s="68" t="n">
        <v>1</v>
      </c>
      <c r="T42" s="68" t="n">
        <v>1</v>
      </c>
      <c r="U42" s="68" t="n">
        <v>1</v>
      </c>
      <c r="V42" s="68" t="n">
        <v>1</v>
      </c>
    </row>
    <row r="43">
      <c r="A43" s="68" t="inlineStr">
        <is>
          <t>spring_fish_nat_totlntax|</t>
        </is>
      </c>
      <c r="B43" s="68" t="inlineStr">
        <is>
          <t>spring-fish-nat-totlntax</t>
        </is>
      </c>
      <c r="C43" s="68" t="inlineStr">
        <is>
          <t>Native fish taxa richness</t>
        </is>
      </c>
      <c r="D43" s="68" t="inlineStr"/>
      <c r="E43" s="68" t="n">
        <v>5</v>
      </c>
      <c r="F43" s="68" t="inlineStr">
        <is>
          <t>17 least-disturbed stations borrowed from NARS-9 region SAP under the regional screen (agriculture at most 37.8 percent), transfer risk moderate</t>
        </is>
      </c>
      <c r="G43" s="68" t="n">
        <v>0</v>
      </c>
      <c r="H43" s="68" t="n">
        <v>3.428571428571428</v>
      </c>
      <c r="I43" s="68" t="n">
        <v>8</v>
      </c>
      <c r="J43" s="68" t="n">
        <v>14</v>
      </c>
      <c r="K43" s="68" t="n">
        <v>17</v>
      </c>
      <c r="L43" s="68" t="n">
        <v>17</v>
      </c>
      <c r="M43" s="68" t="n">
        <v>17</v>
      </c>
      <c r="N43" s="68" t="n">
        <v>17</v>
      </c>
      <c r="O43" s="68" t="n">
        <v>0</v>
      </c>
      <c r="P43" s="68" t="n">
        <v>0.3</v>
      </c>
      <c r="Q43" s="68" t="n">
        <v>0.7</v>
      </c>
      <c r="R43" s="68" t="n">
        <v>1</v>
      </c>
      <c r="S43" s="68" t="n">
        <v>1</v>
      </c>
      <c r="T43" s="68" t="n">
        <v>1</v>
      </c>
      <c r="U43" s="68" t="n">
        <v>1</v>
      </c>
      <c r="V43" s="68" t="n">
        <v>1</v>
      </c>
    </row>
    <row r="44">
      <c r="A44" s="68" t="inlineStr">
        <is>
          <t>spring_bent_ept_ntax|</t>
        </is>
      </c>
      <c r="B44" s="68" t="inlineStr">
        <is>
          <t>spring-bent-ept-ntax</t>
        </is>
      </c>
      <c r="C44" s="68" t="inlineStr">
        <is>
          <t>EPT taxa richness</t>
        </is>
      </c>
      <c r="D44" s="68" t="inlineStr"/>
      <c r="E44" s="68" t="n">
        <v>5</v>
      </c>
      <c r="F44" s="68" t="inlineStr">
        <is>
          <t>27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net optimism +0.05, at most 0.05 allowed); confidence capped at 39.</t>
        </is>
      </c>
      <c r="G44" s="68" t="n">
        <v>0</v>
      </c>
      <c r="H44" s="68" t="n">
        <v>4.928571428571429</v>
      </c>
      <c r="I44" s="68" t="n">
        <v>11.5</v>
      </c>
      <c r="J44" s="68" t="n">
        <v>19</v>
      </c>
      <c r="K44" s="68" t="n">
        <v>22.75</v>
      </c>
      <c r="L44" s="68" t="n">
        <v>22.75</v>
      </c>
      <c r="M44" s="68" t="n">
        <v>22.75</v>
      </c>
      <c r="N44" s="68" t="n">
        <v>22.75</v>
      </c>
      <c r="O44" s="68" t="n">
        <v>0</v>
      </c>
      <c r="P44" s="68" t="n">
        <v>0.3</v>
      </c>
      <c r="Q44" s="68" t="n">
        <v>0.7</v>
      </c>
      <c r="R44" s="68" t="n">
        <v>1</v>
      </c>
      <c r="S44" s="68" t="n">
        <v>1</v>
      </c>
      <c r="T44" s="68" t="n">
        <v>1</v>
      </c>
      <c r="U44" s="68" t="n">
        <v>1</v>
      </c>
      <c r="V44" s="68" t="n">
        <v>1</v>
      </c>
    </row>
    <row r="45">
      <c r="A45" s="68" t="inlineStr">
        <is>
          <t>spring_bent_mmi_bent|</t>
        </is>
      </c>
      <c r="B45" s="68" t="inlineStr">
        <is>
          <t>spring-bent-mmi-bent</t>
        </is>
      </c>
      <c r="C45" s="68" t="inlineStr">
        <is>
          <t>Benthic macroinvertebrate MMI</t>
        </is>
      </c>
      <c r="D45" s="68" t="inlineStr"/>
      <c r="E45" s="68" t="n">
        <v>4</v>
      </c>
      <c r="F45" s="68" t="inlineStr">
        <is>
          <t>Scored against a published criterion rather than against stations from this ecoregion. The criterion carries its own definition of reference, which need not match this assessment's.</t>
        </is>
      </c>
      <c r="G45" s="68" t="n">
        <v>12.335</v>
      </c>
      <c r="H45" s="68" t="n">
        <v>30.795</v>
      </c>
      <c r="I45" s="68" t="n">
        <v>44.995</v>
      </c>
      <c r="J45" s="68" t="n">
        <v>59.668333</v>
      </c>
      <c r="K45" s="68" t="n">
        <v>59.668333</v>
      </c>
      <c r="L45" s="68" t="n">
        <v>59.668333</v>
      </c>
      <c r="M45" s="68" t="n">
        <v>59.668333</v>
      </c>
      <c r="N45" s="68" t="n">
        <v>59.668333</v>
      </c>
      <c r="O45" s="68" t="n">
        <v>0</v>
      </c>
      <c r="P45" s="68" t="n">
        <v>0.39</v>
      </c>
      <c r="Q45" s="68" t="n">
        <v>0.6899999999999999</v>
      </c>
      <c r="R45" s="68" t="n">
        <v>1</v>
      </c>
      <c r="S45" s="68" t="n">
        <v>1</v>
      </c>
      <c r="T45" s="68" t="n">
        <v>1</v>
      </c>
      <c r="U45" s="68" t="n">
        <v>1</v>
      </c>
      <c r="V45" s="68" t="n">
        <v>1</v>
      </c>
    </row>
    <row r="46">
      <c r="A46" s="68" t="inlineStr">
        <is>
          <t>spring_nid_dams_1mi|</t>
        </is>
      </c>
      <c r="B46" s="68" t="inlineStr">
        <is>
          <t>spring-nid-dams-1mi</t>
        </is>
      </c>
      <c r="C46" s="68" t="inlineStr">
        <is>
          <t>Mapped dams within one mile</t>
        </is>
      </c>
      <c r="D46" s="68" t="inlineStr"/>
      <c r="E46" s="68" t="n">
        <v>4</v>
      </c>
      <c r="F46" s="68" t="inlineStr">
        <is>
          <t>Fixed criteria, the same in every region</t>
        </is>
      </c>
      <c r="G46" s="68" t="n">
        <v>0</v>
      </c>
      <c r="H46" s="68" t="n">
        <v>1</v>
      </c>
      <c r="I46" s="68" t="n">
        <v>2</v>
      </c>
      <c r="J46" s="68" t="n">
        <v>3</v>
      </c>
      <c r="K46" s="68" t="n">
        <v>3</v>
      </c>
      <c r="L46" s="68" t="n">
        <v>3</v>
      </c>
      <c r="M46" s="68" t="n">
        <v>3</v>
      </c>
      <c r="N46" s="68" t="n">
        <v>3</v>
      </c>
      <c r="O46" s="68" t="n">
        <v>1</v>
      </c>
      <c r="P46" s="68" t="n">
        <v>0.545</v>
      </c>
      <c r="Q46" s="68" t="n">
        <v>0.195</v>
      </c>
      <c r="R46" s="68" t="n">
        <v>0</v>
      </c>
      <c r="S46" s="68" t="n">
        <v>0</v>
      </c>
      <c r="T46" s="68" t="n">
        <v>0</v>
      </c>
      <c r="U46" s="68" t="n">
        <v>0</v>
      </c>
      <c r="V46" s="68" t="n">
        <v>0</v>
      </c>
    </row>
    <row r="49">
      <c r="A49" s="71" t="inlineStr">
        <is>
          <t>Curve sets by metric</t>
        </is>
      </c>
    </row>
    <row r="50">
      <c r="A50" s="68" t="inlineStr">
        <is>
          <t>All streams (pooled)</t>
        </is>
      </c>
      <c r="B50" s="5" t="inlineStr">
        <is>
          <t>Bankfull width:depth ratio</t>
        </is>
      </c>
    </row>
    <row r="51">
      <c r="A51" s="68" t="inlineStr">
        <is>
          <t>Headwater (10 km2 and under)</t>
        </is>
      </c>
      <c r="B51" s="5" t="inlineStr">
        <is>
          <t>Bankfull width:depth ratio</t>
        </is>
      </c>
    </row>
    <row r="52">
      <c r="A52" s="68" t="inlineStr">
        <is>
          <t>Small stream (10 to 100 km2)</t>
        </is>
      </c>
      <c r="B52" s="5" t="inlineStr">
        <is>
          <t>Bankfull width:depth ratio</t>
        </is>
      </c>
    </row>
    <row r="53">
      <c r="A53" s="68" t="inlineStr">
        <is>
          <t>Large stream (over 100 km2)</t>
        </is>
      </c>
      <c r="B53" s="5" t="inlineStr">
        <is>
          <t>Bankfull width:depth ratio</t>
        </is>
      </c>
    </row>
    <row r="54">
      <c r="A54" s="68" t="inlineStr">
        <is>
          <t>All streams (pooled)</t>
        </is>
      </c>
      <c r="B54" s="5" t="inlineStr">
        <is>
          <t>Bankfull height above channel</t>
        </is>
      </c>
    </row>
    <row r="55">
      <c r="A55" s="68" t="inlineStr">
        <is>
          <t>Headwater (10 km2 and under)</t>
        </is>
      </c>
      <c r="B55" s="5" t="inlineStr">
        <is>
          <t>Bankfull height above channel</t>
        </is>
      </c>
    </row>
    <row r="56">
      <c r="A56" s="68" t="inlineStr">
        <is>
          <t>Small stream (10 to 100 km2)</t>
        </is>
      </c>
      <c r="B56" s="5" t="inlineStr">
        <is>
          <t>Bankfull height above channel</t>
        </is>
      </c>
    </row>
    <row r="57">
      <c r="A57" s="68" t="inlineStr">
        <is>
          <t>Large stream (over 100 km2)</t>
        </is>
      </c>
      <c r="B57" s="5" t="inlineStr">
        <is>
          <t>Bankfull height above channel</t>
        </is>
      </c>
    </row>
    <row r="58">
      <c r="A58" s="68" t="inlineStr">
        <is>
          <t>All streams (pooled)</t>
        </is>
      </c>
      <c r="B58" s="5" t="inlineStr">
        <is>
          <t>Relative bed stability</t>
        </is>
      </c>
    </row>
    <row r="59">
      <c r="A59" s="68" t="inlineStr">
        <is>
          <t>Headwater (10 km2 and under)</t>
        </is>
      </c>
      <c r="B59" s="5" t="inlineStr">
        <is>
          <t>Relative bed stability</t>
        </is>
      </c>
    </row>
    <row r="60">
      <c r="A60" s="68" t="inlineStr">
        <is>
          <t>Small stream (10 to 100 km2)</t>
        </is>
      </c>
      <c r="B60" s="5" t="inlineStr">
        <is>
          <t>Relative bed stability</t>
        </is>
      </c>
    </row>
    <row r="61">
      <c r="A61" s="68" t="inlineStr">
        <is>
          <t>Large stream (over 100 km2)</t>
        </is>
      </c>
      <c r="B61" s="5" t="inlineStr">
        <is>
          <t>Relative bed stability</t>
        </is>
      </c>
    </row>
    <row r="62">
      <c r="A62" s="68" t="inlineStr">
        <is>
          <t>All streams (pooled)</t>
        </is>
      </c>
      <c r="B62" s="5" t="inlineStr">
        <is>
          <t>Canopy density, mid-channel</t>
        </is>
      </c>
    </row>
    <row r="63">
      <c r="A63" s="68" t="inlineStr">
        <is>
          <t>Headwater (10 km2 and under)</t>
        </is>
      </c>
      <c r="B63" s="5" t="inlineStr">
        <is>
          <t>Canopy density, mid-channel</t>
        </is>
      </c>
    </row>
    <row r="64">
      <c r="A64" s="68" t="inlineStr">
        <is>
          <t>Small stream (10 to 100 km2)</t>
        </is>
      </c>
      <c r="B64" s="5" t="inlineStr">
        <is>
          <t>Canopy density, mid-channel</t>
        </is>
      </c>
    </row>
    <row r="65">
      <c r="A65" s="68" t="inlineStr">
        <is>
          <t>All streams (pooled)</t>
        </is>
      </c>
      <c r="B65" s="5" t="inlineStr">
        <is>
          <t>Natural fish cover</t>
        </is>
      </c>
    </row>
    <row r="66">
      <c r="A66" s="68" t="inlineStr">
        <is>
          <t>Headwater (10 km2 and under)</t>
        </is>
      </c>
      <c r="B66" s="5" t="inlineStr">
        <is>
          <t>Natural fish cover</t>
        </is>
      </c>
    </row>
    <row r="67">
      <c r="A67" s="68" t="inlineStr">
        <is>
          <t>Small stream (10 to 100 km2)</t>
        </is>
      </c>
      <c r="B67" s="5" t="inlineStr">
        <is>
          <t>Natural fish cover</t>
        </is>
      </c>
    </row>
    <row r="70">
      <c r="A70" s="71" t="inlineStr">
        <is>
          <t>Condition classes</t>
        </is>
      </c>
    </row>
    <row r="71">
      <c r="A71" t="inlineStr">
        <is>
          <t>Metric index: at or below 0.39 Non-Functioning, at or below 0.69 Functioning At-Risk, above Functioning.</t>
        </is>
      </c>
    </row>
    <row r="72">
      <c r="A72" t="inlineStr">
        <is>
          <t>Function score (0 to 15): at or below 5 Non-Functioning, at or below 10 Functioning At-Risk, above Functioning.</t>
        </is>
      </c>
    </row>
    <row r="73">
      <c r="A73"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northern-piedmont</t>
        </is>
      </c>
    </row>
    <row r="5">
      <c r="A5" s="68" t="inlineStr">
        <is>
          <t>Assessment name</t>
        </is>
      </c>
      <c r="B5" s="68" t="inlineStr">
        <is>
          <t>Northern Piedmont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sha256:09ae1a8c033c66db35838eed39ca7248e6522810e202cdb9ac70d6b1192b8913</t>
        </is>
      </c>
    </row>
    <row r="9">
      <c r="A9" s="68" t="inlineStr">
        <is>
          <t>Region</t>
        </is>
      </c>
      <c r="B9" s="68" t="inlineStr">
        <is>
          <t>ecoregion 64 Northern Piedmont</t>
        </is>
      </c>
    </row>
    <row r="10">
      <c r="A10" s="68" t="inlineStr">
        <is>
          <t>Source</t>
        </is>
      </c>
      <c r="B10" s="68" t="inlineStr">
        <is>
          <t>USEPA NRSA 2013-24 (L3 ecoregion 64),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1" t="inlineStr">
        <is>
          <t>Function</t>
        </is>
      </c>
      <c r="B2" s="71" t="inlineStr">
        <is>
          <t>Score</t>
        </is>
      </c>
      <c r="C2" s="71" t="inlineStr">
        <is>
          <t>Non-Functioning (0-5)</t>
        </is>
      </c>
      <c r="D2" s="71" t="inlineStr">
        <is>
          <t>Functioning At-Risk (6-10)</t>
        </is>
      </c>
      <c r="E2" s="71"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71" t="inlineStr">
        <is>
          <t>Outcome</t>
        </is>
      </c>
      <c r="B24" s="71" t="inlineStr">
        <is>
          <t>Score</t>
        </is>
      </c>
      <c r="C24" s="71" t="inlineStr">
        <is>
          <t>Non-Functioning (0.00-0.39)</t>
        </is>
      </c>
      <c r="D24" s="71" t="inlineStr">
        <is>
          <t>Functioning At-Risk (0.40-0.69)</t>
        </is>
      </c>
      <c r="E24" s="71"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2026-09-30T07:04:58Z</dcterms:created>
  <dcterms:modified xmlns:dcterms="http://purl.org/dc/terms/" xmlns:xsi="http://www.w3.org/2001/XMLSchema-instance" xsi:type="dcterms:W3CDTF">2026-09-30T07:04:58Z</dcterms:modified>
  <cp:lastModifiedBy>DEEP</cp:lastModifiedBy>
  <cp:contentStatus>Draft</cp:contentStatus>
</cp:coreProperties>
</file>