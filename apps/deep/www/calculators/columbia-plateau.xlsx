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'Reference'!$A$5:$A$43</definedName>
    <definedName name="curve_x1">'Reference'!$G$5:$G$43</definedName>
    <definedName name="curve_y1">'Reference'!$O$5:$O$43</definedName>
    <definedName name="curve_x2">'Reference'!$H$5:$H$43</definedName>
    <definedName name="curve_y2">'Reference'!$P$5:$P$43</definedName>
    <definedName name="curve_x3">'Reference'!$I$5:$I$43</definedName>
    <definedName name="curve_y3">'Reference'!$Q$5:$Q$43</definedName>
    <definedName name="curve_x4">'Reference'!$J$5:$J$43</definedName>
    <definedName name="curve_y4">'Reference'!$R$5:$R$43</definedName>
    <definedName name="curve_x5">'Reference'!$K$5:$K$43</definedName>
    <definedName name="curve_y5">'Reference'!$S$5:$S$43</definedName>
    <definedName name="curve_x6">'Reference'!$L$5:$L$43</definedName>
    <definedName name="curve_y6">'Reference'!$T$5:$T$43</definedName>
    <definedName name="curve_x7">'Reference'!$M$5:$M$43</definedName>
    <definedName name="curve_y7">'Reference'!$U$5:$U$43</definedName>
    <definedName name="curve_x8">'Reference'!$N$5:$N$43</definedName>
    <definedName name="curve_y8">'Reference'!$V$5:$V$43</definedName>
    <definedName name="strata_spring_phab_bfwd_rat">'Reference'!$A$47:$A$49</definedName>
    <definedName name="strata_spring_phab_xbkf_h">'Reference'!$A$50:$A$52</definedName>
    <definedName name="strata_spring_phab_xcdenmid">'Reference'!$A$53:$A$55</definedName>
    <definedName name="strata_spring_phab_pct_fast">'Reference'!$A$56:$A$59</definedName>
    <definedName name="strata_spring_phab_xfc_nat">'Reference'!$A$60:$A$62</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sub_dmm">'Metrics'!$V$18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fish_nat_totlntax">'Metrics'!$V$29</definedName>
    <definedName name="idx_spring_bent_ept_n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sub_dmm">'DEEP Score'!$E$31</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bent_totlntax">'DEEP Score'!$E$42</definedName>
    <definedName name="in_spring_fish_nat_totlntax">'DEEP Score'!$E$43</definedName>
    <definedName name="in_spring_bent_ept_ntax">'DEEP Score'!$E$44</definedName>
    <definedName name="in_spring_bent_hprime">'DEEP Score'!$E$45</definedName>
    <definedName name="in_spring_nid_dams_1mi">'DEEP Score'!$E$46</definedName>
    <definedName name="site_notes">'DEEP Score'!$A$62</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0" fillId="4" borderId="6" applyAlignment="1" applyProtection="1" pivotButton="0" quotePrefix="0" xfId="0">
      <alignment horizontal="left" vertical="center" wrapText="1"/>
      <protection locked="0" hidden="0"/>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Columbia Plateau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65" customHeight="1">
      <c r="A5" s="4" t="inlineStr">
        <is>
          <t>Reference condition. Reference condition is set by a fixed landscape-pressure screen, never by a score. 7 curves are fitted to least-disturbed stations of this ecoregion. 2 curves are fitted to this ecoregion's own streams under the documented regional screen, which relaxes agriculture only. 13 borrow comparable least-disturbed stations from a wider region, stating the region and the transfer risk. 3 carry the national reference label: reference curve fitted to comparable least-disturbed stations drawn from the national pool, because this ecoregion and its parents hold too few of their own. 4 carry the published benchmark label: scored against a published criterion rather than against stations from this ecoregion. The criterion carries its own definition of reference, which need not match this assessment's. 8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7"/>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Columbia Plateau reference assessment</t>
        </is>
      </c>
    </row>
    <row r="3">
      <c r="A3" s="5" t="inlineStr">
        <is>
          <t>Version 1 | Draft | USEPA NRSA 2013-24 (L3 ecoregion 10),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40" t="inlineStr">
        <is>
          <t>All streams (pooled)</t>
        </is>
      </c>
      <c r="G19" s="26">
        <f>IF('Metrics'!$V$11="","",'Metrics'!$V$11)</f>
        <v/>
      </c>
      <c r="H19" s="21" t="n"/>
      <c r="I19" s="27" t="n"/>
    </row>
    <row r="20">
      <c r="A20" s="41" t="inlineStr">
        <is>
          <t>Hydraulics</t>
        </is>
      </c>
      <c r="B20" s="29" t="inlineStr">
        <is>
          <t>High flow dynamics</t>
        </is>
      </c>
      <c r="C20" s="30" t="inlineStr">
        <is>
          <t>Impervious surface</t>
        </is>
      </c>
      <c r="D20" s="31" t="inlineStr">
        <is>
          <t>%</t>
        </is>
      </c>
      <c r="E20" s="42">
        <f>IF('DEEP Score'!$E$12="","",'DEEP Score'!$E$12)</f>
        <v/>
      </c>
      <c r="F20" s="43"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38">
        <f>IF('DEEP Score'!$E$19="","",'DEEP Score'!$E$19)</f>
        <v/>
      </c>
      <c r="F21" s="39">
        <f>IF('DEEP Score'!$F$19="","",'DEEP Score'!$F$19)</f>
        <v/>
      </c>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0" t="inlineStr">
        <is>
          <t>All streams (pooled)</t>
        </is>
      </c>
      <c r="G22" s="26">
        <f>IF('Metrics'!$V$12="","",'Metrics'!$V$12)</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4" t="inlineStr">
        <is>
          <t>Geomorphology</t>
        </is>
      </c>
      <c r="B25" s="12" t="inlineStr">
        <is>
          <t>Channel evolution</t>
        </is>
      </c>
      <c r="C25" s="13" t="inlineStr">
        <is>
          <t>Bankfull width:depth ratio</t>
        </is>
      </c>
      <c r="D25" s="14" t="inlineStr"/>
      <c r="E25" s="38">
        <f>IF('DEEP Score'!$E$19="","",'DEEP Score'!$E$19)</f>
        <v/>
      </c>
      <c r="F25" s="39">
        <f>IF('DEEP Score'!$F$19="","",'DEEP Score'!$F$19)</f>
        <v/>
      </c>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5">
        <f>IF('DEEP Score'!$E$22="","",'DEEP Score'!$E$22)</f>
        <v/>
      </c>
      <c r="F26" s="46">
        <f>IF('DEEP Score'!$F$22="","",'DEEP Score'!$F$22)</f>
        <v/>
      </c>
      <c r="G26" s="26">
        <f>IF('Metrics'!$V$12="","",'Metrics'!$V$12)</f>
        <v/>
      </c>
      <c r="H26" s="21" t="n"/>
      <c r="I26" s="27" t="n"/>
    </row>
    <row r="27">
      <c r="A27" s="44"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4" t="inlineStr">
        <is>
          <t>Geomorphology</t>
        </is>
      </c>
      <c r="B29" s="12" t="inlineStr">
        <is>
          <t>Sediment continuity</t>
        </is>
      </c>
      <c r="C29" s="13" t="inlineStr">
        <is>
          <t>Relative bed stability</t>
        </is>
      </c>
      <c r="D29" s="14" t="inlineStr">
        <is>
          <t>log</t>
        </is>
      </c>
      <c r="E29" s="15" t="n"/>
      <c r="F29" s="16" t="inlineStr"/>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IF('Metrics'!$V$13="","",'Metrics'!$V$13)</f>
        <v/>
      </c>
      <c r="H30" s="21" t="n"/>
      <c r="I30" s="27" t="n"/>
    </row>
    <row r="31">
      <c r="A31" s="44" t="inlineStr">
        <is>
          <t>Geomorphology</t>
        </is>
      </c>
      <c r="B31" s="12" t="inlineStr">
        <is>
          <t>Bed composition and bedform dynamics</t>
        </is>
      </c>
      <c r="C31" s="13" t="inlineStr">
        <is>
          <t>Substrate size</t>
        </is>
      </c>
      <c r="D31" s="14" t="inlineStr">
        <is>
          <t>log mm</t>
        </is>
      </c>
      <c r="E31" s="15" t="n"/>
      <c r="F31" s="16" t="inlineStr"/>
      <c r="G31" s="17">
        <f>IF('Metrics'!$V$18="","",'Metrics'!$V$18)</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5">
        <f>IF('DEEP Score'!$E$24="","",'DEEP Score'!$E$24)</f>
        <v/>
      </c>
      <c r="F32" s="46" t="inlineStr"/>
      <c r="G32" s="26">
        <f>IF('Metrics'!$V$14="","",'Metrics'!$V$14)</f>
        <v/>
      </c>
      <c r="H32" s="21" t="n"/>
      <c r="I32" s="27" t="n"/>
    </row>
    <row r="33">
      <c r="A33" s="47"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0" t="inlineStr">
        <is>
          <t>All streams (pooled)</t>
        </is>
      </c>
      <c r="G34" s="26">
        <f>IF('Metrics'!$V$20="","",'Metrics'!$V$20)</f>
        <v/>
      </c>
      <c r="H34" s="21" t="n"/>
      <c r="I34" s="27" t="n"/>
    </row>
    <row r="35">
      <c r="A35" s="48" t="inlineStr">
        <is>
          <t>Physicochemistry</t>
        </is>
      </c>
      <c r="B35" s="29" t="inlineStr">
        <is>
          <t>Carbon processing</t>
        </is>
      </c>
      <c r="C35" s="30" t="inlineStr">
        <is>
          <t>Riparian veg cover, woody</t>
        </is>
      </c>
      <c r="D35" s="31" t="inlineStr">
        <is>
          <t>frac</t>
        </is>
      </c>
      <c r="E35" s="32" t="n"/>
      <c r="F35" s="33" t="inlineStr"/>
      <c r="G35" s="34">
        <f>IF('Metrics'!$V$21="","",'Metrics'!$V$21)</f>
        <v/>
      </c>
      <c r="H35" s="35">
        <f>IF('Results'!$B$17="","",'Results'!$B$17)</f>
        <v/>
      </c>
      <c r="I35" s="36">
        <f>IF('DEEP Score'!$H$35="","",IF('DEEP Score'!$H$35&lt;=5,"Non-Functioning",IF('DEEP Score'!$H$35&lt;=10,"Functioning At-Risk","Functioning")))</f>
        <v/>
      </c>
    </row>
    <row r="36">
      <c r="A36" s="47" t="inlineStr">
        <is>
          <t>Physicochemistry</t>
        </is>
      </c>
      <c r="B36" s="12" t="inlineStr">
        <is>
          <t>Nutrient cycling</t>
        </is>
      </c>
      <c r="C36" s="13" t="inlineStr">
        <is>
          <t>Total nitrogen</t>
        </is>
      </c>
      <c r="D36" s="14" t="inlineStr">
        <is>
          <t>mg N/L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IF('Metrics'!$V$23="","",'Metrics'!$V$23)</f>
        <v/>
      </c>
      <c r="H37" s="21" t="n"/>
      <c r="I37" s="27" t="n"/>
    </row>
    <row r="38">
      <c r="A38" s="47" t="inlineStr">
        <is>
          <t>Physicochemistry</t>
        </is>
      </c>
      <c r="B38" s="12" t="inlineStr">
        <is>
          <t>Water &amp; soil quality</t>
        </is>
      </c>
      <c r="C38" s="13" t="inlineStr">
        <is>
          <t>pH</t>
        </is>
      </c>
      <c r="D38" s="14" t="inlineStr">
        <is>
          <t>Std. Units</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IF('Metrics'!$V$25="","",'Metrics'!$V$25)</f>
        <v/>
      </c>
      <c r="H39" s="21" t="n"/>
      <c r="I39" s="27" t="n"/>
    </row>
    <row r="40">
      <c r="A40" s="49" t="inlineStr">
        <is>
          <t>Biology</t>
        </is>
      </c>
      <c r="B40" s="12" t="inlineStr">
        <is>
          <t>Habitat provision</t>
        </is>
      </c>
      <c r="C40" s="13" t="inlineStr">
        <is>
          <t>Fast-water / riffle habitat</t>
        </is>
      </c>
      <c r="D40" s="14" t="inlineStr">
        <is>
          <t>%</t>
        </is>
      </c>
      <c r="E40" s="15" t="n"/>
      <c r="F40" s="50" t="inlineStr">
        <is>
          <t>All streams (pooled)</t>
        </is>
      </c>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40" t="inlineStr">
        <is>
          <t>All streams (pooled)</t>
        </is>
      </c>
      <c r="G41" s="26">
        <f>IF('Metrics'!$V$27="","",'Metrics'!$V$27)</f>
        <v/>
      </c>
      <c r="H41" s="21" t="n"/>
      <c r="I41" s="27" t="n"/>
    </row>
    <row r="42">
      <c r="A42" s="49" t="inlineStr">
        <is>
          <t>Biology</t>
        </is>
      </c>
      <c r="B42" s="12" t="inlineStr">
        <is>
          <t>Population support</t>
        </is>
      </c>
      <c r="C42" s="13" t="inlineStr">
        <is>
          <t>Benthic total taxa richness</t>
        </is>
      </c>
      <c r="D42" s="14" t="inlineStr"/>
      <c r="E42" s="15" t="n"/>
      <c r="F42" s="16" t="inlineStr"/>
      <c r="G42" s="17">
        <f>IF('Metrics'!$V$28="","",'Metrics'!$V$28)</f>
        <v/>
      </c>
      <c r="H42" s="18">
        <f>IF('Results'!$B$21="","",'Results'!$B$21)</f>
        <v/>
      </c>
      <c r="I42" s="19">
        <f>IF('DEEP Score'!$H$42="","",IF('DEEP Score'!$H$42&lt;=5,"Non-Functioning",IF('DEEP Score'!$H$42&lt;=10,"Functioning At-Risk","Functioning")))</f>
        <v/>
      </c>
    </row>
    <row r="43">
      <c r="A43" s="20" t="n"/>
      <c r="B43" s="21" t="n"/>
      <c r="C43" s="22" t="inlineStr">
        <is>
          <t>Native fish taxa richness</t>
        </is>
      </c>
      <c r="D43" s="23" t="inlineStr"/>
      <c r="E43" s="24" t="n"/>
      <c r="F43" s="25" t="inlineStr"/>
      <c r="G43" s="26">
        <f>IF('Metrics'!$V$29="","",'Metrics'!$V$29)</f>
        <v/>
      </c>
      <c r="H43" s="21" t="n"/>
      <c r="I43" s="27" t="n"/>
    </row>
    <row r="44">
      <c r="A44" s="49" t="inlineStr">
        <is>
          <t>Biology</t>
        </is>
      </c>
      <c r="B44" s="12" t="inlineStr">
        <is>
          <t>Community dynamics</t>
        </is>
      </c>
      <c r="C44" s="13" t="inlineStr">
        <is>
          <t>EPT taxa richness</t>
        </is>
      </c>
      <c r="D44" s="14" t="inlineStr"/>
      <c r="E44" s="15" t="n"/>
      <c r="F44" s="16" t="inlineStr"/>
      <c r="G44" s="17">
        <f>IF('Metrics'!$V$30="","",'Metrics'!$V$30)</f>
        <v/>
      </c>
      <c r="H44" s="18">
        <f>IF('Results'!$B$22="","",'Results'!$B$22)</f>
        <v/>
      </c>
      <c r="I44" s="19">
        <f>IF('DEEP Score'!$H$44="","",IF('DEEP Score'!$H$44&lt;=5,"Non-Functioning",IF('DEEP Score'!$H$44&lt;=10,"Functioning At-Risk","Functioning")))</f>
        <v/>
      </c>
    </row>
    <row r="45">
      <c r="A45" s="20" t="n"/>
      <c r="B45" s="21" t="n"/>
      <c r="C45" s="22" t="inlineStr">
        <is>
          <t>Shannon diversity (H')</t>
        </is>
      </c>
      <c r="D45" s="23" t="inlineStr">
        <is>
          <t>H'</t>
        </is>
      </c>
      <c r="E45" s="24" t="n"/>
      <c r="F45" s="25" t="inlineStr"/>
      <c r="G45" s="26">
        <f>IF('Metrics'!$V$31="","",'Metrics'!$V$31)</f>
        <v/>
      </c>
      <c r="H45" s="21" t="n"/>
      <c r="I45" s="27" t="n"/>
    </row>
    <row r="46">
      <c r="A46" s="51" t="inlineStr">
        <is>
          <t>Biology</t>
        </is>
      </c>
      <c r="B46" s="29" t="inlineStr">
        <is>
          <t>Watershed connectivity</t>
        </is>
      </c>
      <c r="C46" s="30" t="inlineStr">
        <is>
          <t>Mapped dams within one mile</t>
        </is>
      </c>
      <c r="D46" s="31" t="inlineStr">
        <is>
          <t>dams</t>
        </is>
      </c>
      <c r="E46" s="32" t="n"/>
      <c r="F46" s="33" t="inlineStr"/>
      <c r="G46" s="34">
        <f>IF('Metrics'!$V$32="","",'Metrics'!$V$32)</f>
        <v/>
      </c>
      <c r="H46" s="35">
        <f>IF('Results'!$B$23="","",'Results'!$B$23)</f>
        <v/>
      </c>
      <c r="I46" s="36">
        <f>IF('DEEP Score'!$H$46="","",IF('DEEP Score'!$H$46&lt;=5,"Non-Functioning",IF('DEEP Score'!$H$46&lt;=10,"Functioning At-Risk","Functioning")))</f>
        <v/>
      </c>
    </row>
    <row r="48">
      <c r="A48" s="52" t="inlineStr">
        <is>
          <t>Summary</t>
        </is>
      </c>
    </row>
    <row r="49">
      <c r="A49" s="10" t="inlineStr">
        <is>
          <t>Outcome</t>
        </is>
      </c>
      <c r="B49" s="10" t="inlineStr">
        <is>
          <t>Sub-index (0 to 1)</t>
        </is>
      </c>
      <c r="C49" s="10" t="inlineStr">
        <is>
          <t>Condition</t>
        </is>
      </c>
    </row>
    <row r="50">
      <c r="A50" s="53" t="inlineStr">
        <is>
          <t>Physical</t>
        </is>
      </c>
      <c r="B50" s="54">
        <f>'Results'!$B$26</f>
        <v/>
      </c>
      <c r="C50" s="55">
        <f>IF('DEEP Score'!$B$50&lt;=0.39,"Non-Functioning",IF('DEEP Score'!$B$50&lt;=0.69,"Functioning At-Risk","Functioning"))</f>
        <v/>
      </c>
    </row>
    <row r="51">
      <c r="A51" s="53" t="inlineStr">
        <is>
          <t>Chemical</t>
        </is>
      </c>
      <c r="B51" s="54">
        <f>'Results'!$B$27</f>
        <v/>
      </c>
      <c r="C51" s="55">
        <f>IF('DEEP Score'!$B$51&lt;=0.39,"Non-Functioning",IF('DEEP Score'!$B$51&lt;=0.69,"Functioning At-Risk","Functioning"))</f>
        <v/>
      </c>
    </row>
    <row r="52">
      <c r="A52" s="53" t="inlineStr">
        <is>
          <t>Biological</t>
        </is>
      </c>
      <c r="B52" s="54">
        <f>'Results'!$B$28</f>
        <v/>
      </c>
      <c r="C52" s="55">
        <f>IF('DEEP Score'!$B$52&lt;=0.39,"Non-Functioning",IF('DEEP Score'!$B$52&lt;=0.69,"Functioning At-Risk","Functioning"))</f>
        <v/>
      </c>
    </row>
    <row r="53" ht="30" customHeight="1">
      <c r="A53" s="56" t="inlineStr">
        <is>
          <t>Ecosystem Condition Index</t>
        </is>
      </c>
      <c r="B53" s="57">
        <f>'Results'!$B$29</f>
        <v/>
      </c>
      <c r="C53" s="55">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58" t="inlineStr">
        <is>
          <t>Withheld for insufficient reference support (not scored)</t>
        </is>
      </c>
    </row>
    <row r="58">
      <c r="A58" t="inlineStr">
        <is>
          <t>Large wood volume</t>
        </is>
      </c>
      <c r="C58" s="5" t="inlineStr">
        <is>
          <t>Bed composition and bedform dynamics</t>
        </is>
      </c>
    </row>
    <row r="59">
      <c r="A59" t="inlineStr">
        <is>
          <t>Residual pool depth</t>
        </is>
      </c>
      <c r="C59" s="5" t="inlineStr">
        <is>
          <t>Low flow and baseflow dynamics</t>
        </is>
      </c>
    </row>
    <row r="61">
      <c r="A61" s="6" t="inlineStr">
        <is>
          <t>Notes</t>
        </is>
      </c>
    </row>
    <row r="62">
      <c r="A62" s="59" t="n"/>
      <c r="B62" s="60" t="n"/>
      <c r="C62" s="60" t="n"/>
      <c r="D62" s="60" t="n"/>
      <c r="E62" s="60" t="n"/>
      <c r="F62" s="60" t="n"/>
      <c r="G62" s="60" t="n"/>
      <c r="H62" s="60" t="n"/>
      <c r="I62" s="61"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2" t="n"/>
      <c r="B66" s="63" t="n"/>
      <c r="C66" s="63" t="n"/>
      <c r="D66" s="63" t="n"/>
      <c r="E66" s="63" t="n"/>
      <c r="F66" s="63" t="n"/>
      <c r="G66" s="63" t="n"/>
      <c r="H66" s="63" t="n"/>
      <c r="I66" s="64" t="n"/>
    </row>
    <row r="67">
      <c r="A67" s="65" t="n"/>
      <c r="B67" s="66" t="n"/>
      <c r="C67" s="66" t="n"/>
      <c r="D67" s="66" t="n"/>
      <c r="E67" s="66" t="n"/>
      <c r="F67" s="66" t="n"/>
      <c r="G67" s="66" t="n"/>
      <c r="H67" s="66" t="n"/>
      <c r="I67" s="67"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A62:I67"/>
    <mergeCell ref="I12:I13"/>
    <mergeCell ref="B9:D9"/>
    <mergeCell ref="I21:I22"/>
    <mergeCell ref="H36:H37"/>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5">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Bankfull width:depth ratio</t>
        </is>
      </c>
      <c r="B11" s="70">
        <f>IF('DEEP Score'!$E$19="","",'DEEP Score'!$E$19)</f>
        <v/>
      </c>
      <c r="C11" s="70">
        <f>IF('DEEP Score'!$F$19="","All streams (pooled)",'DEEP Score'!$F$19)</f>
        <v/>
      </c>
      <c r="D11" s="70">
        <f>"spring_phab_bfwd_rat|"&amp;'Metrics'!$C$11</f>
        <v/>
      </c>
      <c r="E11" s="70">
        <f>IFERROR(MATCH('Metrics'!$D$11,curve_key,0),MATCH("spring_phab_bfwd_rat|All streams (pooled)",curve_key,0))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height above channel</t>
        </is>
      </c>
      <c r="B12" s="70">
        <f>IF('DEEP Score'!$E$22="","",'DEEP Score'!$E$22)</f>
        <v/>
      </c>
      <c r="C12" s="70">
        <f>IF('DEEP Score'!$F$22="","All streams (pooled)",'DEEP Score'!$F$22)</f>
        <v/>
      </c>
      <c r="D12" s="70">
        <f>"spring_phab_xbkf_h|"&amp;'Metrics'!$C$12</f>
        <v/>
      </c>
      <c r="E12" s="70">
        <f>IFERROR(MATCH('Metrics'!$D$12,curve_key,0),MATCH("spring_phab_xbkf_h|All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Sand + fines</t>
        </is>
      </c>
      <c r="B13" s="70">
        <f>IF('DEEP Score'!$E$23="","",'DEEP Score'!$E$23)</f>
        <v/>
      </c>
      <c r="C13" s="70">
        <f>""</f>
        <v/>
      </c>
      <c r="D13" s="70">
        <f>"spring_phab_pct_safn|"&amp;'Metrics'!$C$13</f>
        <v/>
      </c>
      <c r="E13" s="70">
        <f>IFERROR(MATCH('Metrics'!$D$13,curve_key,0),MATCH("spring_phab_pct_safn|",curve_key,0))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Embeddedness</t>
        </is>
      </c>
      <c r="B14" s="70">
        <f>IF('DEEP Score'!$E$24="","",'DEEP Score'!$E$24)</f>
        <v/>
      </c>
      <c r="C14" s="70">
        <f>""</f>
        <v/>
      </c>
      <c r="D14" s="70">
        <f>"spring_phab_xembed|"&amp;'Metrics'!$C$14</f>
        <v/>
      </c>
      <c r="E14" s="70">
        <f>IFERROR(MATCH('Metrics'!$D$14,curve_key,0),MATCH("spring_phab_xembed|",curve_key,0))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Sinuosity</t>
        </is>
      </c>
      <c r="B15" s="70">
        <f>IF('DEEP Score'!$E$27="","",'DEEP Score'!$E$27)</f>
        <v/>
      </c>
      <c r="C15" s="70">
        <f>""</f>
        <v/>
      </c>
      <c r="D15" s="70">
        <f>"spring_phab_sinu|"&amp;'Metrics'!$C$15</f>
        <v/>
      </c>
      <c r="E15" s="70">
        <f>IFERROR(MATCH('Metrics'!$D$15,curve_key,0),MATCH("spring_phab_sinu|",curve_key,0))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Bank angle</t>
        </is>
      </c>
      <c r="B16" s="70">
        <f>IF('DEEP Score'!$E$28="","",'DEEP Score'!$E$28)</f>
        <v/>
      </c>
      <c r="C16" s="70">
        <f>""</f>
        <v/>
      </c>
      <c r="D16" s="70">
        <f>"spring_phab_xbka|"&amp;'Metrics'!$C$16</f>
        <v/>
      </c>
      <c r="E16" s="70">
        <f>IFERROR(MATCH('Metrics'!$D$16,curve_key,0),MATCH("spring_phab_xbka|",curve_key,0))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Relative bed stability</t>
        </is>
      </c>
      <c r="B17" s="70">
        <f>IF('DEEP Score'!$E$29="","",'DEEP Score'!$E$29)</f>
        <v/>
      </c>
      <c r="C17" s="70">
        <f>""</f>
        <v/>
      </c>
      <c r="D17" s="70">
        <f>"spring_phab_lrbs_use|"&amp;'Metrics'!$C$17</f>
        <v/>
      </c>
      <c r="E17" s="70">
        <f>IFERROR(MATCH('Metrics'!$D$17,curve_key,0),MATCH("spring_phab_lrbs_use|",curve_key,0))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Substrate size</t>
        </is>
      </c>
      <c r="B18" s="70">
        <f>IF('DEEP Score'!$E$31="","",'DEEP Score'!$E$31)</f>
        <v/>
      </c>
      <c r="C18" s="70">
        <f>""</f>
        <v/>
      </c>
      <c r="D18" s="70">
        <f>"spring_phab_lsub_dmm|"&amp;'Metrics'!$C$18</f>
        <v/>
      </c>
      <c r="E18" s="70">
        <f>IFERROR(MATCH('Metrics'!$D$18,curve_key,0),MATCH("spring_phab_lsub_dmm|",curve_key,0))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Chlorophyll a</t>
        </is>
      </c>
      <c r="B19" s="70">
        <f>IF('DEEP Score'!$E$33="","",'DEEP Score'!$E$33)</f>
        <v/>
      </c>
      <c r="C19" s="70">
        <f>""</f>
        <v/>
      </c>
      <c r="D19" s="70">
        <f>"spring_chem_chla|"&amp;'Metrics'!$C$19</f>
        <v/>
      </c>
      <c r="E19" s="70">
        <f>IFERROR(MATCH('Metrics'!$D$19,curve_key,0),MATCH("spring_chem_chla|",curve_key,0))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Canopy density, mid-channel</t>
        </is>
      </c>
      <c r="B20" s="70">
        <f>IF('DEEP Score'!$E$34="","",'DEEP Score'!$E$34)</f>
        <v/>
      </c>
      <c r="C20" s="70">
        <f>IF('DEEP Score'!$F$34="","All streams (pooled)",'DEEP Score'!$F$34)</f>
        <v/>
      </c>
      <c r="D20" s="70">
        <f>"spring_phab_xcdenmid|"&amp;'Metrics'!$C$20</f>
        <v/>
      </c>
      <c r="E20" s="70">
        <f>IFERROR(MATCH('Metrics'!$D$20,curve_key,0),MATCH("spring_phab_xcdenmid|All streams (pooled)",curve_key,0))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Riparian veg cover, woody</t>
        </is>
      </c>
      <c r="B21" s="70">
        <f>IF('DEEP Score'!$E$35="","",'DEEP Score'!$E$35)</f>
        <v/>
      </c>
      <c r="C21" s="70">
        <f>""</f>
        <v/>
      </c>
      <c r="D21" s="70">
        <f>"spring_phab_xcmgw|"&amp;'Metrics'!$C$21</f>
        <v/>
      </c>
      <c r="E21" s="70">
        <f>IFERROR(MATCH('Metrics'!$D$21,curve_key,0),MATCH("spring_phab_xcmgw|",curve_key,0))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Total nitrogen</t>
        </is>
      </c>
      <c r="B22" s="70">
        <f>IF('DEEP Score'!$E$36="","",'DEEP Score'!$E$36)</f>
        <v/>
      </c>
      <c r="C22" s="70">
        <f>""</f>
        <v/>
      </c>
      <c r="D22" s="70">
        <f>"spring_chem_ntl|"&amp;'Metrics'!$C$22</f>
        <v/>
      </c>
      <c r="E22" s="70">
        <f>IFERROR(MATCH('Metrics'!$D$22,curve_key,0),MATCH("spring_chem_ntl|",curve_key,0))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phosphorus</t>
        </is>
      </c>
      <c r="B23" s="70">
        <f>IF('DEEP Score'!$E$37="","",'DEEP Score'!$E$37)</f>
        <v/>
      </c>
      <c r="C23" s="70">
        <f>""</f>
        <v/>
      </c>
      <c r="D23" s="70">
        <f>"spring_chem_ptl|"&amp;'Metrics'!$C$23</f>
        <v/>
      </c>
      <c r="E23" s="70">
        <f>IFERROR(MATCH('Metrics'!$D$23,curve_key,0),MATCH("spring_chem_ptl|",curve_key,0))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pH</t>
        </is>
      </c>
      <c r="B24" s="70">
        <f>IF('DEEP Score'!$E$38="","",'DEEP Score'!$E$38)</f>
        <v/>
      </c>
      <c r="C24" s="70">
        <f>""</f>
        <v/>
      </c>
      <c r="D24" s="70">
        <f>"spring_chem_ph|"&amp;'Metrics'!$C$24</f>
        <v/>
      </c>
      <c r="E24" s="70">
        <f>IFERROR(MATCH('Metrics'!$D$24,curve_key,0),MATCH("spring_chem_ph|",curve_key,0))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Turbidity</t>
        </is>
      </c>
      <c r="B25" s="70">
        <f>IF('DEEP Score'!$E$39="","",'DEEP Score'!$E$39)</f>
        <v/>
      </c>
      <c r="C25" s="70">
        <f>""</f>
        <v/>
      </c>
      <c r="D25" s="70">
        <f>"spring_chem_turb|"&amp;'Metrics'!$C$25</f>
        <v/>
      </c>
      <c r="E25" s="70">
        <f>IFERROR(MATCH('Metrics'!$D$25,curve_key,0),MATCH("spring_chem_turb|",curve_key,0))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Fast-water / riffle habitat</t>
        </is>
      </c>
      <c r="B26" s="70">
        <f>IF('DEEP Score'!$E$40="","",'DEEP Score'!$E$40)</f>
        <v/>
      </c>
      <c r="C26" s="70">
        <f>IF('DEEP Score'!$F$40="","All streams (pooled)",'DEEP Score'!$F$40)</f>
        <v/>
      </c>
      <c r="D26" s="70">
        <f>"spring_phab_pct_fast|"&amp;'Metrics'!$C$26</f>
        <v/>
      </c>
      <c r="E26" s="70">
        <f>IFERROR(MATCH('Metrics'!$D$26,curve_key,0),MATCH("spring_phab_pct_fast|All streams (pooled)",curve_key,0))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Natural fish cover</t>
        </is>
      </c>
      <c r="B27" s="70">
        <f>IF('DEEP Score'!$E$41="","",'DEEP Score'!$E$41)</f>
        <v/>
      </c>
      <c r="C27" s="70">
        <f>IF('DEEP Score'!$F$41="","All streams (pooled)",'DEEP Score'!$F$41)</f>
        <v/>
      </c>
      <c r="D27" s="70">
        <f>"spring_phab_xfc_nat|"&amp;'Metrics'!$C$27</f>
        <v/>
      </c>
      <c r="E27" s="70">
        <f>IFERROR(MATCH('Metrics'!$D$27,curve_key,0),MATCH("spring_phab_xfc_nat|All streams (pooled)",curve_key,0))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Benthic total taxa richness</t>
        </is>
      </c>
      <c r="B28" s="70">
        <f>IF('DEEP Score'!$E$42="","",'DEEP Score'!$E$42)</f>
        <v/>
      </c>
      <c r="C28" s="70">
        <f>""</f>
        <v/>
      </c>
      <c r="D28" s="70">
        <f>"spring_bent_totlntax|"&amp;'Metrics'!$C$28</f>
        <v/>
      </c>
      <c r="E28" s="70">
        <f>IFERROR(MATCH('Metrics'!$D$28,curve_key,0),MATCH("spring_bent_totlntax|",curve_key,0))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Native fish taxa richness</t>
        </is>
      </c>
      <c r="B29" s="70">
        <f>IF('DEEP Score'!$E$43="","",'DEEP Score'!$E$43)</f>
        <v/>
      </c>
      <c r="C29" s="70">
        <f>""</f>
        <v/>
      </c>
      <c r="D29" s="70">
        <f>"spring_fish_nat_totlntax|"&amp;'Metrics'!$C$29</f>
        <v/>
      </c>
      <c r="E29" s="70">
        <f>IFERROR(MATCH('Metrics'!$D$29,curve_key,0),MATCH("spring_fish_nat_totlntax|",curve_key,0))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EPT taxa richness</t>
        </is>
      </c>
      <c r="B30" s="70">
        <f>IF('DEEP Score'!$E$44="","",'DEEP Score'!$E$44)</f>
        <v/>
      </c>
      <c r="C30" s="70">
        <f>""</f>
        <v/>
      </c>
      <c r="D30" s="70">
        <f>"spring_bent_ept_ntax|"&amp;'Metrics'!$C$30</f>
        <v/>
      </c>
      <c r="E30" s="70">
        <f>IFERROR(MATCH('Metrics'!$D$30,curve_key,0),MATCH("spring_bent_ept_ntax|",curve_key,0))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Shannon diversity (H')</t>
        </is>
      </c>
      <c r="B31" s="70">
        <f>IF('DEEP Score'!$E$45="","",'DEEP Score'!$E$45)</f>
        <v/>
      </c>
      <c r="C31" s="70">
        <f>""</f>
        <v/>
      </c>
      <c r="D31" s="70">
        <f>"spring_bent_hprime|"&amp;'Metrics'!$C$31</f>
        <v/>
      </c>
      <c r="E31" s="70">
        <f>IFERROR(MATCH('Metrics'!$D$31,curve_key,0),MATCH("spring_bent_hprime|",curve_key,0))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9" t="inlineStr">
        <is>
          <t>Mapped dams within one mile</t>
        </is>
      </c>
      <c r="B32" s="70">
        <f>IF('DEEP Score'!$E$46="","",'DEEP Score'!$E$46)</f>
        <v/>
      </c>
      <c r="C32" s="70">
        <f>""</f>
        <v/>
      </c>
      <c r="D32" s="70">
        <f>"spring_nid_dams_1mi|"&amp;'Metrics'!$C$32</f>
        <v/>
      </c>
      <c r="E32" s="70">
        <f>IFERROR(MATCH('Metrics'!$D$32,curve_key,0),MATCH("spring_nid_dams_1mi|",curve_key,0))</f>
        <v/>
      </c>
      <c r="F32" s="70">
        <f>INDEX(curve_x1,'Metrics'!$E$32)</f>
        <v/>
      </c>
      <c r="G32" s="70">
        <f>INDEX(curve_x2,'Metrics'!$E$32)</f>
        <v/>
      </c>
      <c r="H32" s="70">
        <f>INDEX(curve_x3,'Metrics'!$E$32)</f>
        <v/>
      </c>
      <c r="I32" s="70">
        <f>INDEX(curve_x4,'Metrics'!$E$32)</f>
        <v/>
      </c>
      <c r="J32" s="70">
        <f>INDEX(curve_x5,'Metrics'!$E$32)</f>
        <v/>
      </c>
      <c r="K32" s="70">
        <f>INDEX(curve_x6,'Metrics'!$E$32)</f>
        <v/>
      </c>
      <c r="L32" s="70">
        <f>INDEX(curve_x7,'Metrics'!$E$32)</f>
        <v/>
      </c>
      <c r="M32" s="70">
        <f>INDEX(curve_x8,'Metrics'!$E$32)</f>
        <v/>
      </c>
      <c r="N32" s="70">
        <f>INDEX(curve_y1,'Metrics'!$E$32)</f>
        <v/>
      </c>
      <c r="O32" s="70">
        <f>INDEX(curve_y2,'Metrics'!$E$32)</f>
        <v/>
      </c>
      <c r="P32" s="70">
        <f>INDEX(curve_y3,'Metrics'!$E$32)</f>
        <v/>
      </c>
      <c r="Q32" s="70">
        <f>INDEX(curve_y4,'Metrics'!$E$32)</f>
        <v/>
      </c>
      <c r="R32" s="70">
        <f>INDEX(curve_y5,'Metrics'!$E$32)</f>
        <v/>
      </c>
      <c r="S32" s="70">
        <f>INDEX(curve_y6,'Metrics'!$E$32)</f>
        <v/>
      </c>
      <c r="T32" s="70">
        <f>INDEX(curve_y7,'Metrics'!$E$32)</f>
        <v/>
      </c>
      <c r="U32" s="70">
        <f>INDEX(curve_y8,'Metrics'!$E$32)</f>
        <v/>
      </c>
      <c r="V32" s="71">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Score'!G40:G41)=0,"",SUM('DEEP Score'!G40:G41)/COUNT('DEEP Score'!G40:G41)*15)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Score'!G42:G43)=0,"",SUM('DEEP Score'!G42:G43)/COUNT('DEEP Score'!G42:G43)*15)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Score'!G44:G45)=0,"",SUM('DEEP Score'!G44:G45)/COUNT('DEEP Score'!G44:G45)*15)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Score'!G46:G46)=0,"",SUM('DEEP Score'!G46:G46)/COUNT('DEEP Score'!G46:G46)*15)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68"/>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t>
        </is>
      </c>
      <c r="D7" s="69" t="inlineStr"/>
      <c r="E7" s="69" t="n">
        <v>5</v>
      </c>
      <c r="F7" s="69" t="inlineStr">
        <is>
          <t>13 least-disturbed streams of this ecoregion under the regional screen (agriculture at most 25 percent). Scored on a reference pool whose transfer to this ecoregion was not confirmed by the recovery test (class agreement 0.57 of evaluation regions; two thirds required); confidence capped at 39.</t>
        </is>
      </c>
      <c r="G7" s="69" t="n">
        <v>0</v>
      </c>
      <c r="H7" s="69" t="n">
        <v>0.02571428571428571</v>
      </c>
      <c r="I7" s="69" t="n">
        <v>0.06</v>
      </c>
      <c r="J7" s="69" t="n">
        <v>0.84</v>
      </c>
      <c r="K7" s="69" t="n">
        <v>1.23</v>
      </c>
      <c r="L7" s="69" t="n">
        <v>1.23</v>
      </c>
      <c r="M7" s="69" t="n">
        <v>1.23</v>
      </c>
      <c r="N7" s="69" t="n">
        <v>1.23</v>
      </c>
      <c r="O7" s="69" t="n">
        <v>0</v>
      </c>
      <c r="P7" s="69" t="n">
        <v>0.3</v>
      </c>
      <c r="Q7" s="69" t="n">
        <v>0.7</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10 least-disturbed stations of this ecoregion</t>
        </is>
      </c>
      <c r="G9" s="69" t="n">
        <v>0</v>
      </c>
      <c r="H9" s="69" t="n">
        <v>26.01160714285714</v>
      </c>
      <c r="I9" s="69" t="n">
        <v>60.69375</v>
      </c>
      <c r="J9" s="69" t="n">
        <v>67.20235</v>
      </c>
      <c r="K9" s="69" t="n">
        <v>70.45665</v>
      </c>
      <c r="L9" s="69" t="n">
        <v>70.45665</v>
      </c>
      <c r="M9" s="69" t="n">
        <v>70.45665</v>
      </c>
      <c r="N9" s="69" t="n">
        <v>70.45665</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spring_phab_bfwd_rat|All streams (pooled)</t>
        </is>
      </c>
      <c r="B11" s="69" t="inlineStr">
        <is>
          <t>spring-phab-bfwd-rat</t>
        </is>
      </c>
      <c r="C11" s="69" t="inlineStr">
        <is>
          <t>Bankfull width:depth ratio</t>
        </is>
      </c>
      <c r="D11" s="69" t="inlineStr">
        <is>
          <t>All streams (pooled)</t>
        </is>
      </c>
      <c r="E11" s="69" t="n">
        <v>8</v>
      </c>
      <c r="F11" s="69" t="inlineStr">
        <is>
          <t>60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9" t="n">
        <v>0</v>
      </c>
      <c r="H11" s="69" t="n">
        <v>2.280542850494385</v>
      </c>
      <c r="I11" s="69" t="n">
        <v>5.104635417461395</v>
      </c>
      <c r="J11" s="69" t="n">
        <v>6.625300645828247</v>
      </c>
      <c r="K11" s="69" t="n">
        <v>10.97005844116211</v>
      </c>
      <c r="L11" s="69" t="n">
        <v>12.49072366952896</v>
      </c>
      <c r="M11" s="69" t="n">
        <v>15.31481623649597</v>
      </c>
      <c r="N11" s="69" t="n">
        <v>19.65957403182983</v>
      </c>
      <c r="O11" s="69" t="n">
        <v>0</v>
      </c>
      <c r="P11" s="69" t="n">
        <v>0.3</v>
      </c>
      <c r="Q11" s="69" t="n">
        <v>0.7</v>
      </c>
      <c r="R11" s="69" t="n">
        <v>1</v>
      </c>
      <c r="S11" s="69" t="n">
        <v>1</v>
      </c>
      <c r="T11" s="69" t="n">
        <v>0.7</v>
      </c>
      <c r="U11" s="69" t="n">
        <v>0.3</v>
      </c>
      <c r="V11" s="69" t="n">
        <v>0</v>
      </c>
    </row>
    <row r="12">
      <c r="A12" s="69" t="inlineStr">
        <is>
          <t>spring_phab_bfwd_rat|Small stream (10 to 100 km2)</t>
        </is>
      </c>
      <c r="B12" s="69" t="inlineStr">
        <is>
          <t>spring-phab-bfwd-rat</t>
        </is>
      </c>
      <c r="C12" s="69" t="inlineStr">
        <is>
          <t>Bankfull width:depth ratio</t>
        </is>
      </c>
      <c r="D12" s="69" t="inlineStr">
        <is>
          <t>Small stream (10 to 100 km2)</t>
        </is>
      </c>
      <c r="E12" s="69" t="n">
        <v>8</v>
      </c>
      <c r="F12" s="69" t="inlineStr">
        <is>
          <t>60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9" t="n">
        <v>1.17237663269043</v>
      </c>
      <c r="H12" s="69" t="n">
        <v>3.594127893447876</v>
      </c>
      <c r="I12" s="69" t="n">
        <v>5.168266212940216</v>
      </c>
      <c r="J12" s="69" t="n">
        <v>6.015879154205322</v>
      </c>
      <c r="K12" s="69" t="n">
        <v>8.437630414962769</v>
      </c>
      <c r="L12" s="69" t="n">
        <v>9.285243356227875</v>
      </c>
      <c r="M12" s="69" t="n">
        <v>10.85938167572021</v>
      </c>
      <c r="N12" s="69" t="n">
        <v>13.28113293647766</v>
      </c>
      <c r="O12" s="69" t="n">
        <v>0</v>
      </c>
      <c r="P12" s="69" t="n">
        <v>0.3</v>
      </c>
      <c r="Q12" s="69" t="n">
        <v>0.7</v>
      </c>
      <c r="R12" s="69" t="n">
        <v>1</v>
      </c>
      <c r="S12" s="69" t="n">
        <v>1</v>
      </c>
      <c r="T12" s="69" t="n">
        <v>0.7</v>
      </c>
      <c r="U12" s="69" t="n">
        <v>0.3</v>
      </c>
      <c r="V12" s="69" t="n">
        <v>0</v>
      </c>
    </row>
    <row r="13">
      <c r="A13" s="69" t="inlineStr">
        <is>
          <t>spring_phab_bfwd_rat|Large stream (over 100 km2)</t>
        </is>
      </c>
      <c r="B13" s="69" t="inlineStr">
        <is>
          <t>spring-phab-bfwd-rat</t>
        </is>
      </c>
      <c r="C13" s="69" t="inlineStr">
        <is>
          <t>Bankfull width:depth ratio</t>
        </is>
      </c>
      <c r="D13" s="69" t="inlineStr">
        <is>
          <t>Large stream (over 100 km2)</t>
        </is>
      </c>
      <c r="E13" s="69" t="n">
        <v>8</v>
      </c>
      <c r="F13" s="69" t="inlineStr">
        <is>
          <t>60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9" t="n">
        <v>0</v>
      </c>
      <c r="H13" s="69" t="n">
        <v>1.65240740776062</v>
      </c>
      <c r="I13" s="69" t="n">
        <v>5.64252816438675</v>
      </c>
      <c r="J13" s="69" t="n">
        <v>7.791054725646973</v>
      </c>
      <c r="K13" s="69" t="n">
        <v>13.92970204353333</v>
      </c>
      <c r="L13" s="69" t="n">
        <v>16.07822860479355</v>
      </c>
      <c r="M13" s="69" t="n">
        <v>20.06834936141968</v>
      </c>
      <c r="N13" s="69" t="n">
        <v>26.20699667930603</v>
      </c>
      <c r="O13" s="69" t="n">
        <v>0</v>
      </c>
      <c r="P13" s="69" t="n">
        <v>0.3</v>
      </c>
      <c r="Q13" s="69" t="n">
        <v>0.7</v>
      </c>
      <c r="R13" s="69" t="n">
        <v>1</v>
      </c>
      <c r="S13" s="69" t="n">
        <v>1</v>
      </c>
      <c r="T13" s="69" t="n">
        <v>0.7</v>
      </c>
      <c r="U13" s="69" t="n">
        <v>0.3</v>
      </c>
      <c r="V13" s="69" t="n">
        <v>0</v>
      </c>
    </row>
    <row r="14">
      <c r="A14" s="69" t="inlineStr">
        <is>
          <t>spring_phab_xbkf_h|All streams (pooled)</t>
        </is>
      </c>
      <c r="B14" s="69" t="inlineStr">
        <is>
          <t>spring-phab-xbkf-h</t>
        </is>
      </c>
      <c r="C14" s="69" t="inlineStr">
        <is>
          <t>Bankfull height above channel</t>
        </is>
      </c>
      <c r="D14" s="69" t="inlineStr">
        <is>
          <t>All streams (pooled)</t>
        </is>
      </c>
      <c r="E14" s="69" t="n">
        <v>7</v>
      </c>
      <c r="F14" s="69" t="inlineStr">
        <is>
          <t>60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4" s="69" t="n">
        <v>0</v>
      </c>
      <c r="H14" s="69" t="n">
        <v>0.1917374826967716</v>
      </c>
      <c r="I14" s="69" t="n">
        <v>0.2975833266973495</v>
      </c>
      <c r="J14" s="69" t="n">
        <v>0.6000000238418579</v>
      </c>
      <c r="K14" s="69" t="n">
        <v>0.7058458678424359</v>
      </c>
      <c r="L14" s="69" t="n">
        <v>0.9024167209863663</v>
      </c>
      <c r="M14" s="69" t="n">
        <v>1.204833418130875</v>
      </c>
      <c r="N14" s="69" t="n">
        <v>1.204833418130875</v>
      </c>
      <c r="O14" s="69" t="n">
        <v>0</v>
      </c>
      <c r="P14" s="69" t="n">
        <v>0.7</v>
      </c>
      <c r="Q14" s="69" t="n">
        <v>1</v>
      </c>
      <c r="R14" s="69" t="n">
        <v>1</v>
      </c>
      <c r="S14" s="69" t="n">
        <v>0.7</v>
      </c>
      <c r="T14" s="69" t="n">
        <v>0.3</v>
      </c>
      <c r="U14" s="69" t="n">
        <v>0</v>
      </c>
      <c r="V14" s="69" t="n">
        <v>0</v>
      </c>
    </row>
    <row r="15">
      <c r="A15" s="69" t="inlineStr">
        <is>
          <t>spring_phab_xbkf_h|Small stream (10 to 100 km2)</t>
        </is>
      </c>
      <c r="B15" s="69" t="inlineStr">
        <is>
          <t>spring-phab-xbkf-h</t>
        </is>
      </c>
      <c r="C15" s="69" t="inlineStr">
        <is>
          <t>Bankfull height above channel</t>
        </is>
      </c>
      <c r="D15" s="69" t="inlineStr">
        <is>
          <t>Small stream (10 to 100 km2)</t>
        </is>
      </c>
      <c r="E15" s="69" t="n">
        <v>8</v>
      </c>
      <c r="F15" s="69" t="inlineStr">
        <is>
          <t>60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5" s="69" t="n">
        <v>0</v>
      </c>
      <c r="H15" s="69" t="n">
        <v>0.009590916335582733</v>
      </c>
      <c r="I15" s="69" t="n">
        <v>0.1561215935274959</v>
      </c>
      <c r="J15" s="69" t="n">
        <v>0.2350227274000645</v>
      </c>
      <c r="K15" s="69" t="n">
        <v>0.4604545384645462</v>
      </c>
      <c r="L15" s="69" t="n">
        <v>0.5393556723371148</v>
      </c>
      <c r="M15" s="69" t="n">
        <v>0.6858863495290279</v>
      </c>
      <c r="N15" s="69" t="n">
        <v>0.9113181605935097</v>
      </c>
      <c r="O15" s="69" t="n">
        <v>0</v>
      </c>
      <c r="P15" s="69" t="n">
        <v>0.3</v>
      </c>
      <c r="Q15" s="69" t="n">
        <v>0.7</v>
      </c>
      <c r="R15" s="69" t="n">
        <v>1</v>
      </c>
      <c r="S15" s="69" t="n">
        <v>1</v>
      </c>
      <c r="T15" s="69" t="n">
        <v>0.7</v>
      </c>
      <c r="U15" s="69" t="n">
        <v>0.3</v>
      </c>
      <c r="V15" s="69" t="n">
        <v>0</v>
      </c>
    </row>
    <row r="16">
      <c r="A16" s="69" t="inlineStr">
        <is>
          <t>spring_phab_xbkf_h|Large stream (over 100 km2)</t>
        </is>
      </c>
      <c r="B16" s="69" t="inlineStr">
        <is>
          <t>spring-phab-xbkf-h</t>
        </is>
      </c>
      <c r="C16" s="69" t="inlineStr">
        <is>
          <t>Bankfull height above channel</t>
        </is>
      </c>
      <c r="D16" s="69" t="inlineStr">
        <is>
          <t>Large stream (over 100 km2)</t>
        </is>
      </c>
      <c r="E16" s="69" t="n">
        <v>8</v>
      </c>
      <c r="F16" s="69" t="inlineStr">
        <is>
          <t>60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6" s="69" t="n">
        <v>0</v>
      </c>
      <c r="H16" s="69" t="n">
        <v>0.0303787887096405</v>
      </c>
      <c r="I16" s="69" t="n">
        <v>0.2242462169378996</v>
      </c>
      <c r="J16" s="69" t="n">
        <v>0.3286363705992699</v>
      </c>
      <c r="K16" s="69" t="n">
        <v>0.6268939524888992</v>
      </c>
      <c r="L16" s="69" t="n">
        <v>0.7312841061502695</v>
      </c>
      <c r="M16" s="69" t="n">
        <v>0.9251515343785286</v>
      </c>
      <c r="N16" s="69" t="n">
        <v>1.223409116268158</v>
      </c>
      <c r="O16" s="69" t="n">
        <v>0</v>
      </c>
      <c r="P16" s="69" t="n">
        <v>0.3</v>
      </c>
      <c r="Q16" s="69" t="n">
        <v>0.7</v>
      </c>
      <c r="R16" s="69" t="n">
        <v>1</v>
      </c>
      <c r="S16" s="69" t="n">
        <v>1</v>
      </c>
      <c r="T16" s="69" t="n">
        <v>0.7</v>
      </c>
      <c r="U16" s="69" t="n">
        <v>0.3</v>
      </c>
      <c r="V16" s="69" t="n">
        <v>0</v>
      </c>
    </row>
    <row r="17">
      <c r="A17" s="69" t="inlineStr">
        <is>
          <t>spring_phab_pct_safn|</t>
        </is>
      </c>
      <c r="B17" s="69" t="inlineStr">
        <is>
          <t>spring-phab-pct-safn</t>
        </is>
      </c>
      <c r="C17" s="69" t="inlineStr">
        <is>
          <t>Sand + fines</t>
        </is>
      </c>
      <c r="D17" s="69" t="inlineStr"/>
      <c r="E17" s="69" t="n">
        <v>5</v>
      </c>
      <c r="F17" s="69" t="inlineStr">
        <is>
          <t>60 least-disturbed stations borrowed from Level II ecoregion 10.1 (Cold Deserts) under the regional screen (agriculture at most 25 percent), transfer risk low</t>
        </is>
      </c>
      <c r="G17" s="69" t="n">
        <v>6.417748689651489</v>
      </c>
      <c r="H17" s="69" t="n">
        <v>20.1515154838562</v>
      </c>
      <c r="I17" s="69" t="n">
        <v>47.61904907226562</v>
      </c>
      <c r="J17" s="69" t="n">
        <v>88.82034945487976</v>
      </c>
      <c r="K17" s="69" t="n">
        <v>100</v>
      </c>
      <c r="L17" s="69" t="n">
        <v>100</v>
      </c>
      <c r="M17" s="69" t="n">
        <v>100</v>
      </c>
      <c r="N17" s="69" t="n">
        <v>100</v>
      </c>
      <c r="O17" s="69" t="n">
        <v>1</v>
      </c>
      <c r="P17" s="69" t="n">
        <v>1</v>
      </c>
      <c r="Q17" s="69" t="n">
        <v>0.7</v>
      </c>
      <c r="R17" s="69" t="n">
        <v>0.3</v>
      </c>
      <c r="S17" s="69" t="n">
        <v>0</v>
      </c>
      <c r="T17" s="69" t="n">
        <v>0</v>
      </c>
      <c r="U17" s="69" t="n">
        <v>0</v>
      </c>
      <c r="V17" s="69" t="n">
        <v>0</v>
      </c>
    </row>
    <row r="18">
      <c r="A18" s="69" t="inlineStr">
        <is>
          <t>spring_phab_xembed|</t>
        </is>
      </c>
      <c r="B18" s="69" t="inlineStr">
        <is>
          <t>spring-phab-xembed</t>
        </is>
      </c>
      <c r="C18" s="69" t="inlineStr">
        <is>
          <t>Embeddedness</t>
        </is>
      </c>
      <c r="D18" s="69" t="inlineStr"/>
      <c r="E18" s="69" t="n">
        <v>4</v>
      </c>
      <c r="F18" s="69" t="inlineStr">
        <is>
          <t>12 least-disturbed streams of this ecoregion under the regional screen (agriculture at most 25 percent)</t>
        </is>
      </c>
      <c r="G18" s="69" t="n">
        <v>6.771853923797607</v>
      </c>
      <c r="H18" s="69" t="n">
        <v>24.11363697052002</v>
      </c>
      <c r="I18" s="69" t="n">
        <v>58.79720306396484</v>
      </c>
      <c r="J18" s="69" t="n">
        <v>100</v>
      </c>
      <c r="K18" s="69" t="n">
        <v>100</v>
      </c>
      <c r="L18" s="69" t="n">
        <v>100</v>
      </c>
      <c r="M18" s="69" t="n">
        <v>100</v>
      </c>
      <c r="N18" s="69" t="n">
        <v>100</v>
      </c>
      <c r="O18" s="69" t="n">
        <v>1</v>
      </c>
      <c r="P18" s="69" t="n">
        <v>1</v>
      </c>
      <c r="Q18" s="69" t="n">
        <v>0.7</v>
      </c>
      <c r="R18" s="69" t="n">
        <v>0</v>
      </c>
      <c r="S18" s="69" t="n">
        <v>0</v>
      </c>
      <c r="T18" s="69" t="n">
        <v>0</v>
      </c>
      <c r="U18" s="69" t="n">
        <v>0</v>
      </c>
      <c r="V18" s="69" t="n">
        <v>0</v>
      </c>
    </row>
    <row r="19">
      <c r="A19" s="69" t="inlineStr">
        <is>
          <t>spring_phab_sinu|</t>
        </is>
      </c>
      <c r="B19" s="69" t="inlineStr">
        <is>
          <t>spring-phab-sinu</t>
        </is>
      </c>
      <c r="C19" s="69" t="inlineStr">
        <is>
          <t>Sinuosity</t>
        </is>
      </c>
      <c r="D19" s="69" t="inlineStr"/>
      <c r="E19" s="69" t="n">
        <v>4</v>
      </c>
      <c r="F19" s="69" t="inlineStr">
        <is>
          <t>56 least-disturbed stations borrowed from Level II ecoregion 10.1 (Cold Deserts) under the regional screen (agriculture at most 25 percent), transfer risk moderate</t>
        </is>
      </c>
      <c r="G19" s="69" t="n">
        <v>1</v>
      </c>
      <c r="H19" s="69" t="n">
        <v>1.068876057863235</v>
      </c>
      <c r="I19" s="69" t="n">
        <v>1.380899876356125</v>
      </c>
      <c r="J19" s="69" t="n">
        <v>1.53691178560257</v>
      </c>
      <c r="K19" s="69" t="n">
        <v>1.53691178560257</v>
      </c>
      <c r="L19" s="69" t="n">
        <v>1.53691178560257</v>
      </c>
      <c r="M19" s="69" t="n">
        <v>1.53691178560257</v>
      </c>
      <c r="N19" s="69" t="n">
        <v>1.53691178560257</v>
      </c>
      <c r="O19" s="69" t="n">
        <v>0</v>
      </c>
      <c r="P19" s="69" t="n">
        <v>0.7</v>
      </c>
      <c r="Q19" s="69" t="n">
        <v>1</v>
      </c>
      <c r="R19" s="69" t="n">
        <v>1</v>
      </c>
      <c r="S19" s="69" t="n">
        <v>1</v>
      </c>
      <c r="T19" s="69" t="n">
        <v>1</v>
      </c>
      <c r="U19" s="69" t="n">
        <v>1</v>
      </c>
      <c r="V19" s="69" t="n">
        <v>1</v>
      </c>
    </row>
    <row r="20">
      <c r="A20" s="69" t="inlineStr">
        <is>
          <t>spring_phab_xbka|</t>
        </is>
      </c>
      <c r="B20" s="69" t="inlineStr">
        <is>
          <t>spring-phab-xbka</t>
        </is>
      </c>
      <c r="C20" s="69" t="inlineStr">
        <is>
          <t>Bank angle</t>
        </is>
      </c>
      <c r="D20" s="69" t="inlineStr"/>
      <c r="E20" s="69" t="n">
        <v>7</v>
      </c>
      <c r="F20" s="69" t="inlineStr">
        <is>
          <t>56 least-disturbed stations borrowed from Level II ecoregion 10.1 (Cold Deserts) under the regional screen (agriculture at most 25 percent), transfer risk low</t>
        </is>
      </c>
      <c r="G20" s="69" t="n">
        <v>0</v>
      </c>
      <c r="H20" s="69" t="n">
        <v>20.41420547962189</v>
      </c>
      <c r="I20" s="69" t="n">
        <v>25.47727346420288</v>
      </c>
      <c r="J20" s="69" t="n">
        <v>39.94318199157715</v>
      </c>
      <c r="K20" s="69" t="n">
        <v>45.00624997615814</v>
      </c>
      <c r="L20" s="69" t="n">
        <v>54.40909051895142</v>
      </c>
      <c r="M20" s="69" t="n">
        <v>68.87499904632568</v>
      </c>
      <c r="N20" s="69" t="n">
        <v>68.87499904632568</v>
      </c>
      <c r="O20" s="69" t="n">
        <v>0.7</v>
      </c>
      <c r="P20" s="69" t="n">
        <v>0.7</v>
      </c>
      <c r="Q20" s="69" t="n">
        <v>1</v>
      </c>
      <c r="R20" s="69" t="n">
        <v>1</v>
      </c>
      <c r="S20" s="69" t="n">
        <v>0.7</v>
      </c>
      <c r="T20" s="69" t="n">
        <v>0.3</v>
      </c>
      <c r="U20" s="69" t="n">
        <v>0</v>
      </c>
      <c r="V20" s="69" t="n">
        <v>0</v>
      </c>
    </row>
    <row r="21">
      <c r="A21" s="69" t="inlineStr">
        <is>
          <t>spring_phab_lrbs_use|</t>
        </is>
      </c>
      <c r="B21" s="69" t="inlineStr">
        <is>
          <t>spring-phab-lrbs-use</t>
        </is>
      </c>
      <c r="C21" s="69" t="inlineStr">
        <is>
          <t>Relative bed stability</t>
        </is>
      </c>
      <c r="D21" s="69" t="inlineStr"/>
      <c r="E21" s="69" t="n">
        <v>8</v>
      </c>
      <c r="F21" s="69" t="inlineStr">
        <is>
          <t>10 least-disturbed stations of this ecoregion</t>
        </is>
      </c>
      <c r="G21" s="69" t="n">
        <v>-2.603135734796524</v>
      </c>
      <c r="H21" s="69" t="n">
        <v>-1.84365625679493</v>
      </c>
      <c r="I21" s="69" t="n">
        <v>-1.349994596093893</v>
      </c>
      <c r="J21" s="69" t="n">
        <v>-1.084176778793335</v>
      </c>
      <c r="K21" s="69" t="n">
        <v>-0.3246973007917404</v>
      </c>
      <c r="L21" s="69" t="n">
        <v>-0.05887948349118233</v>
      </c>
      <c r="M21" s="69" t="n">
        <v>0.4347821772098541</v>
      </c>
      <c r="N21" s="69" t="n">
        <v>1.194261655211449</v>
      </c>
      <c r="O21" s="69" t="n">
        <v>0</v>
      </c>
      <c r="P21" s="69" t="n">
        <v>0.3</v>
      </c>
      <c r="Q21" s="69" t="n">
        <v>0.7</v>
      </c>
      <c r="R21" s="69" t="n">
        <v>1</v>
      </c>
      <c r="S21" s="69" t="n">
        <v>1</v>
      </c>
      <c r="T21" s="69" t="n">
        <v>0.7</v>
      </c>
      <c r="U21" s="69" t="n">
        <v>0.3</v>
      </c>
      <c r="V21" s="69" t="n">
        <v>0</v>
      </c>
    </row>
    <row r="22">
      <c r="A22" s="69" t="inlineStr">
        <is>
          <t>spring_phab_lsub_dmm|</t>
        </is>
      </c>
      <c r="B22" s="69" t="inlineStr">
        <is>
          <t>spring-phab-lsub-dmm</t>
        </is>
      </c>
      <c r="C22" s="69" t="inlineStr">
        <is>
          <t>Substrate size</t>
        </is>
      </c>
      <c r="D22" s="69" t="inlineStr"/>
      <c r="E22" s="69" t="n">
        <v>5</v>
      </c>
      <c r="F22" s="69" t="inlineStr">
        <is>
          <t>10 least-disturbed stations of this ecoregion</t>
        </is>
      </c>
      <c r="G22" s="69" t="n">
        <v>-1.352292612195015</v>
      </c>
      <c r="H22" s="69" t="n">
        <v>-0.5146175473928452</v>
      </c>
      <c r="I22" s="69" t="n">
        <v>0.7418950498104095</v>
      </c>
      <c r="J22" s="69" t="n">
        <v>1.579570114612579</v>
      </c>
      <c r="K22" s="69" t="n">
        <v>1.998407647013664</v>
      </c>
      <c r="L22" s="69" t="n">
        <v>1.998407647013664</v>
      </c>
      <c r="M22" s="69" t="n">
        <v>1.998407647013664</v>
      </c>
      <c r="N22" s="69" t="n">
        <v>1.998407647013664</v>
      </c>
      <c r="O22" s="69" t="n">
        <v>0</v>
      </c>
      <c r="P22" s="69" t="n">
        <v>0.3</v>
      </c>
      <c r="Q22" s="69" t="n">
        <v>0.7</v>
      </c>
      <c r="R22" s="69" t="n">
        <v>1</v>
      </c>
      <c r="S22" s="69" t="n">
        <v>1</v>
      </c>
      <c r="T22" s="69" t="n">
        <v>1</v>
      </c>
      <c r="U22" s="69" t="n">
        <v>1</v>
      </c>
      <c r="V22" s="69" t="n">
        <v>1</v>
      </c>
    </row>
    <row r="23">
      <c r="A23" s="69" t="inlineStr">
        <is>
          <t>spring_chem_chla|</t>
        </is>
      </c>
      <c r="B23" s="69" t="inlineStr">
        <is>
          <t>spring-chem-chla</t>
        </is>
      </c>
      <c r="C23" s="69" t="inlineStr">
        <is>
          <t>Chlorophyll a</t>
        </is>
      </c>
      <c r="D23" s="69" t="inlineStr"/>
      <c r="E23" s="69" t="n">
        <v>5</v>
      </c>
      <c r="F23" s="69" t="inlineStr">
        <is>
          <t>58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3" s="69" t="n">
        <v>0.2477499842643738</v>
      </c>
      <c r="H23" s="69" t="n">
        <v>1.029999971389771</v>
      </c>
      <c r="I23" s="69" t="n">
        <v>2.594499945640564</v>
      </c>
      <c r="J23" s="69" t="n">
        <v>4.941249907016754</v>
      </c>
      <c r="K23" s="69" t="n">
        <v>6.505749881267548</v>
      </c>
      <c r="L23" s="69" t="n">
        <v>6.505749881267548</v>
      </c>
      <c r="M23" s="69" t="n">
        <v>6.505749881267548</v>
      </c>
      <c r="N23" s="69" t="n">
        <v>6.505749881267548</v>
      </c>
      <c r="O23" s="69" t="n">
        <v>1</v>
      </c>
      <c r="P23" s="69" t="n">
        <v>1</v>
      </c>
      <c r="Q23" s="69" t="n">
        <v>0.7</v>
      </c>
      <c r="R23" s="69" t="n">
        <v>0.3</v>
      </c>
      <c r="S23" s="69" t="n">
        <v>0</v>
      </c>
      <c r="T23" s="69" t="n">
        <v>0</v>
      </c>
      <c r="U23" s="69" t="n">
        <v>0</v>
      </c>
      <c r="V23" s="69" t="n">
        <v>0</v>
      </c>
    </row>
    <row r="24">
      <c r="A24" s="69" t="inlineStr">
        <is>
          <t>spring_phab_xcdenmid|All streams (pooled)</t>
        </is>
      </c>
      <c r="B24" s="69" t="inlineStr">
        <is>
          <t>spring-phab-xcdenmid</t>
        </is>
      </c>
      <c r="C24" s="69" t="inlineStr">
        <is>
          <t>Canopy density, mid-channel</t>
        </is>
      </c>
      <c r="D24" s="69" t="inlineStr">
        <is>
          <t>All streams (pooled)</t>
        </is>
      </c>
      <c r="E24" s="69" t="n">
        <v>5</v>
      </c>
      <c r="F24" s="69" t="inlineStr">
        <is>
          <t>91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4" s="69" t="n">
        <v>0</v>
      </c>
      <c r="H24" s="69" t="n">
        <v>6.044690608978271</v>
      </c>
      <c r="I24" s="69" t="n">
        <v>14.10427808761597</v>
      </c>
      <c r="J24" s="69" t="n">
        <v>64.17112159729004</v>
      </c>
      <c r="K24" s="69" t="n">
        <v>89.20454335212708</v>
      </c>
      <c r="L24" s="69" t="n">
        <v>89.20454335212708</v>
      </c>
      <c r="M24" s="69" t="n">
        <v>89.20454335212708</v>
      </c>
      <c r="N24" s="69" t="n">
        <v>89.20454335212708</v>
      </c>
      <c r="O24" s="69" t="n">
        <v>0</v>
      </c>
      <c r="P24" s="69" t="n">
        <v>0.3</v>
      </c>
      <c r="Q24" s="69" t="n">
        <v>0.7</v>
      </c>
      <c r="R24" s="69" t="n">
        <v>1</v>
      </c>
      <c r="S24" s="69" t="n">
        <v>1</v>
      </c>
      <c r="T24" s="69" t="n">
        <v>1</v>
      </c>
      <c r="U24" s="69" t="n">
        <v>1</v>
      </c>
      <c r="V24" s="69" t="n">
        <v>1</v>
      </c>
    </row>
    <row r="25">
      <c r="A25" s="69" t="inlineStr">
        <is>
          <t>spring_phab_xcdenmid|Small stream (10 to 100 km2)</t>
        </is>
      </c>
      <c r="B25" s="69" t="inlineStr">
        <is>
          <t>spring-phab-xcdenmid</t>
        </is>
      </c>
      <c r="C25" s="69" t="inlineStr">
        <is>
          <t>Canopy density, mid-channel</t>
        </is>
      </c>
      <c r="D25" s="69" t="inlineStr">
        <is>
          <t>Small stream (10 to 100 km2)</t>
        </is>
      </c>
      <c r="E25" s="69" t="n">
        <v>5</v>
      </c>
      <c r="F25" s="69" t="inlineStr">
        <is>
          <t>91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5" s="69" t="n">
        <v>0</v>
      </c>
      <c r="H25" s="69" t="n">
        <v>12.93449183872768</v>
      </c>
      <c r="I25" s="69" t="n">
        <v>30.18048095703125</v>
      </c>
      <c r="J25" s="69" t="n">
        <v>83.90374565124512</v>
      </c>
      <c r="K25" s="69" t="n">
        <v>100</v>
      </c>
      <c r="L25" s="69" t="n">
        <v>100</v>
      </c>
      <c r="M25" s="69" t="n">
        <v>100</v>
      </c>
      <c r="N25" s="69" t="n">
        <v>100</v>
      </c>
      <c r="O25" s="69" t="n">
        <v>0</v>
      </c>
      <c r="P25" s="69" t="n">
        <v>0.3</v>
      </c>
      <c r="Q25" s="69" t="n">
        <v>0.7</v>
      </c>
      <c r="R25" s="69" t="n">
        <v>1</v>
      </c>
      <c r="S25" s="69" t="n">
        <v>1</v>
      </c>
      <c r="T25" s="69" t="n">
        <v>1</v>
      </c>
      <c r="U25" s="69" t="n">
        <v>1</v>
      </c>
      <c r="V25" s="69" t="n">
        <v>1</v>
      </c>
    </row>
    <row r="26">
      <c r="A26" s="69" t="inlineStr">
        <is>
          <t>spring_phab_xcdenmid|Large stream (over 100 km2)</t>
        </is>
      </c>
      <c r="B26" s="69" t="inlineStr">
        <is>
          <t>spring-phab-xcdenmid</t>
        </is>
      </c>
      <c r="C26" s="69" t="inlineStr">
        <is>
          <t>Canopy density, mid-channel</t>
        </is>
      </c>
      <c r="D26" s="69" t="inlineStr">
        <is>
          <t>Large stream (over 100 km2)</t>
        </is>
      </c>
      <c r="E26" s="69" t="n">
        <v>5</v>
      </c>
      <c r="F26" s="69" t="inlineStr">
        <is>
          <t>91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6" s="69" t="n">
        <v>0</v>
      </c>
      <c r="H26" s="69" t="n">
        <v>1.948051929473877</v>
      </c>
      <c r="I26" s="69" t="n">
        <v>4.545454502105713</v>
      </c>
      <c r="J26" s="69" t="n">
        <v>34.89304733276367</v>
      </c>
      <c r="K26" s="69" t="n">
        <v>50.06684374809265</v>
      </c>
      <c r="L26" s="69" t="n">
        <v>50.06684374809265</v>
      </c>
      <c r="M26" s="69" t="n">
        <v>50.06684374809265</v>
      </c>
      <c r="N26" s="69" t="n">
        <v>50.06684374809265</v>
      </c>
      <c r="O26" s="69" t="n">
        <v>0</v>
      </c>
      <c r="P26" s="69" t="n">
        <v>0.3</v>
      </c>
      <c r="Q26" s="69" t="n">
        <v>0.7</v>
      </c>
      <c r="R26" s="69" t="n">
        <v>1</v>
      </c>
      <c r="S26" s="69" t="n">
        <v>1</v>
      </c>
      <c r="T26" s="69" t="n">
        <v>1</v>
      </c>
      <c r="U26" s="69" t="n">
        <v>1</v>
      </c>
      <c r="V26" s="69" t="n">
        <v>1</v>
      </c>
    </row>
    <row r="27">
      <c r="A27" s="69" t="inlineStr">
        <is>
          <t>spring_phab_xcmgw|</t>
        </is>
      </c>
      <c r="B27" s="69" t="inlineStr">
        <is>
          <t>spring-phab-xcmgw</t>
        </is>
      </c>
      <c r="C27" s="69" t="inlineStr">
        <is>
          <t>Riparian veg cover, woody</t>
        </is>
      </c>
      <c r="D27" s="69" t="inlineStr"/>
      <c r="E27" s="69" t="n">
        <v>5</v>
      </c>
      <c r="F27" s="69" t="inlineStr">
        <is>
          <t>97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7" s="69" t="n">
        <v>0</v>
      </c>
      <c r="H27" s="69" t="n">
        <v>0.1641233733722142</v>
      </c>
      <c r="I27" s="69" t="n">
        <v>0.3829545378684998</v>
      </c>
      <c r="J27" s="69" t="n">
        <v>0.8863636255264282</v>
      </c>
      <c r="K27" s="69" t="n">
        <v>1.138068169355392</v>
      </c>
      <c r="L27" s="69" t="n">
        <v>1.138068169355392</v>
      </c>
      <c r="M27" s="69" t="n">
        <v>1.138068169355392</v>
      </c>
      <c r="N27" s="69" t="n">
        <v>1.138068169355392</v>
      </c>
      <c r="O27" s="69" t="n">
        <v>0</v>
      </c>
      <c r="P27" s="69" t="n">
        <v>0.3</v>
      </c>
      <c r="Q27" s="69" t="n">
        <v>0.7</v>
      </c>
      <c r="R27" s="69" t="n">
        <v>1</v>
      </c>
      <c r="S27" s="69" t="n">
        <v>1</v>
      </c>
      <c r="T27" s="69" t="n">
        <v>1</v>
      </c>
      <c r="U27" s="69" t="n">
        <v>1</v>
      </c>
      <c r="V27" s="69" t="n">
        <v>1</v>
      </c>
    </row>
    <row r="28">
      <c r="A28" s="69" t="inlineStr">
        <is>
          <t>spring_chem_ntl|</t>
        </is>
      </c>
      <c r="B28" s="69" t="inlineStr">
        <is>
          <t>spring-chem-ntl</t>
        </is>
      </c>
      <c r="C28" s="69" t="inlineStr">
        <is>
          <t>Total nitrogen</t>
        </is>
      </c>
      <c r="D28" s="69" t="inlineStr"/>
      <c r="E28" s="69" t="n">
        <v>4</v>
      </c>
      <c r="F28" s="69" t="inlineStr">
        <is>
          <t>Scored against a published criterion rather than against stations from this ecoregion. The criterion carries its own definition of reference, which need not match this assessment's.</t>
        </is>
      </c>
      <c r="G28" s="69" t="n">
        <v>0</v>
      </c>
      <c r="H28" s="69" t="n">
        <v>0.2855</v>
      </c>
      <c r="I28" s="69" t="n">
        <v>0.529</v>
      </c>
      <c r="J28" s="69" t="n">
        <v>0.84555</v>
      </c>
      <c r="K28" s="69" t="n">
        <v>0.84555</v>
      </c>
      <c r="L28" s="69" t="n">
        <v>0.84555</v>
      </c>
      <c r="M28" s="69" t="n">
        <v>0.84555</v>
      </c>
      <c r="N28" s="69" t="n">
        <v>0.84555</v>
      </c>
      <c r="O28" s="69" t="n">
        <v>1</v>
      </c>
      <c r="P28" s="69" t="n">
        <v>0.6899999999999999</v>
      </c>
      <c r="Q28" s="69" t="n">
        <v>0.39</v>
      </c>
      <c r="R28" s="69" t="n">
        <v>0</v>
      </c>
      <c r="S28" s="69" t="n">
        <v>0</v>
      </c>
      <c r="T28" s="69" t="n">
        <v>0</v>
      </c>
      <c r="U28" s="69" t="n">
        <v>0</v>
      </c>
      <c r="V28" s="69" t="n">
        <v>0</v>
      </c>
    </row>
    <row r="29">
      <c r="A29" s="69" t="inlineStr">
        <is>
          <t>spring_chem_ptl|</t>
        </is>
      </c>
      <c r="B29" s="69" t="inlineStr">
        <is>
          <t>spring-chem-ptl</t>
        </is>
      </c>
      <c r="C29" s="69" t="inlineStr">
        <is>
          <t>Total phosphorus</t>
        </is>
      </c>
      <c r="D29" s="69" t="inlineStr"/>
      <c r="E29" s="69" t="n">
        <v>4</v>
      </c>
      <c r="F29" s="69" t="inlineStr">
        <is>
          <t>Scored against a published criterion rather than against stations from this ecoregion. The criterion carries its own definition of reference, which need not match this assessment's.</t>
        </is>
      </c>
      <c r="G29" s="69" t="n">
        <v>0</v>
      </c>
      <c r="H29" s="69" t="n">
        <v>52.05</v>
      </c>
      <c r="I29" s="69" t="n">
        <v>95.90000000000001</v>
      </c>
      <c r="J29" s="69" t="n">
        <v>152.905</v>
      </c>
      <c r="K29" s="69" t="n">
        <v>152.905</v>
      </c>
      <c r="L29" s="69" t="n">
        <v>152.905</v>
      </c>
      <c r="M29" s="69" t="n">
        <v>152.905</v>
      </c>
      <c r="N29" s="69" t="n">
        <v>152.905</v>
      </c>
      <c r="O29" s="69" t="n">
        <v>1</v>
      </c>
      <c r="P29" s="69" t="n">
        <v>0.6899999999999999</v>
      </c>
      <c r="Q29" s="69" t="n">
        <v>0.39</v>
      </c>
      <c r="R29" s="69" t="n">
        <v>0</v>
      </c>
      <c r="S29" s="69" t="n">
        <v>0</v>
      </c>
      <c r="T29" s="69" t="n">
        <v>0</v>
      </c>
      <c r="U29" s="69" t="n">
        <v>0</v>
      </c>
      <c r="V29" s="69" t="n">
        <v>0</v>
      </c>
    </row>
    <row r="30">
      <c r="A30" s="69" t="inlineStr">
        <is>
          <t>spring_chem_ph|</t>
        </is>
      </c>
      <c r="B30" s="69" t="inlineStr">
        <is>
          <t>spring-chem-ph</t>
        </is>
      </c>
      <c r="C30" s="69" t="inlineStr">
        <is>
          <t>pH</t>
        </is>
      </c>
      <c r="D30" s="69" t="inlineStr"/>
      <c r="E30" s="69" t="n">
        <v>8</v>
      </c>
      <c r="F30" s="69" t="inlineStr">
        <is>
          <t>59 least-disturbed stations borrowed from Level II ecoregion 10.1 (Cold Deserts) under the regional screen (agriculture at most 25 percent), transfer risk low</t>
        </is>
      </c>
      <c r="G30" s="69" t="n">
        <v>7.080000162124634</v>
      </c>
      <c r="H30" s="69" t="n">
        <v>7.465000152587891</v>
      </c>
      <c r="I30" s="69" t="n">
        <v>7.715250146389008</v>
      </c>
      <c r="J30" s="69" t="n">
        <v>7.850000143051147</v>
      </c>
      <c r="K30" s="69" t="n">
        <v>8.235000133514404</v>
      </c>
      <c r="L30" s="69" t="n">
        <v>8.369750130176545</v>
      </c>
      <c r="M30" s="69" t="n">
        <v>8.620000123977661</v>
      </c>
      <c r="N30" s="69" t="n">
        <v>9.005000114440918</v>
      </c>
      <c r="O30" s="69" t="n">
        <v>0</v>
      </c>
      <c r="P30" s="69" t="n">
        <v>0.3</v>
      </c>
      <c r="Q30" s="69" t="n">
        <v>0.7</v>
      </c>
      <c r="R30" s="69" t="n">
        <v>1</v>
      </c>
      <c r="S30" s="69" t="n">
        <v>1</v>
      </c>
      <c r="T30" s="69" t="n">
        <v>0.7</v>
      </c>
      <c r="U30" s="69" t="n">
        <v>0.3</v>
      </c>
      <c r="V30" s="69" t="n">
        <v>0</v>
      </c>
    </row>
    <row r="31">
      <c r="A31" s="69" t="inlineStr">
        <is>
          <t>spring_chem_turb|</t>
        </is>
      </c>
      <c r="B31" s="69" t="inlineStr">
        <is>
          <t>spring-chem-turb</t>
        </is>
      </c>
      <c r="C31" s="69" t="inlineStr">
        <is>
          <t>Turbidity</t>
        </is>
      </c>
      <c r="D31" s="69" t="inlineStr"/>
      <c r="E31" s="69" t="n">
        <v>5</v>
      </c>
      <c r="F31" s="69" t="inlineStr">
        <is>
          <t>10 least-disturbed stations of this ecoregion</t>
        </is>
      </c>
      <c r="G31" s="69" t="n">
        <v>0</v>
      </c>
      <c r="H31" s="69" t="n">
        <v>0.6574999988079071</v>
      </c>
      <c r="I31" s="69" t="n">
        <v>3.32750004529953</v>
      </c>
      <c r="J31" s="69" t="n">
        <v>7.332500115036964</v>
      </c>
      <c r="K31" s="69" t="n">
        <v>10.00250016152859</v>
      </c>
      <c r="L31" s="69" t="n">
        <v>10.00250016152859</v>
      </c>
      <c r="M31" s="69" t="n">
        <v>10.00250016152859</v>
      </c>
      <c r="N31" s="69" t="n">
        <v>10.00250016152859</v>
      </c>
      <c r="O31" s="69" t="n">
        <v>1</v>
      </c>
      <c r="P31" s="69" t="n">
        <v>1</v>
      </c>
      <c r="Q31" s="69" t="n">
        <v>0.7</v>
      </c>
      <c r="R31" s="69" t="n">
        <v>0.3</v>
      </c>
      <c r="S31" s="69" t="n">
        <v>0</v>
      </c>
      <c r="T31" s="69" t="n">
        <v>0</v>
      </c>
      <c r="U31" s="69" t="n">
        <v>0</v>
      </c>
      <c r="V31" s="69" t="n">
        <v>0</v>
      </c>
    </row>
    <row r="32">
      <c r="A32" s="69" t="inlineStr">
        <is>
          <t>spring_phab_pct_fast|All streams (pooled)</t>
        </is>
      </c>
      <c r="B32" s="69" t="inlineStr">
        <is>
          <t>spring-phab-pct-fast</t>
        </is>
      </c>
      <c r="C32" s="69" t="inlineStr">
        <is>
          <t>Fast-water / riffle habitat</t>
        </is>
      </c>
      <c r="D32" s="69" t="inlineStr">
        <is>
          <t>All streams (pooled)</t>
        </is>
      </c>
      <c r="E32" s="69" t="n">
        <v>5</v>
      </c>
      <c r="F32" s="69" t="inlineStr">
        <is>
          <t>60 least-disturbed stations borrowed from Level II ecoregion 10.1 (Cold Deserts) under the regional screen (agriculture at most 25 percent), transfer risk low</t>
        </is>
      </c>
      <c r="G32" s="69" t="n">
        <v>0</v>
      </c>
      <c r="H32" s="69" t="n">
        <v>4.214285680225918</v>
      </c>
      <c r="I32" s="69" t="n">
        <v>9.833333253860474</v>
      </c>
      <c r="J32" s="69" t="n">
        <v>70.33333396911621</v>
      </c>
      <c r="K32" s="69" t="n">
        <v>100</v>
      </c>
      <c r="L32" s="69" t="n">
        <v>100</v>
      </c>
      <c r="M32" s="69" t="n">
        <v>100</v>
      </c>
      <c r="N32" s="69" t="n">
        <v>100</v>
      </c>
      <c r="O32" s="69" t="n">
        <v>0</v>
      </c>
      <c r="P32" s="69" t="n">
        <v>0.3</v>
      </c>
      <c r="Q32" s="69" t="n">
        <v>0.7</v>
      </c>
      <c r="R32" s="69" t="n">
        <v>1</v>
      </c>
      <c r="S32" s="69" t="n">
        <v>1</v>
      </c>
      <c r="T32" s="69" t="n">
        <v>1</v>
      </c>
      <c r="U32" s="69" t="n">
        <v>1</v>
      </c>
      <c r="V32" s="69" t="n">
        <v>1</v>
      </c>
    </row>
    <row r="33">
      <c r="A33" s="69" t="inlineStr">
        <is>
          <t>spring_phab_pct_fast|Low gradient (under 0.5 percent)</t>
        </is>
      </c>
      <c r="B33" s="69" t="inlineStr">
        <is>
          <t>spring-phab-pct-fast</t>
        </is>
      </c>
      <c r="C33" s="69" t="inlineStr">
        <is>
          <t>Fast-water / riffle habitat</t>
        </is>
      </c>
      <c r="D33" s="69" t="inlineStr">
        <is>
          <t>Low gradient (under 0.5 percent)</t>
        </is>
      </c>
      <c r="E33" s="69" t="n">
        <v>5</v>
      </c>
      <c r="F33" s="69" t="inlineStr">
        <is>
          <t>60 least-disturbed stations borrowed from Level II ecoregion 10.1 (Cold Deserts) under the regional screen (agriculture at most 25 percent), transfer risk low</t>
        </is>
      </c>
      <c r="G33" s="69" t="n">
        <v>0</v>
      </c>
      <c r="H33" s="69" t="n">
        <v>1.285714285714286</v>
      </c>
      <c r="I33" s="69" t="n">
        <v>3</v>
      </c>
      <c r="J33" s="69" t="n">
        <v>24</v>
      </c>
      <c r="K33" s="69" t="n">
        <v>34.5</v>
      </c>
      <c r="L33" s="69" t="n">
        <v>34.5</v>
      </c>
      <c r="M33" s="69" t="n">
        <v>34.5</v>
      </c>
      <c r="N33" s="69" t="n">
        <v>34.5</v>
      </c>
      <c r="O33" s="69" t="n">
        <v>0</v>
      </c>
      <c r="P33" s="69" t="n">
        <v>0.3</v>
      </c>
      <c r="Q33" s="69" t="n">
        <v>0.7</v>
      </c>
      <c r="R33" s="69" t="n">
        <v>1</v>
      </c>
      <c r="S33" s="69" t="n">
        <v>1</v>
      </c>
      <c r="T33" s="69" t="n">
        <v>1</v>
      </c>
      <c r="U33" s="69" t="n">
        <v>1</v>
      </c>
      <c r="V33" s="69" t="n">
        <v>1</v>
      </c>
    </row>
    <row r="34">
      <c r="A34" s="69" t="inlineStr">
        <is>
          <t>spring_phab_pct_fast|Moderate gradient (0.5 to 2 percent)</t>
        </is>
      </c>
      <c r="B34" s="69" t="inlineStr">
        <is>
          <t>spring-phab-pct-fast</t>
        </is>
      </c>
      <c r="C34" s="69" t="inlineStr">
        <is>
          <t>Fast-water / riffle habitat</t>
        </is>
      </c>
      <c r="D34" s="69" t="inlineStr">
        <is>
          <t>Moderate gradient (0.5 to 2 percent)</t>
        </is>
      </c>
      <c r="E34" s="69" t="n">
        <v>5</v>
      </c>
      <c r="F34" s="69" t="inlineStr">
        <is>
          <t>60 least-disturbed stations borrowed from Level II ecoregion 10.1 (Cold Deserts) under the regional screen (agriculture at most 25 percent), transfer risk low</t>
        </is>
      </c>
      <c r="G34" s="69" t="n">
        <v>0</v>
      </c>
      <c r="H34" s="69" t="n">
        <v>7.071428571428571</v>
      </c>
      <c r="I34" s="69" t="n">
        <v>16.5</v>
      </c>
      <c r="J34" s="69" t="n">
        <v>52</v>
      </c>
      <c r="K34" s="69" t="n">
        <v>69.75</v>
      </c>
      <c r="L34" s="69" t="n">
        <v>69.75</v>
      </c>
      <c r="M34" s="69" t="n">
        <v>69.75</v>
      </c>
      <c r="N34" s="69" t="n">
        <v>69.75</v>
      </c>
      <c r="O34" s="69" t="n">
        <v>0</v>
      </c>
      <c r="P34" s="69" t="n">
        <v>0.3</v>
      </c>
      <c r="Q34" s="69" t="n">
        <v>0.7</v>
      </c>
      <c r="R34" s="69" t="n">
        <v>1</v>
      </c>
      <c r="S34" s="69" t="n">
        <v>1</v>
      </c>
      <c r="T34" s="69" t="n">
        <v>1</v>
      </c>
      <c r="U34" s="69" t="n">
        <v>1</v>
      </c>
      <c r="V34" s="69" t="n">
        <v>1</v>
      </c>
    </row>
    <row r="35">
      <c r="A35" s="69" t="inlineStr">
        <is>
          <t>spring_phab_pct_fast|Steep (2 percent and above)</t>
        </is>
      </c>
      <c r="B35" s="69" t="inlineStr">
        <is>
          <t>spring-phab-pct-fast</t>
        </is>
      </c>
      <c r="C35" s="69" t="inlineStr">
        <is>
          <t>Fast-water / riffle habitat</t>
        </is>
      </c>
      <c r="D35" s="69" t="inlineStr">
        <is>
          <t>Steep (2 percent and above)</t>
        </is>
      </c>
      <c r="E35" s="69" t="n">
        <v>5</v>
      </c>
      <c r="F35" s="69" t="inlineStr">
        <is>
          <t>60 least-disturbed stations borrowed from Level II ecoregion 10.1 (Cold Deserts) under the regional screen (agriculture at most 25 percent), transfer risk low</t>
        </is>
      </c>
      <c r="G35" s="69" t="n">
        <v>0</v>
      </c>
      <c r="H35" s="69" t="n">
        <v>16.28571469443185</v>
      </c>
      <c r="I35" s="69" t="n">
        <v>38.00000095367432</v>
      </c>
      <c r="J35" s="69" t="n">
        <v>93</v>
      </c>
      <c r="K35" s="69" t="n">
        <v>100</v>
      </c>
      <c r="L35" s="69" t="n">
        <v>100</v>
      </c>
      <c r="M35" s="69" t="n">
        <v>100</v>
      </c>
      <c r="N35" s="69" t="n">
        <v>100</v>
      </c>
      <c r="O35" s="69" t="n">
        <v>0</v>
      </c>
      <c r="P35" s="69" t="n">
        <v>0.3</v>
      </c>
      <c r="Q35" s="69" t="n">
        <v>0.7</v>
      </c>
      <c r="R35" s="69" t="n">
        <v>1</v>
      </c>
      <c r="S35" s="69" t="n">
        <v>1</v>
      </c>
      <c r="T35" s="69" t="n">
        <v>1</v>
      </c>
      <c r="U35" s="69" t="n">
        <v>1</v>
      </c>
      <c r="V35" s="69" t="n">
        <v>1</v>
      </c>
    </row>
    <row r="36">
      <c r="A36" s="69" t="inlineStr">
        <is>
          <t>spring_phab_xfc_nat|All streams (pooled)</t>
        </is>
      </c>
      <c r="B36" s="69" t="inlineStr">
        <is>
          <t>spring-phab-xfc-nat</t>
        </is>
      </c>
      <c r="C36" s="69" t="inlineStr">
        <is>
          <t>Natural fish cover</t>
        </is>
      </c>
      <c r="D36" s="69" t="inlineStr">
        <is>
          <t>All streams (pooled)</t>
        </is>
      </c>
      <c r="E36" s="69" t="n">
        <v>5</v>
      </c>
      <c r="F36" s="69" t="inlineStr">
        <is>
          <t>97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6" s="69" t="n">
        <v>0</v>
      </c>
      <c r="H36" s="69" t="n">
        <v>0.07305194863251277</v>
      </c>
      <c r="I36" s="69" t="n">
        <v>0.1704545468091965</v>
      </c>
      <c r="J36" s="69" t="n">
        <v>0.6288461685180664</v>
      </c>
      <c r="K36" s="69" t="n">
        <v>0.8580419793725014</v>
      </c>
      <c r="L36" s="69" t="n">
        <v>0.8580419793725014</v>
      </c>
      <c r="M36" s="69" t="n">
        <v>0.8580419793725014</v>
      </c>
      <c r="N36" s="69" t="n">
        <v>0.8580419793725014</v>
      </c>
      <c r="O36" s="69" t="n">
        <v>0</v>
      </c>
      <c r="P36" s="69" t="n">
        <v>0.3</v>
      </c>
      <c r="Q36" s="69" t="n">
        <v>0.7</v>
      </c>
      <c r="R36" s="69" t="n">
        <v>1</v>
      </c>
      <c r="S36" s="69" t="n">
        <v>1</v>
      </c>
      <c r="T36" s="69" t="n">
        <v>1</v>
      </c>
      <c r="U36" s="69" t="n">
        <v>1</v>
      </c>
      <c r="V36" s="69" t="n">
        <v>1</v>
      </c>
    </row>
    <row r="37">
      <c r="A37" s="69" t="inlineStr">
        <is>
          <t>spring_phab_xfc_nat|Small stream (10 to 100 km2)</t>
        </is>
      </c>
      <c r="B37" s="69" t="inlineStr">
        <is>
          <t>spring-phab-xfc-nat</t>
        </is>
      </c>
      <c r="C37" s="69" t="inlineStr">
        <is>
          <t>Natural fish cover</t>
        </is>
      </c>
      <c r="D37" s="69" t="inlineStr">
        <is>
          <t>Small stream (10 to 100 km2)</t>
        </is>
      </c>
      <c r="E37" s="69" t="n">
        <v>5</v>
      </c>
      <c r="F37" s="69" t="inlineStr">
        <is>
          <t>97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7" s="69" t="n">
        <v>0</v>
      </c>
      <c r="H37" s="69" t="n">
        <v>0.116006497825895</v>
      </c>
      <c r="I37" s="69" t="n">
        <v>0.2706818282604218</v>
      </c>
      <c r="J37" s="69" t="n">
        <v>0.792045459151268</v>
      </c>
      <c r="K37" s="69" t="n">
        <v>1.052727274596691</v>
      </c>
      <c r="L37" s="69" t="n">
        <v>1.052727274596691</v>
      </c>
      <c r="M37" s="69" t="n">
        <v>1.052727274596691</v>
      </c>
      <c r="N37" s="69" t="n">
        <v>1.052727274596691</v>
      </c>
      <c r="O37" s="69" t="n">
        <v>0</v>
      </c>
      <c r="P37" s="69" t="n">
        <v>0.3</v>
      </c>
      <c r="Q37" s="69" t="n">
        <v>0.7</v>
      </c>
      <c r="R37" s="69" t="n">
        <v>1</v>
      </c>
      <c r="S37" s="69" t="n">
        <v>1</v>
      </c>
      <c r="T37" s="69" t="n">
        <v>1</v>
      </c>
      <c r="U37" s="69" t="n">
        <v>1</v>
      </c>
      <c r="V37" s="69" t="n">
        <v>1</v>
      </c>
    </row>
    <row r="38">
      <c r="A38" s="69" t="inlineStr">
        <is>
          <t>spring_phab_xfc_nat|Large stream (over 100 km2)</t>
        </is>
      </c>
      <c r="B38" s="69" t="inlineStr">
        <is>
          <t>spring-phab-xfc-nat</t>
        </is>
      </c>
      <c r="C38" s="69" t="inlineStr">
        <is>
          <t>Natural fish cover</t>
        </is>
      </c>
      <c r="D38" s="69" t="inlineStr">
        <is>
          <t>Large stream (over 100 km2)</t>
        </is>
      </c>
      <c r="E38" s="69" t="n">
        <v>5</v>
      </c>
      <c r="F38" s="69" t="inlineStr">
        <is>
          <t>97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8" s="69" t="n">
        <v>0</v>
      </c>
      <c r="H38" s="69" t="n">
        <v>0.06218781428677695</v>
      </c>
      <c r="I38" s="69" t="n">
        <v>0.1451049000024796</v>
      </c>
      <c r="J38" s="69" t="n">
        <v>0.4454545378684998</v>
      </c>
      <c r="K38" s="69" t="n">
        <v>0.5956293568015099</v>
      </c>
      <c r="L38" s="69" t="n">
        <v>0.5956293568015099</v>
      </c>
      <c r="M38" s="69" t="n">
        <v>0.5956293568015099</v>
      </c>
      <c r="N38" s="69" t="n">
        <v>0.5956293568015099</v>
      </c>
      <c r="O38" s="69" t="n">
        <v>0</v>
      </c>
      <c r="P38" s="69" t="n">
        <v>0.3</v>
      </c>
      <c r="Q38" s="69" t="n">
        <v>0.7</v>
      </c>
      <c r="R38" s="69" t="n">
        <v>1</v>
      </c>
      <c r="S38" s="69" t="n">
        <v>1</v>
      </c>
      <c r="T38" s="69" t="n">
        <v>1</v>
      </c>
      <c r="U38" s="69" t="n">
        <v>1</v>
      </c>
      <c r="V38" s="69" t="n">
        <v>1</v>
      </c>
    </row>
    <row r="39">
      <c r="A39" s="69" t="inlineStr">
        <is>
          <t>spring_bent_totlntax|</t>
        </is>
      </c>
      <c r="B39" s="69" t="inlineStr">
        <is>
          <t>spring-bent-totlntax</t>
        </is>
      </c>
      <c r="C39" s="69" t="inlineStr">
        <is>
          <t>Benthic total taxa richness</t>
        </is>
      </c>
      <c r="D39" s="69" t="inlineStr"/>
      <c r="E39" s="69" t="n">
        <v>5</v>
      </c>
      <c r="F39" s="69" t="inlineStr">
        <is>
          <t>10 least-disturbed stations of this ecoregion</t>
        </is>
      </c>
      <c r="G39" s="69" t="n">
        <v>0</v>
      </c>
      <c r="H39" s="69" t="n">
        <v>11.67857142857143</v>
      </c>
      <c r="I39" s="69" t="n">
        <v>27.25</v>
      </c>
      <c r="J39" s="69" t="n">
        <v>37.75</v>
      </c>
      <c r="K39" s="69" t="n">
        <v>43</v>
      </c>
      <c r="L39" s="69" t="n">
        <v>43</v>
      </c>
      <c r="M39" s="69" t="n">
        <v>43</v>
      </c>
      <c r="N39" s="69" t="n">
        <v>43</v>
      </c>
      <c r="O39" s="69" t="n">
        <v>0</v>
      </c>
      <c r="P39" s="69" t="n">
        <v>0.3</v>
      </c>
      <c r="Q39" s="69" t="n">
        <v>0.7</v>
      </c>
      <c r="R39" s="69" t="n">
        <v>1</v>
      </c>
      <c r="S39" s="69" t="n">
        <v>1</v>
      </c>
      <c r="T39" s="69" t="n">
        <v>1</v>
      </c>
      <c r="U39" s="69" t="n">
        <v>1</v>
      </c>
      <c r="V39" s="69" t="n">
        <v>1</v>
      </c>
    </row>
    <row r="40">
      <c r="A40" s="69" t="inlineStr">
        <is>
          <t>spring_fish_nat_totlntax|</t>
        </is>
      </c>
      <c r="B40" s="69" t="inlineStr">
        <is>
          <t>spring-fish-nat-totlntax</t>
        </is>
      </c>
      <c r="C40" s="69" t="inlineStr">
        <is>
          <t>Native fish taxa richness</t>
        </is>
      </c>
      <c r="D40" s="69" t="inlineStr"/>
      <c r="E40" s="69" t="n">
        <v>5</v>
      </c>
      <c r="F40" s="69" t="inlineStr">
        <is>
          <t>30 least-disturbed stations borrowed from NARS-9 region XER under the regional screen (agriculture at most 25 percent), transfer risk moderate</t>
        </is>
      </c>
      <c r="G40" s="69" t="n">
        <v>0</v>
      </c>
      <c r="H40" s="69" t="n">
        <v>0.4285714285714285</v>
      </c>
      <c r="I40" s="69" t="n">
        <v>1</v>
      </c>
      <c r="J40" s="69" t="n">
        <v>3</v>
      </c>
      <c r="K40" s="69" t="n">
        <v>4</v>
      </c>
      <c r="L40" s="69" t="n">
        <v>4</v>
      </c>
      <c r="M40" s="69" t="n">
        <v>4</v>
      </c>
      <c r="N40" s="69" t="n">
        <v>4</v>
      </c>
      <c r="O40" s="69" t="n">
        <v>0</v>
      </c>
      <c r="P40" s="69" t="n">
        <v>0.3</v>
      </c>
      <c r="Q40" s="69" t="n">
        <v>0.7</v>
      </c>
      <c r="R40" s="69" t="n">
        <v>1</v>
      </c>
      <c r="S40" s="69" t="n">
        <v>1</v>
      </c>
      <c r="T40" s="69" t="n">
        <v>1</v>
      </c>
      <c r="U40" s="69" t="n">
        <v>1</v>
      </c>
      <c r="V40" s="69" t="n">
        <v>1</v>
      </c>
    </row>
    <row r="41">
      <c r="A41" s="69" t="inlineStr">
        <is>
          <t>spring_bent_ept_ntax|</t>
        </is>
      </c>
      <c r="B41" s="69" t="inlineStr">
        <is>
          <t>spring-bent-ept-ntax</t>
        </is>
      </c>
      <c r="C41" s="69" t="inlineStr">
        <is>
          <t>EPT taxa richness</t>
        </is>
      </c>
      <c r="D41" s="69" t="inlineStr"/>
      <c r="E41" s="69" t="n">
        <v>5</v>
      </c>
      <c r="F41" s="69" t="inlineStr">
        <is>
          <t>10 least-disturbed stations of this ecoregion</t>
        </is>
      </c>
      <c r="G41" s="69" t="n">
        <v>0</v>
      </c>
      <c r="H41" s="69" t="n">
        <v>2.571428571428572</v>
      </c>
      <c r="I41" s="69" t="n">
        <v>6</v>
      </c>
      <c r="J41" s="69" t="n">
        <v>17.5</v>
      </c>
      <c r="K41" s="69" t="n">
        <v>23.25</v>
      </c>
      <c r="L41" s="69" t="n">
        <v>23.25</v>
      </c>
      <c r="M41" s="69" t="n">
        <v>23.25</v>
      </c>
      <c r="N41" s="69" t="n">
        <v>23.25</v>
      </c>
      <c r="O41" s="69" t="n">
        <v>0</v>
      </c>
      <c r="P41" s="69" t="n">
        <v>0.3</v>
      </c>
      <c r="Q41" s="69" t="n">
        <v>0.7</v>
      </c>
      <c r="R41" s="69" t="n">
        <v>1</v>
      </c>
      <c r="S41" s="69" t="n">
        <v>1</v>
      </c>
      <c r="T41" s="69" t="n">
        <v>1</v>
      </c>
      <c r="U41" s="69" t="n">
        <v>1</v>
      </c>
      <c r="V41" s="69" t="n">
        <v>1</v>
      </c>
    </row>
    <row r="42">
      <c r="A42" s="69" t="inlineStr">
        <is>
          <t>spring_bent_hprime|</t>
        </is>
      </c>
      <c r="B42" s="69" t="inlineStr">
        <is>
          <t>spring-bent-hprime</t>
        </is>
      </c>
      <c r="C42" s="69" t="inlineStr">
        <is>
          <t>Shannon diversity (H')</t>
        </is>
      </c>
      <c r="D42" s="69" t="inlineStr"/>
      <c r="E42" s="69" t="n">
        <v>5</v>
      </c>
      <c r="F42" s="69" t="inlineStr">
        <is>
          <t>Reference curve fitted to comparable least-disturbed stations drawn from the national pool, because this ecoregion and its parents hold too few of their own.</t>
        </is>
      </c>
      <c r="G42" s="69" t="n">
        <v>0</v>
      </c>
      <c r="H42" s="69" t="n">
        <v>1.114285673413958</v>
      </c>
      <c r="I42" s="69" t="n">
        <v>2.599999904632568</v>
      </c>
      <c r="J42" s="69" t="n">
        <v>3.062499940395355</v>
      </c>
      <c r="K42" s="69" t="n">
        <v>3.293749958276749</v>
      </c>
      <c r="L42" s="69" t="n">
        <v>3.293749958276749</v>
      </c>
      <c r="M42" s="69" t="n">
        <v>3.293749958276749</v>
      </c>
      <c r="N42" s="69" t="n">
        <v>3.293749958276749</v>
      </c>
      <c r="O42" s="69" t="n">
        <v>0</v>
      </c>
      <c r="P42" s="69" t="n">
        <v>0.3</v>
      </c>
      <c r="Q42" s="69" t="n">
        <v>0.7</v>
      </c>
      <c r="R42" s="69" t="n">
        <v>1</v>
      </c>
      <c r="S42" s="69" t="n">
        <v>1</v>
      </c>
      <c r="T42" s="69" t="n">
        <v>1</v>
      </c>
      <c r="U42" s="69" t="n">
        <v>1</v>
      </c>
      <c r="V42" s="69" t="n">
        <v>1</v>
      </c>
    </row>
    <row r="43">
      <c r="A43" s="69" t="inlineStr">
        <is>
          <t>spring_nid_dams_1mi|</t>
        </is>
      </c>
      <c r="B43" s="69" t="inlineStr">
        <is>
          <t>spring-nid-dams-1mi</t>
        </is>
      </c>
      <c r="C43" s="69" t="inlineStr">
        <is>
          <t>Mapped dams within one mile</t>
        </is>
      </c>
      <c r="D43" s="69" t="inlineStr"/>
      <c r="E43" s="69" t="n">
        <v>4</v>
      </c>
      <c r="F43" s="69" t="inlineStr">
        <is>
          <t>Fixed criteria, the same in every region</t>
        </is>
      </c>
      <c r="G43" s="69" t="n">
        <v>0</v>
      </c>
      <c r="H43" s="69" t="n">
        <v>1</v>
      </c>
      <c r="I43" s="69" t="n">
        <v>2</v>
      </c>
      <c r="J43" s="69" t="n">
        <v>3</v>
      </c>
      <c r="K43" s="69" t="n">
        <v>3</v>
      </c>
      <c r="L43" s="69" t="n">
        <v>3</v>
      </c>
      <c r="M43" s="69" t="n">
        <v>3</v>
      </c>
      <c r="N43" s="69" t="n">
        <v>3</v>
      </c>
      <c r="O43" s="69" t="n">
        <v>1</v>
      </c>
      <c r="P43" s="69" t="n">
        <v>0.545</v>
      </c>
      <c r="Q43" s="69" t="n">
        <v>0.195</v>
      </c>
      <c r="R43" s="69" t="n">
        <v>0</v>
      </c>
      <c r="S43" s="69" t="n">
        <v>0</v>
      </c>
      <c r="T43" s="69" t="n">
        <v>0</v>
      </c>
      <c r="U43" s="69" t="n">
        <v>0</v>
      </c>
      <c r="V43" s="69" t="n">
        <v>0</v>
      </c>
    </row>
    <row r="46">
      <c r="A46" s="58" t="inlineStr">
        <is>
          <t>Curve sets by metric</t>
        </is>
      </c>
    </row>
    <row r="47">
      <c r="A47" s="69" t="inlineStr">
        <is>
          <t>All streams (pooled)</t>
        </is>
      </c>
      <c r="B47" s="5" t="inlineStr">
        <is>
          <t>Bankfull width:depth ratio</t>
        </is>
      </c>
    </row>
    <row r="48">
      <c r="A48" s="69" t="inlineStr">
        <is>
          <t>Small stream (10 to 100 km2)</t>
        </is>
      </c>
      <c r="B48" s="5" t="inlineStr">
        <is>
          <t>Bankfull width:depth ratio</t>
        </is>
      </c>
    </row>
    <row r="49">
      <c r="A49" s="69" t="inlineStr">
        <is>
          <t>Large stream (over 100 km2)</t>
        </is>
      </c>
      <c r="B49" s="5" t="inlineStr">
        <is>
          <t>Bankfull width:depth ratio</t>
        </is>
      </c>
    </row>
    <row r="50">
      <c r="A50" s="69" t="inlineStr">
        <is>
          <t>All streams (pooled)</t>
        </is>
      </c>
      <c r="B50" s="5" t="inlineStr">
        <is>
          <t>Bankfull height above channel</t>
        </is>
      </c>
    </row>
    <row r="51">
      <c r="A51" s="69" t="inlineStr">
        <is>
          <t>Small stream (10 to 100 km2)</t>
        </is>
      </c>
      <c r="B51" s="5" t="inlineStr">
        <is>
          <t>Bankfull height above channel</t>
        </is>
      </c>
    </row>
    <row r="52">
      <c r="A52" s="69" t="inlineStr">
        <is>
          <t>Large stream (over 100 km2)</t>
        </is>
      </c>
      <c r="B52" s="5" t="inlineStr">
        <is>
          <t>Bankfull height above channel</t>
        </is>
      </c>
    </row>
    <row r="53">
      <c r="A53" s="69" t="inlineStr">
        <is>
          <t>All streams (pooled)</t>
        </is>
      </c>
      <c r="B53" s="5" t="inlineStr">
        <is>
          <t>Canopy density, mid-channel</t>
        </is>
      </c>
    </row>
    <row r="54">
      <c r="A54" s="69" t="inlineStr">
        <is>
          <t>Small stream (10 to 100 km2)</t>
        </is>
      </c>
      <c r="B54" s="5" t="inlineStr">
        <is>
          <t>Canopy density, mid-channel</t>
        </is>
      </c>
    </row>
    <row r="55">
      <c r="A55" s="69" t="inlineStr">
        <is>
          <t>Large stream (over 100 km2)</t>
        </is>
      </c>
      <c r="B55" s="5" t="inlineStr">
        <is>
          <t>Canopy density, mid-channel</t>
        </is>
      </c>
    </row>
    <row r="56">
      <c r="A56" s="69" t="inlineStr">
        <is>
          <t>All streams (pooled)</t>
        </is>
      </c>
      <c r="B56" s="5" t="inlineStr">
        <is>
          <t>Fast-water / riffle habitat</t>
        </is>
      </c>
    </row>
    <row r="57">
      <c r="A57" s="69" t="inlineStr">
        <is>
          <t>Low gradient (under 0.5 percent)</t>
        </is>
      </c>
      <c r="B57" s="5" t="inlineStr">
        <is>
          <t>Fast-water / riffle habitat</t>
        </is>
      </c>
    </row>
    <row r="58">
      <c r="A58" s="69" t="inlineStr">
        <is>
          <t>Moderate gradient (0.5 to 2 percent)</t>
        </is>
      </c>
      <c r="B58" s="5" t="inlineStr">
        <is>
          <t>Fast-water / riffle habitat</t>
        </is>
      </c>
    </row>
    <row r="59">
      <c r="A59" s="69" t="inlineStr">
        <is>
          <t>Steep (2 percent and above)</t>
        </is>
      </c>
      <c r="B59" s="5" t="inlineStr">
        <is>
          <t>Fast-water / riffle habitat</t>
        </is>
      </c>
    </row>
    <row r="60">
      <c r="A60" s="69" t="inlineStr">
        <is>
          <t>All streams (pooled)</t>
        </is>
      </c>
      <c r="B60" s="5" t="inlineStr">
        <is>
          <t>Natural fish cover</t>
        </is>
      </c>
    </row>
    <row r="61">
      <c r="A61" s="69" t="inlineStr">
        <is>
          <t>Small stream (10 to 100 km2)</t>
        </is>
      </c>
      <c r="B61" s="5" t="inlineStr">
        <is>
          <t>Natural fish cover</t>
        </is>
      </c>
    </row>
    <row r="62">
      <c r="A62" s="69" t="inlineStr">
        <is>
          <t>Large stream (over 100 km2)</t>
        </is>
      </c>
      <c r="B62" s="5" t="inlineStr">
        <is>
          <t>Natural fish cover</t>
        </is>
      </c>
    </row>
    <row r="65">
      <c r="A65" s="58" t="inlineStr">
        <is>
          <t>Condition classes</t>
        </is>
      </c>
    </row>
    <row r="66">
      <c r="A66" t="inlineStr">
        <is>
          <t>Metric index: at or below 0.39 Non-Functioning, at or below 0.69 Functioning At-Risk, above Functioning.</t>
        </is>
      </c>
    </row>
    <row r="67">
      <c r="A67" t="inlineStr">
        <is>
          <t>Function score (0 to 15): at or below 5 Non-Functioning, at or below 10 Functioning At-Risk, above Functioning.</t>
        </is>
      </c>
    </row>
    <row r="68">
      <c r="A68"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columbia-plateau</t>
        </is>
      </c>
    </row>
    <row r="5">
      <c r="A5" s="69" t="inlineStr">
        <is>
          <t>Assessment name</t>
        </is>
      </c>
      <c r="B5" s="69" t="inlineStr">
        <is>
          <t>Columbia Plateau reference assessment</t>
        </is>
      </c>
    </row>
    <row r="6">
      <c r="A6" s="69" t="inlineStr">
        <is>
          <t>Version</t>
        </is>
      </c>
      <c r="B6" s="69" t="n">
        <v>1</v>
      </c>
    </row>
    <row r="7">
      <c r="A7" s="69" t="inlineStr">
        <is>
          <t>Lifecycle status</t>
        </is>
      </c>
      <c r="B7" s="69" t="inlineStr">
        <is>
          <t>Draft</t>
        </is>
      </c>
    </row>
    <row r="8">
      <c r="A8" s="69" t="inlineStr">
        <is>
          <t>Content digest</t>
        </is>
      </c>
      <c r="B8" s="69" t="inlineStr">
        <is>
          <t>sha256:de9c4339da83ede757cc7c4e1d0fcb290220c703402a5b49d55652ed21413b42</t>
        </is>
      </c>
    </row>
    <row r="9">
      <c r="A9" s="69" t="inlineStr">
        <is>
          <t>Region</t>
        </is>
      </c>
      <c r="B9" s="69" t="inlineStr">
        <is>
          <t>ecoregion 10 Columbia Plateau</t>
        </is>
      </c>
    </row>
    <row r="10">
      <c r="A10" s="69" t="inlineStr">
        <is>
          <t>Source</t>
        </is>
      </c>
      <c r="B10" s="69" t="inlineStr">
        <is>
          <t>USEPA NRSA 2013-24 (L3 ecoregion 10),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28</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2026-09-30T07:07:14Z</dcterms:created>
  <dcterms:modified xmlns:dcterms="http://purl.org/dc/terms/" xmlns:xsi="http://www.w3.org/2001/XMLSchema-instance" xsi:type="dcterms:W3CDTF">2026-09-30T07:07:14Z</dcterms:modified>
  <cp:lastModifiedBy>DEEP</cp:lastModifiedBy>
  <cp:contentStatus>Draft</cp:contentStatus>
</cp:coreProperties>
</file>