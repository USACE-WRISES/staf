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'Reference'!$A$5:$A$25</definedName>
    <definedName name="curve_x1">'Reference'!$G$5:$G$25</definedName>
    <definedName name="curve_y1">'Reference'!$O$5:$O$25</definedName>
    <definedName name="curve_x2">'Reference'!$H$5:$H$25</definedName>
    <definedName name="curve_y2">'Reference'!$P$5:$P$25</definedName>
    <definedName name="curve_x3">'Reference'!$I$5:$I$25</definedName>
    <definedName name="curve_y3">'Reference'!$Q$5:$Q$25</definedName>
    <definedName name="curve_x4">'Reference'!$J$5:$J$25</definedName>
    <definedName name="curve_y4">'Reference'!$R$5:$R$25</definedName>
    <definedName name="curve_x5">'Reference'!$K$5:$K$25</definedName>
    <definedName name="curve_y5">'Reference'!$S$5:$S$25</definedName>
    <definedName name="curve_x6">'Reference'!$L$5:$L$25</definedName>
    <definedName name="curve_y6">'Reference'!$T$5:$T$25</definedName>
    <definedName name="curve_x7">'Reference'!$M$5:$M$25</definedName>
    <definedName name="curve_y7">'Reference'!$U$5:$U$25</definedName>
    <definedName name="curve_x8">'Reference'!$N$5:$N$25</definedName>
    <definedName name="curve_y8">'Reference'!$V$5:$V$25</definedName>
    <definedName name="idx_spring_pctag2019ws">'Metrics'!$V$5</definedName>
    <definedName name="idx_spring_pctimp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rp100_cm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sub_dmm">'Metrics'!$V$19</definedName>
    <definedName name="idx_spring_phab_lwdeqvolm100">'Metrics'!$V$20</definedName>
    <definedName name="idx_spring_phab_xcdenmid">'Metrics'!$V$21</definedName>
    <definedName name="idx_spring_phab_xcmgw">'Metrics'!$V$22</definedName>
    <definedName name="idx_spring_phab_pct_fast">'Metrics'!$V$23</definedName>
    <definedName name="idx_spring_phab_xfc_nat">'Metrics'!$V$24</definedName>
    <definedName name="idx_spring_nid_dams_1mi">'Metrics'!$V$25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habitat_provision">'Results'!$B$18</definedName>
    <definedName name="fs_watershed_connectivity">'Results'!$B$19</definedName>
    <definedName name="sub_index_physical">'Results'!$B$22</definedName>
    <definedName name="sub_index_chemical">'Results'!$B$23</definedName>
    <definedName name="sub_index_biological">'Results'!$B$24</definedName>
    <definedName name="eci">'Results'!$B$25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ag2019ws">'DEEP Score'!$E$12</definedName>
    <definedName name="in_spring_pctimp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Score'!$E$18</definedName>
    <definedName name="in_spring_phab_rp100_cm">'DEEP Score'!$E$19</definedName>
    <definedName name="in_spring_phab_xbkf_h">'DEEP Score'!$E$23</definedName>
    <definedName name="in_spring_phab_pct_safn">'DEEP Score'!$E$24</definedName>
    <definedName name="in_spring_phab_xembed">'DEEP Score'!$E$25</definedName>
    <definedName name="in_spring_phab_sinu">'DEEP Score'!$E$28</definedName>
    <definedName name="in_spring_phab_xbka">'DEEP Score'!$E$29</definedName>
    <definedName name="in_spring_phab_lrbs_use">'DEEP Score'!$E$30</definedName>
    <definedName name="in_spring_phab_lsub_dmm">'DEEP Score'!$E$32</definedName>
    <definedName name="in_spring_phab_lwdeqvolm100">'DEEP Score'!$E$33</definedName>
    <definedName name="in_spring_phab_xcdenmid">'DEEP Score'!$E$35</definedName>
    <definedName name="in_spring_phab_xcmgw">'DEEP Score'!$E$36</definedName>
    <definedName name="in_spring_phab_pct_fast">'DEEP Score'!$E$37</definedName>
    <definedName name="in_spring_phab_xfc_nat">'DEEP Score'!$E$38</definedName>
    <definedName name="in_spring_nid_dams_1mi">'DEEP Score'!$E$39</definedName>
    <definedName name="site_notes">'DEEP Score'!$A$64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0" fontId="0" fillId="2" borderId="1" pivotButton="0" quotePrefix="0" xfId="0"/>
    <xf numFmtId="2" fontId="0" fillId="3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3" fillId="7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6" applyAlignment="1" applyProtection="1" pivotButton="0" quotePrefix="0" xfId="0">
      <alignment horizontal="left" vertical="top" wrapText="1"/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0" fillId="4" borderId="23" applyProtection="1" pivotButton="0" quotePrefix="0" xfId="0">
      <protection locked="0" hidden="0"/>
    </xf>
    <xf numFmtId="0" fontId="0" fillId="4" borderId="24" applyProtection="1" pivotButton="0" quotePrefix="0" xfId="0">
      <protection locked="0" hidden="0"/>
    </xf>
    <xf numFmtId="0" fontId="1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'ChartData'!$A$3:$A$18</f>
            </numRef>
          </cat>
          <val>
            <numRef>
              <f>'ChartData'!$C$3:$C$18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'ChartData'!$A$3:$A$18</f>
            </numRef>
          </cat>
          <val>
            <numRef>
              <f>'ChartData'!$D$3:$D$18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'ChartData'!$A$3:$A$18</f>
            </numRef>
          </cat>
          <val>
            <numRef>
              <f>'ChartData'!$E$3:$E$18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'ChartData'!C20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'ChartData'!$A$21:$A$23</f>
            </numRef>
          </cat>
          <val>
            <numRef>
              <f>'ChartData'!$C$21:$C$23</f>
            </numRef>
          </val>
        </ser>
        <ser>
          <idx val="1"/>
          <order val="1"/>
          <tx>
            <strRef>
              <f>'ChartData'!D20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'ChartData'!$A$21:$A$23</f>
            </numRef>
          </cat>
          <val>
            <numRef>
              <f>'ChartData'!$D$21:$D$23</f>
            </numRef>
          </val>
        </ser>
        <ser>
          <idx val="2"/>
          <order val="2"/>
          <tx>
            <strRef>
              <f>'ChartData'!E20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'ChartData'!$A$21:$A$23</f>
            </numRef>
          </cat>
          <val>
            <numRef>
              <f>'ChartData'!$E$21:$E$23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35712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39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Eastern Corn Belt Plains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60" customHeight="1">
      <c r="A5" s="3" t="inlineStr">
        <is>
          <t>Reference condition. Reference curves are built from least-disturbed stations chosen by a fixed landscape-pressure screen. Where this ecoregion has too few, comparable stations of its Level II and then its Level I ecoregion are used, and a metric with no defensible pool is not scored. Landscape pressure metrics are scored on fixed criteria.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Eastern Corn Belt Plains reference assessment</t>
        </is>
      </c>
    </row>
    <row r="3">
      <c r="A3" s="4" t="inlineStr">
        <is>
          <t>Version 6 | StreamCurves reference-curve development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Agriculture, crop and hay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Impervious surface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</t>
        </is>
      </c>
      <c r="D14" s="30" t="inlineStr">
        <is>
          <t>%</t>
        </is>
      </c>
      <c r="E14" s="31" t="n"/>
      <c r="F14" s="32" t="inlineStr"/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2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6" t="inlineStr">
        <is>
          <t>Hydraulics</t>
        </is>
      </c>
      <c r="B18" s="11" t="inlineStr">
        <is>
          <t>Low flow and baseflow dynamics</t>
        </is>
      </c>
      <c r="C18" s="12" t="inlineStr">
        <is>
          <t>Bankfull width:depth ratio</t>
        </is>
      </c>
      <c r="D18" s="13" t="inlineStr"/>
      <c r="E18" s="14" t="n"/>
      <c r="F18" s="15" t="inlineStr"/>
      <c r="G18" s="16">
        <f>IF('Metrics'!$V$11="","",'Metrics'!$V$11)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37" t="n"/>
      <c r="B19" s="38" t="n"/>
      <c r="C19" s="39" t="inlineStr">
        <is>
          <t>Residual pool depth</t>
        </is>
      </c>
      <c r="D19" s="40" t="inlineStr">
        <is>
          <t>cm</t>
        </is>
      </c>
      <c r="E19" s="41" t="n"/>
      <c r="F19" s="42" t="inlineStr"/>
      <c r="G19" s="43">
        <f>IF('Metrics'!$V$12="","",'Metrics'!$V$12)</f>
        <v/>
      </c>
      <c r="H19" s="38" t="n"/>
      <c r="I19" s="44" t="n"/>
    </row>
    <row r="20">
      <c r="A20" s="19" t="n"/>
      <c r="B20" s="20" t="n"/>
      <c r="C20" s="21" t="inlineStr">
        <is>
          <t>Base flow index</t>
        </is>
      </c>
      <c r="D20" s="22" t="inlineStr">
        <is>
          <t>%</t>
        </is>
      </c>
      <c r="E20" s="45">
        <f>IF('DEEP Score'!$E$16="","",'DEEP Score'!$E$16)</f>
        <v/>
      </c>
      <c r="F20" s="46" t="inlineStr"/>
      <c r="G20" s="25">
        <f>IF('Metrics'!$V$9="","",'Metrics'!$V$9)</f>
        <v/>
      </c>
      <c r="H20" s="20" t="n"/>
      <c r="I20" s="26" t="n"/>
    </row>
    <row r="21">
      <c r="A21" s="47" t="inlineStr">
        <is>
          <t>Hydraulics</t>
        </is>
      </c>
      <c r="B21" s="28" t="inlineStr">
        <is>
          <t>High flow dynamics</t>
        </is>
      </c>
      <c r="C21" s="29" t="inlineStr">
        <is>
          <t>Impervious surface</t>
        </is>
      </c>
      <c r="D21" s="30" t="inlineStr">
        <is>
          <t>%</t>
        </is>
      </c>
      <c r="E21" s="48">
        <f>IF('DEEP Score'!$E$13="","",'DEEP Score'!$E$13)</f>
        <v/>
      </c>
      <c r="F21" s="49" t="inlineStr"/>
      <c r="G21" s="33">
        <f>IF('Metrics'!$V$6="","",'Metrics'!$V$6)</f>
        <v/>
      </c>
      <c r="H21" s="34">
        <f>IF('Results'!$B$9="","",'Results'!$B$9)</f>
        <v/>
      </c>
      <c r="I21" s="35">
        <f>IF('DEEP Score'!$H$21="","",IF('DEEP Score'!$H$21&lt;=5,"Non-Functioning",IF('DEEP Score'!$H$21&lt;=10,"Functioning At-Risk","Functioning")))</f>
        <v/>
      </c>
    </row>
    <row r="22">
      <c r="A22" s="36" t="inlineStr">
        <is>
          <t>Hydraulics</t>
        </is>
      </c>
      <c r="B22" s="11" t="inlineStr">
        <is>
          <t>Floodplain connectivity</t>
        </is>
      </c>
      <c r="C22" s="12" t="inlineStr">
        <is>
          <t>Bankfull width:depth ratio</t>
        </is>
      </c>
      <c r="D22" s="13" t="inlineStr"/>
      <c r="E22" s="50">
        <f>IF('DEEP Score'!$E$18="","",'DEEP Score'!$E$18)</f>
        <v/>
      </c>
      <c r="F22" s="51" t="inlineStr"/>
      <c r="G22" s="16">
        <f>IF('Metrics'!$V$11="","",'Metrics'!$V$11)</f>
        <v/>
      </c>
      <c r="H22" s="17">
        <f>IF('Results'!$B$10="","",'Results'!$B$10)</f>
        <v/>
      </c>
      <c r="I22" s="18">
        <f>IF('DEEP Score'!$H$22="","",IF('DEEP Score'!$H$22&lt;=5,"Non-Functioning",IF('DEEP Score'!$H$22&lt;=10,"Functioning At-Risk","Functioning")))</f>
        <v/>
      </c>
    </row>
    <row r="23">
      <c r="A23" s="19" t="n"/>
      <c r="B23" s="20" t="n"/>
      <c r="C23" s="21" t="inlineStr">
        <is>
          <t>Bankfull height above channel</t>
        </is>
      </c>
      <c r="D23" s="22" t="inlineStr">
        <is>
          <t>m</t>
        </is>
      </c>
      <c r="E23" s="23" t="n"/>
      <c r="F23" s="24" t="inlineStr"/>
      <c r="G23" s="25">
        <f>IF('Metrics'!$V$13="","",'Metrics'!$V$13)</f>
        <v/>
      </c>
      <c r="H23" s="20" t="n"/>
      <c r="I23" s="26" t="n"/>
    </row>
    <row r="24">
      <c r="A24" s="36" t="inlineStr">
        <is>
          <t>Hydraulics</t>
        </is>
      </c>
      <c r="B24" s="11" t="inlineStr">
        <is>
          <t>Hyporheic connectivity</t>
        </is>
      </c>
      <c r="C24" s="12" t="inlineStr">
        <is>
          <t>Sand + fines</t>
        </is>
      </c>
      <c r="D24" s="13" t="inlineStr">
        <is>
          <t>%</t>
        </is>
      </c>
      <c r="E24" s="14" t="n"/>
      <c r="F24" s="15" t="inlineStr"/>
      <c r="G24" s="16">
        <f>IF('Metrics'!$V$14="","",'Metrics'!$V$14)</f>
        <v/>
      </c>
      <c r="H24" s="17">
        <f>IF('Results'!$B$11="","",'Results'!$B$11)</f>
        <v/>
      </c>
      <c r="I24" s="18">
        <f>IF('DEEP Score'!$H$24="","",IF('DEEP Score'!$H$24&lt;=5,"Non-Functioning",IF('DEEP Score'!$H$24&lt;=10,"Functioning At-Risk","Functioning")))</f>
        <v/>
      </c>
    </row>
    <row r="25">
      <c r="A25" s="19" t="n"/>
      <c r="B25" s="20" t="n"/>
      <c r="C25" s="21" t="inlineStr">
        <is>
          <t>Embeddedness</t>
        </is>
      </c>
      <c r="D25" s="22" t="inlineStr">
        <is>
          <t>%</t>
        </is>
      </c>
      <c r="E25" s="23" t="n"/>
      <c r="F25" s="24" t="inlineStr"/>
      <c r="G25" s="25">
        <f>IF('Metrics'!$V$15="","",'Metrics'!$V$15)</f>
        <v/>
      </c>
      <c r="H25" s="20" t="n"/>
      <c r="I25" s="26" t="n"/>
    </row>
    <row r="26">
      <c r="A26" s="52" t="inlineStr">
        <is>
          <t>Geomorphology</t>
        </is>
      </c>
      <c r="B26" s="11" t="inlineStr">
        <is>
          <t>Channel evolution</t>
        </is>
      </c>
      <c r="C26" s="12" t="inlineStr">
        <is>
          <t>Bankfull width:depth ratio</t>
        </is>
      </c>
      <c r="D26" s="13" t="inlineStr"/>
      <c r="E26" s="50">
        <f>IF('DEEP Score'!$E$18="","",'DEEP Score'!$E$18)</f>
        <v/>
      </c>
      <c r="F26" s="51" t="inlineStr"/>
      <c r="G26" s="16">
        <f>IF('Metrics'!$V$11="","",'Metrics'!$V$11)</f>
        <v/>
      </c>
      <c r="H26" s="17">
        <f>IF('Results'!$B$12="","",'Results'!$B$12)</f>
        <v/>
      </c>
      <c r="I26" s="18">
        <f>IF('DEEP Score'!$H$26="","",IF('DEEP Score'!$H$26&lt;=5,"Non-Functioning",IF('DEEP Score'!$H$26&lt;=10,"Functioning At-Risk","Functioning")))</f>
        <v/>
      </c>
    </row>
    <row r="27">
      <c r="A27" s="19" t="n"/>
      <c r="B27" s="20" t="n"/>
      <c r="C27" s="21" t="inlineStr">
        <is>
          <t>Bankfull height above channel</t>
        </is>
      </c>
      <c r="D27" s="22" t="inlineStr">
        <is>
          <t>m</t>
        </is>
      </c>
      <c r="E27" s="45">
        <f>IF('DEEP Score'!$E$23="","",'DEEP Score'!$E$23)</f>
        <v/>
      </c>
      <c r="F27" s="46" t="inlineStr"/>
      <c r="G27" s="25">
        <f>IF('Metrics'!$V$13="","",'Metrics'!$V$13)</f>
        <v/>
      </c>
      <c r="H27" s="20" t="n"/>
      <c r="I27" s="26" t="n"/>
    </row>
    <row r="28">
      <c r="A28" s="52" t="inlineStr">
        <is>
          <t>Geomorphology</t>
        </is>
      </c>
      <c r="B28" s="11" t="inlineStr">
        <is>
          <t>Channel and floodplain dynamics</t>
        </is>
      </c>
      <c r="C28" s="12" t="inlineStr">
        <is>
          <t>Sinuosity</t>
        </is>
      </c>
      <c r="D28" s="13" t="inlineStr"/>
      <c r="E28" s="14" t="n"/>
      <c r="F28" s="15" t="inlineStr"/>
      <c r="G28" s="16">
        <f>IF('Metrics'!$V$16="","",'Metrics'!$V$16)</f>
        <v/>
      </c>
      <c r="H28" s="17">
        <f>IF('Results'!$B$13="","",'Results'!$B$13)</f>
        <v/>
      </c>
      <c r="I28" s="18">
        <f>IF('DEEP Score'!$H$28="","",IF('DEEP Score'!$H$28&lt;=5,"Non-Functioning",IF('DEEP Score'!$H$28&lt;=10,"Functioning At-Risk","Functioning")))</f>
        <v/>
      </c>
    </row>
    <row r="29">
      <c r="A29" s="19" t="n"/>
      <c r="B29" s="20" t="n"/>
      <c r="C29" s="21" t="inlineStr">
        <is>
          <t>Bank angle</t>
        </is>
      </c>
      <c r="D29" s="22" t="inlineStr">
        <is>
          <t>degrees</t>
        </is>
      </c>
      <c r="E29" s="23" t="n"/>
      <c r="F29" s="24" t="inlineStr"/>
      <c r="G29" s="25">
        <f>IF('Metrics'!$V$17="","",'Metrics'!$V$17)</f>
        <v/>
      </c>
      <c r="H29" s="20" t="n"/>
      <c r="I29" s="26" t="n"/>
    </row>
    <row r="30">
      <c r="A30" s="52" t="inlineStr">
        <is>
          <t>Geomorphology</t>
        </is>
      </c>
      <c r="B30" s="11" t="inlineStr">
        <is>
          <t>Sediment continuity</t>
        </is>
      </c>
      <c r="C30" s="12" t="inlineStr">
        <is>
          <t>Relative bed stability</t>
        </is>
      </c>
      <c r="D30" s="13" t="inlineStr">
        <is>
          <t>log</t>
        </is>
      </c>
      <c r="E30" s="14" t="n"/>
      <c r="F30" s="15" t="inlineStr"/>
      <c r="G30" s="16">
        <f>IF('Metrics'!$V$18="","",'Metrics'!$V$18)</f>
        <v/>
      </c>
      <c r="H30" s="17">
        <f>IF('Results'!$B$14="","",'Results'!$B$14)</f>
        <v/>
      </c>
      <c r="I30" s="18">
        <f>IF('DEEP Score'!$H$30="","",IF('DEEP Score'!$H$30&lt;=5,"Non-Functioning",IF('DEEP Score'!$H$30&lt;=10,"Functioning At-Risk","Functioning")))</f>
        <v/>
      </c>
    </row>
    <row r="31">
      <c r="A31" s="19" t="n"/>
      <c r="B31" s="20" t="n"/>
      <c r="C31" s="21" t="inlineStr">
        <is>
          <t>Sand + fines</t>
        </is>
      </c>
      <c r="D31" s="22" t="inlineStr">
        <is>
          <t>%</t>
        </is>
      </c>
      <c r="E31" s="45">
        <f>IF('DEEP Score'!$E$24="","",'DEEP Score'!$E$24)</f>
        <v/>
      </c>
      <c r="F31" s="46" t="inlineStr"/>
      <c r="G31" s="25">
        <f>IF('Metrics'!$V$14="","",'Metrics'!$V$14)</f>
        <v/>
      </c>
      <c r="H31" s="20" t="n"/>
      <c r="I31" s="26" t="n"/>
    </row>
    <row r="32">
      <c r="A32" s="52" t="inlineStr">
        <is>
          <t>Geomorphology</t>
        </is>
      </c>
      <c r="B32" s="11" t="inlineStr">
        <is>
          <t>Bed composition and bedform dynamics</t>
        </is>
      </c>
      <c r="C32" s="12" t="inlineStr">
        <is>
          <t>Substrate size</t>
        </is>
      </c>
      <c r="D32" s="13" t="inlineStr">
        <is>
          <t>log mm</t>
        </is>
      </c>
      <c r="E32" s="14" t="n"/>
      <c r="F32" s="15" t="inlineStr"/>
      <c r="G32" s="16">
        <f>IF('Metrics'!$V$19="","",'Metrics'!$V$19)</f>
        <v/>
      </c>
      <c r="H32" s="17">
        <f>IF('Results'!$B$15="","",'Results'!$B$15)</f>
        <v/>
      </c>
      <c r="I32" s="18">
        <f>IF('DEEP Score'!$H$32="","",IF('DEEP Score'!$H$32&lt;=5,"Non-Functioning",IF('DEEP Score'!$H$32&lt;=10,"Functioning At-Risk","Functioning")))</f>
        <v/>
      </c>
    </row>
    <row r="33">
      <c r="A33" s="37" t="n"/>
      <c r="B33" s="38" t="n"/>
      <c r="C33" s="39" t="inlineStr">
        <is>
          <t>Large wood volume</t>
        </is>
      </c>
      <c r="D33" s="40" t="inlineStr">
        <is>
          <t>m3/100m</t>
        </is>
      </c>
      <c r="E33" s="41" t="n"/>
      <c r="F33" s="42" t="inlineStr"/>
      <c r="G33" s="43">
        <f>IF('Metrics'!$V$20="","",'Metrics'!$V$20)</f>
        <v/>
      </c>
      <c r="H33" s="38" t="n"/>
      <c r="I33" s="44" t="n"/>
    </row>
    <row r="34">
      <c r="A34" s="19" t="n"/>
      <c r="B34" s="20" t="n"/>
      <c r="C34" s="21" t="inlineStr">
        <is>
          <t>Embeddedness</t>
        </is>
      </c>
      <c r="D34" s="22" t="inlineStr">
        <is>
          <t>%</t>
        </is>
      </c>
      <c r="E34" s="45">
        <f>IF('DEEP Score'!$E$25="","",'DEEP Score'!$E$25)</f>
        <v/>
      </c>
      <c r="F34" s="46" t="inlineStr"/>
      <c r="G34" s="25">
        <f>IF('Metrics'!$V$15="","",'Metrics'!$V$15)</f>
        <v/>
      </c>
      <c r="H34" s="20" t="n"/>
      <c r="I34" s="26" t="n"/>
    </row>
    <row r="35">
      <c r="A35" s="53" t="inlineStr">
        <is>
          <t>Physicochemistry</t>
        </is>
      </c>
      <c r="B35" s="28" t="inlineStr">
        <is>
          <t>Light &amp; thermal regime</t>
        </is>
      </c>
      <c r="C35" s="29" t="inlineStr">
        <is>
          <t>Canopy density, mid-channel</t>
        </is>
      </c>
      <c r="D35" s="30" t="inlineStr">
        <is>
          <t>%</t>
        </is>
      </c>
      <c r="E35" s="31" t="n"/>
      <c r="F35" s="32" t="inlineStr"/>
      <c r="G35" s="33">
        <f>IF('Metrics'!$V$21="","",'Metrics'!$V$21)</f>
        <v/>
      </c>
      <c r="H35" s="34">
        <f>IF('Results'!$B$16="","",'Results'!$B$16)</f>
        <v/>
      </c>
      <c r="I35" s="35">
        <f>IF('DEEP Score'!$H$35="","",IF('DEEP Score'!$H$35&lt;=5,"Non-Functioning",IF('DEEP Score'!$H$35&lt;=10,"Functioning At-Risk","Functioning")))</f>
        <v/>
      </c>
    </row>
    <row r="36">
      <c r="A36" s="53" t="inlineStr">
        <is>
          <t>Physicochemistry</t>
        </is>
      </c>
      <c r="B36" s="28" t="inlineStr">
        <is>
          <t>Carbon processing</t>
        </is>
      </c>
      <c r="C36" s="29" t="inlineStr">
        <is>
          <t>Riparian veg cover, woody</t>
        </is>
      </c>
      <c r="D36" s="30" t="inlineStr">
        <is>
          <t>frac</t>
        </is>
      </c>
      <c r="E36" s="31" t="n"/>
      <c r="F36" s="32" t="inlineStr"/>
      <c r="G36" s="33">
        <f>IF('Metrics'!$V$22="","",'Metrics'!$V$22)</f>
        <v/>
      </c>
      <c r="H36" s="34">
        <f>IF('Results'!$B$17="","",'Results'!$B$17)</f>
        <v/>
      </c>
      <c r="I36" s="35">
        <f>IF('DEEP Score'!$H$36="","",IF('DEEP Score'!$H$36&lt;=5,"Non-Functioning",IF('DEEP Score'!$H$36&lt;=10,"Functioning At-Risk","Functioning")))</f>
        <v/>
      </c>
    </row>
    <row r="37">
      <c r="A37" s="54" t="inlineStr">
        <is>
          <t>Biology</t>
        </is>
      </c>
      <c r="B37" s="11" t="inlineStr">
        <is>
          <t>Habitat provision</t>
        </is>
      </c>
      <c r="C37" s="12" t="inlineStr">
        <is>
          <t>Fast-water / riffle habitat</t>
        </is>
      </c>
      <c r="D37" s="13" t="inlineStr">
        <is>
          <t>%</t>
        </is>
      </c>
      <c r="E37" s="14" t="n"/>
      <c r="F37" s="15" t="inlineStr"/>
      <c r="G37" s="16">
        <f>IF('Metrics'!$V$23="","",'Metrics'!$V$23)</f>
        <v/>
      </c>
      <c r="H37" s="17">
        <f>IF('Results'!$B$18="","",'Results'!$B$18)</f>
        <v/>
      </c>
      <c r="I37" s="18">
        <f>IF('DEEP Score'!$H$37="","",IF('DEEP Score'!$H$37&lt;=5,"Non-Functioning",IF('DEEP Score'!$H$37&lt;=10,"Functioning At-Risk","Functioning")))</f>
        <v/>
      </c>
    </row>
    <row r="38">
      <c r="A38" s="19" t="n"/>
      <c r="B38" s="20" t="n"/>
      <c r="C38" s="21" t="inlineStr">
        <is>
          <t>Natural fish cover</t>
        </is>
      </c>
      <c r="D38" s="22" t="inlineStr">
        <is>
          <t>frac</t>
        </is>
      </c>
      <c r="E38" s="23" t="n"/>
      <c r="F38" s="24" t="inlineStr"/>
      <c r="G38" s="25">
        <f>IF('Metrics'!$V$24="","",'Metrics'!$V$24)</f>
        <v/>
      </c>
      <c r="H38" s="20" t="n"/>
      <c r="I38" s="26" t="n"/>
    </row>
    <row r="39">
      <c r="A39" s="55" t="inlineStr">
        <is>
          <t>Biology</t>
        </is>
      </c>
      <c r="B39" s="28" t="inlineStr">
        <is>
          <t>Watershed connectivity</t>
        </is>
      </c>
      <c r="C39" s="29" t="inlineStr">
        <is>
          <t>Mapped dams within one mile</t>
        </is>
      </c>
      <c r="D39" s="30" t="inlineStr">
        <is>
          <t>dams</t>
        </is>
      </c>
      <c r="E39" s="31" t="n"/>
      <c r="F39" s="32" t="inlineStr"/>
      <c r="G39" s="33">
        <f>IF('Metrics'!$V$25="","",'Metrics'!$V$25)</f>
        <v/>
      </c>
      <c r="H39" s="34">
        <f>IF('Results'!$B$19="","",'Results'!$B$19)</f>
        <v/>
      </c>
      <c r="I39" s="35">
        <f>IF('DEEP Score'!$H$39="","",IF('DEEP Score'!$H$39&lt;=5,"Non-Functioning",IF('DEEP Score'!$H$39&lt;=10,"Functioning At-Risk","Functioning")))</f>
        <v/>
      </c>
    </row>
    <row r="41">
      <c r="A41" s="56" t="inlineStr">
        <is>
          <t>Summary</t>
        </is>
      </c>
    </row>
    <row r="42">
      <c r="A42" s="9" t="inlineStr">
        <is>
          <t>Outcome</t>
        </is>
      </c>
      <c r="B42" s="9" t="inlineStr">
        <is>
          <t>Sub-index (0 to 1)</t>
        </is>
      </c>
      <c r="C42" s="9" t="inlineStr">
        <is>
          <t>Condition</t>
        </is>
      </c>
    </row>
    <row r="43">
      <c r="A43" s="57" t="inlineStr">
        <is>
          <t>Physical</t>
        </is>
      </c>
      <c r="B43" s="58">
        <f>'Results'!$B$22</f>
        <v/>
      </c>
      <c r="C43" s="40">
        <f>IF('DEEP Score'!$B$43&lt;=0.39,"Non-Functioning",IF('DEEP Score'!$B$43&lt;=0.69,"Functioning At-Risk","Functioning"))</f>
        <v/>
      </c>
    </row>
    <row r="44">
      <c r="A44" s="57" t="inlineStr">
        <is>
          <t>Chemical</t>
        </is>
      </c>
      <c r="B44" s="58">
        <f>'Results'!$B$23</f>
        <v/>
      </c>
      <c r="C44" s="40">
        <f>IF('DEEP Score'!$B$44&lt;=0.39,"Non-Functioning",IF('DEEP Score'!$B$44&lt;=0.69,"Functioning At-Risk","Functioning"))</f>
        <v/>
      </c>
    </row>
    <row r="45">
      <c r="A45" s="57" t="inlineStr">
        <is>
          <t>Biological</t>
        </is>
      </c>
      <c r="B45" s="58">
        <f>'Results'!$B$24</f>
        <v/>
      </c>
      <c r="C45" s="40">
        <f>IF('DEEP Score'!$B$45&lt;=0.39,"Non-Functioning",IF('DEEP Score'!$B$45&lt;=0.69,"Functioning At-Risk","Functioning"))</f>
        <v/>
      </c>
    </row>
    <row r="46" ht="30" customHeight="1">
      <c r="A46" s="59" t="inlineStr">
        <is>
          <t>Ecosystem Condition Index</t>
        </is>
      </c>
      <c r="B46" s="60">
        <f>'Results'!$B$25</f>
        <v/>
      </c>
      <c r="C46" s="40">
        <f>IF('DEEP Score'!$B$46&lt;=0.39,"Non-Functioning",IF('DEEP Score'!$B$46&lt;=0.69,"Functioning At-Risk","Functioning"))</f>
        <v/>
      </c>
    </row>
    <row r="47">
      <c r="A47" s="4" t="inlineStr">
        <is>
          <t xml:space="preserve">Functions with a score: </t>
        </is>
      </c>
      <c r="B47" s="4">
        <f>COUNT('Results'!$B$4:$B$19)&amp;" of 16"</f>
        <v/>
      </c>
    </row>
    <row r="48">
      <c r="A48" s="4" t="inlineStr">
        <is>
          <t>This assessment covers 16 of 20 STAF functions (4 documented exclusions).</t>
        </is>
      </c>
    </row>
    <row r="50">
      <c r="A50" s="61" t="inlineStr">
        <is>
          <t>Withheld for insufficient reference support (not scored)</t>
        </is>
      </c>
    </row>
    <row r="51">
      <c r="A51" t="inlineStr">
        <is>
          <t>EPT taxa richness</t>
        </is>
      </c>
      <c r="C51" s="4" t="inlineStr">
        <is>
          <t>Community dynamics</t>
        </is>
      </c>
    </row>
    <row r="52">
      <c r="A52" t="inlineStr">
        <is>
          <t>Shannon diversity (H')</t>
        </is>
      </c>
      <c r="C52" s="4" t="inlineStr">
        <is>
          <t>Community dynamics</t>
        </is>
      </c>
    </row>
    <row r="53">
      <c r="A53" t="inlineStr">
        <is>
          <t>Tolerant individuals (%) ~ HBI</t>
        </is>
      </c>
      <c r="C53" s="4" t="inlineStr">
        <is>
          <t>Community dynamics</t>
        </is>
      </c>
    </row>
    <row r="54">
      <c r="A54" t="inlineStr">
        <is>
          <t>Benthic total taxa richness</t>
        </is>
      </c>
      <c r="C54" s="4" t="inlineStr">
        <is>
          <t>Population support</t>
        </is>
      </c>
    </row>
    <row r="55">
      <c r="A55" t="inlineStr">
        <is>
          <t>Chlorophyll a</t>
        </is>
      </c>
      <c r="C55" s="4" t="inlineStr">
        <is>
          <t>Light and thermal regime</t>
        </is>
      </c>
    </row>
    <row r="56">
      <c r="A56" t="inlineStr">
        <is>
          <t>Specific conductivity</t>
        </is>
      </c>
      <c r="C56" s="4" t="inlineStr">
        <is>
          <t>Water and soil quality</t>
        </is>
      </c>
    </row>
    <row r="57">
      <c r="A57" t="inlineStr">
        <is>
          <t>Dissolved nitrogen</t>
        </is>
      </c>
      <c r="C57" s="4" t="inlineStr">
        <is>
          <t>Nutrient cycling</t>
        </is>
      </c>
    </row>
    <row r="58">
      <c r="A58" t="inlineStr">
        <is>
          <t>pH</t>
        </is>
      </c>
      <c r="C58" s="4" t="inlineStr">
        <is>
          <t>Water and soil quality</t>
        </is>
      </c>
    </row>
    <row r="59">
      <c r="A59" t="inlineStr">
        <is>
          <t>Total phosphorus</t>
        </is>
      </c>
      <c r="C59" s="4" t="inlineStr">
        <is>
          <t>Nutrient cycling</t>
        </is>
      </c>
    </row>
    <row r="60">
      <c r="A60" t="inlineStr">
        <is>
          <t>Turbidity</t>
        </is>
      </c>
      <c r="C60" s="4" t="inlineStr">
        <is>
          <t>Water and soil quality</t>
        </is>
      </c>
    </row>
    <row r="61">
      <c r="A61" t="inlineStr">
        <is>
          <t>Native fish taxa richness</t>
        </is>
      </c>
      <c r="C61" s="4" t="inlineStr">
        <is>
          <t>Population support</t>
        </is>
      </c>
    </row>
    <row r="63">
      <c r="A63" s="5" t="inlineStr">
        <is>
          <t>Notes</t>
        </is>
      </c>
    </row>
    <row r="64">
      <c r="A64" s="62" t="n"/>
      <c r="B64" s="63" t="n"/>
      <c r="C64" s="63" t="n"/>
      <c r="D64" s="63" t="n"/>
      <c r="E64" s="63" t="n"/>
      <c r="F64" s="63" t="n"/>
      <c r="G64" s="63" t="n"/>
      <c r="H64" s="63" t="n"/>
      <c r="I64" s="64" t="n"/>
    </row>
    <row r="65">
      <c r="A65" s="65" t="n"/>
      <c r="B65" s="66" t="n"/>
      <c r="C65" s="66" t="n"/>
      <c r="D65" s="66" t="n"/>
      <c r="E65" s="66" t="n"/>
      <c r="F65" s="66" t="n"/>
      <c r="G65" s="66" t="n"/>
      <c r="H65" s="66" t="n"/>
      <c r="I65" s="67" t="n"/>
    </row>
    <row r="66">
      <c r="A66" s="65" t="n"/>
      <c r="B66" s="66" t="n"/>
      <c r="C66" s="66" t="n"/>
      <c r="D66" s="66" t="n"/>
      <c r="E66" s="66" t="n"/>
      <c r="F66" s="66" t="n"/>
      <c r="G66" s="66" t="n"/>
      <c r="H66" s="66" t="n"/>
      <c r="I66" s="67" t="n"/>
    </row>
    <row r="67">
      <c r="A67" s="65" t="n"/>
      <c r="B67" s="66" t="n"/>
      <c r="C67" s="66" t="n"/>
      <c r="D67" s="66" t="n"/>
      <c r="E67" s="66" t="n"/>
      <c r="F67" s="66" t="n"/>
      <c r="G67" s="66" t="n"/>
      <c r="H67" s="66" t="n"/>
      <c r="I67" s="67" t="n"/>
    </row>
    <row r="68">
      <c r="A68" s="65" t="n"/>
      <c r="B68" s="66" t="n"/>
      <c r="C68" s="66" t="n"/>
      <c r="D68" s="66" t="n"/>
      <c r="E68" s="66" t="n"/>
      <c r="F68" s="66" t="n"/>
      <c r="G68" s="66" t="n"/>
      <c r="H68" s="66" t="n"/>
      <c r="I68" s="67" t="n"/>
    </row>
    <row r="69">
      <c r="A69" s="68" t="n"/>
      <c r="B69" s="69" t="n"/>
      <c r="C69" s="69" t="n"/>
      <c r="D69" s="69" t="n"/>
      <c r="E69" s="69" t="n"/>
      <c r="F69" s="69" t="n"/>
      <c r="G69" s="69" t="n"/>
      <c r="H69" s="69" t="n"/>
      <c r="I69" s="7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46">
    <mergeCell ref="I18:I20"/>
    <mergeCell ref="H26:H27"/>
    <mergeCell ref="I30:I31"/>
    <mergeCell ref="A24:A25"/>
    <mergeCell ref="B12:B13"/>
    <mergeCell ref="B8:D8"/>
    <mergeCell ref="I16:I17"/>
    <mergeCell ref="A16:A17"/>
    <mergeCell ref="A32:A34"/>
    <mergeCell ref="H32:H34"/>
    <mergeCell ref="I26:I27"/>
    <mergeCell ref="I22:I23"/>
    <mergeCell ref="H18:H20"/>
    <mergeCell ref="I28:I29"/>
    <mergeCell ref="A12:A13"/>
    <mergeCell ref="A26:A27"/>
    <mergeCell ref="I12:I13"/>
    <mergeCell ref="H22:H23"/>
    <mergeCell ref="B9:D9"/>
    <mergeCell ref="A37:A38"/>
    <mergeCell ref="I37:I38"/>
    <mergeCell ref="B28:B29"/>
    <mergeCell ref="B32:B34"/>
    <mergeCell ref="B6:D6"/>
    <mergeCell ref="B24:B25"/>
    <mergeCell ref="I24:I25"/>
    <mergeCell ref="B37:B38"/>
    <mergeCell ref="A64:I69"/>
    <mergeCell ref="B5:D5"/>
    <mergeCell ref="A22:A23"/>
    <mergeCell ref="H16:H17"/>
    <mergeCell ref="H12:H13"/>
    <mergeCell ref="H28:H29"/>
    <mergeCell ref="H37:H38"/>
    <mergeCell ref="B7:D7"/>
    <mergeCell ref="H24:H25"/>
    <mergeCell ref="B18:B20"/>
    <mergeCell ref="B30:B31"/>
    <mergeCell ref="I32:I34"/>
    <mergeCell ref="H30:H31"/>
    <mergeCell ref="B22:B23"/>
    <mergeCell ref="A28:A29"/>
    <mergeCell ref="B16:B17"/>
    <mergeCell ref="B26:B27"/>
    <mergeCell ref="A18:A20"/>
    <mergeCell ref="A30:A31"/>
  </mergeCells>
  <conditionalFormatting sqref="G12:G39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39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39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5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71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38" t="inlineStr">
        <is>
          <t>Agriculture, crop and hay</t>
        </is>
      </c>
      <c r="B5" s="72">
        <f>IF('DEEP Score'!$E$12="","",'DEEP Score'!$E$12)</f>
        <v/>
      </c>
      <c r="C5" s="72">
        <f>""</f>
        <v/>
      </c>
      <c r="D5" s="72">
        <f>"spring_pctag2019ws|"&amp;'Metrics'!$C$5</f>
        <v/>
      </c>
      <c r="E5" s="72">
        <f>IFERROR(MATCH('Metrics'!$D$5,curve_key,0),MATCH("spring_pctag2019ws|",curve_key,0))</f>
        <v/>
      </c>
      <c r="F5" s="72">
        <f>INDEX(curve_x1,'Metrics'!$E$5)</f>
        <v/>
      </c>
      <c r="G5" s="72">
        <f>INDEX(curve_x2,'Metrics'!$E$5)</f>
        <v/>
      </c>
      <c r="H5" s="72">
        <f>INDEX(curve_x3,'Metrics'!$E$5)</f>
        <v/>
      </c>
      <c r="I5" s="72">
        <f>INDEX(curve_x4,'Metrics'!$E$5)</f>
        <v/>
      </c>
      <c r="J5" s="72">
        <f>INDEX(curve_x5,'Metrics'!$E$5)</f>
        <v/>
      </c>
      <c r="K5" s="72">
        <f>INDEX(curve_x6,'Metrics'!$E$5)</f>
        <v/>
      </c>
      <c r="L5" s="72">
        <f>INDEX(curve_x7,'Metrics'!$E$5)</f>
        <v/>
      </c>
      <c r="M5" s="72">
        <f>INDEX(curve_x8,'Metrics'!$E$5)</f>
        <v/>
      </c>
      <c r="N5" s="72">
        <f>INDEX(curve_y1,'Metrics'!$E$5)</f>
        <v/>
      </c>
      <c r="O5" s="72">
        <f>INDEX(curve_y2,'Metrics'!$E$5)</f>
        <v/>
      </c>
      <c r="P5" s="72">
        <f>INDEX(curve_y3,'Metrics'!$E$5)</f>
        <v/>
      </c>
      <c r="Q5" s="72">
        <f>INDEX(curve_y4,'Metrics'!$E$5)</f>
        <v/>
      </c>
      <c r="R5" s="72">
        <f>INDEX(curve_y5,'Metrics'!$E$5)</f>
        <v/>
      </c>
      <c r="S5" s="72">
        <f>INDEX(curve_y6,'Metrics'!$E$5)</f>
        <v/>
      </c>
      <c r="T5" s="72">
        <f>INDEX(curve_y7,'Metrics'!$E$5)</f>
        <v/>
      </c>
      <c r="U5" s="72">
        <f>INDEX(curve_y8,'Metrics'!$E$5)</f>
        <v/>
      </c>
      <c r="V5" s="73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38" t="inlineStr">
        <is>
          <t>Impervious surface</t>
        </is>
      </c>
      <c r="B6" s="72">
        <f>IF('DEEP Score'!$E$13="","",'DEEP Score'!$E$13)</f>
        <v/>
      </c>
      <c r="C6" s="72">
        <f>""</f>
        <v/>
      </c>
      <c r="D6" s="72">
        <f>"spring_pctimp2019ws|"&amp;'Metrics'!$C$6</f>
        <v/>
      </c>
      <c r="E6" s="72">
        <f>IFERROR(MATCH('Metrics'!$D$6,curve_key,0),MATCH("spring_pctimp2019ws|",curve_key,0))</f>
        <v/>
      </c>
      <c r="F6" s="72">
        <f>INDEX(curve_x1,'Metrics'!$E$6)</f>
        <v/>
      </c>
      <c r="G6" s="72">
        <f>INDEX(curve_x2,'Metrics'!$E$6)</f>
        <v/>
      </c>
      <c r="H6" s="72">
        <f>INDEX(curve_x3,'Metrics'!$E$6)</f>
        <v/>
      </c>
      <c r="I6" s="72">
        <f>INDEX(curve_x4,'Metrics'!$E$6)</f>
        <v/>
      </c>
      <c r="J6" s="72">
        <f>INDEX(curve_x5,'Metrics'!$E$6)</f>
        <v/>
      </c>
      <c r="K6" s="72">
        <f>INDEX(curve_x6,'Metrics'!$E$6)</f>
        <v/>
      </c>
      <c r="L6" s="72">
        <f>INDEX(curve_x7,'Metrics'!$E$6)</f>
        <v/>
      </c>
      <c r="M6" s="72">
        <f>INDEX(curve_x8,'Metrics'!$E$6)</f>
        <v/>
      </c>
      <c r="N6" s="72">
        <f>INDEX(curve_y1,'Metrics'!$E$6)</f>
        <v/>
      </c>
      <c r="O6" s="72">
        <f>INDEX(curve_y2,'Metrics'!$E$6)</f>
        <v/>
      </c>
      <c r="P6" s="72">
        <f>INDEX(curve_y3,'Metrics'!$E$6)</f>
        <v/>
      </c>
      <c r="Q6" s="72">
        <f>INDEX(curve_y4,'Metrics'!$E$6)</f>
        <v/>
      </c>
      <c r="R6" s="72">
        <f>INDEX(curve_y5,'Metrics'!$E$6)</f>
        <v/>
      </c>
      <c r="S6" s="72">
        <f>INDEX(curve_y6,'Metrics'!$E$6)</f>
        <v/>
      </c>
      <c r="T6" s="72">
        <f>INDEX(curve_y7,'Metrics'!$E$6)</f>
        <v/>
      </c>
      <c r="U6" s="72">
        <f>INDEX(curve_y8,'Metrics'!$E$6)</f>
        <v/>
      </c>
      <c r="V6" s="73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38" t="inlineStr">
        <is>
          <t>Wetland</t>
        </is>
      </c>
      <c r="B7" s="72">
        <f>IF('DEEP Score'!$E$14="","",'DEEP Score'!$E$14)</f>
        <v/>
      </c>
      <c r="C7" s="72">
        <f>""</f>
        <v/>
      </c>
      <c r="D7" s="72">
        <f>"spring_pctwet2019ws|"&amp;'Metrics'!$C$7</f>
        <v/>
      </c>
      <c r="E7" s="72">
        <f>IFERROR(MATCH('Metrics'!$D$7,curve_key,0),MATCH("spring_pctwet2019ws|",curve_key,0))</f>
        <v/>
      </c>
      <c r="F7" s="72">
        <f>INDEX(curve_x1,'Metrics'!$E$7)</f>
        <v/>
      </c>
      <c r="G7" s="72">
        <f>INDEX(curve_x2,'Metrics'!$E$7)</f>
        <v/>
      </c>
      <c r="H7" s="72">
        <f>INDEX(curve_x3,'Metrics'!$E$7)</f>
        <v/>
      </c>
      <c r="I7" s="72">
        <f>INDEX(curve_x4,'Metrics'!$E$7)</f>
        <v/>
      </c>
      <c r="J7" s="72">
        <f>INDEX(curve_x5,'Metrics'!$E$7)</f>
        <v/>
      </c>
      <c r="K7" s="72">
        <f>INDEX(curve_x6,'Metrics'!$E$7)</f>
        <v/>
      </c>
      <c r="L7" s="72">
        <f>INDEX(curve_x7,'Metrics'!$E$7)</f>
        <v/>
      </c>
      <c r="M7" s="72">
        <f>INDEX(curve_x8,'Metrics'!$E$7)</f>
        <v/>
      </c>
      <c r="N7" s="72">
        <f>INDEX(curve_y1,'Metrics'!$E$7)</f>
        <v/>
      </c>
      <c r="O7" s="72">
        <f>INDEX(curve_y2,'Metrics'!$E$7)</f>
        <v/>
      </c>
      <c r="P7" s="72">
        <f>INDEX(curve_y3,'Metrics'!$E$7)</f>
        <v/>
      </c>
      <c r="Q7" s="72">
        <f>INDEX(curve_y4,'Metrics'!$E$7)</f>
        <v/>
      </c>
      <c r="R7" s="72">
        <f>INDEX(curve_y5,'Metrics'!$E$7)</f>
        <v/>
      </c>
      <c r="S7" s="72">
        <f>INDEX(curve_y6,'Metrics'!$E$7)</f>
        <v/>
      </c>
      <c r="T7" s="72">
        <f>INDEX(curve_y7,'Metrics'!$E$7)</f>
        <v/>
      </c>
      <c r="U7" s="72">
        <f>INDEX(curve_y8,'Metrics'!$E$7)</f>
        <v/>
      </c>
      <c r="V7" s="73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38" t="inlineStr">
        <is>
          <t>Road density</t>
        </is>
      </c>
      <c r="B8" s="72">
        <f>IF('DEEP Score'!$E$15="","",'DEEP Score'!$E$15)</f>
        <v/>
      </c>
      <c r="C8" s="72">
        <f>""</f>
        <v/>
      </c>
      <c r="D8" s="72">
        <f>"spring_rddensws|"&amp;'Metrics'!$C$8</f>
        <v/>
      </c>
      <c r="E8" s="72">
        <f>IFERROR(MATCH('Metrics'!$D$8,curve_key,0),MATCH("spring_rddensws|",curve_key,0))</f>
        <v/>
      </c>
      <c r="F8" s="72">
        <f>INDEX(curve_x1,'Metrics'!$E$8)</f>
        <v/>
      </c>
      <c r="G8" s="72">
        <f>INDEX(curve_x2,'Metrics'!$E$8)</f>
        <v/>
      </c>
      <c r="H8" s="72">
        <f>INDEX(curve_x3,'Metrics'!$E$8)</f>
        <v/>
      </c>
      <c r="I8" s="72">
        <f>INDEX(curve_x4,'Metrics'!$E$8)</f>
        <v/>
      </c>
      <c r="J8" s="72">
        <f>INDEX(curve_x5,'Metrics'!$E$8)</f>
        <v/>
      </c>
      <c r="K8" s="72">
        <f>INDEX(curve_x6,'Metrics'!$E$8)</f>
        <v/>
      </c>
      <c r="L8" s="72">
        <f>INDEX(curve_x7,'Metrics'!$E$8)</f>
        <v/>
      </c>
      <c r="M8" s="72">
        <f>INDEX(curve_x8,'Metrics'!$E$8)</f>
        <v/>
      </c>
      <c r="N8" s="72">
        <f>INDEX(curve_y1,'Metrics'!$E$8)</f>
        <v/>
      </c>
      <c r="O8" s="72">
        <f>INDEX(curve_y2,'Metrics'!$E$8)</f>
        <v/>
      </c>
      <c r="P8" s="72">
        <f>INDEX(curve_y3,'Metrics'!$E$8)</f>
        <v/>
      </c>
      <c r="Q8" s="72">
        <f>INDEX(curve_y4,'Metrics'!$E$8)</f>
        <v/>
      </c>
      <c r="R8" s="72">
        <f>INDEX(curve_y5,'Metrics'!$E$8)</f>
        <v/>
      </c>
      <c r="S8" s="72">
        <f>INDEX(curve_y6,'Metrics'!$E$8)</f>
        <v/>
      </c>
      <c r="T8" s="72">
        <f>INDEX(curve_y7,'Metrics'!$E$8)</f>
        <v/>
      </c>
      <c r="U8" s="72">
        <f>INDEX(curve_y8,'Metrics'!$E$8)</f>
        <v/>
      </c>
      <c r="V8" s="73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38" t="inlineStr">
        <is>
          <t>Base flow index</t>
        </is>
      </c>
      <c r="B9" s="72">
        <f>IF('DEEP Score'!$E$16="","",'DEEP Score'!$E$16)</f>
        <v/>
      </c>
      <c r="C9" s="72">
        <f>""</f>
        <v/>
      </c>
      <c r="D9" s="72">
        <f>"spring_bfiws|"&amp;'Metrics'!$C$9</f>
        <v/>
      </c>
      <c r="E9" s="72">
        <f>IFERROR(MATCH('Metrics'!$D$9,curve_key,0),MATCH("spring_bfiws|",curve_key,0))</f>
        <v/>
      </c>
      <c r="F9" s="72">
        <f>INDEX(curve_x1,'Metrics'!$E$9)</f>
        <v/>
      </c>
      <c r="G9" s="72">
        <f>INDEX(curve_x2,'Metrics'!$E$9)</f>
        <v/>
      </c>
      <c r="H9" s="72">
        <f>INDEX(curve_x3,'Metrics'!$E$9)</f>
        <v/>
      </c>
      <c r="I9" s="72">
        <f>INDEX(curve_x4,'Metrics'!$E$9)</f>
        <v/>
      </c>
      <c r="J9" s="72">
        <f>INDEX(curve_x5,'Metrics'!$E$9)</f>
        <v/>
      </c>
      <c r="K9" s="72">
        <f>INDEX(curve_x6,'Metrics'!$E$9)</f>
        <v/>
      </c>
      <c r="L9" s="72">
        <f>INDEX(curve_x7,'Metrics'!$E$9)</f>
        <v/>
      </c>
      <c r="M9" s="72">
        <f>INDEX(curve_x8,'Metrics'!$E$9)</f>
        <v/>
      </c>
      <c r="N9" s="72">
        <f>INDEX(curve_y1,'Metrics'!$E$9)</f>
        <v/>
      </c>
      <c r="O9" s="72">
        <f>INDEX(curve_y2,'Metrics'!$E$9)</f>
        <v/>
      </c>
      <c r="P9" s="72">
        <f>INDEX(curve_y3,'Metrics'!$E$9)</f>
        <v/>
      </c>
      <c r="Q9" s="72">
        <f>INDEX(curve_y4,'Metrics'!$E$9)</f>
        <v/>
      </c>
      <c r="R9" s="72">
        <f>INDEX(curve_y5,'Metrics'!$E$9)</f>
        <v/>
      </c>
      <c r="S9" s="72">
        <f>INDEX(curve_y6,'Metrics'!$E$9)</f>
        <v/>
      </c>
      <c r="T9" s="72">
        <f>INDEX(curve_y7,'Metrics'!$E$9)</f>
        <v/>
      </c>
      <c r="U9" s="72">
        <f>INDEX(curve_y8,'Metrics'!$E$9)</f>
        <v/>
      </c>
      <c r="V9" s="73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38" t="inlineStr">
        <is>
          <t>Degree of regulation</t>
        </is>
      </c>
      <c r="B10" s="72">
        <f>IF('DEEP Score'!$E$17="","",'DEEP Score'!$E$17)</f>
        <v/>
      </c>
      <c r="C10" s="72">
        <f>""</f>
        <v/>
      </c>
      <c r="D10" s="72">
        <f>"spring_dorws|"&amp;'Metrics'!$C$10</f>
        <v/>
      </c>
      <c r="E10" s="72">
        <f>IFERROR(MATCH('Metrics'!$D$10,curve_key,0),MATCH("spring_dorws|",curve_key,0))</f>
        <v/>
      </c>
      <c r="F10" s="72">
        <f>INDEX(curve_x1,'Metrics'!$E$10)</f>
        <v/>
      </c>
      <c r="G10" s="72">
        <f>INDEX(curve_x2,'Metrics'!$E$10)</f>
        <v/>
      </c>
      <c r="H10" s="72">
        <f>INDEX(curve_x3,'Metrics'!$E$10)</f>
        <v/>
      </c>
      <c r="I10" s="72">
        <f>INDEX(curve_x4,'Metrics'!$E$10)</f>
        <v/>
      </c>
      <c r="J10" s="72">
        <f>INDEX(curve_x5,'Metrics'!$E$10)</f>
        <v/>
      </c>
      <c r="K10" s="72">
        <f>INDEX(curve_x6,'Metrics'!$E$10)</f>
        <v/>
      </c>
      <c r="L10" s="72">
        <f>INDEX(curve_x7,'Metrics'!$E$10)</f>
        <v/>
      </c>
      <c r="M10" s="72">
        <f>INDEX(curve_x8,'Metrics'!$E$10)</f>
        <v/>
      </c>
      <c r="N10" s="72">
        <f>INDEX(curve_y1,'Metrics'!$E$10)</f>
        <v/>
      </c>
      <c r="O10" s="72">
        <f>INDEX(curve_y2,'Metrics'!$E$10)</f>
        <v/>
      </c>
      <c r="P10" s="72">
        <f>INDEX(curve_y3,'Metrics'!$E$10)</f>
        <v/>
      </c>
      <c r="Q10" s="72">
        <f>INDEX(curve_y4,'Metrics'!$E$10)</f>
        <v/>
      </c>
      <c r="R10" s="72">
        <f>INDEX(curve_y5,'Metrics'!$E$10)</f>
        <v/>
      </c>
      <c r="S10" s="72">
        <f>INDEX(curve_y6,'Metrics'!$E$10)</f>
        <v/>
      </c>
      <c r="T10" s="72">
        <f>INDEX(curve_y7,'Metrics'!$E$10)</f>
        <v/>
      </c>
      <c r="U10" s="72">
        <f>INDEX(curve_y8,'Metrics'!$E$10)</f>
        <v/>
      </c>
      <c r="V10" s="73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38" t="inlineStr">
        <is>
          <t>Bankfull width:depth ratio</t>
        </is>
      </c>
      <c r="B11" s="72">
        <f>IF('DEEP Score'!$E$18="","",'DEEP Score'!$E$18)</f>
        <v/>
      </c>
      <c r="C11" s="72">
        <f>""</f>
        <v/>
      </c>
      <c r="D11" s="72">
        <f>"spring_phab_bfwd_rat|"&amp;'Metrics'!$C$11</f>
        <v/>
      </c>
      <c r="E11" s="72">
        <f>IFERROR(MATCH('Metrics'!$D$11,curve_key,0),MATCH("spring_phab_bfwd_rat|",curve_key,0))</f>
        <v/>
      </c>
      <c r="F11" s="72">
        <f>INDEX(curve_x1,'Metrics'!$E$11)</f>
        <v/>
      </c>
      <c r="G11" s="72">
        <f>INDEX(curve_x2,'Metrics'!$E$11)</f>
        <v/>
      </c>
      <c r="H11" s="72">
        <f>INDEX(curve_x3,'Metrics'!$E$11)</f>
        <v/>
      </c>
      <c r="I11" s="72">
        <f>INDEX(curve_x4,'Metrics'!$E$11)</f>
        <v/>
      </c>
      <c r="J11" s="72">
        <f>INDEX(curve_x5,'Metrics'!$E$11)</f>
        <v/>
      </c>
      <c r="K11" s="72">
        <f>INDEX(curve_x6,'Metrics'!$E$11)</f>
        <v/>
      </c>
      <c r="L11" s="72">
        <f>INDEX(curve_x7,'Metrics'!$E$11)</f>
        <v/>
      </c>
      <c r="M11" s="72">
        <f>INDEX(curve_x8,'Metrics'!$E$11)</f>
        <v/>
      </c>
      <c r="N11" s="72">
        <f>INDEX(curve_y1,'Metrics'!$E$11)</f>
        <v/>
      </c>
      <c r="O11" s="72">
        <f>INDEX(curve_y2,'Metrics'!$E$11)</f>
        <v/>
      </c>
      <c r="P11" s="72">
        <f>INDEX(curve_y3,'Metrics'!$E$11)</f>
        <v/>
      </c>
      <c r="Q11" s="72">
        <f>INDEX(curve_y4,'Metrics'!$E$11)</f>
        <v/>
      </c>
      <c r="R11" s="72">
        <f>INDEX(curve_y5,'Metrics'!$E$11)</f>
        <v/>
      </c>
      <c r="S11" s="72">
        <f>INDEX(curve_y6,'Metrics'!$E$11)</f>
        <v/>
      </c>
      <c r="T11" s="72">
        <f>INDEX(curve_y7,'Metrics'!$E$11)</f>
        <v/>
      </c>
      <c r="U11" s="72">
        <f>INDEX(curve_y8,'Metrics'!$E$11)</f>
        <v/>
      </c>
      <c r="V11" s="73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38" t="inlineStr">
        <is>
          <t>Residual pool depth</t>
        </is>
      </c>
      <c r="B12" s="72">
        <f>IF('DEEP Score'!$E$19="","",'DEEP Score'!$E$19)</f>
        <v/>
      </c>
      <c r="C12" s="72">
        <f>""</f>
        <v/>
      </c>
      <c r="D12" s="72">
        <f>"spring_phab_rp100_cm|"&amp;'Metrics'!$C$12</f>
        <v/>
      </c>
      <c r="E12" s="72">
        <f>IFERROR(MATCH('Metrics'!$D$12,curve_key,0),MATCH("spring_phab_rp100_cm|",curve_key,0))</f>
        <v/>
      </c>
      <c r="F12" s="72">
        <f>INDEX(curve_x1,'Metrics'!$E$12)</f>
        <v/>
      </c>
      <c r="G12" s="72">
        <f>INDEX(curve_x2,'Metrics'!$E$12)</f>
        <v/>
      </c>
      <c r="H12" s="72">
        <f>INDEX(curve_x3,'Metrics'!$E$12)</f>
        <v/>
      </c>
      <c r="I12" s="72">
        <f>INDEX(curve_x4,'Metrics'!$E$12)</f>
        <v/>
      </c>
      <c r="J12" s="72">
        <f>INDEX(curve_x5,'Metrics'!$E$12)</f>
        <v/>
      </c>
      <c r="K12" s="72">
        <f>INDEX(curve_x6,'Metrics'!$E$12)</f>
        <v/>
      </c>
      <c r="L12" s="72">
        <f>INDEX(curve_x7,'Metrics'!$E$12)</f>
        <v/>
      </c>
      <c r="M12" s="72">
        <f>INDEX(curve_x8,'Metrics'!$E$12)</f>
        <v/>
      </c>
      <c r="N12" s="72">
        <f>INDEX(curve_y1,'Metrics'!$E$12)</f>
        <v/>
      </c>
      <c r="O12" s="72">
        <f>INDEX(curve_y2,'Metrics'!$E$12)</f>
        <v/>
      </c>
      <c r="P12" s="72">
        <f>INDEX(curve_y3,'Metrics'!$E$12)</f>
        <v/>
      </c>
      <c r="Q12" s="72">
        <f>INDEX(curve_y4,'Metrics'!$E$12)</f>
        <v/>
      </c>
      <c r="R12" s="72">
        <f>INDEX(curve_y5,'Metrics'!$E$12)</f>
        <v/>
      </c>
      <c r="S12" s="72">
        <f>INDEX(curve_y6,'Metrics'!$E$12)</f>
        <v/>
      </c>
      <c r="T12" s="72">
        <f>INDEX(curve_y7,'Metrics'!$E$12)</f>
        <v/>
      </c>
      <c r="U12" s="72">
        <f>INDEX(curve_y8,'Metrics'!$E$12)</f>
        <v/>
      </c>
      <c r="V12" s="73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38" t="inlineStr">
        <is>
          <t>Bankfull height above channel</t>
        </is>
      </c>
      <c r="B13" s="72">
        <f>IF('DEEP Score'!$E$23="","",'DEEP Score'!$E$23)</f>
        <v/>
      </c>
      <c r="C13" s="72">
        <f>""</f>
        <v/>
      </c>
      <c r="D13" s="72">
        <f>"spring_phab_xbkf_h|"&amp;'Metrics'!$C$13</f>
        <v/>
      </c>
      <c r="E13" s="72">
        <f>IFERROR(MATCH('Metrics'!$D$13,curve_key,0),MATCH("spring_phab_xbkf_h|",curve_key,0))</f>
        <v/>
      </c>
      <c r="F13" s="72">
        <f>INDEX(curve_x1,'Metrics'!$E$13)</f>
        <v/>
      </c>
      <c r="G13" s="72">
        <f>INDEX(curve_x2,'Metrics'!$E$13)</f>
        <v/>
      </c>
      <c r="H13" s="72">
        <f>INDEX(curve_x3,'Metrics'!$E$13)</f>
        <v/>
      </c>
      <c r="I13" s="72">
        <f>INDEX(curve_x4,'Metrics'!$E$13)</f>
        <v/>
      </c>
      <c r="J13" s="72">
        <f>INDEX(curve_x5,'Metrics'!$E$13)</f>
        <v/>
      </c>
      <c r="K13" s="72">
        <f>INDEX(curve_x6,'Metrics'!$E$13)</f>
        <v/>
      </c>
      <c r="L13" s="72">
        <f>INDEX(curve_x7,'Metrics'!$E$13)</f>
        <v/>
      </c>
      <c r="M13" s="72">
        <f>INDEX(curve_x8,'Metrics'!$E$13)</f>
        <v/>
      </c>
      <c r="N13" s="72">
        <f>INDEX(curve_y1,'Metrics'!$E$13)</f>
        <v/>
      </c>
      <c r="O13" s="72">
        <f>INDEX(curve_y2,'Metrics'!$E$13)</f>
        <v/>
      </c>
      <c r="P13" s="72">
        <f>INDEX(curve_y3,'Metrics'!$E$13)</f>
        <v/>
      </c>
      <c r="Q13" s="72">
        <f>INDEX(curve_y4,'Metrics'!$E$13)</f>
        <v/>
      </c>
      <c r="R13" s="72">
        <f>INDEX(curve_y5,'Metrics'!$E$13)</f>
        <v/>
      </c>
      <c r="S13" s="72">
        <f>INDEX(curve_y6,'Metrics'!$E$13)</f>
        <v/>
      </c>
      <c r="T13" s="72">
        <f>INDEX(curve_y7,'Metrics'!$E$13)</f>
        <v/>
      </c>
      <c r="U13" s="72">
        <f>INDEX(curve_y8,'Metrics'!$E$13)</f>
        <v/>
      </c>
      <c r="V13" s="73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38" t="inlineStr">
        <is>
          <t>Sand + fines</t>
        </is>
      </c>
      <c r="B14" s="72">
        <f>IF('DEEP Score'!$E$24="","",'DEEP Score'!$E$24)</f>
        <v/>
      </c>
      <c r="C14" s="72">
        <f>""</f>
        <v/>
      </c>
      <c r="D14" s="72">
        <f>"spring_phab_pct_safn|"&amp;'Metrics'!$C$14</f>
        <v/>
      </c>
      <c r="E14" s="72">
        <f>IFERROR(MATCH('Metrics'!$D$14,curve_key,0),MATCH("spring_phab_pct_safn|",curve_key,0))</f>
        <v/>
      </c>
      <c r="F14" s="72">
        <f>INDEX(curve_x1,'Metrics'!$E$14)</f>
        <v/>
      </c>
      <c r="G14" s="72">
        <f>INDEX(curve_x2,'Metrics'!$E$14)</f>
        <v/>
      </c>
      <c r="H14" s="72">
        <f>INDEX(curve_x3,'Metrics'!$E$14)</f>
        <v/>
      </c>
      <c r="I14" s="72">
        <f>INDEX(curve_x4,'Metrics'!$E$14)</f>
        <v/>
      </c>
      <c r="J14" s="72">
        <f>INDEX(curve_x5,'Metrics'!$E$14)</f>
        <v/>
      </c>
      <c r="K14" s="72">
        <f>INDEX(curve_x6,'Metrics'!$E$14)</f>
        <v/>
      </c>
      <c r="L14" s="72">
        <f>INDEX(curve_x7,'Metrics'!$E$14)</f>
        <v/>
      </c>
      <c r="M14" s="72">
        <f>INDEX(curve_x8,'Metrics'!$E$14)</f>
        <v/>
      </c>
      <c r="N14" s="72">
        <f>INDEX(curve_y1,'Metrics'!$E$14)</f>
        <v/>
      </c>
      <c r="O14" s="72">
        <f>INDEX(curve_y2,'Metrics'!$E$14)</f>
        <v/>
      </c>
      <c r="P14" s="72">
        <f>INDEX(curve_y3,'Metrics'!$E$14)</f>
        <v/>
      </c>
      <c r="Q14" s="72">
        <f>INDEX(curve_y4,'Metrics'!$E$14)</f>
        <v/>
      </c>
      <c r="R14" s="72">
        <f>INDEX(curve_y5,'Metrics'!$E$14)</f>
        <v/>
      </c>
      <c r="S14" s="72">
        <f>INDEX(curve_y6,'Metrics'!$E$14)</f>
        <v/>
      </c>
      <c r="T14" s="72">
        <f>INDEX(curve_y7,'Metrics'!$E$14)</f>
        <v/>
      </c>
      <c r="U14" s="72">
        <f>INDEX(curve_y8,'Metrics'!$E$14)</f>
        <v/>
      </c>
      <c r="V14" s="73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38" t="inlineStr">
        <is>
          <t>Embeddedness</t>
        </is>
      </c>
      <c r="B15" s="72">
        <f>IF('DEEP Score'!$E$25="","",'DEEP Score'!$E$25)</f>
        <v/>
      </c>
      <c r="C15" s="72">
        <f>""</f>
        <v/>
      </c>
      <c r="D15" s="72">
        <f>"spring_phab_xembed|"&amp;'Metrics'!$C$15</f>
        <v/>
      </c>
      <c r="E15" s="72">
        <f>IFERROR(MATCH('Metrics'!$D$15,curve_key,0),MATCH("spring_phab_xembed|",curve_key,0))</f>
        <v/>
      </c>
      <c r="F15" s="72">
        <f>INDEX(curve_x1,'Metrics'!$E$15)</f>
        <v/>
      </c>
      <c r="G15" s="72">
        <f>INDEX(curve_x2,'Metrics'!$E$15)</f>
        <v/>
      </c>
      <c r="H15" s="72">
        <f>INDEX(curve_x3,'Metrics'!$E$15)</f>
        <v/>
      </c>
      <c r="I15" s="72">
        <f>INDEX(curve_x4,'Metrics'!$E$15)</f>
        <v/>
      </c>
      <c r="J15" s="72">
        <f>INDEX(curve_x5,'Metrics'!$E$15)</f>
        <v/>
      </c>
      <c r="K15" s="72">
        <f>INDEX(curve_x6,'Metrics'!$E$15)</f>
        <v/>
      </c>
      <c r="L15" s="72">
        <f>INDEX(curve_x7,'Metrics'!$E$15)</f>
        <v/>
      </c>
      <c r="M15" s="72">
        <f>INDEX(curve_x8,'Metrics'!$E$15)</f>
        <v/>
      </c>
      <c r="N15" s="72">
        <f>INDEX(curve_y1,'Metrics'!$E$15)</f>
        <v/>
      </c>
      <c r="O15" s="72">
        <f>INDEX(curve_y2,'Metrics'!$E$15)</f>
        <v/>
      </c>
      <c r="P15" s="72">
        <f>INDEX(curve_y3,'Metrics'!$E$15)</f>
        <v/>
      </c>
      <c r="Q15" s="72">
        <f>INDEX(curve_y4,'Metrics'!$E$15)</f>
        <v/>
      </c>
      <c r="R15" s="72">
        <f>INDEX(curve_y5,'Metrics'!$E$15)</f>
        <v/>
      </c>
      <c r="S15" s="72">
        <f>INDEX(curve_y6,'Metrics'!$E$15)</f>
        <v/>
      </c>
      <c r="T15" s="72">
        <f>INDEX(curve_y7,'Metrics'!$E$15)</f>
        <v/>
      </c>
      <c r="U15" s="72">
        <f>INDEX(curve_y8,'Metrics'!$E$15)</f>
        <v/>
      </c>
      <c r="V15" s="73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38" t="inlineStr">
        <is>
          <t>Sinuosity</t>
        </is>
      </c>
      <c r="B16" s="72">
        <f>IF('DEEP Score'!$E$28="","",'DEEP Score'!$E$28)</f>
        <v/>
      </c>
      <c r="C16" s="72">
        <f>""</f>
        <v/>
      </c>
      <c r="D16" s="72">
        <f>"spring_phab_sinu|"&amp;'Metrics'!$C$16</f>
        <v/>
      </c>
      <c r="E16" s="72">
        <f>IFERROR(MATCH('Metrics'!$D$16,curve_key,0),MATCH("spring_phab_sinu|",curve_key,0))</f>
        <v/>
      </c>
      <c r="F16" s="72">
        <f>INDEX(curve_x1,'Metrics'!$E$16)</f>
        <v/>
      </c>
      <c r="G16" s="72">
        <f>INDEX(curve_x2,'Metrics'!$E$16)</f>
        <v/>
      </c>
      <c r="H16" s="72">
        <f>INDEX(curve_x3,'Metrics'!$E$16)</f>
        <v/>
      </c>
      <c r="I16" s="72">
        <f>INDEX(curve_x4,'Metrics'!$E$16)</f>
        <v/>
      </c>
      <c r="J16" s="72">
        <f>INDEX(curve_x5,'Metrics'!$E$16)</f>
        <v/>
      </c>
      <c r="K16" s="72">
        <f>INDEX(curve_x6,'Metrics'!$E$16)</f>
        <v/>
      </c>
      <c r="L16" s="72">
        <f>INDEX(curve_x7,'Metrics'!$E$16)</f>
        <v/>
      </c>
      <c r="M16" s="72">
        <f>INDEX(curve_x8,'Metrics'!$E$16)</f>
        <v/>
      </c>
      <c r="N16" s="72">
        <f>INDEX(curve_y1,'Metrics'!$E$16)</f>
        <v/>
      </c>
      <c r="O16" s="72">
        <f>INDEX(curve_y2,'Metrics'!$E$16)</f>
        <v/>
      </c>
      <c r="P16" s="72">
        <f>INDEX(curve_y3,'Metrics'!$E$16)</f>
        <v/>
      </c>
      <c r="Q16" s="72">
        <f>INDEX(curve_y4,'Metrics'!$E$16)</f>
        <v/>
      </c>
      <c r="R16" s="72">
        <f>INDEX(curve_y5,'Metrics'!$E$16)</f>
        <v/>
      </c>
      <c r="S16" s="72">
        <f>INDEX(curve_y6,'Metrics'!$E$16)</f>
        <v/>
      </c>
      <c r="T16" s="72">
        <f>INDEX(curve_y7,'Metrics'!$E$16)</f>
        <v/>
      </c>
      <c r="U16" s="72">
        <f>INDEX(curve_y8,'Metrics'!$E$16)</f>
        <v/>
      </c>
      <c r="V16" s="73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38" t="inlineStr">
        <is>
          <t>Bank angle</t>
        </is>
      </c>
      <c r="B17" s="72">
        <f>IF('DEEP Score'!$E$29="","",'DEEP Score'!$E$29)</f>
        <v/>
      </c>
      <c r="C17" s="72">
        <f>""</f>
        <v/>
      </c>
      <c r="D17" s="72">
        <f>"spring_phab_xbka|"&amp;'Metrics'!$C$17</f>
        <v/>
      </c>
      <c r="E17" s="72">
        <f>IFERROR(MATCH('Metrics'!$D$17,curve_key,0),MATCH("spring_phab_xbka|",curve_key,0))</f>
        <v/>
      </c>
      <c r="F17" s="72">
        <f>INDEX(curve_x1,'Metrics'!$E$17)</f>
        <v/>
      </c>
      <c r="G17" s="72">
        <f>INDEX(curve_x2,'Metrics'!$E$17)</f>
        <v/>
      </c>
      <c r="H17" s="72">
        <f>INDEX(curve_x3,'Metrics'!$E$17)</f>
        <v/>
      </c>
      <c r="I17" s="72">
        <f>INDEX(curve_x4,'Metrics'!$E$17)</f>
        <v/>
      </c>
      <c r="J17" s="72">
        <f>INDEX(curve_x5,'Metrics'!$E$17)</f>
        <v/>
      </c>
      <c r="K17" s="72">
        <f>INDEX(curve_x6,'Metrics'!$E$17)</f>
        <v/>
      </c>
      <c r="L17" s="72">
        <f>INDEX(curve_x7,'Metrics'!$E$17)</f>
        <v/>
      </c>
      <c r="M17" s="72">
        <f>INDEX(curve_x8,'Metrics'!$E$17)</f>
        <v/>
      </c>
      <c r="N17" s="72">
        <f>INDEX(curve_y1,'Metrics'!$E$17)</f>
        <v/>
      </c>
      <c r="O17" s="72">
        <f>INDEX(curve_y2,'Metrics'!$E$17)</f>
        <v/>
      </c>
      <c r="P17" s="72">
        <f>INDEX(curve_y3,'Metrics'!$E$17)</f>
        <v/>
      </c>
      <c r="Q17" s="72">
        <f>INDEX(curve_y4,'Metrics'!$E$17)</f>
        <v/>
      </c>
      <c r="R17" s="72">
        <f>INDEX(curve_y5,'Metrics'!$E$17)</f>
        <v/>
      </c>
      <c r="S17" s="72">
        <f>INDEX(curve_y6,'Metrics'!$E$17)</f>
        <v/>
      </c>
      <c r="T17" s="72">
        <f>INDEX(curve_y7,'Metrics'!$E$17)</f>
        <v/>
      </c>
      <c r="U17" s="72">
        <f>INDEX(curve_y8,'Metrics'!$E$17)</f>
        <v/>
      </c>
      <c r="V17" s="73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38" t="inlineStr">
        <is>
          <t>Relative bed stability</t>
        </is>
      </c>
      <c r="B18" s="72">
        <f>IF('DEEP Score'!$E$30="","",'DEEP Score'!$E$30)</f>
        <v/>
      </c>
      <c r="C18" s="72">
        <f>""</f>
        <v/>
      </c>
      <c r="D18" s="72">
        <f>"spring_phab_lrbs_use|"&amp;'Metrics'!$C$18</f>
        <v/>
      </c>
      <c r="E18" s="72">
        <f>IFERROR(MATCH('Metrics'!$D$18,curve_key,0),MATCH("spring_phab_lrbs_use|",curve_key,0))</f>
        <v/>
      </c>
      <c r="F18" s="72">
        <f>INDEX(curve_x1,'Metrics'!$E$18)</f>
        <v/>
      </c>
      <c r="G18" s="72">
        <f>INDEX(curve_x2,'Metrics'!$E$18)</f>
        <v/>
      </c>
      <c r="H18" s="72">
        <f>INDEX(curve_x3,'Metrics'!$E$18)</f>
        <v/>
      </c>
      <c r="I18" s="72">
        <f>INDEX(curve_x4,'Metrics'!$E$18)</f>
        <v/>
      </c>
      <c r="J18" s="72">
        <f>INDEX(curve_x5,'Metrics'!$E$18)</f>
        <v/>
      </c>
      <c r="K18" s="72">
        <f>INDEX(curve_x6,'Metrics'!$E$18)</f>
        <v/>
      </c>
      <c r="L18" s="72">
        <f>INDEX(curve_x7,'Metrics'!$E$18)</f>
        <v/>
      </c>
      <c r="M18" s="72">
        <f>INDEX(curve_x8,'Metrics'!$E$18)</f>
        <v/>
      </c>
      <c r="N18" s="72">
        <f>INDEX(curve_y1,'Metrics'!$E$18)</f>
        <v/>
      </c>
      <c r="O18" s="72">
        <f>INDEX(curve_y2,'Metrics'!$E$18)</f>
        <v/>
      </c>
      <c r="P18" s="72">
        <f>INDEX(curve_y3,'Metrics'!$E$18)</f>
        <v/>
      </c>
      <c r="Q18" s="72">
        <f>INDEX(curve_y4,'Metrics'!$E$18)</f>
        <v/>
      </c>
      <c r="R18" s="72">
        <f>INDEX(curve_y5,'Metrics'!$E$18)</f>
        <v/>
      </c>
      <c r="S18" s="72">
        <f>INDEX(curve_y6,'Metrics'!$E$18)</f>
        <v/>
      </c>
      <c r="T18" s="72">
        <f>INDEX(curve_y7,'Metrics'!$E$18)</f>
        <v/>
      </c>
      <c r="U18" s="72">
        <f>INDEX(curve_y8,'Metrics'!$E$18)</f>
        <v/>
      </c>
      <c r="V18" s="73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38" t="inlineStr">
        <is>
          <t>Substrate size</t>
        </is>
      </c>
      <c r="B19" s="72">
        <f>IF('DEEP Score'!$E$32="","",'DEEP Score'!$E$32)</f>
        <v/>
      </c>
      <c r="C19" s="72">
        <f>""</f>
        <v/>
      </c>
      <c r="D19" s="72">
        <f>"spring_phab_lsub_dmm|"&amp;'Metrics'!$C$19</f>
        <v/>
      </c>
      <c r="E19" s="72">
        <f>IFERROR(MATCH('Metrics'!$D$19,curve_key,0),MATCH("spring_phab_lsub_dmm|",curve_key,0))</f>
        <v/>
      </c>
      <c r="F19" s="72">
        <f>INDEX(curve_x1,'Metrics'!$E$19)</f>
        <v/>
      </c>
      <c r="G19" s="72">
        <f>INDEX(curve_x2,'Metrics'!$E$19)</f>
        <v/>
      </c>
      <c r="H19" s="72">
        <f>INDEX(curve_x3,'Metrics'!$E$19)</f>
        <v/>
      </c>
      <c r="I19" s="72">
        <f>INDEX(curve_x4,'Metrics'!$E$19)</f>
        <v/>
      </c>
      <c r="J19" s="72">
        <f>INDEX(curve_x5,'Metrics'!$E$19)</f>
        <v/>
      </c>
      <c r="K19" s="72">
        <f>INDEX(curve_x6,'Metrics'!$E$19)</f>
        <v/>
      </c>
      <c r="L19" s="72">
        <f>INDEX(curve_x7,'Metrics'!$E$19)</f>
        <v/>
      </c>
      <c r="M19" s="72">
        <f>INDEX(curve_x8,'Metrics'!$E$19)</f>
        <v/>
      </c>
      <c r="N19" s="72">
        <f>INDEX(curve_y1,'Metrics'!$E$19)</f>
        <v/>
      </c>
      <c r="O19" s="72">
        <f>INDEX(curve_y2,'Metrics'!$E$19)</f>
        <v/>
      </c>
      <c r="P19" s="72">
        <f>INDEX(curve_y3,'Metrics'!$E$19)</f>
        <v/>
      </c>
      <c r="Q19" s="72">
        <f>INDEX(curve_y4,'Metrics'!$E$19)</f>
        <v/>
      </c>
      <c r="R19" s="72">
        <f>INDEX(curve_y5,'Metrics'!$E$19)</f>
        <v/>
      </c>
      <c r="S19" s="72">
        <f>INDEX(curve_y6,'Metrics'!$E$19)</f>
        <v/>
      </c>
      <c r="T19" s="72">
        <f>INDEX(curve_y7,'Metrics'!$E$19)</f>
        <v/>
      </c>
      <c r="U19" s="72">
        <f>INDEX(curve_y8,'Metrics'!$E$19)</f>
        <v/>
      </c>
      <c r="V19" s="73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38" t="inlineStr">
        <is>
          <t>Large wood volume</t>
        </is>
      </c>
      <c r="B20" s="72">
        <f>IF('DEEP Score'!$E$33="","",'DEEP Score'!$E$33)</f>
        <v/>
      </c>
      <c r="C20" s="72">
        <f>""</f>
        <v/>
      </c>
      <c r="D20" s="72">
        <f>"spring_phab_lwdeqvolm100|"&amp;'Metrics'!$C$20</f>
        <v/>
      </c>
      <c r="E20" s="72">
        <f>IFERROR(MATCH('Metrics'!$D$20,curve_key,0),MATCH("spring_phab_lwdeqvolm100|",curve_key,0))</f>
        <v/>
      </c>
      <c r="F20" s="72">
        <f>INDEX(curve_x1,'Metrics'!$E$20)</f>
        <v/>
      </c>
      <c r="G20" s="72">
        <f>INDEX(curve_x2,'Metrics'!$E$20)</f>
        <v/>
      </c>
      <c r="H20" s="72">
        <f>INDEX(curve_x3,'Metrics'!$E$20)</f>
        <v/>
      </c>
      <c r="I20" s="72">
        <f>INDEX(curve_x4,'Metrics'!$E$20)</f>
        <v/>
      </c>
      <c r="J20" s="72">
        <f>INDEX(curve_x5,'Metrics'!$E$20)</f>
        <v/>
      </c>
      <c r="K20" s="72">
        <f>INDEX(curve_x6,'Metrics'!$E$20)</f>
        <v/>
      </c>
      <c r="L20" s="72">
        <f>INDEX(curve_x7,'Metrics'!$E$20)</f>
        <v/>
      </c>
      <c r="M20" s="72">
        <f>INDEX(curve_x8,'Metrics'!$E$20)</f>
        <v/>
      </c>
      <c r="N20" s="72">
        <f>INDEX(curve_y1,'Metrics'!$E$20)</f>
        <v/>
      </c>
      <c r="O20" s="72">
        <f>INDEX(curve_y2,'Metrics'!$E$20)</f>
        <v/>
      </c>
      <c r="P20" s="72">
        <f>INDEX(curve_y3,'Metrics'!$E$20)</f>
        <v/>
      </c>
      <c r="Q20" s="72">
        <f>INDEX(curve_y4,'Metrics'!$E$20)</f>
        <v/>
      </c>
      <c r="R20" s="72">
        <f>INDEX(curve_y5,'Metrics'!$E$20)</f>
        <v/>
      </c>
      <c r="S20" s="72">
        <f>INDEX(curve_y6,'Metrics'!$E$20)</f>
        <v/>
      </c>
      <c r="T20" s="72">
        <f>INDEX(curve_y7,'Metrics'!$E$20)</f>
        <v/>
      </c>
      <c r="U20" s="72">
        <f>INDEX(curve_y8,'Metrics'!$E$20)</f>
        <v/>
      </c>
      <c r="V20" s="73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38" t="inlineStr">
        <is>
          <t>Canopy density, mid-channel</t>
        </is>
      </c>
      <c r="B21" s="72">
        <f>IF('DEEP Score'!$E$35="","",'DEEP Score'!$E$35)</f>
        <v/>
      </c>
      <c r="C21" s="72">
        <f>""</f>
        <v/>
      </c>
      <c r="D21" s="72">
        <f>"spring_phab_xcdenmid|"&amp;'Metrics'!$C$21</f>
        <v/>
      </c>
      <c r="E21" s="72">
        <f>IFERROR(MATCH('Metrics'!$D$21,curve_key,0),MATCH("spring_phab_xcdenmid|",curve_key,0))</f>
        <v/>
      </c>
      <c r="F21" s="72">
        <f>INDEX(curve_x1,'Metrics'!$E$21)</f>
        <v/>
      </c>
      <c r="G21" s="72">
        <f>INDEX(curve_x2,'Metrics'!$E$21)</f>
        <v/>
      </c>
      <c r="H21" s="72">
        <f>INDEX(curve_x3,'Metrics'!$E$21)</f>
        <v/>
      </c>
      <c r="I21" s="72">
        <f>INDEX(curve_x4,'Metrics'!$E$21)</f>
        <v/>
      </c>
      <c r="J21" s="72">
        <f>INDEX(curve_x5,'Metrics'!$E$21)</f>
        <v/>
      </c>
      <c r="K21" s="72">
        <f>INDEX(curve_x6,'Metrics'!$E$21)</f>
        <v/>
      </c>
      <c r="L21" s="72">
        <f>INDEX(curve_x7,'Metrics'!$E$21)</f>
        <v/>
      </c>
      <c r="M21" s="72">
        <f>INDEX(curve_x8,'Metrics'!$E$21)</f>
        <v/>
      </c>
      <c r="N21" s="72">
        <f>INDEX(curve_y1,'Metrics'!$E$21)</f>
        <v/>
      </c>
      <c r="O21" s="72">
        <f>INDEX(curve_y2,'Metrics'!$E$21)</f>
        <v/>
      </c>
      <c r="P21" s="72">
        <f>INDEX(curve_y3,'Metrics'!$E$21)</f>
        <v/>
      </c>
      <c r="Q21" s="72">
        <f>INDEX(curve_y4,'Metrics'!$E$21)</f>
        <v/>
      </c>
      <c r="R21" s="72">
        <f>INDEX(curve_y5,'Metrics'!$E$21)</f>
        <v/>
      </c>
      <c r="S21" s="72">
        <f>INDEX(curve_y6,'Metrics'!$E$21)</f>
        <v/>
      </c>
      <c r="T21" s="72">
        <f>INDEX(curve_y7,'Metrics'!$E$21)</f>
        <v/>
      </c>
      <c r="U21" s="72">
        <f>INDEX(curve_y8,'Metrics'!$E$21)</f>
        <v/>
      </c>
      <c r="V21" s="73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38" t="inlineStr">
        <is>
          <t>Riparian veg cover, woody</t>
        </is>
      </c>
      <c r="B22" s="72">
        <f>IF('DEEP Score'!$E$36="","",'DEEP Score'!$E$36)</f>
        <v/>
      </c>
      <c r="C22" s="72">
        <f>""</f>
        <v/>
      </c>
      <c r="D22" s="72">
        <f>"spring_phab_xcmgw|"&amp;'Metrics'!$C$22</f>
        <v/>
      </c>
      <c r="E22" s="72">
        <f>IFERROR(MATCH('Metrics'!$D$22,curve_key,0),MATCH("spring_phab_xcmgw|",curve_key,0))</f>
        <v/>
      </c>
      <c r="F22" s="72">
        <f>INDEX(curve_x1,'Metrics'!$E$22)</f>
        <v/>
      </c>
      <c r="G22" s="72">
        <f>INDEX(curve_x2,'Metrics'!$E$22)</f>
        <v/>
      </c>
      <c r="H22" s="72">
        <f>INDEX(curve_x3,'Metrics'!$E$22)</f>
        <v/>
      </c>
      <c r="I22" s="72">
        <f>INDEX(curve_x4,'Metrics'!$E$22)</f>
        <v/>
      </c>
      <c r="J22" s="72">
        <f>INDEX(curve_x5,'Metrics'!$E$22)</f>
        <v/>
      </c>
      <c r="K22" s="72">
        <f>INDEX(curve_x6,'Metrics'!$E$22)</f>
        <v/>
      </c>
      <c r="L22" s="72">
        <f>INDEX(curve_x7,'Metrics'!$E$22)</f>
        <v/>
      </c>
      <c r="M22" s="72">
        <f>INDEX(curve_x8,'Metrics'!$E$22)</f>
        <v/>
      </c>
      <c r="N22" s="72">
        <f>INDEX(curve_y1,'Metrics'!$E$22)</f>
        <v/>
      </c>
      <c r="O22" s="72">
        <f>INDEX(curve_y2,'Metrics'!$E$22)</f>
        <v/>
      </c>
      <c r="P22" s="72">
        <f>INDEX(curve_y3,'Metrics'!$E$22)</f>
        <v/>
      </c>
      <c r="Q22" s="72">
        <f>INDEX(curve_y4,'Metrics'!$E$22)</f>
        <v/>
      </c>
      <c r="R22" s="72">
        <f>INDEX(curve_y5,'Metrics'!$E$22)</f>
        <v/>
      </c>
      <c r="S22" s="72">
        <f>INDEX(curve_y6,'Metrics'!$E$22)</f>
        <v/>
      </c>
      <c r="T22" s="72">
        <f>INDEX(curve_y7,'Metrics'!$E$22)</f>
        <v/>
      </c>
      <c r="U22" s="72">
        <f>INDEX(curve_y8,'Metrics'!$E$22)</f>
        <v/>
      </c>
      <c r="V22" s="73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38" t="inlineStr">
        <is>
          <t>Fast-water / riffle habitat</t>
        </is>
      </c>
      <c r="B23" s="72">
        <f>IF('DEEP Score'!$E$37="","",'DEEP Score'!$E$37)</f>
        <v/>
      </c>
      <c r="C23" s="72">
        <f>""</f>
        <v/>
      </c>
      <c r="D23" s="72">
        <f>"spring_phab_pct_fast|"&amp;'Metrics'!$C$23</f>
        <v/>
      </c>
      <c r="E23" s="72">
        <f>IFERROR(MATCH('Metrics'!$D$23,curve_key,0),MATCH("spring_phab_pct_fast|",curve_key,0))</f>
        <v/>
      </c>
      <c r="F23" s="72">
        <f>INDEX(curve_x1,'Metrics'!$E$23)</f>
        <v/>
      </c>
      <c r="G23" s="72">
        <f>INDEX(curve_x2,'Metrics'!$E$23)</f>
        <v/>
      </c>
      <c r="H23" s="72">
        <f>INDEX(curve_x3,'Metrics'!$E$23)</f>
        <v/>
      </c>
      <c r="I23" s="72">
        <f>INDEX(curve_x4,'Metrics'!$E$23)</f>
        <v/>
      </c>
      <c r="J23" s="72">
        <f>INDEX(curve_x5,'Metrics'!$E$23)</f>
        <v/>
      </c>
      <c r="K23" s="72">
        <f>INDEX(curve_x6,'Metrics'!$E$23)</f>
        <v/>
      </c>
      <c r="L23" s="72">
        <f>INDEX(curve_x7,'Metrics'!$E$23)</f>
        <v/>
      </c>
      <c r="M23" s="72">
        <f>INDEX(curve_x8,'Metrics'!$E$23)</f>
        <v/>
      </c>
      <c r="N23" s="72">
        <f>INDEX(curve_y1,'Metrics'!$E$23)</f>
        <v/>
      </c>
      <c r="O23" s="72">
        <f>INDEX(curve_y2,'Metrics'!$E$23)</f>
        <v/>
      </c>
      <c r="P23" s="72">
        <f>INDEX(curve_y3,'Metrics'!$E$23)</f>
        <v/>
      </c>
      <c r="Q23" s="72">
        <f>INDEX(curve_y4,'Metrics'!$E$23)</f>
        <v/>
      </c>
      <c r="R23" s="72">
        <f>INDEX(curve_y5,'Metrics'!$E$23)</f>
        <v/>
      </c>
      <c r="S23" s="72">
        <f>INDEX(curve_y6,'Metrics'!$E$23)</f>
        <v/>
      </c>
      <c r="T23" s="72">
        <f>INDEX(curve_y7,'Metrics'!$E$23)</f>
        <v/>
      </c>
      <c r="U23" s="72">
        <f>INDEX(curve_y8,'Metrics'!$E$23)</f>
        <v/>
      </c>
      <c r="V23" s="73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38" t="inlineStr">
        <is>
          <t>Natural fish cover</t>
        </is>
      </c>
      <c r="B24" s="72">
        <f>IF('DEEP Score'!$E$38="","",'DEEP Score'!$E$38)</f>
        <v/>
      </c>
      <c r="C24" s="72">
        <f>""</f>
        <v/>
      </c>
      <c r="D24" s="72">
        <f>"spring_phab_xfc_nat|"&amp;'Metrics'!$C$24</f>
        <v/>
      </c>
      <c r="E24" s="72">
        <f>IFERROR(MATCH('Metrics'!$D$24,curve_key,0),MATCH("spring_phab_xfc_nat|",curve_key,0))</f>
        <v/>
      </c>
      <c r="F24" s="72">
        <f>INDEX(curve_x1,'Metrics'!$E$24)</f>
        <v/>
      </c>
      <c r="G24" s="72">
        <f>INDEX(curve_x2,'Metrics'!$E$24)</f>
        <v/>
      </c>
      <c r="H24" s="72">
        <f>INDEX(curve_x3,'Metrics'!$E$24)</f>
        <v/>
      </c>
      <c r="I24" s="72">
        <f>INDEX(curve_x4,'Metrics'!$E$24)</f>
        <v/>
      </c>
      <c r="J24" s="72">
        <f>INDEX(curve_x5,'Metrics'!$E$24)</f>
        <v/>
      </c>
      <c r="K24" s="72">
        <f>INDEX(curve_x6,'Metrics'!$E$24)</f>
        <v/>
      </c>
      <c r="L24" s="72">
        <f>INDEX(curve_x7,'Metrics'!$E$24)</f>
        <v/>
      </c>
      <c r="M24" s="72">
        <f>INDEX(curve_x8,'Metrics'!$E$24)</f>
        <v/>
      </c>
      <c r="N24" s="72">
        <f>INDEX(curve_y1,'Metrics'!$E$24)</f>
        <v/>
      </c>
      <c r="O24" s="72">
        <f>INDEX(curve_y2,'Metrics'!$E$24)</f>
        <v/>
      </c>
      <c r="P24" s="72">
        <f>INDEX(curve_y3,'Metrics'!$E$24)</f>
        <v/>
      </c>
      <c r="Q24" s="72">
        <f>INDEX(curve_y4,'Metrics'!$E$24)</f>
        <v/>
      </c>
      <c r="R24" s="72">
        <f>INDEX(curve_y5,'Metrics'!$E$24)</f>
        <v/>
      </c>
      <c r="S24" s="72">
        <f>INDEX(curve_y6,'Metrics'!$E$24)</f>
        <v/>
      </c>
      <c r="T24" s="72">
        <f>INDEX(curve_y7,'Metrics'!$E$24)</f>
        <v/>
      </c>
      <c r="U24" s="72">
        <f>INDEX(curve_y8,'Metrics'!$E$24)</f>
        <v/>
      </c>
      <c r="V24" s="73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38" t="inlineStr">
        <is>
          <t>Mapped dams within one mile</t>
        </is>
      </c>
      <c r="B25" s="72">
        <f>IF('DEEP Score'!$E$39="","",'DEEP Score'!$E$39)</f>
        <v/>
      </c>
      <c r="C25" s="72">
        <f>""</f>
        <v/>
      </c>
      <c r="D25" s="72">
        <f>"spring_nid_dams_1mi|"&amp;'Metrics'!$C$25</f>
        <v/>
      </c>
      <c r="E25" s="72">
        <f>IFERROR(MATCH('Metrics'!$D$25,curve_key,0),MATCH("spring_nid_dams_1mi|",curve_key,0))</f>
        <v/>
      </c>
      <c r="F25" s="72">
        <f>INDEX(curve_x1,'Metrics'!$E$25)</f>
        <v/>
      </c>
      <c r="G25" s="72">
        <f>INDEX(curve_x2,'Metrics'!$E$25)</f>
        <v/>
      </c>
      <c r="H25" s="72">
        <f>INDEX(curve_x3,'Metrics'!$E$25)</f>
        <v/>
      </c>
      <c r="I25" s="72">
        <f>INDEX(curve_x4,'Metrics'!$E$25)</f>
        <v/>
      </c>
      <c r="J25" s="72">
        <f>INDEX(curve_x5,'Metrics'!$E$25)</f>
        <v/>
      </c>
      <c r="K25" s="72">
        <f>INDEX(curve_x6,'Metrics'!$E$25)</f>
        <v/>
      </c>
      <c r="L25" s="72">
        <f>INDEX(curve_x7,'Metrics'!$E$25)</f>
        <v/>
      </c>
      <c r="M25" s="72">
        <f>INDEX(curve_x8,'Metrics'!$E$25)</f>
        <v/>
      </c>
      <c r="N25" s="72">
        <f>INDEX(curve_y1,'Metrics'!$E$25)</f>
        <v/>
      </c>
      <c r="O25" s="72">
        <f>INDEX(curve_y2,'Metrics'!$E$25)</f>
        <v/>
      </c>
      <c r="P25" s="72">
        <f>INDEX(curve_y3,'Metrics'!$E$25)</f>
        <v/>
      </c>
      <c r="Q25" s="72">
        <f>INDEX(curve_y4,'Metrics'!$E$25)</f>
        <v/>
      </c>
      <c r="R25" s="72">
        <f>INDEX(curve_y5,'Metrics'!$E$25)</f>
        <v/>
      </c>
      <c r="S25" s="72">
        <f>INDEX(curve_y6,'Metrics'!$E$25)</f>
        <v/>
      </c>
      <c r="T25" s="72">
        <f>INDEX(curve_y7,'Metrics'!$E$25)</f>
        <v/>
      </c>
      <c r="U25" s="72">
        <f>INDEX(curve_y8,'Metrics'!$E$25)</f>
        <v/>
      </c>
      <c r="V25" s="73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71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38" t="inlineStr">
        <is>
          <t>Catchment hydrology</t>
        </is>
      </c>
      <c r="B4" s="72">
        <f>IF(COUNT('DEEP Score'!G12:G13)=0,"",SUM('DEEP Score'!G12:G13)/COUNT('DEEP Score'!G12:G13)*15)</f>
        <v/>
      </c>
      <c r="C4" s="38" t="n">
        <v>1</v>
      </c>
      <c r="D4" s="38" t="n">
        <v>0.1</v>
      </c>
      <c r="E4" s="38" t="n">
        <v>0.1</v>
      </c>
      <c r="F4" s="72">
        <f>IF(ISNUMBER('Results'!$B$4),'Results'!$B$4*'Results'!$C$4,0)</f>
        <v/>
      </c>
      <c r="G4" s="72">
        <f>IF(ISNUMBER('Results'!$B$4),'Results'!$B$4*'Results'!$D$4,0)</f>
        <v/>
      </c>
      <c r="H4" s="72">
        <f>IF(ISNUMBER('Results'!$B$4),'Results'!$B$4*'Results'!$E$4,0)</f>
        <v/>
      </c>
      <c r="I4" s="72">
        <f>IF(ISNUMBER('Results'!$B$4),15*'Results'!$C$4,0)</f>
        <v/>
      </c>
      <c r="J4" s="72">
        <f>IF(ISNUMBER('Results'!$B$4),15*'Results'!$D$4,0)</f>
        <v/>
      </c>
      <c r="K4" s="72">
        <f>IF(ISNUMBER('Results'!$B$4),15*'Results'!$E$4,0)</f>
        <v/>
      </c>
    </row>
    <row r="5">
      <c r="A5" s="38" t="inlineStr">
        <is>
          <t>Surface water storage</t>
        </is>
      </c>
      <c r="B5" s="72">
        <f>IF(COUNT('DEEP Score'!G14:G14)=0,"",SUM('DEEP Score'!G14:G14)/COUNT('DEEP Score'!G14:G14)*15)</f>
        <v/>
      </c>
      <c r="C5" s="38" t="n">
        <v>1</v>
      </c>
      <c r="D5" s="38" t="n">
        <v>0.1</v>
      </c>
      <c r="E5" s="38" t="n">
        <v>0.1</v>
      </c>
      <c r="F5" s="72">
        <f>IF(ISNUMBER('Results'!$B$5),'Results'!$B$5*'Results'!$C$5,0)</f>
        <v/>
      </c>
      <c r="G5" s="72">
        <f>IF(ISNUMBER('Results'!$B$5),'Results'!$B$5*'Results'!$D$5,0)</f>
        <v/>
      </c>
      <c r="H5" s="72">
        <f>IF(ISNUMBER('Results'!$B$5),'Results'!$B$5*'Results'!$E$5,0)</f>
        <v/>
      </c>
      <c r="I5" s="72">
        <f>IF(ISNUMBER('Results'!$B$5),15*'Results'!$C$5,0)</f>
        <v/>
      </c>
      <c r="J5" s="72">
        <f>IF(ISNUMBER('Results'!$B$5),15*'Results'!$D$5,0)</f>
        <v/>
      </c>
      <c r="K5" s="72">
        <f>IF(ISNUMBER('Results'!$B$5),15*'Results'!$E$5,0)</f>
        <v/>
      </c>
    </row>
    <row r="6">
      <c r="A6" s="38" t="inlineStr">
        <is>
          <t>Reach inflow</t>
        </is>
      </c>
      <c r="B6" s="72">
        <f>IF(COUNT('DEEP Score'!G15:G15)=0,"",SUM('DEEP Score'!G15:G15)/COUNT('DEEP Score'!G15:G15)*15)</f>
        <v/>
      </c>
      <c r="C6" s="38" t="n">
        <v>1</v>
      </c>
      <c r="D6" s="38" t="n">
        <v>0.1</v>
      </c>
      <c r="E6" s="38" t="n">
        <v>0.1</v>
      </c>
      <c r="F6" s="72">
        <f>IF(ISNUMBER('Results'!$B$6),'Results'!$B$6*'Results'!$C$6,0)</f>
        <v/>
      </c>
      <c r="G6" s="72">
        <f>IF(ISNUMBER('Results'!$B$6),'Results'!$B$6*'Results'!$D$6,0)</f>
        <v/>
      </c>
      <c r="H6" s="72">
        <f>IF(ISNUMBER('Results'!$B$6),'Results'!$B$6*'Results'!$E$6,0)</f>
        <v/>
      </c>
      <c r="I6" s="72">
        <f>IF(ISNUMBER('Results'!$B$6),15*'Results'!$C$6,0)</f>
        <v/>
      </c>
      <c r="J6" s="72">
        <f>IF(ISNUMBER('Results'!$B$6),15*'Results'!$D$6,0)</f>
        <v/>
      </c>
      <c r="K6" s="72">
        <f>IF(ISNUMBER('Results'!$B$6),15*'Results'!$E$6,0)</f>
        <v/>
      </c>
    </row>
    <row r="7">
      <c r="A7" s="38" t="inlineStr">
        <is>
          <t>Streamflow regime</t>
        </is>
      </c>
      <c r="B7" s="72">
        <f>IF(COUNT('DEEP Score'!G16:G17)=0,"",SUM('DEEP Score'!G16:G17)/COUNT('DEEP Score'!G16:G17)*15)</f>
        <v/>
      </c>
      <c r="C7" s="38" t="n">
        <v>1</v>
      </c>
      <c r="D7" s="38" t="n">
        <v>0.1</v>
      </c>
      <c r="E7" s="38" t="n">
        <v>0.1</v>
      </c>
      <c r="F7" s="72">
        <f>IF(ISNUMBER('Results'!$B$7),'Results'!$B$7*'Results'!$C$7,0)</f>
        <v/>
      </c>
      <c r="G7" s="72">
        <f>IF(ISNUMBER('Results'!$B$7),'Results'!$B$7*'Results'!$D$7,0)</f>
        <v/>
      </c>
      <c r="H7" s="72">
        <f>IF(ISNUMBER('Results'!$B$7),'Results'!$B$7*'Results'!$E$7,0)</f>
        <v/>
      </c>
      <c r="I7" s="72">
        <f>IF(ISNUMBER('Results'!$B$7),15*'Results'!$C$7,0)</f>
        <v/>
      </c>
      <c r="J7" s="72">
        <f>IF(ISNUMBER('Results'!$B$7),15*'Results'!$D$7,0)</f>
        <v/>
      </c>
      <c r="K7" s="72">
        <f>IF(ISNUMBER('Results'!$B$7),15*'Results'!$E$7,0)</f>
        <v/>
      </c>
    </row>
    <row r="8">
      <c r="A8" s="38" t="inlineStr">
        <is>
          <t>Low flow and baseflow dynamics</t>
        </is>
      </c>
      <c r="B8" s="72">
        <f>IF(COUNT('DEEP Score'!G18:G20)=0,"",SUM('DEEP Score'!G18:G20)/COUNT('DEEP Score'!G18:G20)*15)</f>
        <v/>
      </c>
      <c r="C8" s="38" t="n">
        <v>1</v>
      </c>
      <c r="D8" s="38" t="n">
        <v>0.1</v>
      </c>
      <c r="E8" s="38" t="n">
        <v>0.1</v>
      </c>
      <c r="F8" s="72">
        <f>IF(ISNUMBER('Results'!$B$8),'Results'!$B$8*'Results'!$C$8,0)</f>
        <v/>
      </c>
      <c r="G8" s="72">
        <f>IF(ISNUMBER('Results'!$B$8),'Results'!$B$8*'Results'!$D$8,0)</f>
        <v/>
      </c>
      <c r="H8" s="72">
        <f>IF(ISNUMBER('Results'!$B$8),'Results'!$B$8*'Results'!$E$8,0)</f>
        <v/>
      </c>
      <c r="I8" s="72">
        <f>IF(ISNUMBER('Results'!$B$8),15*'Results'!$C$8,0)</f>
        <v/>
      </c>
      <c r="J8" s="72">
        <f>IF(ISNUMBER('Results'!$B$8),15*'Results'!$D$8,0)</f>
        <v/>
      </c>
      <c r="K8" s="72">
        <f>IF(ISNUMBER('Results'!$B$8),15*'Results'!$E$8,0)</f>
        <v/>
      </c>
    </row>
    <row r="9">
      <c r="A9" s="38" t="inlineStr">
        <is>
          <t>High flow dynamics</t>
        </is>
      </c>
      <c r="B9" s="72">
        <f>IF(COUNT('DEEP Score'!G21:G21)=0,"",SUM('DEEP Score'!G21:G21)/COUNT('DEEP Score'!G21:G21)*15)</f>
        <v/>
      </c>
      <c r="C9" s="38" t="n">
        <v>1</v>
      </c>
      <c r="D9" s="38" t="n">
        <v>0.1</v>
      </c>
      <c r="E9" s="38" t="n">
        <v>0.1</v>
      </c>
      <c r="F9" s="72">
        <f>IF(ISNUMBER('Results'!$B$9),'Results'!$B$9*'Results'!$C$9,0)</f>
        <v/>
      </c>
      <c r="G9" s="72">
        <f>IF(ISNUMBER('Results'!$B$9),'Results'!$B$9*'Results'!$D$9,0)</f>
        <v/>
      </c>
      <c r="H9" s="72">
        <f>IF(ISNUMBER('Results'!$B$9),'Results'!$B$9*'Results'!$E$9,0)</f>
        <v/>
      </c>
      <c r="I9" s="72">
        <f>IF(ISNUMBER('Results'!$B$9),15*'Results'!$C$9,0)</f>
        <v/>
      </c>
      <c r="J9" s="72">
        <f>IF(ISNUMBER('Results'!$B$9),15*'Results'!$D$9,0)</f>
        <v/>
      </c>
      <c r="K9" s="72">
        <f>IF(ISNUMBER('Results'!$B$9),15*'Results'!$E$9,0)</f>
        <v/>
      </c>
    </row>
    <row r="10">
      <c r="A10" s="38" t="inlineStr">
        <is>
          <t>Floodplain connectivity</t>
        </is>
      </c>
      <c r="B10" s="72">
        <f>IF(COUNT('DEEP Score'!G22:G23)=0,"",SUM('DEEP Score'!G22:G23)/COUNT('DEEP Score'!G22:G23)*15)</f>
        <v/>
      </c>
      <c r="C10" s="38" t="n">
        <v>1</v>
      </c>
      <c r="D10" s="38" t="n">
        <v>0.1</v>
      </c>
      <c r="E10" s="38" t="n">
        <v>0.1</v>
      </c>
      <c r="F10" s="72">
        <f>IF(ISNUMBER('Results'!$B$10),'Results'!$B$10*'Results'!$C$10,0)</f>
        <v/>
      </c>
      <c r="G10" s="72">
        <f>IF(ISNUMBER('Results'!$B$10),'Results'!$B$10*'Results'!$D$10,0)</f>
        <v/>
      </c>
      <c r="H10" s="72">
        <f>IF(ISNUMBER('Results'!$B$10),'Results'!$B$10*'Results'!$E$10,0)</f>
        <v/>
      </c>
      <c r="I10" s="72">
        <f>IF(ISNUMBER('Results'!$B$10),15*'Results'!$C$10,0)</f>
        <v/>
      </c>
      <c r="J10" s="72">
        <f>IF(ISNUMBER('Results'!$B$10),15*'Results'!$D$10,0)</f>
        <v/>
      </c>
      <c r="K10" s="72">
        <f>IF(ISNUMBER('Results'!$B$10),15*'Results'!$E$10,0)</f>
        <v/>
      </c>
    </row>
    <row r="11">
      <c r="A11" s="38" t="inlineStr">
        <is>
          <t>Hyporheic connectivity</t>
        </is>
      </c>
      <c r="B11" s="72">
        <f>IF(COUNT('DEEP Score'!G24:G25)=0,"",SUM('DEEP Score'!G24:G25)/COUNT('DEEP Score'!G24:G25)*15)</f>
        <v/>
      </c>
      <c r="C11" s="38" t="n">
        <v>1</v>
      </c>
      <c r="D11" s="38" t="n">
        <v>0.1</v>
      </c>
      <c r="E11" s="38" t="n">
        <v>0.1</v>
      </c>
      <c r="F11" s="72">
        <f>IF(ISNUMBER('Results'!$B$11),'Results'!$B$11*'Results'!$C$11,0)</f>
        <v/>
      </c>
      <c r="G11" s="72">
        <f>IF(ISNUMBER('Results'!$B$11),'Results'!$B$11*'Results'!$D$11,0)</f>
        <v/>
      </c>
      <c r="H11" s="72">
        <f>IF(ISNUMBER('Results'!$B$11),'Results'!$B$11*'Results'!$E$11,0)</f>
        <v/>
      </c>
      <c r="I11" s="72">
        <f>IF(ISNUMBER('Results'!$B$11),15*'Results'!$C$11,0)</f>
        <v/>
      </c>
      <c r="J11" s="72">
        <f>IF(ISNUMBER('Results'!$B$11),15*'Results'!$D$11,0)</f>
        <v/>
      </c>
      <c r="K11" s="72">
        <f>IF(ISNUMBER('Results'!$B$11),15*'Results'!$E$11,0)</f>
        <v/>
      </c>
    </row>
    <row r="12">
      <c r="A12" s="38" t="inlineStr">
        <is>
          <t>Channel evolution</t>
        </is>
      </c>
      <c r="B12" s="72">
        <f>IF(COUNT('DEEP Score'!G26:G27)=0,"",SUM('DEEP Score'!G26:G27)/COUNT('DEEP Score'!G26:G27)*15)</f>
        <v/>
      </c>
      <c r="C12" s="38" t="n">
        <v>1</v>
      </c>
      <c r="D12" s="38" t="n">
        <v>0.1</v>
      </c>
      <c r="E12" s="38" t="n">
        <v>0.1</v>
      </c>
      <c r="F12" s="72">
        <f>IF(ISNUMBER('Results'!$B$12),'Results'!$B$12*'Results'!$C$12,0)</f>
        <v/>
      </c>
      <c r="G12" s="72">
        <f>IF(ISNUMBER('Results'!$B$12),'Results'!$B$12*'Results'!$D$12,0)</f>
        <v/>
      </c>
      <c r="H12" s="72">
        <f>IF(ISNUMBER('Results'!$B$12),'Results'!$B$12*'Results'!$E$12,0)</f>
        <v/>
      </c>
      <c r="I12" s="72">
        <f>IF(ISNUMBER('Results'!$B$12),15*'Results'!$C$12,0)</f>
        <v/>
      </c>
      <c r="J12" s="72">
        <f>IF(ISNUMBER('Results'!$B$12),15*'Results'!$D$12,0)</f>
        <v/>
      </c>
      <c r="K12" s="72">
        <f>IF(ISNUMBER('Results'!$B$12),15*'Results'!$E$12,0)</f>
        <v/>
      </c>
    </row>
    <row r="13">
      <c r="A13" s="38" t="inlineStr">
        <is>
          <t>Channel and floodplain dynamics</t>
        </is>
      </c>
      <c r="B13" s="72">
        <f>IF(COUNT('DEEP Score'!G28:G29)=0,"",SUM('DEEP Score'!G28:G29)/COUNT('DEEP Score'!G28:G29)*15)</f>
        <v/>
      </c>
      <c r="C13" s="38" t="n">
        <v>1</v>
      </c>
      <c r="D13" s="38" t="n">
        <v>0.1</v>
      </c>
      <c r="E13" s="38" t="n">
        <v>0.1</v>
      </c>
      <c r="F13" s="72">
        <f>IF(ISNUMBER('Results'!$B$13),'Results'!$B$13*'Results'!$C$13,0)</f>
        <v/>
      </c>
      <c r="G13" s="72">
        <f>IF(ISNUMBER('Results'!$B$13),'Results'!$B$13*'Results'!$D$13,0)</f>
        <v/>
      </c>
      <c r="H13" s="72">
        <f>IF(ISNUMBER('Results'!$B$13),'Results'!$B$13*'Results'!$E$13,0)</f>
        <v/>
      </c>
      <c r="I13" s="72">
        <f>IF(ISNUMBER('Results'!$B$13),15*'Results'!$C$13,0)</f>
        <v/>
      </c>
      <c r="J13" s="72">
        <f>IF(ISNUMBER('Results'!$B$13),15*'Results'!$D$13,0)</f>
        <v/>
      </c>
      <c r="K13" s="72">
        <f>IF(ISNUMBER('Results'!$B$13),15*'Results'!$E$13,0)</f>
        <v/>
      </c>
    </row>
    <row r="14">
      <c r="A14" s="38" t="inlineStr">
        <is>
          <t>Sediment continuity</t>
        </is>
      </c>
      <c r="B14" s="72">
        <f>IF(COUNT('DEEP Score'!G30:G31)=0,"",SUM('DEEP Score'!G30:G31)/COUNT('DEEP Score'!G30:G31)*15)</f>
        <v/>
      </c>
      <c r="C14" s="38" t="n">
        <v>1</v>
      </c>
      <c r="D14" s="38" t="n">
        <v>0.1</v>
      </c>
      <c r="E14" s="38" t="n">
        <v>0.1</v>
      </c>
      <c r="F14" s="72">
        <f>IF(ISNUMBER('Results'!$B$14),'Results'!$B$14*'Results'!$C$14,0)</f>
        <v/>
      </c>
      <c r="G14" s="72">
        <f>IF(ISNUMBER('Results'!$B$14),'Results'!$B$14*'Results'!$D$14,0)</f>
        <v/>
      </c>
      <c r="H14" s="72">
        <f>IF(ISNUMBER('Results'!$B$14),'Results'!$B$14*'Results'!$E$14,0)</f>
        <v/>
      </c>
      <c r="I14" s="72">
        <f>IF(ISNUMBER('Results'!$B$14),15*'Results'!$C$14,0)</f>
        <v/>
      </c>
      <c r="J14" s="72">
        <f>IF(ISNUMBER('Results'!$B$14),15*'Results'!$D$14,0)</f>
        <v/>
      </c>
      <c r="K14" s="72">
        <f>IF(ISNUMBER('Results'!$B$14),15*'Results'!$E$14,0)</f>
        <v/>
      </c>
    </row>
    <row r="15">
      <c r="A15" s="38" t="inlineStr">
        <is>
          <t>Bed composition and bedform dynamics</t>
        </is>
      </c>
      <c r="B15" s="72">
        <f>IF(COUNT('DEEP Score'!G32:G34)=0,"",SUM('DEEP Score'!G32:G34)/COUNT('DEEP Score'!G32:G34)*15)</f>
        <v/>
      </c>
      <c r="C15" s="38" t="n">
        <v>1</v>
      </c>
      <c r="D15" s="38" t="n">
        <v>0.1</v>
      </c>
      <c r="E15" s="38" t="n">
        <v>0.1</v>
      </c>
      <c r="F15" s="72">
        <f>IF(ISNUMBER('Results'!$B$15),'Results'!$B$15*'Results'!$C$15,0)</f>
        <v/>
      </c>
      <c r="G15" s="72">
        <f>IF(ISNUMBER('Results'!$B$15),'Results'!$B$15*'Results'!$D$15,0)</f>
        <v/>
      </c>
      <c r="H15" s="72">
        <f>IF(ISNUMBER('Results'!$B$15),'Results'!$B$15*'Results'!$E$15,0)</f>
        <v/>
      </c>
      <c r="I15" s="72">
        <f>IF(ISNUMBER('Results'!$B$15),15*'Results'!$C$15,0)</f>
        <v/>
      </c>
      <c r="J15" s="72">
        <f>IF(ISNUMBER('Results'!$B$15),15*'Results'!$D$15,0)</f>
        <v/>
      </c>
      <c r="K15" s="72">
        <f>IF(ISNUMBER('Results'!$B$15),15*'Results'!$E$15,0)</f>
        <v/>
      </c>
    </row>
    <row r="16">
      <c r="A16" s="38" t="inlineStr">
        <is>
          <t>Light &amp; thermal regime</t>
        </is>
      </c>
      <c r="B16" s="72">
        <f>IF(COUNT('DEEP Score'!G35:G35)=0,"",SUM('DEEP Score'!G35:G35)/COUNT('DEEP Score'!G35:G35)*15)</f>
        <v/>
      </c>
      <c r="C16" s="38" t="n">
        <v>0</v>
      </c>
      <c r="D16" s="38" t="n">
        <v>1</v>
      </c>
      <c r="E16" s="38" t="n">
        <v>0.1</v>
      </c>
      <c r="F16" s="72">
        <f>IF(ISNUMBER('Results'!$B$16),'Results'!$B$16*'Results'!$C$16,0)</f>
        <v/>
      </c>
      <c r="G16" s="72">
        <f>IF(ISNUMBER('Results'!$B$16),'Results'!$B$16*'Results'!$D$16,0)</f>
        <v/>
      </c>
      <c r="H16" s="72">
        <f>IF(ISNUMBER('Results'!$B$16),'Results'!$B$16*'Results'!$E$16,0)</f>
        <v/>
      </c>
      <c r="I16" s="72">
        <f>IF(ISNUMBER('Results'!$B$16),15*'Results'!$C$16,0)</f>
        <v/>
      </c>
      <c r="J16" s="72">
        <f>IF(ISNUMBER('Results'!$B$16),15*'Results'!$D$16,0)</f>
        <v/>
      </c>
      <c r="K16" s="72">
        <f>IF(ISNUMBER('Results'!$B$16),15*'Results'!$E$16,0)</f>
        <v/>
      </c>
    </row>
    <row r="17">
      <c r="A17" s="38" t="inlineStr">
        <is>
          <t>Carbon processing</t>
        </is>
      </c>
      <c r="B17" s="72">
        <f>IF(COUNT('DEEP Score'!G36:G36)=0,"",SUM('DEEP Score'!G36:G36)/COUNT('DEEP Score'!G36:G36)*15)</f>
        <v/>
      </c>
      <c r="C17" s="38" t="n">
        <v>0</v>
      </c>
      <c r="D17" s="38" t="n">
        <v>1</v>
      </c>
      <c r="E17" s="38" t="n">
        <v>0.1</v>
      </c>
      <c r="F17" s="72">
        <f>IF(ISNUMBER('Results'!$B$17),'Results'!$B$17*'Results'!$C$17,0)</f>
        <v/>
      </c>
      <c r="G17" s="72">
        <f>IF(ISNUMBER('Results'!$B$17),'Results'!$B$17*'Results'!$D$17,0)</f>
        <v/>
      </c>
      <c r="H17" s="72">
        <f>IF(ISNUMBER('Results'!$B$17),'Results'!$B$17*'Results'!$E$17,0)</f>
        <v/>
      </c>
      <c r="I17" s="72">
        <f>IF(ISNUMBER('Results'!$B$17),15*'Results'!$C$17,0)</f>
        <v/>
      </c>
      <c r="J17" s="72">
        <f>IF(ISNUMBER('Results'!$B$17),15*'Results'!$D$17,0)</f>
        <v/>
      </c>
      <c r="K17" s="72">
        <f>IF(ISNUMBER('Results'!$B$17),15*'Results'!$E$17,0)</f>
        <v/>
      </c>
    </row>
    <row r="18">
      <c r="A18" s="38" t="inlineStr">
        <is>
          <t>Habitat provision</t>
        </is>
      </c>
      <c r="B18" s="72">
        <f>IF(COUNT('DEEP Score'!G37:G38)=0,"",SUM('DEEP Score'!G37:G38)/COUNT('DEEP Score'!G37:G38)*15)</f>
        <v/>
      </c>
      <c r="C18" s="38" t="n">
        <v>0</v>
      </c>
      <c r="D18" s="38" t="n">
        <v>0</v>
      </c>
      <c r="E18" s="38" t="n">
        <v>1</v>
      </c>
      <c r="F18" s="72">
        <f>IF(ISNUMBER('Results'!$B$18),'Results'!$B$18*'Results'!$C$18,0)</f>
        <v/>
      </c>
      <c r="G18" s="72">
        <f>IF(ISNUMBER('Results'!$B$18),'Results'!$B$18*'Results'!$D$18,0)</f>
        <v/>
      </c>
      <c r="H18" s="72">
        <f>IF(ISNUMBER('Results'!$B$18),'Results'!$B$18*'Results'!$E$18,0)</f>
        <v/>
      </c>
      <c r="I18" s="72">
        <f>IF(ISNUMBER('Results'!$B$18),15*'Results'!$C$18,0)</f>
        <v/>
      </c>
      <c r="J18" s="72">
        <f>IF(ISNUMBER('Results'!$B$18),15*'Results'!$D$18,0)</f>
        <v/>
      </c>
      <c r="K18" s="72">
        <f>IF(ISNUMBER('Results'!$B$18),15*'Results'!$E$18,0)</f>
        <v/>
      </c>
    </row>
    <row r="19">
      <c r="A19" s="38" t="inlineStr">
        <is>
          <t>Watershed connectivity</t>
        </is>
      </c>
      <c r="B19" s="72">
        <f>IF(COUNT('DEEP Score'!G39:G39)=0,"",SUM('DEEP Score'!G39:G39)/COUNT('DEEP Score'!G39:G39)*15)</f>
        <v/>
      </c>
      <c r="C19" s="38" t="n">
        <v>0.1</v>
      </c>
      <c r="D19" s="38" t="n">
        <v>0</v>
      </c>
      <c r="E19" s="38" t="n">
        <v>1</v>
      </c>
      <c r="F19" s="72">
        <f>IF(ISNUMBER('Results'!$B$19),'Results'!$B$19*'Results'!$C$19,0)</f>
        <v/>
      </c>
      <c r="G19" s="72">
        <f>IF(ISNUMBER('Results'!$B$19),'Results'!$B$19*'Results'!$D$19,0)</f>
        <v/>
      </c>
      <c r="H19" s="72">
        <f>IF(ISNUMBER('Results'!$B$19),'Results'!$B$19*'Results'!$E$19,0)</f>
        <v/>
      </c>
      <c r="I19" s="72">
        <f>IF(ISNUMBER('Results'!$B$19),15*'Results'!$C$19,0)</f>
        <v/>
      </c>
      <c r="J19" s="72">
        <f>IF(ISNUMBER('Results'!$B$19),15*'Results'!$D$19,0)</f>
        <v/>
      </c>
      <c r="K19" s="72">
        <f>IF(ISNUMBER('Results'!$B$19),15*'Results'!$E$19,0)</f>
        <v/>
      </c>
    </row>
    <row r="21">
      <c r="A21" s="5" t="inlineStr">
        <is>
          <t>Outcome</t>
        </is>
      </c>
      <c r="B21" s="5" t="inlineStr">
        <is>
          <t>Sub-index</t>
        </is>
      </c>
    </row>
    <row r="22">
      <c r="A22" s="38" t="inlineStr">
        <is>
          <t>Physical</t>
        </is>
      </c>
      <c r="B22" s="72">
        <f>IF(SUM('Results'!$I$4:$I$19)=0,0,SUM('Results'!$F$4:$F$19)/SUM('Results'!$I$4:$I$19))</f>
        <v/>
      </c>
    </row>
    <row r="23">
      <c r="A23" s="38" t="inlineStr">
        <is>
          <t>Chemical</t>
        </is>
      </c>
      <c r="B23" s="72">
        <f>IF(SUM('Results'!$J$4:$J$19)=0,0,SUM('Results'!$G$4:$G$19)/SUM('Results'!$J$4:$J$19))</f>
        <v/>
      </c>
    </row>
    <row r="24">
      <c r="A24" s="38" t="inlineStr">
        <is>
          <t>Biological</t>
        </is>
      </c>
      <c r="B24" s="72">
        <f>IF(SUM('Results'!$K$4:$K$19)=0,0,SUM('Results'!$H$4:$H$19)/SUM('Results'!$K$4:$K$19))</f>
        <v/>
      </c>
    </row>
    <row r="25">
      <c r="A25" s="57" t="inlineStr">
        <is>
          <t>Ecosystem Condition Index</t>
        </is>
      </c>
      <c r="B25" s="72">
        <f>('Results'!$B$22+'Results'!$B$23+'Results'!$B$24)/3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71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38" t="inlineStr">
        <is>
          <t>spring_pctag2019ws|</t>
        </is>
      </c>
      <c r="B5" s="38" t="inlineStr">
        <is>
          <t>spring-pctag2019ws</t>
        </is>
      </c>
      <c r="C5" s="38" t="inlineStr">
        <is>
          <t>Agriculture, crop and hay</t>
        </is>
      </c>
      <c r="D5" s="38" t="inlineStr"/>
      <c r="E5" s="38" t="n">
        <v>4</v>
      </c>
      <c r="F5" s="38" t="inlineStr">
        <is>
          <t>Fixed criteria, the same in every region</t>
        </is>
      </c>
      <c r="G5" s="38" t="n">
        <v>0</v>
      </c>
      <c r="H5" s="38" t="n">
        <v>30</v>
      </c>
      <c r="I5" s="38" t="n">
        <v>50.005</v>
      </c>
      <c r="J5" s="38" t="n">
        <v>76.0115</v>
      </c>
      <c r="K5" s="38" t="n">
        <v>76.0115</v>
      </c>
      <c r="L5" s="38" t="n">
        <v>76.0115</v>
      </c>
      <c r="M5" s="38" t="n">
        <v>76.0115</v>
      </c>
      <c r="N5" s="38" t="n">
        <v>76.0115</v>
      </c>
      <c r="O5" s="38" t="n">
        <v>1</v>
      </c>
      <c r="P5" s="38" t="n">
        <v>0.6899999999999999</v>
      </c>
      <c r="Q5" s="38" t="n">
        <v>0.39</v>
      </c>
      <c r="R5" s="38" t="n">
        <v>0</v>
      </c>
      <c r="S5" s="38" t="n">
        <v>0</v>
      </c>
      <c r="T5" s="38" t="n">
        <v>0</v>
      </c>
      <c r="U5" s="38" t="n">
        <v>0</v>
      </c>
      <c r="V5" s="38" t="n">
        <v>0</v>
      </c>
    </row>
    <row r="6">
      <c r="A6" s="38" t="inlineStr">
        <is>
          <t>spring_pctimp2019ws|</t>
        </is>
      </c>
      <c r="B6" s="38" t="inlineStr">
        <is>
          <t>spring-pctimp2019ws</t>
        </is>
      </c>
      <c r="C6" s="38" t="inlineStr">
        <is>
          <t>Impervious surface</t>
        </is>
      </c>
      <c r="D6" s="38" t="inlineStr"/>
      <c r="E6" s="38" t="n">
        <v>4</v>
      </c>
      <c r="F6" s="38" t="inlineStr">
        <is>
          <t>Fixed criteria, the same in every region</t>
        </is>
      </c>
      <c r="G6" s="38" t="n">
        <v>0</v>
      </c>
      <c r="H6" s="38" t="n">
        <v>10</v>
      </c>
      <c r="I6" s="38" t="n">
        <v>25.005</v>
      </c>
      <c r="J6" s="38" t="n">
        <v>44.5115</v>
      </c>
      <c r="K6" s="38" t="n">
        <v>44.5115</v>
      </c>
      <c r="L6" s="38" t="n">
        <v>44.5115</v>
      </c>
      <c r="M6" s="38" t="n">
        <v>44.5115</v>
      </c>
      <c r="N6" s="38" t="n">
        <v>44.5115</v>
      </c>
      <c r="O6" s="38" t="n">
        <v>1</v>
      </c>
      <c r="P6" s="38" t="n">
        <v>0.6899999999999999</v>
      </c>
      <c r="Q6" s="38" t="n">
        <v>0.39</v>
      </c>
      <c r="R6" s="38" t="n">
        <v>0</v>
      </c>
      <c r="S6" s="38" t="n">
        <v>0</v>
      </c>
      <c r="T6" s="38" t="n">
        <v>0</v>
      </c>
      <c r="U6" s="38" t="n">
        <v>0</v>
      </c>
      <c r="V6" s="38" t="n">
        <v>0</v>
      </c>
    </row>
    <row r="7">
      <c r="A7" s="38" t="inlineStr">
        <is>
          <t>spring_pctwet2019ws|</t>
        </is>
      </c>
      <c r="B7" s="38" t="inlineStr">
        <is>
          <t>spring-pctwet2019ws</t>
        </is>
      </c>
      <c r="C7" s="38" t="inlineStr">
        <is>
          <t>Wetland</t>
        </is>
      </c>
      <c r="D7" s="38" t="inlineStr"/>
      <c r="E7" s="38" t="n">
        <v>5</v>
      </c>
      <c r="F7" s="38" t="inlineStr">
        <is>
          <t>10 least-disturbed stations borrowed from Level I ecoregion 8 (Eastern Temperate Forests), transfer risk high</t>
        </is>
      </c>
      <c r="G7" s="38" t="n">
        <v>0</v>
      </c>
      <c r="H7" s="38" t="n">
        <v>2.878928571428571</v>
      </c>
      <c r="I7" s="38" t="n">
        <v>6.7175</v>
      </c>
      <c r="J7" s="38" t="n">
        <v>14.005</v>
      </c>
      <c r="K7" s="38" t="n">
        <v>16.19125</v>
      </c>
      <c r="L7" s="38" t="n">
        <v>16.19125</v>
      </c>
      <c r="M7" s="38" t="n">
        <v>16.19125</v>
      </c>
      <c r="N7" s="38" t="n">
        <v>16.19125</v>
      </c>
      <c r="O7" s="38" t="n">
        <v>0</v>
      </c>
      <c r="P7" s="38" t="n">
        <v>0.3</v>
      </c>
      <c r="Q7" s="38" t="n">
        <v>0.7</v>
      </c>
      <c r="R7" s="38" t="n">
        <v>1</v>
      </c>
      <c r="S7" s="38" t="n">
        <v>1</v>
      </c>
      <c r="T7" s="38" t="n">
        <v>1</v>
      </c>
      <c r="U7" s="38" t="n">
        <v>1</v>
      </c>
      <c r="V7" s="38" t="n">
        <v>1</v>
      </c>
    </row>
    <row r="8">
      <c r="A8" s="38" t="inlineStr">
        <is>
          <t>spring_rddensws|</t>
        </is>
      </c>
      <c r="B8" s="38" t="inlineStr">
        <is>
          <t>spring-rddensws</t>
        </is>
      </c>
      <c r="C8" s="38" t="inlineStr">
        <is>
          <t>Road density</t>
        </is>
      </c>
      <c r="D8" s="38" t="inlineStr"/>
      <c r="E8" s="38" t="n">
        <v>4</v>
      </c>
      <c r="F8" s="38" t="inlineStr">
        <is>
          <t>Fixed criteria, the same in every region</t>
        </is>
      </c>
      <c r="G8" s="38" t="n">
        <v>0</v>
      </c>
      <c r="H8" s="38" t="n">
        <v>1</v>
      </c>
      <c r="I8" s="38" t="n">
        <v>3</v>
      </c>
      <c r="J8" s="38" t="n">
        <v>5.6</v>
      </c>
      <c r="K8" s="38" t="n">
        <v>5.6</v>
      </c>
      <c r="L8" s="38" t="n">
        <v>5.6</v>
      </c>
      <c r="M8" s="38" t="n">
        <v>5.6</v>
      </c>
      <c r="N8" s="38" t="n">
        <v>5.6</v>
      </c>
      <c r="O8" s="38" t="n">
        <v>1</v>
      </c>
      <c r="P8" s="38" t="n">
        <v>0.6899999999999999</v>
      </c>
      <c r="Q8" s="38" t="n">
        <v>0.39</v>
      </c>
      <c r="R8" s="38" t="n">
        <v>0</v>
      </c>
      <c r="S8" s="38" t="n">
        <v>0</v>
      </c>
      <c r="T8" s="38" t="n">
        <v>0</v>
      </c>
      <c r="U8" s="38" t="n">
        <v>0</v>
      </c>
      <c r="V8" s="38" t="n">
        <v>0</v>
      </c>
    </row>
    <row r="9">
      <c r="A9" s="38" t="inlineStr">
        <is>
          <t>spring_bfiws|</t>
        </is>
      </c>
      <c r="B9" s="38" t="inlineStr">
        <is>
          <t>spring-bfiws</t>
        </is>
      </c>
      <c r="C9" s="38" t="inlineStr">
        <is>
          <t>Base flow index</t>
        </is>
      </c>
      <c r="D9" s="38" t="inlineStr"/>
      <c r="E9" s="38" t="n">
        <v>5</v>
      </c>
      <c r="F9" s="38" t="inlineStr">
        <is>
          <t>10 least-disturbed stations borrowed from Level I ecoregion 8 (Eastern Temperate Forests), transfer risk high</t>
        </is>
      </c>
      <c r="G9" s="38" t="n">
        <v>0</v>
      </c>
      <c r="H9" s="38" t="n">
        <v>21.53571428571428</v>
      </c>
      <c r="I9" s="38" t="n">
        <v>50.25</v>
      </c>
      <c r="J9" s="38" t="n">
        <v>54.51965</v>
      </c>
      <c r="K9" s="38" t="n">
        <v>55.800545</v>
      </c>
      <c r="L9" s="38" t="n">
        <v>55.800545</v>
      </c>
      <c r="M9" s="38" t="n">
        <v>55.800545</v>
      </c>
      <c r="N9" s="38" t="n">
        <v>55.800545</v>
      </c>
      <c r="O9" s="38" t="n">
        <v>0</v>
      </c>
      <c r="P9" s="38" t="n">
        <v>0.3</v>
      </c>
      <c r="Q9" s="38" t="n">
        <v>0.7</v>
      </c>
      <c r="R9" s="38" t="n">
        <v>1</v>
      </c>
      <c r="S9" s="38" t="n">
        <v>1</v>
      </c>
      <c r="T9" s="38" t="n">
        <v>1</v>
      </c>
      <c r="U9" s="38" t="n">
        <v>1</v>
      </c>
      <c r="V9" s="38" t="n">
        <v>1</v>
      </c>
    </row>
    <row r="10">
      <c r="A10" s="38" t="inlineStr">
        <is>
          <t>spring_dorws|</t>
        </is>
      </c>
      <c r="B10" s="38" t="inlineStr">
        <is>
          <t>spring-dorws</t>
        </is>
      </c>
      <c r="C10" s="38" t="inlineStr">
        <is>
          <t>Degree of regulation</t>
        </is>
      </c>
      <c r="D10" s="38" t="inlineStr"/>
      <c r="E10" s="38" t="n">
        <v>4</v>
      </c>
      <c r="F10" s="38" t="inlineStr">
        <is>
          <t>Fixed criteria, the same in every region</t>
        </is>
      </c>
      <c r="G10" s="38" t="n">
        <v>0</v>
      </c>
      <c r="H10" s="38" t="n">
        <v>2</v>
      </c>
      <c r="I10" s="38" t="n">
        <v>15.005</v>
      </c>
      <c r="J10" s="38" t="n">
        <v>31.9115</v>
      </c>
      <c r="K10" s="38" t="n">
        <v>31.9115</v>
      </c>
      <c r="L10" s="38" t="n">
        <v>31.9115</v>
      </c>
      <c r="M10" s="38" t="n">
        <v>31.9115</v>
      </c>
      <c r="N10" s="38" t="n">
        <v>31.9115</v>
      </c>
      <c r="O10" s="38" t="n">
        <v>1</v>
      </c>
      <c r="P10" s="38" t="n">
        <v>0.6899999999999999</v>
      </c>
      <c r="Q10" s="38" t="n">
        <v>0.39</v>
      </c>
      <c r="R10" s="38" t="n">
        <v>0</v>
      </c>
      <c r="S10" s="38" t="n">
        <v>0</v>
      </c>
      <c r="T10" s="38" t="n">
        <v>0</v>
      </c>
      <c r="U10" s="38" t="n">
        <v>0</v>
      </c>
      <c r="V10" s="38" t="n">
        <v>0</v>
      </c>
    </row>
    <row r="11">
      <c r="A11" s="38" t="inlineStr">
        <is>
          <t>spring_phab_bfwd_rat|</t>
        </is>
      </c>
      <c r="B11" s="38" t="inlineStr">
        <is>
          <t>spring-phab-bfwd-rat</t>
        </is>
      </c>
      <c r="C11" s="38" t="inlineStr">
        <is>
          <t>Bankfull width:depth ratio</t>
        </is>
      </c>
      <c r="D11" s="38" t="inlineStr"/>
      <c r="E11" s="38" t="n">
        <v>7</v>
      </c>
      <c r="F11" s="38" t="inlineStr">
        <is>
          <t>17 least-disturbed stations borrowed from Level I ecoregion 8 (Eastern Temperate Forests), transfer risk high</t>
        </is>
      </c>
      <c r="G11" s="38" t="n">
        <v>0</v>
      </c>
      <c r="H11" s="38" t="n">
        <v>3.66112859249115</v>
      </c>
      <c r="I11" s="38" t="n">
        <v>7.60732889175415</v>
      </c>
      <c r="J11" s="38" t="n">
        <v>18.88218688964844</v>
      </c>
      <c r="K11" s="38" t="n">
        <v>22.82838718891144</v>
      </c>
      <c r="L11" s="38" t="n">
        <v>30.15704488754272</v>
      </c>
      <c r="M11" s="38" t="n">
        <v>41.43190288543701</v>
      </c>
      <c r="N11" s="38" t="n">
        <v>41.43190288543701</v>
      </c>
      <c r="O11" s="38" t="n">
        <v>0</v>
      </c>
      <c r="P11" s="38" t="n">
        <v>0.7</v>
      </c>
      <c r="Q11" s="38" t="n">
        <v>1</v>
      </c>
      <c r="R11" s="38" t="n">
        <v>1</v>
      </c>
      <c r="S11" s="38" t="n">
        <v>0.7</v>
      </c>
      <c r="T11" s="38" t="n">
        <v>0.3</v>
      </c>
      <c r="U11" s="38" t="n">
        <v>0</v>
      </c>
      <c r="V11" s="38" t="n">
        <v>0</v>
      </c>
    </row>
    <row r="12">
      <c r="A12" s="38" t="inlineStr">
        <is>
          <t>spring_phab_rp100_cm|</t>
        </is>
      </c>
      <c r="B12" s="38" t="inlineStr">
        <is>
          <t>spring-phab-rp100-cm</t>
        </is>
      </c>
      <c r="C12" s="38" t="inlineStr">
        <is>
          <t>Residual pool depth</t>
        </is>
      </c>
      <c r="D12" s="38" t="inlineStr"/>
      <c r="E12" s="38" t="n">
        <v>5</v>
      </c>
      <c r="F12" s="38" t="inlineStr">
        <is>
          <t>12 least-disturbed stations borrowed from Level I ecoregion 8 (Eastern Temperate Forests), transfer risk high</t>
        </is>
      </c>
      <c r="G12" s="38" t="n">
        <v>0</v>
      </c>
      <c r="H12" s="38" t="n">
        <v>4.66008905002049</v>
      </c>
      <c r="I12" s="38" t="n">
        <v>10.87354111671448</v>
      </c>
      <c r="J12" s="38" t="n">
        <v>29.8195538520813</v>
      </c>
      <c r="K12" s="38" t="n">
        <v>35.50335767269134</v>
      </c>
      <c r="L12" s="38" t="n">
        <v>35.50335767269134</v>
      </c>
      <c r="M12" s="38" t="n">
        <v>35.50335767269134</v>
      </c>
      <c r="N12" s="38" t="n">
        <v>35.50335767269134</v>
      </c>
      <c r="O12" s="38" t="n">
        <v>0</v>
      </c>
      <c r="P12" s="38" t="n">
        <v>0.3</v>
      </c>
      <c r="Q12" s="38" t="n">
        <v>0.7</v>
      </c>
      <c r="R12" s="38" t="n">
        <v>1</v>
      </c>
      <c r="S12" s="38" t="n">
        <v>1</v>
      </c>
      <c r="T12" s="38" t="n">
        <v>1</v>
      </c>
      <c r="U12" s="38" t="n">
        <v>1</v>
      </c>
      <c r="V12" s="38" t="n">
        <v>1</v>
      </c>
    </row>
    <row r="13">
      <c r="A13" s="38" t="inlineStr">
        <is>
          <t>spring_phab_xbkf_h|</t>
        </is>
      </c>
      <c r="B13" s="38" t="inlineStr">
        <is>
          <t>spring-phab-xbkf-h</t>
        </is>
      </c>
      <c r="C13" s="38" t="inlineStr">
        <is>
          <t>Bankfull height above channel</t>
        </is>
      </c>
      <c r="D13" s="38" t="inlineStr"/>
      <c r="E13" s="38" t="n">
        <v>6</v>
      </c>
      <c r="F13" s="38" t="inlineStr">
        <is>
          <t>17 least-disturbed stations borrowed from Level I ecoregion 8 (Eastern Temperate Forests), transfer risk high</t>
        </is>
      </c>
      <c r="G13" s="38" t="n">
        <v>0</v>
      </c>
      <c r="H13" s="38" t="n">
        <v>0.0663636326789856</v>
      </c>
      <c r="I13" s="38" t="n">
        <v>0.3363636434078217</v>
      </c>
      <c r="J13" s="38" t="n">
        <v>0.4308636471629143</v>
      </c>
      <c r="K13" s="38" t="n">
        <v>0.6063636541366577</v>
      </c>
      <c r="L13" s="38" t="n">
        <v>0.8763636648654938</v>
      </c>
      <c r="M13" s="38" t="n">
        <v>0.8763636648654938</v>
      </c>
      <c r="N13" s="38" t="n">
        <v>0.8763636648654938</v>
      </c>
      <c r="O13" s="38" t="n">
        <v>0</v>
      </c>
      <c r="P13" s="38" t="n">
        <v>1</v>
      </c>
      <c r="Q13" s="38" t="n">
        <v>1</v>
      </c>
      <c r="R13" s="38" t="n">
        <v>0.7</v>
      </c>
      <c r="S13" s="38" t="n">
        <v>0.3</v>
      </c>
      <c r="T13" s="38" t="n">
        <v>0</v>
      </c>
      <c r="U13" s="38" t="n">
        <v>0</v>
      </c>
      <c r="V13" s="38" t="n">
        <v>0</v>
      </c>
    </row>
    <row r="14">
      <c r="A14" s="38" t="inlineStr">
        <is>
          <t>spring_phab_pct_safn|</t>
        </is>
      </c>
      <c r="B14" s="38" t="inlineStr">
        <is>
          <t>spring-phab-pct-safn</t>
        </is>
      </c>
      <c r="C14" s="38" t="inlineStr">
        <is>
          <t>Sand + fines</t>
        </is>
      </c>
      <c r="D14" s="38" t="inlineStr"/>
      <c r="E14" s="38" t="n">
        <v>4</v>
      </c>
      <c r="F14" s="38" t="inlineStr">
        <is>
          <t>17 least-disturbed stations borrowed from Level I ecoregion 8 (Eastern Temperate Forests), transfer risk moderate</t>
        </is>
      </c>
      <c r="G14" s="38" t="n">
        <v>8.833333396911623</v>
      </c>
      <c r="H14" s="38" t="n">
        <v>28.33333396911621</v>
      </c>
      <c r="I14" s="38" t="n">
        <v>93.33333587646484</v>
      </c>
      <c r="J14" s="38" t="n">
        <v>100</v>
      </c>
      <c r="K14" s="38" t="n">
        <v>100</v>
      </c>
      <c r="L14" s="38" t="n">
        <v>100</v>
      </c>
      <c r="M14" s="38" t="n">
        <v>100</v>
      </c>
      <c r="N14" s="38" t="n">
        <v>100</v>
      </c>
      <c r="O14" s="38" t="n">
        <v>1</v>
      </c>
      <c r="P14" s="38" t="n">
        <v>1</v>
      </c>
      <c r="Q14" s="38" t="n">
        <v>0.7</v>
      </c>
      <c r="R14" s="38" t="n">
        <v>0</v>
      </c>
      <c r="S14" s="38" t="n">
        <v>0</v>
      </c>
      <c r="T14" s="38" t="n">
        <v>0</v>
      </c>
      <c r="U14" s="38" t="n">
        <v>0</v>
      </c>
      <c r="V14" s="38" t="n">
        <v>0</v>
      </c>
    </row>
    <row r="15">
      <c r="A15" s="38" t="inlineStr">
        <is>
          <t>spring_phab_xembed|</t>
        </is>
      </c>
      <c r="B15" s="38" t="inlineStr">
        <is>
          <t>spring-phab-xembed</t>
        </is>
      </c>
      <c r="C15" s="38" t="inlineStr">
        <is>
          <t>Embeddedness</t>
        </is>
      </c>
      <c r="D15" s="38" t="inlineStr"/>
      <c r="E15" s="38" t="n">
        <v>4</v>
      </c>
      <c r="F15" s="38" t="inlineStr">
        <is>
          <t>12 least-disturbed stations borrowed from Level I ecoregion 8 (Eastern Temperate Forests), transfer risk moderate</t>
        </is>
      </c>
      <c r="G15" s="38" t="n">
        <v>21.04727163314819</v>
      </c>
      <c r="H15" s="38" t="n">
        <v>33.70454502105713</v>
      </c>
      <c r="I15" s="38" t="n">
        <v>75.89545631408691</v>
      </c>
      <c r="J15" s="38" t="n">
        <v>100</v>
      </c>
      <c r="K15" s="38" t="n">
        <v>100</v>
      </c>
      <c r="L15" s="38" t="n">
        <v>100</v>
      </c>
      <c r="M15" s="38" t="n">
        <v>100</v>
      </c>
      <c r="N15" s="38" t="n">
        <v>100</v>
      </c>
      <c r="O15" s="38" t="n">
        <v>1</v>
      </c>
      <c r="P15" s="38" t="n">
        <v>1</v>
      </c>
      <c r="Q15" s="38" t="n">
        <v>0.7</v>
      </c>
      <c r="R15" s="38" t="n">
        <v>0</v>
      </c>
      <c r="S15" s="38" t="n">
        <v>0</v>
      </c>
      <c r="T15" s="38" t="n">
        <v>0</v>
      </c>
      <c r="U15" s="38" t="n">
        <v>0</v>
      </c>
      <c r="V15" s="38" t="n">
        <v>0</v>
      </c>
    </row>
    <row r="16">
      <c r="A16" s="38" t="inlineStr">
        <is>
          <t>spring_phab_sinu|</t>
        </is>
      </c>
      <c r="B16" s="38" t="inlineStr">
        <is>
          <t>spring-phab-sinu</t>
        </is>
      </c>
      <c r="C16" s="38" t="inlineStr">
        <is>
          <t>Sinuosity</t>
        </is>
      </c>
      <c r="D16" s="38" t="inlineStr"/>
      <c r="E16" s="38" t="n">
        <v>4</v>
      </c>
      <c r="F16" s="38" t="inlineStr">
        <is>
          <t>12 least-disturbed stations borrowed from Level I ecoregion 8 (Eastern Temperate Forests), transfer risk high</t>
        </is>
      </c>
      <c r="G16" s="38" t="n">
        <v>1</v>
      </c>
      <c r="H16" s="38" t="n">
        <v>1.141691654920578</v>
      </c>
      <c r="I16" s="38" t="n">
        <v>1.515197157859802</v>
      </c>
      <c r="J16" s="38" t="n">
        <v>1.62724880874157</v>
      </c>
      <c r="K16" s="38" t="n">
        <v>1.62724880874157</v>
      </c>
      <c r="L16" s="38" t="n">
        <v>1.62724880874157</v>
      </c>
      <c r="M16" s="38" t="n">
        <v>1.62724880874157</v>
      </c>
      <c r="N16" s="38" t="n">
        <v>1.62724880874157</v>
      </c>
      <c r="O16" s="38" t="n">
        <v>0</v>
      </c>
      <c r="P16" s="38" t="n">
        <v>0.7</v>
      </c>
      <c r="Q16" s="38" t="n">
        <v>1</v>
      </c>
      <c r="R16" s="38" t="n">
        <v>1</v>
      </c>
      <c r="S16" s="38" t="n">
        <v>1</v>
      </c>
      <c r="T16" s="38" t="n">
        <v>1</v>
      </c>
      <c r="U16" s="38" t="n">
        <v>1</v>
      </c>
      <c r="V16" s="38" t="n">
        <v>1</v>
      </c>
    </row>
    <row r="17">
      <c r="A17" s="38" t="inlineStr">
        <is>
          <t>spring_phab_xbka|</t>
        </is>
      </c>
      <c r="B17" s="38" t="inlineStr">
        <is>
          <t>spring-phab-xbka</t>
        </is>
      </c>
      <c r="C17" s="38" t="inlineStr">
        <is>
          <t>Bank angle</t>
        </is>
      </c>
      <c r="D17" s="38" t="inlineStr"/>
      <c r="E17" s="38" t="n">
        <v>7</v>
      </c>
      <c r="F17" s="38" t="inlineStr">
        <is>
          <t>12 least-disturbed stations borrowed from Level I ecoregion 8 (Eastern Temperate Forests), transfer risk moderate</t>
        </is>
      </c>
      <c r="G17" s="38" t="n">
        <v>0</v>
      </c>
      <c r="H17" s="38" t="n">
        <v>15.10568132400513</v>
      </c>
      <c r="I17" s="38" t="n">
        <v>23.70454502105713</v>
      </c>
      <c r="J17" s="38" t="n">
        <v>48.27272701263428</v>
      </c>
      <c r="K17" s="38" t="n">
        <v>56.87159070968628</v>
      </c>
      <c r="L17" s="38" t="n">
        <v>72.84090900421143</v>
      </c>
      <c r="M17" s="38" t="n">
        <v>97.40909099578857</v>
      </c>
      <c r="N17" s="38" t="n">
        <v>97.40909099578857</v>
      </c>
      <c r="O17" s="38" t="n">
        <v>0.7</v>
      </c>
      <c r="P17" s="38" t="n">
        <v>0.7</v>
      </c>
      <c r="Q17" s="38" t="n">
        <v>1</v>
      </c>
      <c r="R17" s="38" t="n">
        <v>1</v>
      </c>
      <c r="S17" s="38" t="n">
        <v>0.7</v>
      </c>
      <c r="T17" s="38" t="n">
        <v>0.3</v>
      </c>
      <c r="U17" s="38" t="n">
        <v>0</v>
      </c>
      <c r="V17" s="38" t="n">
        <v>0</v>
      </c>
    </row>
    <row r="18">
      <c r="A18" s="38" t="inlineStr">
        <is>
          <t>spring_phab_lrbs_use|</t>
        </is>
      </c>
      <c r="B18" s="38" t="inlineStr">
        <is>
          <t>spring-phab-lrbs-use</t>
        </is>
      </c>
      <c r="C18" s="38" t="inlineStr">
        <is>
          <t>Relative bed stability</t>
        </is>
      </c>
      <c r="D18" s="38" t="inlineStr"/>
      <c r="E18" s="38" t="n">
        <v>8</v>
      </c>
      <c r="F18" s="38" t="inlineStr">
        <is>
          <t>17 least-disturbed stations borrowed from Level I ecoregion 8 (Eastern Temperate Forests), transfer risk high</t>
        </is>
      </c>
      <c r="G18" s="38" t="n">
        <v>-8.386457562446594</v>
      </c>
      <c r="H18" s="38" t="n">
        <v>-5.447064220905304</v>
      </c>
      <c r="I18" s="38" t="n">
        <v>-3.536458548903465</v>
      </c>
      <c r="J18" s="38" t="n">
        <v>-2.507670879364014</v>
      </c>
      <c r="K18" s="38" t="n">
        <v>0.4317224621772766</v>
      </c>
      <c r="L18" s="38" t="n">
        <v>1.460510131716728</v>
      </c>
      <c r="M18" s="38" t="n">
        <v>3.371115803718567</v>
      </c>
      <c r="N18" s="38" t="n">
        <v>6.310509145259857</v>
      </c>
      <c r="O18" s="38" t="n">
        <v>0</v>
      </c>
      <c r="P18" s="38" t="n">
        <v>0.3</v>
      </c>
      <c r="Q18" s="38" t="n">
        <v>0.7</v>
      </c>
      <c r="R18" s="38" t="n">
        <v>1</v>
      </c>
      <c r="S18" s="38" t="n">
        <v>1</v>
      </c>
      <c r="T18" s="38" t="n">
        <v>0.7</v>
      </c>
      <c r="U18" s="38" t="n">
        <v>0.3</v>
      </c>
      <c r="V18" s="38" t="n">
        <v>0</v>
      </c>
    </row>
    <row r="19">
      <c r="A19" s="38" t="inlineStr">
        <is>
          <t>spring_phab_lsub_dmm|</t>
        </is>
      </c>
      <c r="B19" s="38" t="inlineStr">
        <is>
          <t>spring-phab-lsub-dmm</t>
        </is>
      </c>
      <c r="C19" s="38" t="inlineStr">
        <is>
          <t>Substrate size</t>
        </is>
      </c>
      <c r="D19" s="38" t="inlineStr"/>
      <c r="E19" s="38" t="n">
        <v>5</v>
      </c>
      <c r="F19" s="38" t="inlineStr">
        <is>
          <t>17 least-disturbed stations borrowed from Level I ecoregion 8 (Eastern Temperate Forests), transfer risk moderate</t>
        </is>
      </c>
      <c r="G19" s="38" t="n">
        <v>-9.235586563746136</v>
      </c>
      <c r="H19" s="38" t="n">
        <v>-6.072640101114909</v>
      </c>
      <c r="I19" s="38" t="n">
        <v>-1.855378150939941</v>
      </c>
      <c r="J19" s="38" t="n">
        <v>1.307568311691284</v>
      </c>
      <c r="K19" s="38" t="n">
        <v>2.256452250480652</v>
      </c>
      <c r="L19" s="38" t="n">
        <v>2.256452250480652</v>
      </c>
      <c r="M19" s="38" t="n">
        <v>2.256452250480652</v>
      </c>
      <c r="N19" s="38" t="n">
        <v>2.256452250480652</v>
      </c>
      <c r="O19" s="38" t="n">
        <v>0</v>
      </c>
      <c r="P19" s="38" t="n">
        <v>0.3</v>
      </c>
      <c r="Q19" s="38" t="n">
        <v>0.7</v>
      </c>
      <c r="R19" s="38" t="n">
        <v>1</v>
      </c>
      <c r="S19" s="38" t="n">
        <v>1</v>
      </c>
      <c r="T19" s="38" t="n">
        <v>1</v>
      </c>
      <c r="U19" s="38" t="n">
        <v>1</v>
      </c>
      <c r="V19" s="38" t="n">
        <v>1</v>
      </c>
    </row>
    <row r="20">
      <c r="A20" s="38" t="inlineStr">
        <is>
          <t>spring_phab_lwdeqvolm100|</t>
        </is>
      </c>
      <c r="B20" s="38" t="inlineStr">
        <is>
          <t>spring-phab-lwdeqvolm100</t>
        </is>
      </c>
      <c r="C20" s="38" t="inlineStr">
        <is>
          <t>Large wood volume</t>
        </is>
      </c>
      <c r="D20" s="38" t="inlineStr"/>
      <c r="E20" s="38" t="n">
        <v>5</v>
      </c>
      <c r="F20" s="38" t="inlineStr">
        <is>
          <t>14 least-disturbed stations borrowed from Level I ecoregion 8 (Eastern Temperate Forests), transfer risk high</t>
        </is>
      </c>
      <c r="G20" s="38" t="n">
        <v>0</v>
      </c>
      <c r="H20" s="38" t="n">
        <v>0.06622835461582456</v>
      </c>
      <c r="I20" s="38" t="n">
        <v>0.154532827436924</v>
      </c>
      <c r="J20" s="38" t="n">
        <v>3.242602586746216</v>
      </c>
      <c r="K20" s="38" t="n">
        <v>4.169023514539004</v>
      </c>
      <c r="L20" s="38" t="n">
        <v>4.169023514539004</v>
      </c>
      <c r="M20" s="38" t="n">
        <v>4.169023514539004</v>
      </c>
      <c r="N20" s="38" t="n">
        <v>4.169023514539004</v>
      </c>
      <c r="O20" s="38" t="n">
        <v>0</v>
      </c>
      <c r="P20" s="38" t="n">
        <v>0.3</v>
      </c>
      <c r="Q20" s="38" t="n">
        <v>0.7</v>
      </c>
      <c r="R20" s="38" t="n">
        <v>1</v>
      </c>
      <c r="S20" s="38" t="n">
        <v>1</v>
      </c>
      <c r="T20" s="38" t="n">
        <v>1</v>
      </c>
      <c r="U20" s="38" t="n">
        <v>1</v>
      </c>
      <c r="V20" s="38" t="n">
        <v>1</v>
      </c>
    </row>
    <row r="21">
      <c r="A21" s="38" t="inlineStr">
        <is>
          <t>spring_phab_xcdenmid|</t>
        </is>
      </c>
      <c r="B21" s="38" t="inlineStr">
        <is>
          <t>spring-phab-xcdenmid</t>
        </is>
      </c>
      <c r="C21" s="38" t="inlineStr">
        <is>
          <t>Canopy density, mid-channel</t>
        </is>
      </c>
      <c r="D21" s="38" t="inlineStr"/>
      <c r="E21" s="38" t="n">
        <v>5</v>
      </c>
      <c r="F21" s="38" t="inlineStr">
        <is>
          <t>12 least-disturbed stations borrowed from Level I ecoregion 8 (Eastern Temperate Forests), transfer risk high</t>
        </is>
      </c>
      <c r="G21" s="38" t="n">
        <v>0</v>
      </c>
      <c r="H21" s="38" t="n">
        <v>10.85752507618495</v>
      </c>
      <c r="I21" s="38" t="n">
        <v>25.33422517776489</v>
      </c>
      <c r="J21" s="38" t="n">
        <v>91.97860717773438</v>
      </c>
      <c r="K21" s="38" t="n">
        <v>100</v>
      </c>
      <c r="L21" s="38" t="n">
        <v>100</v>
      </c>
      <c r="M21" s="38" t="n">
        <v>100</v>
      </c>
      <c r="N21" s="38" t="n">
        <v>100</v>
      </c>
      <c r="O21" s="38" t="n">
        <v>0</v>
      </c>
      <c r="P21" s="38" t="n">
        <v>0.3</v>
      </c>
      <c r="Q21" s="38" t="n">
        <v>0.7</v>
      </c>
      <c r="R21" s="38" t="n">
        <v>1</v>
      </c>
      <c r="S21" s="38" t="n">
        <v>1</v>
      </c>
      <c r="T21" s="38" t="n">
        <v>1</v>
      </c>
      <c r="U21" s="38" t="n">
        <v>1</v>
      </c>
      <c r="V21" s="38" t="n">
        <v>1</v>
      </c>
    </row>
    <row r="22">
      <c r="A22" s="38" t="inlineStr">
        <is>
          <t>spring_phab_xcmgw|</t>
        </is>
      </c>
      <c r="B22" s="38" t="inlineStr">
        <is>
          <t>spring-phab-xcmgw</t>
        </is>
      </c>
      <c r="C22" s="38" t="inlineStr">
        <is>
          <t>Riparian veg cover, woody</t>
        </is>
      </c>
      <c r="D22" s="38" t="inlineStr"/>
      <c r="E22" s="38" t="n">
        <v>5</v>
      </c>
      <c r="F22" s="38" t="inlineStr">
        <is>
          <t>14 least-disturbed stations borrowed from Level I ecoregion 8 (Eastern Temperate Forests), transfer risk high</t>
        </is>
      </c>
      <c r="G22" s="38" t="n">
        <v>0</v>
      </c>
      <c r="H22" s="38" t="n">
        <v>0.3031655890601022</v>
      </c>
      <c r="I22" s="38" t="n">
        <v>0.7073863744735718</v>
      </c>
      <c r="J22" s="38" t="n">
        <v>1.530499160289764</v>
      </c>
      <c r="K22" s="38" t="n">
        <v>1.777432996034622</v>
      </c>
      <c r="L22" s="38" t="n">
        <v>1.777432996034622</v>
      </c>
      <c r="M22" s="38" t="n">
        <v>1.777432996034622</v>
      </c>
      <c r="N22" s="38" t="n">
        <v>1.777432996034622</v>
      </c>
      <c r="O22" s="38" t="n">
        <v>0</v>
      </c>
      <c r="P22" s="38" t="n">
        <v>0.3</v>
      </c>
      <c r="Q22" s="38" t="n">
        <v>0.7</v>
      </c>
      <c r="R22" s="38" t="n">
        <v>1</v>
      </c>
      <c r="S22" s="38" t="n">
        <v>1</v>
      </c>
      <c r="T22" s="38" t="n">
        <v>1</v>
      </c>
      <c r="U22" s="38" t="n">
        <v>1</v>
      </c>
      <c r="V22" s="38" t="n">
        <v>1</v>
      </c>
    </row>
    <row r="23">
      <c r="A23" s="38" t="inlineStr">
        <is>
          <t>spring_phab_pct_fast|</t>
        </is>
      </c>
      <c r="B23" s="38" t="inlineStr">
        <is>
          <t>spring-phab-pct-fast</t>
        </is>
      </c>
      <c r="C23" s="38" t="inlineStr">
        <is>
          <t>Fast-water / riffle habitat</t>
        </is>
      </c>
      <c r="D23" s="38" t="inlineStr"/>
      <c r="E23" s="38" t="n">
        <v>2</v>
      </c>
      <c r="F23" s="38" t="inlineStr"/>
      <c r="G23" s="38" t="n">
        <v>0</v>
      </c>
      <c r="H23" s="38" t="n">
        <v>26</v>
      </c>
      <c r="I23" s="38" t="n">
        <v>26</v>
      </c>
      <c r="J23" s="38" t="n">
        <v>26</v>
      </c>
      <c r="K23" s="38" t="n">
        <v>26</v>
      </c>
      <c r="L23" s="38" t="n">
        <v>26</v>
      </c>
      <c r="M23" s="38" t="n">
        <v>26</v>
      </c>
      <c r="N23" s="38" t="n">
        <v>26</v>
      </c>
      <c r="O23" s="38" t="n">
        <v>0</v>
      </c>
      <c r="P23" s="38" t="n">
        <v>1</v>
      </c>
      <c r="Q23" s="38" t="n">
        <v>1</v>
      </c>
      <c r="R23" s="38" t="n">
        <v>1</v>
      </c>
      <c r="S23" s="38" t="n">
        <v>1</v>
      </c>
      <c r="T23" s="38" t="n">
        <v>1</v>
      </c>
      <c r="U23" s="38" t="n">
        <v>1</v>
      </c>
      <c r="V23" s="38" t="n">
        <v>1</v>
      </c>
    </row>
    <row r="24">
      <c r="A24" s="38" t="inlineStr">
        <is>
          <t>spring_phab_xfc_nat|</t>
        </is>
      </c>
      <c r="B24" s="38" t="inlineStr">
        <is>
          <t>spring-phab-xfc-nat</t>
        </is>
      </c>
      <c r="C24" s="38" t="inlineStr">
        <is>
          <t>Natural fish cover</t>
        </is>
      </c>
      <c r="D24" s="38" t="inlineStr"/>
      <c r="E24" s="38" t="n">
        <v>5</v>
      </c>
      <c r="F24" s="38" t="inlineStr">
        <is>
          <t>14 least-disturbed stations borrowed from Level I ecoregion 8 (Eastern Temperate Forests), transfer risk high</t>
        </is>
      </c>
      <c r="G24" s="38" t="n">
        <v>0</v>
      </c>
      <c r="H24" s="38" t="n">
        <v>0.0609740245022944</v>
      </c>
      <c r="I24" s="38" t="n">
        <v>0.1422727238386869</v>
      </c>
      <c r="J24" s="38" t="n">
        <v>0.6181818097829819</v>
      </c>
      <c r="K24" s="38" t="n">
        <v>0.7609545355662704</v>
      </c>
      <c r="L24" s="38" t="n">
        <v>0.7609545355662704</v>
      </c>
      <c r="M24" s="38" t="n">
        <v>0.7609545355662704</v>
      </c>
      <c r="N24" s="38" t="n">
        <v>0.7609545355662704</v>
      </c>
      <c r="O24" s="38" t="n">
        <v>0</v>
      </c>
      <c r="P24" s="38" t="n">
        <v>0.3</v>
      </c>
      <c r="Q24" s="38" t="n">
        <v>0.7</v>
      </c>
      <c r="R24" s="38" t="n">
        <v>1</v>
      </c>
      <c r="S24" s="38" t="n">
        <v>1</v>
      </c>
      <c r="T24" s="38" t="n">
        <v>1</v>
      </c>
      <c r="U24" s="38" t="n">
        <v>1</v>
      </c>
      <c r="V24" s="38" t="n">
        <v>1</v>
      </c>
    </row>
    <row r="25">
      <c r="A25" s="38" t="inlineStr">
        <is>
          <t>spring_nid_dams_1mi|</t>
        </is>
      </c>
      <c r="B25" s="38" t="inlineStr">
        <is>
          <t>spring-nid-dams-1mi</t>
        </is>
      </c>
      <c r="C25" s="38" t="inlineStr">
        <is>
          <t>Mapped dams within one mile</t>
        </is>
      </c>
      <c r="D25" s="38" t="inlineStr"/>
      <c r="E25" s="38" t="n">
        <v>4</v>
      </c>
      <c r="F25" s="38" t="inlineStr">
        <is>
          <t>Fixed criteria, the same in every region</t>
        </is>
      </c>
      <c r="G25" s="38" t="n">
        <v>0</v>
      </c>
      <c r="H25" s="38" t="n">
        <v>1</v>
      </c>
      <c r="I25" s="38" t="n">
        <v>2</v>
      </c>
      <c r="J25" s="38" t="n">
        <v>3</v>
      </c>
      <c r="K25" s="38" t="n">
        <v>3</v>
      </c>
      <c r="L25" s="38" t="n">
        <v>3</v>
      </c>
      <c r="M25" s="38" t="n">
        <v>3</v>
      </c>
      <c r="N25" s="38" t="n">
        <v>3</v>
      </c>
      <c r="O25" s="38" t="n">
        <v>1</v>
      </c>
      <c r="P25" s="38" t="n">
        <v>0.545</v>
      </c>
      <c r="Q25" s="38" t="n">
        <v>0.195</v>
      </c>
      <c r="R25" s="38" t="n">
        <v>0</v>
      </c>
      <c r="S25" s="38" t="n">
        <v>0</v>
      </c>
      <c r="T25" s="38" t="n">
        <v>0</v>
      </c>
      <c r="U25" s="38" t="n">
        <v>0</v>
      </c>
      <c r="V25" s="38" t="n">
        <v>0</v>
      </c>
    </row>
    <row r="28">
      <c r="A28" s="61" t="inlineStr">
        <is>
          <t>Curve sets by metric</t>
        </is>
      </c>
    </row>
    <row r="31">
      <c r="A31" s="61" t="inlineStr">
        <is>
          <t>Condition classes</t>
        </is>
      </c>
    </row>
    <row r="32">
      <c r="A32" t="inlineStr">
        <is>
          <t>Metric index: at or below 0.39 Non-Functioning, at or below 0.69 Functioning At-Risk, above Functioning.</t>
        </is>
      </c>
    </row>
    <row r="33">
      <c r="A33" t="inlineStr">
        <is>
          <t>Function score (0 to 15): at or below 5 Non-Functioning, at or below 10 Functioning At-Risk, above Functioning.</t>
        </is>
      </c>
    </row>
    <row r="34">
      <c r="A34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71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38" t="inlineStr">
        <is>
          <t>Assessment id</t>
        </is>
      </c>
      <c r="B4" s="38" t="inlineStr">
        <is>
          <t>eastern-corn-belt-plains</t>
        </is>
      </c>
    </row>
    <row r="5">
      <c r="A5" s="38" t="inlineStr">
        <is>
          <t>Assessment name</t>
        </is>
      </c>
      <c r="B5" s="38" t="inlineStr">
        <is>
          <t>Eastern Corn Belt Plains reference assessment</t>
        </is>
      </c>
    </row>
    <row r="6">
      <c r="A6" s="38" t="inlineStr">
        <is>
          <t>Version</t>
        </is>
      </c>
      <c r="B6" s="38" t="n">
        <v>6</v>
      </c>
    </row>
    <row r="7">
      <c r="A7" s="38" t="inlineStr">
        <is>
          <t>Lifecycle status</t>
        </is>
      </c>
      <c r="B7" s="38" t="inlineStr"/>
    </row>
    <row r="8">
      <c r="A8" s="38" t="inlineStr">
        <is>
          <t>Content digest</t>
        </is>
      </c>
      <c r="B8" s="38" t="inlineStr">
        <is>
          <t>sha256:bc2948a42062bb90030672afe31eb3271f563c790dee145c5cb8d7af8dfa42fd</t>
        </is>
      </c>
    </row>
    <row r="9">
      <c r="A9" s="38" t="inlineStr">
        <is>
          <t>Region</t>
        </is>
      </c>
      <c r="B9" s="38" t="inlineStr">
        <is>
          <t>ecoregion 55 Eastern Corn Belt Plains</t>
        </is>
      </c>
    </row>
    <row r="10">
      <c r="A10" s="38" t="inlineStr">
        <is>
          <t>Source</t>
        </is>
      </c>
      <c r="B10" s="38" t="inlineStr">
        <is>
          <t>StreamCurves reference-curve development</t>
        </is>
      </c>
    </row>
    <row r="11">
      <c r="A11" s="38" t="inlineStr">
        <is>
          <t>Reference method</t>
        </is>
      </c>
      <c r="B11" s="38" t="inlineStr">
        <is>
          <t>pressure-screen</t>
        </is>
      </c>
    </row>
    <row r="12">
      <c r="A12" s="38" t="inlineStr">
        <is>
          <t>Reference screen</t>
        </is>
      </c>
      <c r="B12" s="38" t="inlineStr">
        <is>
          <t>least-disturbed-v1 (strict), wadeable non-canal frame</t>
        </is>
      </c>
    </row>
    <row r="13">
      <c r="A13" s="38" t="inlineStr">
        <is>
          <t>Scoring method</t>
        </is>
      </c>
      <c r="B13" s="38" t="inlineStr">
        <is>
          <t>iqr-seed-v2</t>
        </is>
      </c>
    </row>
    <row r="14">
      <c r="A14" s="38" t="inlineStr">
        <is>
          <t>Functions scored</t>
        </is>
      </c>
      <c r="B14" s="38" t="n">
        <v>16</v>
      </c>
    </row>
    <row r="15">
      <c r="A15" s="38" t="inlineStr">
        <is>
          <t>Metrics</t>
        </is>
      </c>
      <c r="B15" s="38" t="n">
        <v>21</v>
      </c>
    </row>
    <row r="16">
      <c r="A16" s="38" t="inlineStr">
        <is>
          <t>Function coverage</t>
        </is>
      </c>
      <c r="B16" s="38" t="inlineStr">
        <is>
          <t>This assessment covers 16 of 20 STAF functions (4 documented exclusions).</t>
        </is>
      </c>
    </row>
    <row r="17">
      <c r="A17" s="38" t="inlineStr">
        <is>
          <t>Generator</t>
        </is>
      </c>
      <c r="B17" s="38" t="inlineStr">
        <is>
          <t>streamcurves.deep_calculator</t>
        </is>
      </c>
    </row>
    <row r="18">
      <c r="A18" s="38" t="inlineStr">
        <is>
          <t>Generator version</t>
        </is>
      </c>
      <c r="B18" s="38" t="inlineStr">
        <is>
          <t>1.0</t>
        </is>
      </c>
    </row>
    <row r="19">
      <c r="A19" s="38" t="inlineStr">
        <is>
          <t>Formula vocabulary</t>
        </is>
      </c>
      <c r="B19" s="38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3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61" t="inlineStr">
        <is>
          <t>Function</t>
        </is>
      </c>
      <c r="B2" s="61" t="inlineStr">
        <is>
          <t>Score</t>
        </is>
      </c>
      <c r="C2" s="61" t="inlineStr">
        <is>
          <t>Non-Functioning (0-5)</t>
        </is>
      </c>
      <c r="D2" s="61" t="inlineStr">
        <is>
          <t>Functioning At-Risk (6-10)</t>
        </is>
      </c>
      <c r="E2" s="61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4">
        <f>IF(ISNUMBER('ChartData'!$B$3),IF('ChartData'!$B$3&lt;=5,'ChartData'!$B$3,NA()),NA())</f>
        <v/>
      </c>
      <c r="D3" s="74">
        <f>IF(ISNUMBER('ChartData'!$B$3),IF(AND('ChartData'!$B$3&gt;5,'ChartData'!$B$3&lt;=10),'ChartData'!$B$3,NA()),NA())</f>
        <v/>
      </c>
      <c r="E3" s="74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4">
        <f>IF(ISNUMBER('ChartData'!$B$4),IF('ChartData'!$B$4&lt;=5,'ChartData'!$B$4,NA()),NA())</f>
        <v/>
      </c>
      <c r="D4" s="74">
        <f>IF(ISNUMBER('ChartData'!$B$4),IF(AND('ChartData'!$B$4&gt;5,'ChartData'!$B$4&lt;=10),'ChartData'!$B$4,NA()),NA())</f>
        <v/>
      </c>
      <c r="E4" s="74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4">
        <f>IF(ISNUMBER('ChartData'!$B$5),IF('ChartData'!$B$5&lt;=5,'ChartData'!$B$5,NA()),NA())</f>
        <v/>
      </c>
      <c r="D5" s="74">
        <f>IF(ISNUMBER('ChartData'!$B$5),IF(AND('ChartData'!$B$5&gt;5,'ChartData'!$B$5&lt;=10),'ChartData'!$B$5,NA()),NA())</f>
        <v/>
      </c>
      <c r="E5" s="74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4">
        <f>IF(ISNUMBER('ChartData'!$B$6),IF('ChartData'!$B$6&lt;=5,'ChartData'!$B$6,NA()),NA())</f>
        <v/>
      </c>
      <c r="D6" s="74">
        <f>IF(ISNUMBER('ChartData'!$B$6),IF(AND('ChartData'!$B$6&gt;5,'ChartData'!$B$6&lt;=10),'ChartData'!$B$6,NA()),NA())</f>
        <v/>
      </c>
      <c r="E6" s="74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4">
        <f>IF(ISNUMBER('ChartData'!$B$7),IF('ChartData'!$B$7&lt;=5,'ChartData'!$B$7,NA()),NA())</f>
        <v/>
      </c>
      <c r="D7" s="74">
        <f>IF(ISNUMBER('ChartData'!$B$7),IF(AND('ChartData'!$B$7&gt;5,'ChartData'!$B$7&lt;=10),'ChartData'!$B$7,NA()),NA())</f>
        <v/>
      </c>
      <c r="E7" s="74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4">
        <f>IF(ISNUMBER('ChartData'!$B$8),IF('ChartData'!$B$8&lt;=5,'ChartData'!$B$8,NA()),NA())</f>
        <v/>
      </c>
      <c r="D8" s="74">
        <f>IF(ISNUMBER('ChartData'!$B$8),IF(AND('ChartData'!$B$8&gt;5,'ChartData'!$B$8&lt;=10),'ChartData'!$B$8,NA()),NA())</f>
        <v/>
      </c>
      <c r="E8" s="74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4">
        <f>IF(ISNUMBER('ChartData'!$B$9),IF('ChartData'!$B$9&lt;=5,'ChartData'!$B$9,NA()),NA())</f>
        <v/>
      </c>
      <c r="D9" s="74">
        <f>IF(ISNUMBER('ChartData'!$B$9),IF(AND('ChartData'!$B$9&gt;5,'ChartData'!$B$9&lt;=10),'ChartData'!$B$9,NA()),NA())</f>
        <v/>
      </c>
      <c r="E9" s="74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4">
        <f>IF(ISNUMBER('ChartData'!$B$10),IF('ChartData'!$B$10&lt;=5,'ChartData'!$B$10,NA()),NA())</f>
        <v/>
      </c>
      <c r="D10" s="74">
        <f>IF(ISNUMBER('ChartData'!$B$10),IF(AND('ChartData'!$B$10&gt;5,'ChartData'!$B$10&lt;=10),'ChartData'!$B$10,NA()),NA())</f>
        <v/>
      </c>
      <c r="E10" s="74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4">
        <f>IF(ISNUMBER('ChartData'!$B$11),IF('ChartData'!$B$11&lt;=5,'ChartData'!$B$11,NA()),NA())</f>
        <v/>
      </c>
      <c r="D11" s="74">
        <f>IF(ISNUMBER('ChartData'!$B$11),IF(AND('ChartData'!$B$11&gt;5,'ChartData'!$B$11&lt;=10),'ChartData'!$B$11,NA()),NA())</f>
        <v/>
      </c>
      <c r="E11" s="74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4">
        <f>IF(ISNUMBER('ChartData'!$B$12),IF('ChartData'!$B$12&lt;=5,'ChartData'!$B$12,NA()),NA())</f>
        <v/>
      </c>
      <c r="D12" s="74">
        <f>IF(ISNUMBER('ChartData'!$B$12),IF(AND('ChartData'!$B$12&gt;5,'ChartData'!$B$12&lt;=10),'ChartData'!$B$12,NA()),NA())</f>
        <v/>
      </c>
      <c r="E12" s="74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4">
        <f>IF(ISNUMBER('ChartData'!$B$13),IF('ChartData'!$B$13&lt;=5,'ChartData'!$B$13,NA()),NA())</f>
        <v/>
      </c>
      <c r="D13" s="74">
        <f>IF(ISNUMBER('ChartData'!$B$13),IF(AND('ChartData'!$B$13&gt;5,'ChartData'!$B$13&lt;=10),'ChartData'!$B$13,NA()),NA())</f>
        <v/>
      </c>
      <c r="E13" s="74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4">
        <f>IF(ISNUMBER('ChartData'!$B$14),IF('ChartData'!$B$14&lt;=5,'ChartData'!$B$14,NA()),NA())</f>
        <v/>
      </c>
      <c r="D14" s="74">
        <f>IF(ISNUMBER('ChartData'!$B$14),IF(AND('ChartData'!$B$14&gt;5,'ChartData'!$B$14&lt;=10),'ChartData'!$B$14,NA()),NA())</f>
        <v/>
      </c>
      <c r="E14" s="74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4">
        <f>IF(ISNUMBER('ChartData'!$B$15),IF('ChartData'!$B$15&lt;=5,'ChartData'!$B$15,NA()),NA())</f>
        <v/>
      </c>
      <c r="D15" s="74">
        <f>IF(ISNUMBER('ChartData'!$B$15),IF(AND('ChartData'!$B$15&gt;5,'ChartData'!$B$15&lt;=10),'ChartData'!$B$15,NA()),NA())</f>
        <v/>
      </c>
      <c r="E15" s="74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4">
        <f>IF(ISNUMBER('ChartData'!$B$16),IF('ChartData'!$B$16&lt;=5,'ChartData'!$B$16,NA()),NA())</f>
        <v/>
      </c>
      <c r="D16" s="74">
        <f>IF(ISNUMBER('ChartData'!$B$16),IF(AND('ChartData'!$B$16&gt;5,'ChartData'!$B$16&lt;=10),'ChartData'!$B$16,NA()),NA())</f>
        <v/>
      </c>
      <c r="E16" s="74">
        <f>IF(ISNUMBER('ChartData'!$B$16),IF('ChartData'!$B$16&gt;10,'ChartData'!$B$16,NA()),NA())</f>
        <v/>
      </c>
    </row>
    <row r="17">
      <c r="A17" t="inlineStr">
        <is>
          <t>Habitat provision</t>
        </is>
      </c>
      <c r="B17">
        <f>IF('Results'!$B$18="","",'Results'!$B$18)</f>
        <v/>
      </c>
      <c r="C17" s="74">
        <f>IF(ISNUMBER('ChartData'!$B$17),IF('ChartData'!$B$17&lt;=5,'ChartData'!$B$17,NA()),NA())</f>
        <v/>
      </c>
      <c r="D17" s="74">
        <f>IF(ISNUMBER('ChartData'!$B$17),IF(AND('ChartData'!$B$17&gt;5,'ChartData'!$B$17&lt;=10),'ChartData'!$B$17,NA()),NA())</f>
        <v/>
      </c>
      <c r="E17" s="74">
        <f>IF(ISNUMBER('ChartData'!$B$17),IF('ChartData'!$B$17&gt;10,'ChartData'!$B$17,NA()),NA())</f>
        <v/>
      </c>
    </row>
    <row r="18">
      <c r="A18" t="inlineStr">
        <is>
          <t>Watershed connectivity</t>
        </is>
      </c>
      <c r="B18">
        <f>IF('Results'!$B$19="","",'Results'!$B$19)</f>
        <v/>
      </c>
      <c r="C18" s="74">
        <f>IF(ISNUMBER('ChartData'!$B$18),IF('ChartData'!$B$18&lt;=5,'ChartData'!$B$18,NA()),NA())</f>
        <v/>
      </c>
      <c r="D18" s="74">
        <f>IF(ISNUMBER('ChartData'!$B$18),IF(AND('ChartData'!$B$18&gt;5,'ChartData'!$B$18&lt;=10),'ChartData'!$B$18,NA()),NA())</f>
        <v/>
      </c>
      <c r="E18" s="74">
        <f>IF(ISNUMBER('ChartData'!$B$18),IF('ChartData'!$B$18&gt;10,'ChartData'!$B$18,NA()),NA())</f>
        <v/>
      </c>
    </row>
    <row r="20">
      <c r="A20" s="61" t="inlineStr">
        <is>
          <t>Outcome</t>
        </is>
      </c>
      <c r="B20" s="61" t="inlineStr">
        <is>
          <t>Score</t>
        </is>
      </c>
      <c r="C20" s="61" t="inlineStr">
        <is>
          <t>Non-Functioning (0.00-0.39)</t>
        </is>
      </c>
      <c r="D20" s="61" t="inlineStr">
        <is>
          <t>Functioning At-Risk (0.40-0.69)</t>
        </is>
      </c>
      <c r="E20" s="61" t="inlineStr">
        <is>
          <t>Functioning (0.70-1.00)</t>
        </is>
      </c>
    </row>
    <row r="21">
      <c r="A21" t="inlineStr">
        <is>
          <t>Physical</t>
        </is>
      </c>
      <c r="B21">
        <f>'Results'!$B$22</f>
        <v/>
      </c>
      <c r="C21" s="75">
        <f>IF('ChartData'!$B$21&lt;=0.39,'ChartData'!$B$21,NA())</f>
        <v/>
      </c>
      <c r="D21" s="75">
        <f>IF(AND('ChartData'!$B$21&gt;0.39,'ChartData'!$B$21&lt;=0.69),'ChartData'!$B$21,NA())</f>
        <v/>
      </c>
      <c r="E21" s="75">
        <f>IF('ChartData'!$B$21&gt;0.69,'ChartData'!$B$21,NA())</f>
        <v/>
      </c>
    </row>
    <row r="22">
      <c r="A22" t="inlineStr">
        <is>
          <t>Chemical</t>
        </is>
      </c>
      <c r="B22">
        <f>'Results'!$B$23</f>
        <v/>
      </c>
      <c r="C22" s="75">
        <f>IF('ChartData'!$B$22&lt;=0.39,'ChartData'!$B$22,NA())</f>
        <v/>
      </c>
      <c r="D22" s="75">
        <f>IF(AND('ChartData'!$B$22&gt;0.39,'ChartData'!$B$22&lt;=0.69),'ChartData'!$B$22,NA())</f>
        <v/>
      </c>
      <c r="E22" s="75">
        <f>IF('ChartData'!$B$22&gt;0.69,'ChartData'!$B$22,NA())</f>
        <v/>
      </c>
    </row>
    <row r="23">
      <c r="A23" t="inlineStr">
        <is>
          <t>Biological</t>
        </is>
      </c>
      <c r="B23">
        <f>'Results'!$B$24</f>
        <v/>
      </c>
      <c r="C23" s="75">
        <f>IF('ChartData'!$B$23&lt;=0.39,'ChartData'!$B$23,NA())</f>
        <v/>
      </c>
      <c r="D23" s="75">
        <f>IF(AND('ChartData'!$B$23&gt;0.39,'ChartData'!$B$23&lt;=0.69),'ChartData'!$B$23,NA())</f>
        <v/>
      </c>
      <c r="E23" s="75">
        <f>IF('ChartData'!$B$23&gt;0.69,'ChartData'!$B$23,NA())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2026-09-20T12:45:39Z</dcterms:created>
  <dcterms:modified xmlns:dcterms="http://purl.org/dc/terms/" xmlns:xsi="http://www.w3.org/2001/XMLSchema-instance" xsi:type="dcterms:W3CDTF">2026-09-20T12:45:39Z</dcterms:modified>
  <cp:lastModifiedBy>DEEP</cp:lastModifiedBy>
</cp:coreProperties>
</file>