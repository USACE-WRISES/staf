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strata_spring_phab_lrbs_use">'Reference'!$A$37:$A$40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pct_safn">'Metrics'!$V$12</definedName>
    <definedName name="idx_spring_phab_xembed">'Metrics'!$V$13</definedName>
    <definedName name="idx_spring_phab_sinu">'Metrics'!$V$14</definedName>
    <definedName name="idx_spring_phab_xbka">'Metrics'!$V$15</definedName>
    <definedName name="idx_spring_phab_lrbs_use">'Metrics'!$V$16</definedName>
    <definedName name="idx_spring_phab_lwdeqvolm100">'Metrics'!$V$17</definedName>
    <definedName name="idx_spring_phab_xcdenmid">'Metrics'!$V$18</definedName>
    <definedName name="idx_spring_phab_xcmgw">'Metrics'!$V$19</definedName>
    <definedName name="idx_spring_chem_ntl">'Metrics'!$V$20</definedName>
    <definedName name="idx_spring_chem_ptl">'Metrics'!$V$21</definedName>
    <definedName name="idx_spring_chem_ph">'Metrics'!$V$22</definedName>
    <definedName name="idx_spring_chem_turb">'Metrics'!$V$23</definedName>
    <definedName name="idx_spring_phab_pct_fast">'Metrics'!$V$24</definedName>
    <definedName name="idx_spring_phab_xfc_nat">'Metrics'!$V$25</definedName>
    <definedName name="idx_spring_bent_totlntax">'Metrics'!$V$26</definedName>
    <definedName name="idx_spring_fish_nat_totlntax">'Metrics'!$V$27</definedName>
    <definedName name="idx_spring_bent_ept_ntax">'Metrics'!$V$28</definedName>
    <definedName name="idx_spring_bent_hprime">'Metrics'!$V$29</definedName>
    <definedName name="idx_spring_nid_dams_1mi">'Metrics'!$V$30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pct_safn">'DEEP Score'!$E$22</definedName>
    <definedName name="in_spring_phab_xembed">'DEEP Score'!$E$23</definedName>
    <definedName name="in_spring_phab_sinu">'DEEP Score'!$E$25</definedName>
    <definedName name="in_spring_phab_xbka">'DEEP Score'!$E$26</definedName>
    <definedName name="in_spring_phab_lrbs_use">'DEEP Score'!$E$27</definedName>
    <definedName name="st_spring_phab_lrbs_use">'DEEP Score'!$F$27</definedName>
    <definedName name="in_spring_phab_lwdeqvolm100">'DEEP Score'!$E$29</definedName>
    <definedName name="in_spring_phab_xcdenmid">'DEEP Score'!$E$31</definedName>
    <definedName name="in_spring_phab_xcmgw">'DEEP Score'!$E$32</definedName>
    <definedName name="in_spring_chem_ntl">'DEEP Score'!$E$33</definedName>
    <definedName name="in_spring_chem_ptl">'DEEP Score'!$E$34</definedName>
    <definedName name="in_spring_chem_ph">'DEEP Score'!$E$35</definedName>
    <definedName name="in_spring_chem_turb">'DEEP Score'!$E$36</definedName>
    <definedName name="in_spring_phab_pct_fast">'DEEP Score'!$E$37</definedName>
    <definedName name="in_spring_phab_xfc_nat">'DEEP Score'!$E$38</definedName>
    <definedName name="in_spring_bent_totlntax">'DEEP Score'!$E$39</definedName>
    <definedName name="in_spring_fish_nat_totlntax">'DEEP Score'!$E$40</definedName>
    <definedName name="in_spring_bent_ept_ntax">'DEEP Score'!$E$41</definedName>
    <definedName name="in_spring_bent_hprime">'DEEP Score'!$E$42</definedName>
    <definedName name="in_spring_nid_dams_1mi">'DEEP Score'!$E$43</definedName>
    <definedName name="site_notes">'DEEP Score'!$A$62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90" customHeight="1">
      <c r="A5" s="4" t="inlineStr">
        <is>
          <t>Reference condition. Reference condition is set by a fixed landscape-pressure screen, never by a score. 18 curves are fitted to least-disturbed stations of this ecoregion. 4 curves are fitted to this ecoregion's own streams under the documented regional screen, which relaxes agriculture only. 3 borrow comparable least-disturbed stations from a wider region, stating the region and the transfer risk. 20 of these curves carried forward unchanged from version 1.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7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3">
      <c r="A3" s="5" t="inlineStr">
        <is>
          <t>Version 2 | Draft | USEPA NRSA 2013-24 (L3 ecoregion 65), StreamCurves regional analysis, methodology 0.14-provisional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40" t="inlineStr">
        <is>
          <t>Hydraulics</t>
        </is>
      </c>
      <c r="B21" s="29" t="inlineStr">
        <is>
          <t>Floodplain connectivity</t>
        </is>
      </c>
      <c r="C21" s="30" t="inlineStr">
        <is>
          <t>Bankfull width:depth ratio</t>
        </is>
      </c>
      <c r="D21" s="31" t="inlineStr"/>
      <c r="E21" s="41">
        <f>IF('DEEP Score'!$E$19="","",'DEEP Score'!$E$19)</f>
        <v/>
      </c>
      <c r="F21" s="42" t="inlineStr"/>
      <c r="G21" s="34">
        <f>IF('Metrics'!$V$11="","",'Metrics'!$V$11)</f>
        <v/>
      </c>
      <c r="H21" s="35">
        <f>IF('Results'!$B$10="","",'Results'!$B$10)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Hyporheic connectivity</t>
        </is>
      </c>
      <c r="C22" s="13" t="inlineStr">
        <is>
          <t>Sand + fines</t>
        </is>
      </c>
      <c r="D22" s="14" t="inlineStr">
        <is>
          <t>%</t>
        </is>
      </c>
      <c r="E22" s="15" t="n"/>
      <c r="F22" s="16" t="inlineStr"/>
      <c r="G22" s="17">
        <f>IF('Metrics'!$V$12="","",'Metrics'!$V$12)</f>
        <v/>
      </c>
      <c r="H22" s="18">
        <f>IF('Results'!$B$11="","",'Results'!$B$11)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Embeddedness</t>
        </is>
      </c>
      <c r="D23" s="23" t="inlineStr">
        <is>
          <t>%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43" t="inlineStr">
        <is>
          <t>Geomorphology</t>
        </is>
      </c>
      <c r="B24" s="29" t="inlineStr">
        <is>
          <t>Channel evolution</t>
        </is>
      </c>
      <c r="C24" s="30" t="inlineStr">
        <is>
          <t>Bankfull width:depth ratio</t>
        </is>
      </c>
      <c r="D24" s="31" t="inlineStr"/>
      <c r="E24" s="41">
        <f>IF('DEEP Score'!$E$19="","",'DEEP Score'!$E$19)</f>
        <v/>
      </c>
      <c r="F24" s="42" t="inlineStr"/>
      <c r="G24" s="34">
        <f>IF('Metrics'!$V$11="","",'Metrics'!$V$11)</f>
        <v/>
      </c>
      <c r="H24" s="35">
        <f>IF('Results'!$B$12="","",'Results'!$B$12)</f>
        <v/>
      </c>
      <c r="I24" s="36">
        <f>IF('DEEP Score'!$H$24="","",IF('DEEP Score'!$H$24&lt;=5,"Non-Functioning",IF('DEEP Score'!$H$24&lt;=10,"Functioning At-Risk","Functioning")))</f>
        <v/>
      </c>
    </row>
    <row r="25">
      <c r="A25" s="44" t="inlineStr">
        <is>
          <t>Geomorphology</t>
        </is>
      </c>
      <c r="B25" s="12" t="inlineStr">
        <is>
          <t>Channel and floodplain dynamics</t>
        </is>
      </c>
      <c r="C25" s="13" t="inlineStr">
        <is>
          <t>Sinuosity</t>
        </is>
      </c>
      <c r="D25" s="14" t="inlineStr"/>
      <c r="E25" s="15" t="n"/>
      <c r="F25" s="16" t="inlineStr"/>
      <c r="G25" s="17">
        <f>IF('Metrics'!$V$14="","",'Metrics'!$V$14)</f>
        <v/>
      </c>
      <c r="H25" s="18">
        <f>IF('Results'!$B$13="","",'Results'!$B$13)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 angle</t>
        </is>
      </c>
      <c r="D26" s="23" t="inlineStr">
        <is>
          <t>degrees</t>
        </is>
      </c>
      <c r="E26" s="24" t="n"/>
      <c r="F26" s="25" t="inlineStr"/>
      <c r="G26" s="26">
        <f>IF('Metrics'!$V$15="","",'Metrics'!$V$15)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Sediment continuity</t>
        </is>
      </c>
      <c r="C27" s="13" t="inlineStr">
        <is>
          <t>Relative bed stability</t>
        </is>
      </c>
      <c r="D27" s="14" t="inlineStr">
        <is>
          <t>log</t>
        </is>
      </c>
      <c r="E27" s="15" t="n"/>
      <c r="F27" s="45" t="inlineStr">
        <is>
          <t>All streams (pooled)</t>
        </is>
      </c>
      <c r="G27" s="17">
        <f>IF('Metrics'!$V$16="","",'Metrics'!$V$16)</f>
        <v/>
      </c>
      <c r="H27" s="18">
        <f>IF('Results'!$B$14="","",'Results'!$B$14)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Sand + fines</t>
        </is>
      </c>
      <c r="D28" s="23" t="inlineStr">
        <is>
          <t>%</t>
        </is>
      </c>
      <c r="E28" s="46">
        <f>IF('DEEP Score'!$E$22="","",'DEEP Score'!$E$22)</f>
        <v/>
      </c>
      <c r="F28" s="47" t="inlineStr"/>
      <c r="G28" s="26">
        <f>IF('Metrics'!$V$12="","",'Metrics'!$V$12)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Bed composition and bedform dynamics</t>
        </is>
      </c>
      <c r="C29" s="13" t="inlineStr">
        <is>
          <t>Large wood volume</t>
        </is>
      </c>
      <c r="D29" s="14" t="inlineStr">
        <is>
          <t>m3/100m</t>
        </is>
      </c>
      <c r="E29" s="15" t="n"/>
      <c r="F29" s="16" t="inlineStr"/>
      <c r="G29" s="17">
        <f>IF('Metrics'!$V$17="","",'Metrics'!$V$17)</f>
        <v/>
      </c>
      <c r="H29" s="18">
        <f>IF('Results'!$B$15="","",'Results'!$B$15)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Embeddedness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IF('Metrics'!$V$13="","",'Metrics'!$V$13)</f>
        <v/>
      </c>
      <c r="H30" s="21" t="n"/>
      <c r="I30" s="27" t="n"/>
    </row>
    <row r="31">
      <c r="A31" s="48" t="inlineStr">
        <is>
          <t>Physicochemistry</t>
        </is>
      </c>
      <c r="B31" s="29" t="inlineStr">
        <is>
          <t>Light &amp; thermal regime</t>
        </is>
      </c>
      <c r="C31" s="30" t="inlineStr">
        <is>
          <t>Canopy density, mid-channel</t>
        </is>
      </c>
      <c r="D31" s="31" t="inlineStr">
        <is>
          <t>%</t>
        </is>
      </c>
      <c r="E31" s="32" t="n"/>
      <c r="F31" s="33" t="inlineStr"/>
      <c r="G31" s="34">
        <f>IF('Metrics'!$V$18="","",'Metrics'!$V$18)</f>
        <v/>
      </c>
      <c r="H31" s="35">
        <f>IF('Results'!$B$16="","",'Results'!$B$16)</f>
        <v/>
      </c>
      <c r="I31" s="36">
        <f>IF('DEEP Score'!$H$31="","",IF('DEEP Score'!$H$31&lt;=5,"Non-Functioning",IF('DEEP Score'!$H$31&lt;=10,"Functioning At-Risk","Functioning")))</f>
        <v/>
      </c>
    </row>
    <row r="32">
      <c r="A32" s="48" t="inlineStr">
        <is>
          <t>Physicochemistry</t>
        </is>
      </c>
      <c r="B32" s="29" t="inlineStr">
        <is>
          <t>Carbon processing</t>
        </is>
      </c>
      <c r="C32" s="30" t="inlineStr">
        <is>
          <t>Riparian veg cover, woody</t>
        </is>
      </c>
      <c r="D32" s="31" t="inlineStr">
        <is>
          <t>frac</t>
        </is>
      </c>
      <c r="E32" s="32" t="n"/>
      <c r="F32" s="33" t="inlineStr"/>
      <c r="G32" s="34">
        <f>IF('Metrics'!$V$19="","",'Metrics'!$V$19)</f>
        <v/>
      </c>
      <c r="H32" s="35">
        <f>IF('Results'!$B$17="","",'Results'!$B$17)</f>
        <v/>
      </c>
      <c r="I32" s="36">
        <f>IF('DEEP Score'!$H$32="","",IF('DEEP Score'!$H$32&lt;=5,"Non-Functioning",IF('DEEP Score'!$H$32&lt;=10,"Functioning At-Risk","Functioning")))</f>
        <v/>
      </c>
    </row>
    <row r="33">
      <c r="A33" s="49" t="inlineStr">
        <is>
          <t>Physicochemistry</t>
        </is>
      </c>
      <c r="B33" s="12" t="inlineStr">
        <is>
          <t>Nutrient cycling</t>
        </is>
      </c>
      <c r="C33" s="13" t="inlineStr">
        <is>
          <t>Total nitrogen</t>
        </is>
      </c>
      <c r="D33" s="14" t="inlineStr">
        <is>
          <t>mg N/L</t>
        </is>
      </c>
      <c r="E33" s="15" t="n"/>
      <c r="F33" s="16" t="inlineStr"/>
      <c r="G33" s="17">
        <f>IF('Metrics'!$V$20="","",'Metrics'!$V$20)</f>
        <v/>
      </c>
      <c r="H33" s="18">
        <f>IF('Results'!$B$18="","",'Results'!$B$18)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Total phosphorus</t>
        </is>
      </c>
      <c r="D34" s="23" t="inlineStr">
        <is>
          <t>ug/L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12" t="inlineStr">
        <is>
          <t>Water &amp; soil quality</t>
        </is>
      </c>
      <c r="C35" s="13" t="inlineStr">
        <is>
          <t>pH</t>
        </is>
      </c>
      <c r="D35" s="14" t="inlineStr">
        <is>
          <t>Std. Units</t>
        </is>
      </c>
      <c r="E35" s="15" t="n"/>
      <c r="F35" s="16" t="inlineStr"/>
      <c r="G35" s="17">
        <f>IF('Metrics'!$V$22="","",'Metrics'!$V$22)</f>
        <v/>
      </c>
      <c r="H35" s="18">
        <f>IF('Results'!$B$19="","",'Results'!$B$19)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Turbidity</t>
        </is>
      </c>
      <c r="D36" s="23" t="inlineStr">
        <is>
          <t>NTU</t>
        </is>
      </c>
      <c r="E36" s="24" t="n"/>
      <c r="F36" s="25" t="inlineStr"/>
      <c r="G36" s="26">
        <f>IF('Metrics'!$V$23="","",'Metrics'!$V$23)</f>
        <v/>
      </c>
      <c r="H36" s="21" t="n"/>
      <c r="I36" s="27" t="n"/>
    </row>
    <row r="37">
      <c r="A37" s="50" t="inlineStr">
        <is>
          <t>Biology</t>
        </is>
      </c>
      <c r="B37" s="12" t="inlineStr">
        <is>
          <t>Habitat provision</t>
        </is>
      </c>
      <c r="C37" s="13" t="inlineStr">
        <is>
          <t>Fast-water / riffle habitat</t>
        </is>
      </c>
      <c r="D37" s="14" t="inlineStr">
        <is>
          <t>%</t>
        </is>
      </c>
      <c r="E37" s="15" t="n"/>
      <c r="F37" s="16" t="inlineStr"/>
      <c r="G37" s="17">
        <f>IF('Metrics'!$V$24="","",'Metrics'!$V$24)</f>
        <v/>
      </c>
      <c r="H37" s="18">
        <f>IF('Results'!$B$20="","",'Results'!$B$20)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Natural fish cover</t>
        </is>
      </c>
      <c r="D38" s="23" t="inlineStr">
        <is>
          <t>frac</t>
        </is>
      </c>
      <c r="E38" s="24" t="n"/>
      <c r="F38" s="25" t="inlineStr"/>
      <c r="G38" s="26">
        <f>IF('Metrics'!$V$25="","",'Metrics'!$V$25)</f>
        <v/>
      </c>
      <c r="H38" s="21" t="n"/>
      <c r="I38" s="27" t="n"/>
    </row>
    <row r="39">
      <c r="A39" s="50" t="inlineStr">
        <is>
          <t>Biology</t>
        </is>
      </c>
      <c r="B39" s="12" t="inlineStr">
        <is>
          <t>Population support</t>
        </is>
      </c>
      <c r="C39" s="13" t="inlineStr">
        <is>
          <t>Benthic total taxa richness</t>
        </is>
      </c>
      <c r="D39" s="14" t="inlineStr"/>
      <c r="E39" s="15" t="n"/>
      <c r="F39" s="16" t="inlineStr"/>
      <c r="G39" s="17">
        <f>IF('Metrics'!$V$26="","",'Metrics'!$V$26)</f>
        <v/>
      </c>
      <c r="H39" s="18">
        <f>IF('Results'!$B$21="","",'Results'!$B$21)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20" t="n"/>
      <c r="B40" s="21" t="n"/>
      <c r="C40" s="22" t="inlineStr">
        <is>
          <t>Native fish taxa richness</t>
        </is>
      </c>
      <c r="D40" s="23" t="inlineStr"/>
      <c r="E40" s="24" t="n"/>
      <c r="F40" s="25" t="inlineStr"/>
      <c r="G40" s="26">
        <f>IF('Metrics'!$V$27="","",'Metrics'!$V$27)</f>
        <v/>
      </c>
      <c r="H40" s="21" t="n"/>
      <c r="I40" s="27" t="n"/>
    </row>
    <row r="41">
      <c r="A41" s="50" t="inlineStr">
        <is>
          <t>Biology</t>
        </is>
      </c>
      <c r="B41" s="12" t="inlineStr">
        <is>
          <t>Community dynamics</t>
        </is>
      </c>
      <c r="C41" s="13" t="inlineStr">
        <is>
          <t>EPT taxa richness</t>
        </is>
      </c>
      <c r="D41" s="14" t="inlineStr"/>
      <c r="E41" s="15" t="n"/>
      <c r="F41" s="16" t="inlineStr"/>
      <c r="G41" s="17">
        <f>IF('Metrics'!$V$28="","",'Metrics'!$V$28)</f>
        <v/>
      </c>
      <c r="H41" s="18">
        <f>IF('Results'!$B$22="","",'Results'!$B$22)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Shannon diversity (H')</t>
        </is>
      </c>
      <c r="D42" s="23" t="inlineStr">
        <is>
          <t>H'</t>
        </is>
      </c>
      <c r="E42" s="24" t="n"/>
      <c r="F42" s="25" t="inlineStr"/>
      <c r="G42" s="26">
        <f>IF('Metrics'!$V$29="","",'Metrics'!$V$29)</f>
        <v/>
      </c>
      <c r="H42" s="21" t="n"/>
      <c r="I42" s="27" t="n"/>
    </row>
    <row r="43">
      <c r="A43" s="51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IF('Metrics'!$V$30="","",'Metrics'!$V$30)</f>
        <v/>
      </c>
      <c r="H43" s="35">
        <f>IF('Results'!$B$23="","",'Results'!$B$23)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2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3" t="inlineStr">
        <is>
          <t>Physical</t>
        </is>
      </c>
      <c r="B47" s="54">
        <f>'Results'!$B$26</f>
        <v/>
      </c>
      <c r="C47" s="55">
        <f>IF('DEEP Score'!$B$47&lt;=0.39,"Non-Functioning",IF('DEEP Score'!$B$47&lt;=0.69,"Functioning At-Risk","Functioning"))</f>
        <v/>
      </c>
    </row>
    <row r="48">
      <c r="A48" s="53" t="inlineStr">
        <is>
          <t>Chemical</t>
        </is>
      </c>
      <c r="B48" s="54">
        <f>'Results'!$B$27</f>
        <v/>
      </c>
      <c r="C48" s="55">
        <f>IF('DEEP Score'!$B$48&lt;=0.39,"Non-Functioning",IF('DEEP Score'!$B$48&lt;=0.69,"Functioning At-Risk","Functioning"))</f>
        <v/>
      </c>
    </row>
    <row r="49">
      <c r="A49" s="53" t="inlineStr">
        <is>
          <t>Biological</t>
        </is>
      </c>
      <c r="B49" s="54">
        <f>'Results'!$B$28</f>
        <v/>
      </c>
      <c r="C49" s="55">
        <f>IF('DEEP Score'!$B$49&lt;=0.39,"Non-Functioning",IF('DEEP Score'!$B$49&lt;=0.69,"Functioning At-Risk","Functioning"))</f>
        <v/>
      </c>
    </row>
    <row r="50" ht="30" customHeight="1">
      <c r="A50" s="56" t="inlineStr">
        <is>
          <t>Ecosystem Condition Index</t>
        </is>
      </c>
      <c r="B50" s="57">
        <f>'Results'!$B$29</f>
        <v/>
      </c>
      <c r="C50" s="55">
        <f>IF('DEEP Score'!$B$50&lt;=0.39,"Non-Functioning",IF('DEEP Score'!$B$50&lt;=0.69,"Functioning At-Risk","Functioning"))</f>
        <v/>
      </c>
    </row>
    <row r="51">
      <c r="A51" s="5" t="inlineStr">
        <is>
          <t xml:space="preserve">Functions with a score: </t>
        </is>
      </c>
      <c r="B51" s="5">
        <f>COUNT('Results'!$B$4:$B$23)&amp;" of 20"</f>
        <v/>
      </c>
    </row>
    <row r="52">
      <c r="A52" s="5" t="inlineStr">
        <is>
          <t>This assessment covers 20 of 20 STAF functions.</t>
        </is>
      </c>
    </row>
    <row r="54">
      <c r="A54" s="58" t="inlineStr">
        <is>
          <t>Withheld for insufficient reference support (not scored)</t>
        </is>
      </c>
    </row>
    <row r="55">
      <c r="A55" t="inlineStr">
        <is>
          <t>Tolerant individuals (%) ~ HBI</t>
        </is>
      </c>
      <c r="C55" s="5" t="inlineStr">
        <is>
          <t>Community dynamics</t>
        </is>
      </c>
    </row>
    <row r="56">
      <c r="A56" t="inlineStr">
        <is>
          <t>Chlorophyll a</t>
        </is>
      </c>
      <c r="C56" s="5" t="inlineStr">
        <is>
          <t>Light and thermal regime</t>
        </is>
      </c>
    </row>
    <row r="57">
      <c r="A57" t="inlineStr">
        <is>
          <t>Specific conductivity</t>
        </is>
      </c>
      <c r="C57" s="5" t="inlineStr">
        <is>
          <t>Water and soil quality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59">
      <c r="A59" t="inlineStr">
        <is>
          <t>Bankfull height above channel</t>
        </is>
      </c>
      <c r="C59" s="5" t="inlineStr">
        <is>
          <t>Floodplain connectivity, Channel evolution</t>
        </is>
      </c>
    </row>
    <row r="61">
      <c r="A61" s="6" t="inlineStr">
        <is>
          <t>Notes</t>
        </is>
      </c>
    </row>
    <row r="62">
      <c r="A62" s="59" t="n"/>
      <c r="B62" s="60" t="n"/>
      <c r="C62" s="60" t="n"/>
      <c r="D62" s="60" t="n"/>
      <c r="E62" s="60" t="n"/>
      <c r="F62" s="60" t="n"/>
      <c r="G62" s="60" t="n"/>
      <c r="H62" s="60" t="n"/>
      <c r="I62" s="61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5" t="n"/>
      <c r="B67" s="66" t="n"/>
      <c r="C67" s="66" t="n"/>
      <c r="D67" s="66" t="n"/>
      <c r="E67" s="66" t="n"/>
      <c r="F67" s="66" t="n"/>
      <c r="G67" s="66" t="n"/>
      <c r="H67" s="66" t="n"/>
      <c r="I67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5">
    <mergeCell ref="B27:B28"/>
    <mergeCell ref="H29:H30"/>
    <mergeCell ref="B12:B13"/>
    <mergeCell ref="B18:B19"/>
    <mergeCell ref="B8:D8"/>
    <mergeCell ref="I16:I17"/>
    <mergeCell ref="A41:A42"/>
    <mergeCell ref="H41:H42"/>
    <mergeCell ref="A16:A17"/>
    <mergeCell ref="I41:I42"/>
    <mergeCell ref="B29:B30"/>
    <mergeCell ref="I22:I23"/>
    <mergeCell ref="B39:B40"/>
    <mergeCell ref="A27:A28"/>
    <mergeCell ref="H39:H40"/>
    <mergeCell ref="I18:I19"/>
    <mergeCell ref="I25:I26"/>
    <mergeCell ref="A12:A13"/>
    <mergeCell ref="A25:A26"/>
    <mergeCell ref="A62:I67"/>
    <mergeCell ref="I12:I13"/>
    <mergeCell ref="H22:H23"/>
    <mergeCell ref="B9:D9"/>
    <mergeCell ref="A37:A38"/>
    <mergeCell ref="I37:I38"/>
    <mergeCell ref="I33:I34"/>
    <mergeCell ref="A18:A19"/>
    <mergeCell ref="B6:D6"/>
    <mergeCell ref="B37:B38"/>
    <mergeCell ref="A4:I4"/>
    <mergeCell ref="B5:D5"/>
    <mergeCell ref="I39:I40"/>
    <mergeCell ref="A22:A23"/>
    <mergeCell ref="H27:H28"/>
    <mergeCell ref="H16:H17"/>
    <mergeCell ref="H12:H13"/>
    <mergeCell ref="A33:A34"/>
    <mergeCell ref="A29:A30"/>
    <mergeCell ref="B33:B34"/>
    <mergeCell ref="I29:I30"/>
    <mergeCell ref="H37:H38"/>
    <mergeCell ref="B7:D7"/>
    <mergeCell ref="H18:H19"/>
    <mergeCell ref="I35:I36"/>
    <mergeCell ref="A35:A36"/>
    <mergeCell ref="B22:B23"/>
    <mergeCell ref="H33:H34"/>
    <mergeCell ref="A39:A40"/>
    <mergeCell ref="B25:B26"/>
    <mergeCell ref="B41:B42"/>
    <mergeCell ref="B16:B17"/>
    <mergeCell ref="H25:H26"/>
    <mergeCell ref="I27:I28"/>
    <mergeCell ref="B35:B36"/>
    <mergeCell ref="H35:H36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27" showDropDown="0" showInputMessage="0" showErrorMessage="1" allowBlank="1" errorTitle="Curve set" error="Choose a curve set from the list." type="list">
      <formula1>=strata_spring_phab_lrbs_use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""</f>
        <v/>
      </c>
      <c r="D11" s="70">
        <f>"spring_phab_bfwd_rat|"&amp;'Metrics'!$C$11</f>
        <v/>
      </c>
      <c r="E11" s="70">
        <f>IFERROR(MATCH('Metrics'!$D$11,curve_key,0),MATCH("spring_phab_bfwd_rat|",curve_key,0))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Sand + fines</t>
        </is>
      </c>
      <c r="B12" s="70">
        <f>IF('DEEP Score'!$E$22="","",'DEEP Score'!$E$22)</f>
        <v/>
      </c>
      <c r="C12" s="70">
        <f>""</f>
        <v/>
      </c>
      <c r="D12" s="70">
        <f>"spring_phab_pct_safn|"&amp;'Metrics'!$C$12</f>
        <v/>
      </c>
      <c r="E12" s="70">
        <f>IFERROR(MATCH('Metrics'!$D$12,curve_key,0),MATCH("spring_phab_pct_safn|",curve_key,0))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Embeddedness</t>
        </is>
      </c>
      <c r="B13" s="70">
        <f>IF('DEEP Score'!$E$23="","",'DEEP Score'!$E$23)</f>
        <v/>
      </c>
      <c r="C13" s="70">
        <f>""</f>
        <v/>
      </c>
      <c r="D13" s="70">
        <f>"spring_phab_xembed|"&amp;'Metrics'!$C$13</f>
        <v/>
      </c>
      <c r="E13" s="70">
        <f>IFERROR(MATCH('Metrics'!$D$13,curve_key,0),MATCH("spring_phab_xembed|",curve_key,0))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Sinuosity</t>
        </is>
      </c>
      <c r="B14" s="70">
        <f>IF('DEEP Score'!$E$25="","",'DEEP Score'!$E$25)</f>
        <v/>
      </c>
      <c r="C14" s="70">
        <f>""</f>
        <v/>
      </c>
      <c r="D14" s="70">
        <f>"spring_phab_sinu|"&amp;'Metrics'!$C$14</f>
        <v/>
      </c>
      <c r="E14" s="70">
        <f>IFERROR(MATCH('Metrics'!$D$14,curve_key,0),MATCH("spring_phab_sinu|",curve_key,0))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Bank angle</t>
        </is>
      </c>
      <c r="B15" s="70">
        <f>IF('DEEP Score'!$E$26="","",'DEEP Score'!$E$26)</f>
        <v/>
      </c>
      <c r="C15" s="70">
        <f>""</f>
        <v/>
      </c>
      <c r="D15" s="70">
        <f>"spring_phab_xbka|"&amp;'Metrics'!$C$15</f>
        <v/>
      </c>
      <c r="E15" s="70">
        <f>IFERROR(MATCH('Metrics'!$D$15,curve_key,0),MATCH("spring_phab_xbka|",curve_key,0))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Relative bed stability</t>
        </is>
      </c>
      <c r="B16" s="70">
        <f>IF('DEEP Score'!$E$27="","",'DEEP Score'!$E$27)</f>
        <v/>
      </c>
      <c r="C16" s="70">
        <f>IF('DEEP Score'!$F$27="","All streams (pooled)",'DEEP Score'!$F$27)</f>
        <v/>
      </c>
      <c r="D16" s="70">
        <f>"spring_phab_lrbs_use|"&amp;'Metrics'!$C$16</f>
        <v/>
      </c>
      <c r="E16" s="70">
        <f>IFERROR(MATCH('Metrics'!$D$16,curve_key,0),MATCH("spring_phab_lrbs_use|All streams (pooled)",curve_key,0))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Large wood volume</t>
        </is>
      </c>
      <c r="B17" s="70">
        <f>IF('DEEP Score'!$E$29="","",'DEEP Score'!$E$29)</f>
        <v/>
      </c>
      <c r="C17" s="70">
        <f>""</f>
        <v/>
      </c>
      <c r="D17" s="70">
        <f>"spring_phab_lwdeqvolm100|"&amp;'Metrics'!$C$17</f>
        <v/>
      </c>
      <c r="E17" s="70">
        <f>IFERROR(MATCH('Metrics'!$D$17,curve_key,0),MATCH("spring_phab_lwdeqvolm100|",curve_key,0))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Canopy density, mid-channel</t>
        </is>
      </c>
      <c r="B18" s="70">
        <f>IF('DEEP Score'!$E$31="","",'DEEP Score'!$E$31)</f>
        <v/>
      </c>
      <c r="C18" s="70">
        <f>""</f>
        <v/>
      </c>
      <c r="D18" s="70">
        <f>"spring_phab_xcdenmid|"&amp;'Metrics'!$C$18</f>
        <v/>
      </c>
      <c r="E18" s="70">
        <f>IFERROR(MATCH('Metrics'!$D$18,curve_key,0),MATCH("spring_phab_xcdenmid|",curve_key,0))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Riparian veg cover, woody</t>
        </is>
      </c>
      <c r="B19" s="70">
        <f>IF('DEEP Score'!$E$32="","",'DEEP Score'!$E$32)</f>
        <v/>
      </c>
      <c r="C19" s="70">
        <f>""</f>
        <v/>
      </c>
      <c r="D19" s="70">
        <f>"spring_phab_xcmgw|"&amp;'Metrics'!$C$19</f>
        <v/>
      </c>
      <c r="E19" s="70">
        <f>IFERROR(MATCH('Metrics'!$D$19,curve_key,0),MATCH("spring_phab_xcmgw|",curve_key,0))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Total nitrogen</t>
        </is>
      </c>
      <c r="B20" s="70">
        <f>IF('DEEP Score'!$E$33="","",'DEEP Score'!$E$33)</f>
        <v/>
      </c>
      <c r="C20" s="70">
        <f>""</f>
        <v/>
      </c>
      <c r="D20" s="70">
        <f>"spring_chem_ntl|"&amp;'Metrics'!$C$20</f>
        <v/>
      </c>
      <c r="E20" s="70">
        <f>IFERROR(MATCH('Metrics'!$D$20,curve_key,0),MATCH("spring_chem_ntl|",curve_key,0))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Total phosphorus</t>
        </is>
      </c>
      <c r="B21" s="70">
        <f>IF('DEEP Score'!$E$34="","",'DEEP Score'!$E$34)</f>
        <v/>
      </c>
      <c r="C21" s="70">
        <f>""</f>
        <v/>
      </c>
      <c r="D21" s="70">
        <f>"spring_chem_ptl|"&amp;'Metrics'!$C$21</f>
        <v/>
      </c>
      <c r="E21" s="70">
        <f>IFERROR(MATCH('Metrics'!$D$21,curve_key,0),MATCH("spring_chem_ptl|",curve_key,0))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pH</t>
        </is>
      </c>
      <c r="B22" s="70">
        <f>IF('DEEP Score'!$E$35="","",'DEEP Score'!$E$35)</f>
        <v/>
      </c>
      <c r="C22" s="70">
        <f>""</f>
        <v/>
      </c>
      <c r="D22" s="70">
        <f>"spring_chem_ph|"&amp;'Metrics'!$C$22</f>
        <v/>
      </c>
      <c r="E22" s="70">
        <f>IFERROR(MATCH('Metrics'!$D$22,curve_key,0),MATCH("spring_chem_ph|",curve_key,0))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Turbidity</t>
        </is>
      </c>
      <c r="B23" s="70">
        <f>IF('DEEP Score'!$E$36="","",'DEEP Score'!$E$36)</f>
        <v/>
      </c>
      <c r="C23" s="70">
        <f>""</f>
        <v/>
      </c>
      <c r="D23" s="70">
        <f>"spring_chem_turb|"&amp;'Metrics'!$C$23</f>
        <v/>
      </c>
      <c r="E23" s="70">
        <f>IFERROR(MATCH('Metrics'!$D$23,curve_key,0),MATCH("spring_chem_turb|",curve_key,0))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Fast-water / riffle habitat</t>
        </is>
      </c>
      <c r="B24" s="70">
        <f>IF('DEEP Score'!$E$37="","",'DEEP Score'!$E$37)</f>
        <v/>
      </c>
      <c r="C24" s="70">
        <f>""</f>
        <v/>
      </c>
      <c r="D24" s="70">
        <f>"spring_phab_pct_fast|"&amp;'Metrics'!$C$24</f>
        <v/>
      </c>
      <c r="E24" s="70">
        <f>IFERROR(MATCH('Metrics'!$D$24,curve_key,0),MATCH("spring_phab_pct_fast|",curve_key,0))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Natural fish cover</t>
        </is>
      </c>
      <c r="B25" s="70">
        <f>IF('DEEP Score'!$E$38="","",'DEEP Score'!$E$38)</f>
        <v/>
      </c>
      <c r="C25" s="70">
        <f>""</f>
        <v/>
      </c>
      <c r="D25" s="70">
        <f>"spring_phab_xfc_nat|"&amp;'Metrics'!$C$25</f>
        <v/>
      </c>
      <c r="E25" s="70">
        <f>IFERROR(MATCH('Metrics'!$D$25,curve_key,0),MATCH("spring_phab_xfc_nat|",curve_key,0))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Benthic total taxa richness</t>
        </is>
      </c>
      <c r="B26" s="70">
        <f>IF('DEEP Score'!$E$39="","",'DEEP Score'!$E$39)</f>
        <v/>
      </c>
      <c r="C26" s="70">
        <f>""</f>
        <v/>
      </c>
      <c r="D26" s="70">
        <f>"spring_bent_totlntax|"&amp;'Metrics'!$C$26</f>
        <v/>
      </c>
      <c r="E26" s="70">
        <f>IFERROR(MATCH('Metrics'!$D$26,curve_key,0),MATCH("spring_bent_totlntax|",curve_key,0))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Native fish taxa richness</t>
        </is>
      </c>
      <c r="B27" s="70">
        <f>IF('DEEP Score'!$E$40="","",'DEEP Score'!$E$40)</f>
        <v/>
      </c>
      <c r="C27" s="70">
        <f>""</f>
        <v/>
      </c>
      <c r="D27" s="70">
        <f>"spring_fish_nat_totlntax|"&amp;'Metrics'!$C$27</f>
        <v/>
      </c>
      <c r="E27" s="70">
        <f>IFERROR(MATCH('Metrics'!$D$27,curve_key,0),MATCH("spring_fish_nat_totlntax|",curve_key,0))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EPT taxa richness</t>
        </is>
      </c>
      <c r="B28" s="70">
        <f>IF('DEEP Score'!$E$41="","",'DEEP Score'!$E$41)</f>
        <v/>
      </c>
      <c r="C28" s="70">
        <f>""</f>
        <v/>
      </c>
      <c r="D28" s="70">
        <f>"spring_bent_ept_ntax|"&amp;'Metrics'!$C$28</f>
        <v/>
      </c>
      <c r="E28" s="70">
        <f>IFERROR(MATCH('Metrics'!$D$28,curve_key,0),MATCH("spring_bent_ept_ntax|",curve_key,0))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Shannon diversity (H')</t>
        </is>
      </c>
      <c r="B29" s="70">
        <f>IF('DEEP Score'!$E$42="","",'DEEP Score'!$E$42)</f>
        <v/>
      </c>
      <c r="C29" s="70">
        <f>""</f>
        <v/>
      </c>
      <c r="D29" s="70">
        <f>"spring_bent_hprime|"&amp;'Metrics'!$C$29</f>
        <v/>
      </c>
      <c r="E29" s="70">
        <f>IFERROR(MATCH('Metrics'!$D$29,curve_key,0),MATCH("spring_bent_hprime|",curve_key,0))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Mapped dams within one mile</t>
        </is>
      </c>
      <c r="B30" s="70">
        <f>IF('DEEP Score'!$E$43="","",'DEEP Score'!$E$43)</f>
        <v/>
      </c>
      <c r="C30" s="70">
        <f>""</f>
        <v/>
      </c>
      <c r="D30" s="70">
        <f>"spring_nid_dams_1mi|"&amp;'Metrics'!$C$30</f>
        <v/>
      </c>
      <c r="E30" s="70">
        <f>IFERROR(MATCH('Metrics'!$D$30,curve_key,0),MATCH("spring_nid_dams_1mi|",curve_key,0))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Score'!G21:G21)=0,"",SUM('DEEP Score'!G21:G21)/COUNT('DEEP Score'!G21:G21)*15)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Score'!G22:G23)=0,"",SUM('DEEP Score'!G22:G23)/COUNT('DEEP Score'!G22:G23)*15)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Score'!G24:G24)=0,"",SUM('DEEP Score'!G24:G24)/COUNT('DEEP Score'!G24:G24)*15)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Score'!G25:G26)=0,"",SUM('DEEP Score'!G25:G26)/COUNT('DEEP Score'!G25:G26)*15)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Score'!G27:G28)=0,"",SUM('DEEP Score'!G27:G28)/COUNT('DEEP Score'!G27:G28)*15)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Score'!G29:G30)=0,"",SUM('DEEP Score'!G29:G30)/COUNT('DEEP Score'!G29:G30)*15)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Score'!G31:G31)=0,"",SUM('DEEP Score'!G31:G31)/COUNT('DEEP Score'!G31:G31)*15)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Score'!G32:G32)=0,"",SUM('DEEP Score'!G32:G32)/COUNT('DEEP Score'!G32:G32)*15)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Score'!G33:G34)=0,"",SUM('DEEP Score'!G33:G34)/COUNT('DEEP Score'!G33:G34)*15)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Score'!G35:G36)=0,"",SUM('DEEP Score'!G35:G36)/COUNT('DEEP Score'!G35:G36)*15)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Score'!G37:G38)=0,"",SUM('DEEP Score'!G37:G38)/COUNT('DEEP Score'!G37:G38)*15)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Score'!G39:G40)=0,"",SUM('DEEP Score'!G39:G40)/COUNT('DEEP Score'!G39:G40)*15)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Score'!G41:G42)=0,"",SUM('DEEP Score'!G41:G42)/COUNT('DEEP Score'!G41:G42)*15)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Score'!G43:G43)=0,"",SUM('DEEP Score'!G43:G43)/COUNT('DEEP Score'!G43:G43)*15)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18 least-disturbed stations of this ecoregion. The build refused this source (ACC-04: The pool is not stable, since one station moves a quartile by 0.21 of the interquartile range, more than 0.20). The owner accepted it with a recorded rationale.</t>
        </is>
      </c>
      <c r="G7" s="69" t="n">
        <v>0</v>
      </c>
      <c r="H7" s="69" t="n">
        <v>3.407142857142857</v>
      </c>
      <c r="I7" s="69" t="n">
        <v>7.95</v>
      </c>
      <c r="J7" s="69" t="n">
        <v>12.5525</v>
      </c>
      <c r="K7" s="69" t="n">
        <v>13.93325</v>
      </c>
      <c r="L7" s="69" t="n">
        <v>13.93325</v>
      </c>
      <c r="M7" s="69" t="n">
        <v>13.93325</v>
      </c>
      <c r="N7" s="69" t="n">
        <v>13.93325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40 least-disturbed streams of this ecoregion under the regional screen (agriculture at most 25 percent), carried forward from version 1</t>
        </is>
      </c>
      <c r="G9" s="69" t="n">
        <v>0</v>
      </c>
      <c r="H9" s="69" t="n">
        <v>15.04345714285714</v>
      </c>
      <c r="I9" s="69" t="n">
        <v>35.1014</v>
      </c>
      <c r="J9" s="69" t="n">
        <v>47.580625</v>
      </c>
      <c r="K9" s="69" t="n">
        <v>51.32439250000001</v>
      </c>
      <c r="L9" s="69" t="n">
        <v>51.32439250000001</v>
      </c>
      <c r="M9" s="69" t="n">
        <v>51.32439250000001</v>
      </c>
      <c r="N9" s="69" t="n">
        <v>51.32439250000001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/>
      <c r="E11" s="69" t="n">
        <v>8</v>
      </c>
      <c r="F11" s="69" t="inlineStr">
        <is>
          <t>18 least-disturbed stations of this ecoregion, carried forward from version 1</t>
        </is>
      </c>
      <c r="G11" s="69" t="n">
        <v>0</v>
      </c>
      <c r="H11" s="69" t="n">
        <v>0.8176608085632324</v>
      </c>
      <c r="I11" s="69" t="n">
        <v>3.543718737363815</v>
      </c>
      <c r="J11" s="69" t="n">
        <v>5.011596083641052</v>
      </c>
      <c r="K11" s="69" t="n">
        <v>9.205531358718872</v>
      </c>
      <c r="L11" s="69" t="n">
        <v>10.67340870499611</v>
      </c>
      <c r="M11" s="69" t="n">
        <v>13.39946663379669</v>
      </c>
      <c r="N11" s="69" t="n">
        <v>17.59340190887451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spring_phab_pct_safn|</t>
        </is>
      </c>
      <c r="B12" s="69" t="inlineStr">
        <is>
          <t>spring-phab-pct-safn</t>
        </is>
      </c>
      <c r="C12" s="69" t="inlineStr">
        <is>
          <t>Sand + fines</t>
        </is>
      </c>
      <c r="D12" s="69" t="inlineStr"/>
      <c r="E12" s="69" t="n">
        <v>4</v>
      </c>
      <c r="F12" s="69" t="inlineStr">
        <is>
          <t>18 least-disturbed stations of this ecoregion, carried forward from version 1</t>
        </is>
      </c>
      <c r="G12" s="69" t="n">
        <v>64.61904678344726</v>
      </c>
      <c r="H12" s="69" t="n">
        <v>71.19047546386719</v>
      </c>
      <c r="I12" s="69" t="n">
        <v>93.09523773193359</v>
      </c>
      <c r="J12" s="69" t="n">
        <v>100</v>
      </c>
      <c r="K12" s="69" t="n">
        <v>100</v>
      </c>
      <c r="L12" s="69" t="n">
        <v>100</v>
      </c>
      <c r="M12" s="69" t="n">
        <v>100</v>
      </c>
      <c r="N12" s="69" t="n">
        <v>100</v>
      </c>
      <c r="O12" s="69" t="n">
        <v>1</v>
      </c>
      <c r="P12" s="69" t="n">
        <v>1</v>
      </c>
      <c r="Q12" s="69" t="n">
        <v>0.7</v>
      </c>
      <c r="R12" s="69" t="n">
        <v>0</v>
      </c>
      <c r="S12" s="69" t="n">
        <v>0</v>
      </c>
      <c r="T12" s="69" t="n">
        <v>0</v>
      </c>
      <c r="U12" s="69" t="n">
        <v>0</v>
      </c>
      <c r="V12" s="69" t="n">
        <v>0</v>
      </c>
    </row>
    <row r="13">
      <c r="A13" s="69" t="inlineStr">
        <is>
          <t>spring_phab_xembed|</t>
        </is>
      </c>
      <c r="B13" s="69" t="inlineStr">
        <is>
          <t>spring-phab-xembed</t>
        </is>
      </c>
      <c r="C13" s="69" t="inlineStr">
        <is>
          <t>Embeddedness</t>
        </is>
      </c>
      <c r="D13" s="69" t="inlineStr"/>
      <c r="E13" s="69" t="n">
        <v>4</v>
      </c>
      <c r="F13" s="69" t="inlineStr">
        <is>
          <t>34 least-disturbed streams of this ecoregion under the regional screen (agriculture at most 25 percent), carried forward from version 1</t>
        </is>
      </c>
      <c r="G13" s="69" t="n">
        <v>66.30681533813477</v>
      </c>
      <c r="H13" s="69" t="n">
        <v>73.70454406738281</v>
      </c>
      <c r="I13" s="69" t="n">
        <v>98.36363983154297</v>
      </c>
      <c r="J13" s="69" t="n">
        <v>100</v>
      </c>
      <c r="K13" s="69" t="n">
        <v>100</v>
      </c>
      <c r="L13" s="69" t="n">
        <v>100</v>
      </c>
      <c r="M13" s="69" t="n">
        <v>100</v>
      </c>
      <c r="N13" s="69" t="n">
        <v>100</v>
      </c>
      <c r="O13" s="69" t="n">
        <v>1</v>
      </c>
      <c r="P13" s="69" t="n">
        <v>1</v>
      </c>
      <c r="Q13" s="69" t="n">
        <v>0.7</v>
      </c>
      <c r="R13" s="69" t="n">
        <v>0</v>
      </c>
      <c r="S13" s="69" t="n">
        <v>0</v>
      </c>
      <c r="T13" s="69" t="n">
        <v>0</v>
      </c>
      <c r="U13" s="69" t="n">
        <v>0</v>
      </c>
      <c r="V13" s="69" t="n">
        <v>0</v>
      </c>
    </row>
    <row r="14">
      <c r="A14" s="69" t="inlineStr">
        <is>
          <t>spring_phab_sinu|</t>
        </is>
      </c>
      <c r="B14" s="69" t="inlineStr">
        <is>
          <t>spring-phab-sinu</t>
        </is>
      </c>
      <c r="C14" s="69" t="inlineStr">
        <is>
          <t>Sinuosity</t>
        </is>
      </c>
      <c r="D14" s="69" t="inlineStr"/>
      <c r="E14" s="69" t="n">
        <v>4</v>
      </c>
      <c r="F14" s="69" t="inlineStr">
        <is>
          <t>16 least-disturbed stations of this ecoregion, carried forward from version 1</t>
        </is>
      </c>
      <c r="G14" s="69" t="n">
        <v>1</v>
      </c>
      <c r="H14" s="69" t="n">
        <v>1.099091857671738</v>
      </c>
      <c r="I14" s="69" t="n">
        <v>1.452753812074661</v>
      </c>
      <c r="J14" s="69" t="n">
        <v>1.558852398395538</v>
      </c>
      <c r="K14" s="69" t="n">
        <v>1.558852398395538</v>
      </c>
      <c r="L14" s="69" t="n">
        <v>1.558852398395538</v>
      </c>
      <c r="M14" s="69" t="n">
        <v>1.558852398395538</v>
      </c>
      <c r="N14" s="69" t="n">
        <v>1.558852398395538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1</v>
      </c>
      <c r="T14" s="69" t="n">
        <v>1</v>
      </c>
      <c r="U14" s="69" t="n">
        <v>1</v>
      </c>
      <c r="V14" s="69" t="n">
        <v>1</v>
      </c>
    </row>
    <row r="15">
      <c r="A15" s="69" t="inlineStr">
        <is>
          <t>spring_phab_xbka|</t>
        </is>
      </c>
      <c r="B15" s="69" t="inlineStr">
        <is>
          <t>spring-phab-xbka</t>
        </is>
      </c>
      <c r="C15" s="69" t="inlineStr">
        <is>
          <t>Bank angle</t>
        </is>
      </c>
      <c r="D15" s="69" t="inlineStr"/>
      <c r="E15" s="69" t="n">
        <v>7</v>
      </c>
      <c r="F15" s="69" t="inlineStr">
        <is>
          <t>34 least-disturbed streams of this ecoregion under the regional screen (agriculture at most 25 percent), carried forward from version 1</t>
        </is>
      </c>
      <c r="G15" s="69" t="n">
        <v>0</v>
      </c>
      <c r="H15" s="69" t="n">
        <v>23.76306772232056</v>
      </c>
      <c r="I15" s="69" t="n">
        <v>29.29545402526855</v>
      </c>
      <c r="J15" s="69" t="n">
        <v>45.10227203369141</v>
      </c>
      <c r="K15" s="69" t="n">
        <v>50.6346583366394</v>
      </c>
      <c r="L15" s="69" t="n">
        <v>60.90909004211426</v>
      </c>
      <c r="M15" s="69" t="n">
        <v>76.71590805053711</v>
      </c>
      <c r="N15" s="69" t="n">
        <v>76.71590805053711</v>
      </c>
      <c r="O15" s="69" t="n">
        <v>0.7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spring_phab_lrbs_use|All streams (pooled)</t>
        </is>
      </c>
      <c r="B16" s="69" t="inlineStr">
        <is>
          <t>spring-phab-lrbs-use</t>
        </is>
      </c>
      <c r="C16" s="69" t="inlineStr">
        <is>
          <t>Relative bed stability</t>
        </is>
      </c>
      <c r="D16" s="69" t="inlineStr">
        <is>
          <t>All streams (pooled)</t>
        </is>
      </c>
      <c r="E16" s="69" t="n">
        <v>8</v>
      </c>
      <c r="F16" s="69" t="inlineStr">
        <is>
          <t>84 least-disturbed stations borrowed from Level II ecoregion 8.3 (Southeastern Usa Plains) under the regional screen (agriculture at most 25 percent), transfer risk moderate, carried forward from version 1</t>
        </is>
      </c>
      <c r="G16" s="69" t="n">
        <v>-3.810347110033035</v>
      </c>
      <c r="H16" s="69" t="n">
        <v>-2.740120500326157</v>
      </c>
      <c r="I16" s="69" t="n">
        <v>-2.044473204016685</v>
      </c>
      <c r="J16" s="69" t="n">
        <v>-1.669893890619278</v>
      </c>
      <c r="K16" s="69" t="n">
        <v>-0.5996672809123993</v>
      </c>
      <c r="L16" s="69" t="n">
        <v>-0.2250879675149918</v>
      </c>
      <c r="M16" s="69" t="n">
        <v>0.4705593287944794</v>
      </c>
      <c r="N16" s="69" t="n">
        <v>1.540785938501358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spring_phab_lrbs_use|Headwater (10 km2 and under)</t>
        </is>
      </c>
      <c r="B17" s="69" t="inlineStr">
        <is>
          <t>spring-phab-lrbs-use</t>
        </is>
      </c>
      <c r="C17" s="69" t="inlineStr">
        <is>
          <t>Relative bed stability</t>
        </is>
      </c>
      <c r="D17" s="69" t="inlineStr">
        <is>
          <t>Headwater (10 km2 and under)</t>
        </is>
      </c>
      <c r="E17" s="69" t="n">
        <v>8</v>
      </c>
      <c r="F17" s="69" t="inlineStr">
        <is>
          <t>84 least-disturbed stations borrowed from Level II ecoregion 8.3 (Southeastern Usa Plains) under the regional screen (agriculture at most 25 percent), transfer risk moderate, carried forward from version 1</t>
        </is>
      </c>
      <c r="G17" s="69" t="n">
        <v>-4.181145370006561</v>
      </c>
      <c r="H17" s="69" t="n">
        <v>-2.935207813978195</v>
      </c>
      <c r="I17" s="69" t="n">
        <v>-2.125348402559757</v>
      </c>
      <c r="J17" s="69" t="n">
        <v>-1.689270257949829</v>
      </c>
      <c r="K17" s="69" t="n">
        <v>-0.443332701921463</v>
      </c>
      <c r="L17" s="69" t="n">
        <v>-0.007254557311534904</v>
      </c>
      <c r="M17" s="69" t="n">
        <v>0.8026048541069031</v>
      </c>
      <c r="N17" s="69" t="n">
        <v>2.048542410135269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spring_phab_lrbs_use|Small stream (10 to 100 km2)</t>
        </is>
      </c>
      <c r="B18" s="69" t="inlineStr">
        <is>
          <t>spring-phab-lrbs-use</t>
        </is>
      </c>
      <c r="C18" s="69" t="inlineStr">
        <is>
          <t>Relative bed stability</t>
        </is>
      </c>
      <c r="D18" s="69" t="inlineStr">
        <is>
          <t>Small stream (10 to 100 km2)</t>
        </is>
      </c>
      <c r="E18" s="69" t="n">
        <v>8</v>
      </c>
      <c r="F18" s="69" t="inlineStr">
        <is>
          <t>84 least-disturbed stations borrowed from Level II ecoregion 8.3 (Southeastern Usa Plains) under the regional screen (agriculture at most 25 percent), transfer risk moderate, carried forward from version 1</t>
        </is>
      </c>
      <c r="G18" s="69" t="n">
        <v>-3.263704538345337</v>
      </c>
      <c r="H18" s="69" t="n">
        <v>-2.513432279229164</v>
      </c>
      <c r="I18" s="69" t="n">
        <v>-2.025755310803652</v>
      </c>
      <c r="J18" s="69" t="n">
        <v>-1.763160020112991</v>
      </c>
      <c r="K18" s="69" t="n">
        <v>-1.012887760996819</v>
      </c>
      <c r="L18" s="69" t="n">
        <v>-0.7502924703061581</v>
      </c>
      <c r="M18" s="69" t="n">
        <v>-0.2626155018806458</v>
      </c>
      <c r="N18" s="69" t="n">
        <v>0.487656757235527</v>
      </c>
      <c r="O18" s="69" t="n">
        <v>0</v>
      </c>
      <c r="P18" s="69" t="n">
        <v>0.3</v>
      </c>
      <c r="Q18" s="69" t="n">
        <v>0.7</v>
      </c>
      <c r="R18" s="69" t="n">
        <v>1</v>
      </c>
      <c r="S18" s="69" t="n">
        <v>1</v>
      </c>
      <c r="T18" s="69" t="n">
        <v>0.7</v>
      </c>
      <c r="U18" s="69" t="n">
        <v>0.3</v>
      </c>
      <c r="V18" s="69" t="n">
        <v>0</v>
      </c>
    </row>
    <row r="19">
      <c r="A19" s="69" t="inlineStr">
        <is>
          <t>spring_phab_lrbs_use|Large stream (over 100 km2)</t>
        </is>
      </c>
      <c r="B19" s="69" t="inlineStr">
        <is>
          <t>spring-phab-lrbs-use</t>
        </is>
      </c>
      <c r="C19" s="69" t="inlineStr">
        <is>
          <t>Relative bed stability</t>
        </is>
      </c>
      <c r="D19" s="69" t="inlineStr">
        <is>
          <t>Large stream (over 100 km2)</t>
        </is>
      </c>
      <c r="E19" s="69" t="n">
        <v>8</v>
      </c>
      <c r="F19" s="69" t="inlineStr">
        <is>
          <t>84 least-disturbed stations borrowed from Level II ecoregion 8.3 (Southeastern Usa Plains) under the regional screen (agriculture at most 25 percent), transfer risk moderate, carried forward from version 1</t>
        </is>
      </c>
      <c r="G19" s="69" t="n">
        <v>-3.468025326728821</v>
      </c>
      <c r="H19" s="69" t="n">
        <v>-2.517433404922485</v>
      </c>
      <c r="I19" s="69" t="n">
        <v>-1.899548655748367</v>
      </c>
      <c r="J19" s="69" t="n">
        <v>-1.56684148311615</v>
      </c>
      <c r="K19" s="69" t="n">
        <v>-0.6162495613098145</v>
      </c>
      <c r="L19" s="69" t="n">
        <v>-0.2835423886775971</v>
      </c>
      <c r="M19" s="69" t="n">
        <v>0.334342360496521</v>
      </c>
      <c r="N19" s="69" t="n">
        <v>1.284934282302856</v>
      </c>
      <c r="O19" s="69" t="n">
        <v>0</v>
      </c>
      <c r="P19" s="69" t="n">
        <v>0.3</v>
      </c>
      <c r="Q19" s="69" t="n">
        <v>0.7</v>
      </c>
      <c r="R19" s="69" t="n">
        <v>1</v>
      </c>
      <c r="S19" s="69" t="n">
        <v>1</v>
      </c>
      <c r="T19" s="69" t="n">
        <v>0.7</v>
      </c>
      <c r="U19" s="69" t="n">
        <v>0.3</v>
      </c>
      <c r="V19" s="69" t="n">
        <v>0</v>
      </c>
    </row>
    <row r="20">
      <c r="A20" s="69" t="inlineStr">
        <is>
          <t>spring_phab_lwdeqvolm100|</t>
        </is>
      </c>
      <c r="B20" s="69" t="inlineStr">
        <is>
          <t>spring-phab-lwdeqvolm100</t>
        </is>
      </c>
      <c r="C20" s="69" t="inlineStr">
        <is>
          <t>Large wood volume</t>
        </is>
      </c>
      <c r="D20" s="69" t="inlineStr"/>
      <c r="E20" s="69" t="n">
        <v>5</v>
      </c>
      <c r="F20" s="69" t="inlineStr">
        <is>
          <t>14 least-disturbed stations of this ecoregion, carried forward from version 1</t>
        </is>
      </c>
      <c r="G20" s="69" t="n">
        <v>0</v>
      </c>
      <c r="H20" s="69" t="n">
        <v>0.1692187498722758</v>
      </c>
      <c r="I20" s="69" t="n">
        <v>0.3948437497019768</v>
      </c>
      <c r="J20" s="69" t="n">
        <v>3.514749944210052</v>
      </c>
      <c r="K20" s="69" t="n">
        <v>4.450721802562475</v>
      </c>
      <c r="L20" s="69" t="n">
        <v>4.450721802562475</v>
      </c>
      <c r="M20" s="69" t="n">
        <v>4.450721802562475</v>
      </c>
      <c r="N20" s="69" t="n">
        <v>4.450721802562475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spring_phab_xcdenmid|</t>
        </is>
      </c>
      <c r="B21" s="69" t="inlineStr">
        <is>
          <t>spring-phab-xcdenmid</t>
        </is>
      </c>
      <c r="C21" s="69" t="inlineStr">
        <is>
          <t>Canopy density, mid-channel</t>
        </is>
      </c>
      <c r="D21" s="69" t="inlineStr"/>
      <c r="E21" s="69" t="n">
        <v>5</v>
      </c>
      <c r="F21" s="69" t="inlineStr">
        <is>
          <t>16 least-disturbed stations of this ecoregion, carried forward from version 1</t>
        </is>
      </c>
      <c r="G21" s="69" t="n">
        <v>0</v>
      </c>
      <c r="H21" s="69" t="n">
        <v>35.29411860874721</v>
      </c>
      <c r="I21" s="69" t="n">
        <v>82.35294342041016</v>
      </c>
      <c r="J21" s="69" t="n">
        <v>99.29812812805176</v>
      </c>
      <c r="K21" s="69" t="n">
        <v>100</v>
      </c>
      <c r="L21" s="69" t="n">
        <v>100</v>
      </c>
      <c r="M21" s="69" t="n">
        <v>100</v>
      </c>
      <c r="N21" s="69" t="n">
        <v>100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1</v>
      </c>
      <c r="U21" s="69" t="n">
        <v>1</v>
      </c>
      <c r="V21" s="69" t="n">
        <v>1</v>
      </c>
    </row>
    <row r="22">
      <c r="A22" s="69" t="inlineStr">
        <is>
          <t>spring_phab_xcmgw|</t>
        </is>
      </c>
      <c r="B22" s="69" t="inlineStr">
        <is>
          <t>spring-phab-xcmgw</t>
        </is>
      </c>
      <c r="C22" s="69" t="inlineStr">
        <is>
          <t>Riparian veg cover, woody</t>
        </is>
      </c>
      <c r="D22" s="69" t="inlineStr"/>
      <c r="E22" s="69" t="n">
        <v>5</v>
      </c>
      <c r="F22" s="69" t="inlineStr">
        <is>
          <t>18 least-disturbed stations of this ecoregion, carried forward from version 1</t>
        </is>
      </c>
      <c r="G22" s="69" t="n">
        <v>0</v>
      </c>
      <c r="H22" s="69" t="n">
        <v>0.4482954612800053</v>
      </c>
      <c r="I22" s="69" t="n">
        <v>1.046022742986679</v>
      </c>
      <c r="J22" s="69" t="n">
        <v>1.64318186044693</v>
      </c>
      <c r="K22" s="69" t="n">
        <v>1.822329595685005</v>
      </c>
      <c r="L22" s="69" t="n">
        <v>1.822329595685005</v>
      </c>
      <c r="M22" s="69" t="n">
        <v>1.822329595685005</v>
      </c>
      <c r="N22" s="69" t="n">
        <v>1.822329595685005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1</v>
      </c>
      <c r="U22" s="69" t="n">
        <v>1</v>
      </c>
      <c r="V22" s="69" t="n">
        <v>1</v>
      </c>
    </row>
    <row r="23">
      <c r="A23" s="69" t="inlineStr">
        <is>
          <t>spring_chem_ntl|</t>
        </is>
      </c>
      <c r="B23" s="69" t="inlineStr">
        <is>
          <t>spring-chem-ntl</t>
        </is>
      </c>
      <c r="C23" s="69" t="inlineStr">
        <is>
          <t>Total nitrogen</t>
        </is>
      </c>
      <c r="D23" s="69" t="inlineStr"/>
      <c r="E23" s="69" t="n">
        <v>5</v>
      </c>
      <c r="F23" s="69" t="inlineStr">
        <is>
          <t>18 least-disturbed stations of this ecoregion, carried forward from version 1</t>
        </is>
      </c>
      <c r="G23" s="69" t="n">
        <v>0.1551249980926514</v>
      </c>
      <c r="H23" s="69" t="n">
        <v>0.2042500004172325</v>
      </c>
      <c r="I23" s="69" t="n">
        <v>0.3680000081658363</v>
      </c>
      <c r="J23" s="69" t="n">
        <v>0.5863333518306414</v>
      </c>
      <c r="K23" s="69" t="n">
        <v>0.7500833595792453</v>
      </c>
      <c r="L23" s="69" t="n">
        <v>0.7500833595792453</v>
      </c>
      <c r="M23" s="69" t="n">
        <v>0.7500833595792453</v>
      </c>
      <c r="N23" s="69" t="n">
        <v>0.7500833595792453</v>
      </c>
      <c r="O23" s="69" t="n">
        <v>1</v>
      </c>
      <c r="P23" s="69" t="n">
        <v>1</v>
      </c>
      <c r="Q23" s="69" t="n">
        <v>0.7</v>
      </c>
      <c r="R23" s="69" t="n">
        <v>0.3</v>
      </c>
      <c r="S23" s="69" t="n">
        <v>0</v>
      </c>
      <c r="T23" s="69" t="n">
        <v>0</v>
      </c>
      <c r="U23" s="69" t="n">
        <v>0</v>
      </c>
      <c r="V23" s="69" t="n">
        <v>0</v>
      </c>
    </row>
    <row r="24">
      <c r="A24" s="69" t="inlineStr">
        <is>
          <t>spring_chem_ptl|</t>
        </is>
      </c>
      <c r="B24" s="69" t="inlineStr">
        <is>
          <t>spring-chem-ptl</t>
        </is>
      </c>
      <c r="C24" s="69" t="inlineStr">
        <is>
          <t>Total phosphorus</t>
        </is>
      </c>
      <c r="D24" s="69" t="inlineStr"/>
      <c r="E24" s="69" t="n">
        <v>5</v>
      </c>
      <c r="F24" s="69" t="inlineStr">
        <is>
          <t>18 least-disturbed stations of this ecoregion, carried forward from version 1</t>
        </is>
      </c>
      <c r="G24" s="69" t="n">
        <v>11.21087503433228</v>
      </c>
      <c r="H24" s="69" t="n">
        <v>22.42224979400635</v>
      </c>
      <c r="I24" s="69" t="n">
        <v>59.79349899291992</v>
      </c>
      <c r="J24" s="69" t="n">
        <v>109.621831258138</v>
      </c>
      <c r="K24" s="69" t="n">
        <v>146.9930804570516</v>
      </c>
      <c r="L24" s="69" t="n">
        <v>146.9930804570516</v>
      </c>
      <c r="M24" s="69" t="n">
        <v>146.9930804570516</v>
      </c>
      <c r="N24" s="69" t="n">
        <v>146.9930804570516</v>
      </c>
      <c r="O24" s="69" t="n">
        <v>1</v>
      </c>
      <c r="P24" s="69" t="n">
        <v>1</v>
      </c>
      <c r="Q24" s="69" t="n">
        <v>0.7</v>
      </c>
      <c r="R24" s="69" t="n">
        <v>0.3</v>
      </c>
      <c r="S24" s="69" t="n">
        <v>0</v>
      </c>
      <c r="T24" s="69" t="n">
        <v>0</v>
      </c>
      <c r="U24" s="69" t="n">
        <v>0</v>
      </c>
      <c r="V24" s="69" t="n">
        <v>0</v>
      </c>
    </row>
    <row r="25">
      <c r="A25" s="69" t="inlineStr">
        <is>
          <t>spring_chem_ph|</t>
        </is>
      </c>
      <c r="B25" s="69" t="inlineStr">
        <is>
          <t>spring-chem-ph</t>
        </is>
      </c>
      <c r="C25" s="69" t="inlineStr">
        <is>
          <t>pH</t>
        </is>
      </c>
      <c r="D25" s="69" t="inlineStr"/>
      <c r="E25" s="69" t="n">
        <v>8</v>
      </c>
      <c r="F25" s="69" t="inlineStr">
        <is>
          <t>18 least-disturbed stations of this ecoregion, carried forward from version 1</t>
        </is>
      </c>
      <c r="G25" s="69" t="n">
        <v>5.404999852180481</v>
      </c>
      <c r="H25" s="69" t="n">
        <v>6.129999876022339</v>
      </c>
      <c r="I25" s="69" t="n">
        <v>6.601249891519546</v>
      </c>
      <c r="J25" s="69" t="n">
        <v>6.854999899864197</v>
      </c>
      <c r="K25" s="69" t="n">
        <v>7.579999923706055</v>
      </c>
      <c r="L25" s="69" t="n">
        <v>7.833749932050705</v>
      </c>
      <c r="M25" s="69" t="n">
        <v>8.304999947547913</v>
      </c>
      <c r="N25" s="69" t="n">
        <v>9.029999971389771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0.7</v>
      </c>
      <c r="U25" s="69" t="n">
        <v>0.3</v>
      </c>
      <c r="V25" s="69" t="n">
        <v>0</v>
      </c>
    </row>
    <row r="26">
      <c r="A26" s="69" t="inlineStr">
        <is>
          <t>spring_chem_turb|</t>
        </is>
      </c>
      <c r="B26" s="69" t="inlineStr">
        <is>
          <t>spring-chem-turb</t>
        </is>
      </c>
      <c r="C26" s="69" t="inlineStr">
        <is>
          <t>Turbidity</t>
        </is>
      </c>
      <c r="D26" s="69" t="inlineStr"/>
      <c r="E26" s="69" t="n">
        <v>5</v>
      </c>
      <c r="F26" s="69" t="inlineStr">
        <is>
          <t>18 least-disturbed stations of this ecoregion, carried forward from version 1</t>
        </is>
      </c>
      <c r="G26" s="69" t="n">
        <v>3.253250157833099</v>
      </c>
      <c r="H26" s="69" t="n">
        <v>5.96750009059906</v>
      </c>
      <c r="I26" s="69" t="n">
        <v>15.0149998664856</v>
      </c>
      <c r="J26" s="69" t="n">
        <v>27.07833290100098</v>
      </c>
      <c r="K26" s="69" t="n">
        <v>36.12583267688751</v>
      </c>
      <c r="L26" s="69" t="n">
        <v>36.12583267688751</v>
      </c>
      <c r="M26" s="69" t="n">
        <v>36.12583267688751</v>
      </c>
      <c r="N26" s="69" t="n">
        <v>36.12583267688751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spring_phab_pct_fast|</t>
        </is>
      </c>
      <c r="B27" s="69" t="inlineStr">
        <is>
          <t>spring-phab-pct-fast</t>
        </is>
      </c>
      <c r="C27" s="69" t="inlineStr">
        <is>
          <t>Fast-water / riffle habitat</t>
        </is>
      </c>
      <c r="D27" s="69" t="inlineStr"/>
      <c r="E27" s="69" t="n">
        <v>5</v>
      </c>
      <c r="F27" s="69" t="inlineStr">
        <is>
          <t>18 least-disturbed stations of this ecoregion, carried forward from version 1</t>
        </is>
      </c>
      <c r="G27" s="69" t="n">
        <v>0</v>
      </c>
      <c r="H27" s="69" t="n">
        <v>0.5714285692998341</v>
      </c>
      <c r="I27" s="69" t="n">
        <v>1.33333332836628</v>
      </c>
      <c r="J27" s="69" t="n">
        <v>14.74999976158142</v>
      </c>
      <c r="K27" s="69" t="n">
        <v>18.77499969154596</v>
      </c>
      <c r="L27" s="69" t="n">
        <v>18.77499969154596</v>
      </c>
      <c r="M27" s="69" t="n">
        <v>18.77499969154596</v>
      </c>
      <c r="N27" s="69" t="n">
        <v>18.77499969154596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spring_phab_xfc_nat|</t>
        </is>
      </c>
      <c r="B28" s="69" t="inlineStr">
        <is>
          <t>spring-phab-xfc-nat</t>
        </is>
      </c>
      <c r="C28" s="69" t="inlineStr">
        <is>
          <t>Natural fish cover</t>
        </is>
      </c>
      <c r="D28" s="69" t="inlineStr"/>
      <c r="E28" s="69" t="n">
        <v>5</v>
      </c>
      <c r="F28" s="69" t="inlineStr">
        <is>
          <t>18 least-disturbed stations of this ecoregion, carried forward from version 1</t>
        </is>
      </c>
      <c r="G28" s="69" t="n">
        <v>0</v>
      </c>
      <c r="H28" s="69" t="n">
        <v>0.09642857206719262</v>
      </c>
      <c r="I28" s="69" t="n">
        <v>0.2250000014901161</v>
      </c>
      <c r="J28" s="69" t="n">
        <v>0.9397727400064468</v>
      </c>
      <c r="K28" s="69" t="n">
        <v>1.154204561561346</v>
      </c>
      <c r="L28" s="69" t="n">
        <v>1.154204561561346</v>
      </c>
      <c r="M28" s="69" t="n">
        <v>1.154204561561346</v>
      </c>
      <c r="N28" s="69" t="n">
        <v>1.154204561561346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spring_bent_totlntax|</t>
        </is>
      </c>
      <c r="B29" s="69" t="inlineStr">
        <is>
          <t>spring-bent-totlntax</t>
        </is>
      </c>
      <c r="C29" s="69" t="inlineStr">
        <is>
          <t>Benthic total taxa richness</t>
        </is>
      </c>
      <c r="D29" s="69" t="inlineStr"/>
      <c r="E29" s="69" t="n">
        <v>5</v>
      </c>
      <c r="F29" s="69" t="inlineStr">
        <is>
          <t>18 least-disturbed stations of this ecoregion, carried forward from version 1</t>
        </is>
      </c>
      <c r="G29" s="69" t="n">
        <v>0</v>
      </c>
      <c r="H29" s="69" t="n">
        <v>6.964285714285714</v>
      </c>
      <c r="I29" s="69" t="n">
        <v>16.25</v>
      </c>
      <c r="J29" s="69" t="n">
        <v>42.75</v>
      </c>
      <c r="K29" s="69" t="n">
        <v>50.7</v>
      </c>
      <c r="L29" s="69" t="n">
        <v>50.7</v>
      </c>
      <c r="M29" s="69" t="n">
        <v>50.7</v>
      </c>
      <c r="N29" s="69" t="n">
        <v>50.7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spring_fish_nat_totlntax|</t>
        </is>
      </c>
      <c r="B30" s="69" t="inlineStr">
        <is>
          <t>spring-fish-nat-totlntax</t>
        </is>
      </c>
      <c r="C30" s="69" t="inlineStr">
        <is>
          <t>Native fish taxa richness</t>
        </is>
      </c>
      <c r="D30" s="69" t="inlineStr"/>
      <c r="E30" s="69" t="n">
        <v>5</v>
      </c>
      <c r="F30" s="69" t="inlineStr">
        <is>
          <t>18 least-disturbed stations of this ecoregion, carried forward from version 1</t>
        </is>
      </c>
      <c r="G30" s="69" t="n">
        <v>0</v>
      </c>
      <c r="H30" s="69" t="n">
        <v>2.357142857142857</v>
      </c>
      <c r="I30" s="69" t="n">
        <v>5.5</v>
      </c>
      <c r="J30" s="69" t="n">
        <v>15.75</v>
      </c>
      <c r="K30" s="69" t="n">
        <v>18.825</v>
      </c>
      <c r="L30" s="69" t="n">
        <v>18.825</v>
      </c>
      <c r="M30" s="69" t="n">
        <v>18.825</v>
      </c>
      <c r="N30" s="69" t="n">
        <v>18.825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spring_bent_ept_ntax|</t>
        </is>
      </c>
      <c r="B31" s="69" t="inlineStr">
        <is>
          <t>spring-bent-ept-ntax</t>
        </is>
      </c>
      <c r="C31" s="69" t="inlineStr">
        <is>
          <t>EPT taxa richness</t>
        </is>
      </c>
      <c r="D31" s="69" t="inlineStr"/>
      <c r="E31" s="69" t="n">
        <v>5</v>
      </c>
      <c r="F31" s="69" t="inlineStr">
        <is>
          <t>18 least-disturbed stations of this ecoregion, carried forward from version 1</t>
        </is>
      </c>
      <c r="G31" s="69" t="n">
        <v>0</v>
      </c>
      <c r="H31" s="69" t="n">
        <v>0.5357142857142857</v>
      </c>
      <c r="I31" s="69" t="n">
        <v>1.25</v>
      </c>
      <c r="J31" s="69" t="n">
        <v>9</v>
      </c>
      <c r="K31" s="69" t="n">
        <v>11.325</v>
      </c>
      <c r="L31" s="69" t="n">
        <v>11.325</v>
      </c>
      <c r="M31" s="69" t="n">
        <v>11.325</v>
      </c>
      <c r="N31" s="69" t="n">
        <v>11.325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spring_bent_hprime|</t>
        </is>
      </c>
      <c r="B32" s="69" t="inlineStr">
        <is>
          <t>spring-bent-hprime</t>
        </is>
      </c>
      <c r="C32" s="69" t="inlineStr">
        <is>
          <t>Shannon diversity (H')</t>
        </is>
      </c>
      <c r="D32" s="69" t="inlineStr"/>
      <c r="E32" s="69" t="n">
        <v>5</v>
      </c>
      <c r="F32" s="69" t="inlineStr">
        <is>
          <t>18 least-disturbed stations of this ecoregion, carried forward from version 1</t>
        </is>
      </c>
      <c r="G32" s="69" t="n">
        <v>0</v>
      </c>
      <c r="H32" s="69" t="n">
        <v>0.9910714030265808</v>
      </c>
      <c r="I32" s="69" t="n">
        <v>2.312499940395355</v>
      </c>
      <c r="J32" s="69" t="n">
        <v>3.132500052452087</v>
      </c>
      <c r="K32" s="69" t="n">
        <v>3.378500086069107</v>
      </c>
      <c r="L32" s="69" t="n">
        <v>3.378500086069107</v>
      </c>
      <c r="M32" s="69" t="n">
        <v>3.378500086069107</v>
      </c>
      <c r="N32" s="69" t="n">
        <v>3.378500086069107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spring_nid_dams_1mi|</t>
        </is>
      </c>
      <c r="B33" s="69" t="inlineStr">
        <is>
          <t>spring-nid-dams-1mi</t>
        </is>
      </c>
      <c r="C33" s="69" t="inlineStr">
        <is>
          <t>Mapped dams within one mile</t>
        </is>
      </c>
      <c r="D33" s="69" t="inlineStr"/>
      <c r="E33" s="69" t="n">
        <v>4</v>
      </c>
      <c r="F33" s="69" t="inlineStr">
        <is>
          <t>Fixed criteria, the same in every region</t>
        </is>
      </c>
      <c r="G33" s="69" t="n">
        <v>0</v>
      </c>
      <c r="H33" s="69" t="n">
        <v>1</v>
      </c>
      <c r="I33" s="69" t="n">
        <v>2</v>
      </c>
      <c r="J33" s="69" t="n">
        <v>3</v>
      </c>
      <c r="K33" s="69" t="n">
        <v>3</v>
      </c>
      <c r="L33" s="69" t="n">
        <v>3</v>
      </c>
      <c r="M33" s="69" t="n">
        <v>3</v>
      </c>
      <c r="N33" s="69" t="n">
        <v>3</v>
      </c>
      <c r="O33" s="69" t="n">
        <v>1</v>
      </c>
      <c r="P33" s="69" t="n">
        <v>0.545</v>
      </c>
      <c r="Q33" s="69" t="n">
        <v>0.195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6">
      <c r="A36" s="58" t="inlineStr">
        <is>
          <t>Curve sets by metric</t>
        </is>
      </c>
    </row>
    <row r="37">
      <c r="A37" s="69" t="inlineStr">
        <is>
          <t>All streams (pooled)</t>
        </is>
      </c>
      <c r="B37" s="5" t="inlineStr">
        <is>
          <t>Relative bed stability</t>
        </is>
      </c>
    </row>
    <row r="38">
      <c r="A38" s="69" t="inlineStr">
        <is>
          <t>Headwater (10 km2 and under)</t>
        </is>
      </c>
      <c r="B38" s="5" t="inlineStr">
        <is>
          <t>Relative bed stability</t>
        </is>
      </c>
    </row>
    <row r="39">
      <c r="A39" s="69" t="inlineStr">
        <is>
          <t>Small stream (10 to 100 km2)</t>
        </is>
      </c>
      <c r="B39" s="5" t="inlineStr">
        <is>
          <t>Relative bed stability</t>
        </is>
      </c>
    </row>
    <row r="40">
      <c r="A40" s="69" t="inlineStr">
        <is>
          <t>Large stream (over 100 km2)</t>
        </is>
      </c>
      <c r="B40" s="5" t="inlineStr">
        <is>
          <t>Relative bed stability</t>
        </is>
      </c>
    </row>
    <row r="43">
      <c r="A43" s="58" t="inlineStr">
        <is>
          <t>Condition classes</t>
        </is>
      </c>
    </row>
    <row r="44">
      <c r="A44" t="inlineStr">
        <is>
          <t>Metric index: at or below 0.39 Non-Functioning, at or below 0.69 Functioning At-Risk, above Functioning.</t>
        </is>
      </c>
    </row>
    <row r="45">
      <c r="A45" t="inlineStr">
        <is>
          <t>Function score (0 to 15): at or below 5 Non-Functioning, at or below 10 Functioning At-Risk, above Functioning.</t>
        </is>
      </c>
    </row>
    <row r="46">
      <c r="A4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southeastern-plains</t>
        </is>
      </c>
    </row>
    <row r="5">
      <c r="A5" s="69" t="inlineStr">
        <is>
          <t>Assessment name</t>
        </is>
      </c>
      <c r="B5" s="69" t="inlineStr">
        <is>
          <t>Southeastern Plains reference assessment</t>
        </is>
      </c>
    </row>
    <row r="6">
      <c r="A6" s="69" t="inlineStr">
        <is>
          <t>Version</t>
        </is>
      </c>
      <c r="B6" s="69" t="n">
        <v>2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sha256:fe2aca83722659416d0eccddf8e01ac668272363e995ca238259f7edf1971856</t>
        </is>
      </c>
    </row>
    <row r="9">
      <c r="A9" s="69" t="inlineStr">
        <is>
          <t>Region</t>
        </is>
      </c>
      <c r="B9" s="69" t="inlineStr">
        <is>
          <t>ecoregion 65 Southeastern Plains</t>
        </is>
      </c>
    </row>
    <row r="10">
      <c r="A10" s="69" t="inlineStr">
        <is>
          <t>Source</t>
        </is>
      </c>
      <c r="B10" s="69" t="inlineStr">
        <is>
          <t>USEPA NRSA 2013-24 (L3 ecoregion 65), StreamCurves regional analysis, methodology 0.14-provisional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26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2026-09-23T01:39:43Z</dcterms:created>
  <dcterms:modified xmlns:dcterms="http://purl.org/dc/terms/" xmlns:xsi="http://www.w3.org/2001/XMLSchema-instance" xsi:type="dcterms:W3CDTF">2026-09-23T01:39:43Z</dcterms:modified>
  <cp:lastModifiedBy>DEEP</cp:lastModifiedBy>
  <cp:contentStatus>Draft</cp:contentStatus>
</cp:coreProperties>
</file>