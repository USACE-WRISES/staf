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Cascades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23 curves are fitted to least-disturbed stations of this ecoregion. 2 curves are fitted to this ecoregion's own streams under the documented regional screen, which relaxes agriculture only. 2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1 carries the published benchmark label: scored against a published criterion rather than against stations from this ecoregion. The criterion carries its own definition of reference, which need not match this assessment's. 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Cascades reference assessment</t>
        </is>
      </c>
    </row>
    <row r="3">
      <c r="A3" s="5" t="inlineStr">
        <is>
          <t>Version 1 | Draft | USEPA NRSA 2013-24 (L3 ecoregion 4),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3"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IF('Metrics'!$V$12="","",'Metrics'!$V$12)</f>
        <v/>
      </c>
      <c r="H26" s="21" t="n"/>
      <c r="I26" s="27" t="n"/>
    </row>
    <row r="27">
      <c r="A27" s="43"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IF('Metrics'!$V$13="","",'Metrics'!$V$13)</f>
        <v/>
      </c>
      <c r="H30" s="21" t="n"/>
      <c r="I30" s="27" t="n"/>
    </row>
    <row r="31">
      <c r="A31" s="43" t="inlineStr">
        <is>
          <t>Geomorphology</t>
        </is>
      </c>
      <c r="B31" s="12" t="inlineStr">
        <is>
          <t>Bed composition and bedform dynamics</t>
        </is>
      </c>
      <c r="C31" s="13" t="inlineStr">
        <is>
          <t>Large wood volume</t>
        </is>
      </c>
      <c r="D31" s="14" t="inlineStr">
        <is>
          <t>m3/100m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IF('Metrics'!$V$14="","",'Metrics'!$V$14)</f>
        <v/>
      </c>
      <c r="H32" s="21" t="n"/>
      <c r="I32" s="27" t="n"/>
    </row>
    <row r="33">
      <c r="A33" s="46"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47"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6"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8"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49"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48" t="inlineStr">
        <is>
          <t>Biology</t>
        </is>
      </c>
      <c r="B43" s="12" t="inlineStr">
        <is>
          <t>Community dynamics</t>
        </is>
      </c>
      <c r="C43" s="13" t="inlineStr">
        <is>
          <t>EPT taxa richness</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IF('Metrics'!$V$30="","",'Metrics'!$V$30)</f>
        <v/>
      </c>
      <c r="H44" s="21" t="n"/>
      <c r="I44" s="27" t="n"/>
    </row>
    <row r="45">
      <c r="A45" s="49"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0" t="inlineStr">
        <is>
          <t>Summary</t>
        </is>
      </c>
    </row>
    <row r="48">
      <c r="A48" s="10" t="inlineStr">
        <is>
          <t>Outcome</t>
        </is>
      </c>
      <c r="B48" s="10" t="inlineStr">
        <is>
          <t>Sub-index (0 to 1)</t>
        </is>
      </c>
      <c r="C48" s="10" t="inlineStr">
        <is>
          <t>Condition</t>
        </is>
      </c>
    </row>
    <row r="49">
      <c r="A49" s="51" t="inlineStr">
        <is>
          <t>Physical</t>
        </is>
      </c>
      <c r="B49" s="52">
        <f>'Results'!$B$26</f>
        <v/>
      </c>
      <c r="C49" s="53">
        <f>IF('DEEP Score'!$B$49&lt;=0.39,"Non-Functioning",IF('DEEP Score'!$B$49&lt;=0.69,"Functioning At-Risk","Functioning"))</f>
        <v/>
      </c>
    </row>
    <row r="50">
      <c r="A50" s="51" t="inlineStr">
        <is>
          <t>Chemical</t>
        </is>
      </c>
      <c r="B50" s="52">
        <f>'Results'!$B$27</f>
        <v/>
      </c>
      <c r="C50" s="53">
        <f>IF('DEEP Score'!$B$50&lt;=0.39,"Non-Functioning",IF('DEEP Score'!$B$50&lt;=0.69,"Functioning At-Risk","Functioning"))</f>
        <v/>
      </c>
    </row>
    <row r="51">
      <c r="A51" s="51" t="inlineStr">
        <is>
          <t>Biological</t>
        </is>
      </c>
      <c r="B51" s="52">
        <f>'Results'!$B$28</f>
        <v/>
      </c>
      <c r="C51" s="53">
        <f>IF('DEEP Score'!$B$51&lt;=0.39,"Non-Functioning",IF('DEEP Score'!$B$51&lt;=0.69,"Functioning At-Risk","Functioning"))</f>
        <v/>
      </c>
    </row>
    <row r="52" ht="30" customHeight="1">
      <c r="A52" s="54" t="inlineStr">
        <is>
          <t>Ecosystem Condition Index</t>
        </is>
      </c>
      <c r="B52" s="55">
        <f>'Results'!$B$29</f>
        <v/>
      </c>
      <c r="C52" s="53">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6" t="inlineStr">
        <is>
          <t>Withheld for insufficient reference support (not scored)</t>
        </is>
      </c>
    </row>
    <row r="57">
      <c r="A57" t="inlineStr">
        <is>
          <t>Native fish taxa richness</t>
        </is>
      </c>
      <c r="C57" s="5" t="inlineStr">
        <is>
          <t>Population support</t>
        </is>
      </c>
    </row>
    <row r="59">
      <c r="A59" s="6" t="inlineStr">
        <is>
          <t>Notes</t>
        </is>
      </c>
    </row>
    <row r="60">
      <c r="A60" s="57" t="n"/>
      <c r="B60" s="58" t="n"/>
      <c r="C60" s="58" t="n"/>
      <c r="D60" s="58" t="n"/>
      <c r="E60" s="58" t="n"/>
      <c r="F60" s="58" t="n"/>
      <c r="G60" s="58" t="n"/>
      <c r="H60" s="58" t="n"/>
      <c r="I60" s="59"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3" t="n"/>
      <c r="B65" s="64" t="n"/>
      <c r="C65" s="64" t="n"/>
      <c r="D65" s="64" t="n"/>
      <c r="E65" s="64" t="n"/>
      <c r="F65" s="64" t="n"/>
      <c r="G65" s="64" t="n"/>
      <c r="H65" s="64" t="n"/>
      <c r="I65" s="65"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f>
        <v/>
      </c>
      <c r="D12" s="68">
        <f>"spring_phab_xbkf_h|"&amp;'Metrics'!$C$12</f>
        <v/>
      </c>
      <c r="E12" s="68">
        <f>IFERROR(MATCH('Metrics'!$D$12,curve_key,0),MATCH("spring_phab_xbkf_h|",curve_key,0))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f>
        <v/>
      </c>
      <c r="D17" s="68">
        <f>"spring_phab_lrbs_use|"&amp;'Metrics'!$C$17</f>
        <v/>
      </c>
      <c r="E17" s="68">
        <f>IFERROR(MATCH('Metrics'!$D$17,curve_key,0),MATCH("spring_phab_lrbs_use|",curve_key,0))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Large wood volume</t>
        </is>
      </c>
      <c r="B18" s="68">
        <f>IF('DEEP Score'!$E$31="","",'DEEP Score'!$E$31)</f>
        <v/>
      </c>
      <c r="C18" s="68">
        <f>""</f>
        <v/>
      </c>
      <c r="D18" s="68">
        <f>"spring_phab_lwdeqvolm100|"&amp;'Metrics'!$C$18</f>
        <v/>
      </c>
      <c r="E18" s="68">
        <f>IFERROR(MATCH('Metrics'!$D$18,curve_key,0),MATCH("spring_phab_lwdeqvolm100|",curve_key,0))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f>
        <v/>
      </c>
      <c r="D20" s="68">
        <f>"spring_phab_xcdenmid|"&amp;'Metrics'!$C$20</f>
        <v/>
      </c>
      <c r="E20" s="68">
        <f>IFERROR(MATCH('Metrics'!$D$20,curve_key,0),MATCH("spring_phab_xcdenmid|",curve_key,0))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Score'!$E$36="","",'DEEP Score'!$E$36)</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Score'!$E$37="","",'DEEP Score'!$E$37)</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Specific conductivity</t>
        </is>
      </c>
      <c r="B24" s="68">
        <f>IF('DEEP Score'!$E$38="","",'DEEP Score'!$E$38)</f>
        <v/>
      </c>
      <c r="C24" s="68">
        <f>""</f>
        <v/>
      </c>
      <c r="D24" s="68">
        <f>"spring_chem_cond|"&amp;'Metrics'!$C$24</f>
        <v/>
      </c>
      <c r="E24" s="68">
        <f>IFERROR(MATCH('Metrics'!$D$24,curve_key,0),MATCH("spring_chem_cond|",curve_key,0))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Benthic total taxa richness</t>
        </is>
      </c>
      <c r="B28" s="68">
        <f>IF('DEEP Score'!$E$42="","",'DEEP Score'!$E$42)</f>
        <v/>
      </c>
      <c r="C28" s="68">
        <f>""</f>
        <v/>
      </c>
      <c r="D28" s="68">
        <f>"spring_bent_totlntax|"&amp;'Metrics'!$C$28</f>
        <v/>
      </c>
      <c r="E28" s="68">
        <f>IFERROR(MATCH('Metrics'!$D$28,curve_key,0),MATCH("spring_bent_totlntax|",curve_key,0))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EPT taxa richness</t>
        </is>
      </c>
      <c r="B29" s="68">
        <f>IF('DEEP Score'!$E$43="","",'DEEP Score'!$E$43)</f>
        <v/>
      </c>
      <c r="C29" s="68">
        <f>""</f>
        <v/>
      </c>
      <c r="D29" s="68">
        <f>"spring_bent_ept_ntax|"&amp;'Metrics'!$C$29</f>
        <v/>
      </c>
      <c r="E29" s="68">
        <f>IFERROR(MATCH('Metrics'!$D$29,curve_key,0),MATCH("spring_bent_ept_ntax|",curve_key,0))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Shannon diversity (H')</t>
        </is>
      </c>
      <c r="B30" s="68">
        <f>IF('DEEP Score'!$E$44="","",'DEEP Score'!$E$44)</f>
        <v/>
      </c>
      <c r="C30" s="68">
        <f>""</f>
        <v/>
      </c>
      <c r="D30" s="68">
        <f>"spring_bent_hprime|"&amp;'Metrics'!$C$30</f>
        <v/>
      </c>
      <c r="E30" s="68">
        <f>IFERROR(MATCH('Metrics'!$D$30,curve_key,0),MATCH("spring_bent_hprime|",curve_key,0))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Mapped dams within one mile</t>
        </is>
      </c>
      <c r="B31" s="68">
        <f>IF('DEEP Score'!$E$45="","",'DEEP Score'!$E$45)</f>
        <v/>
      </c>
      <c r="C31" s="68">
        <f>""</f>
        <v/>
      </c>
      <c r="D31" s="68">
        <f>"spring_nid_dams_1mi|"&amp;'Metrics'!$C$31</f>
        <v/>
      </c>
      <c r="E31" s="68">
        <f>IFERROR(MATCH('Metrics'!$D$31,curve_key,0),MATCH("spring_nid_dams_1mi|",curve_key,0))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Score'!G42:G42)=0,"",SUM('DEEP Score'!G42:G42)/COUNT('DEEP Score'!G42:G42)*15)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Score'!G43:G44)=0,"",SUM('DEEP Score'!G43:G44)/COUNT('DEEP Score'!G43:G44)*15)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Score'!G45:G45)=0,"",SUM('DEEP Score'!G45:G45)/COUNT('DEEP Score'!G45:G45)*15)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32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67" t="n">
        <v>0</v>
      </c>
      <c r="H7" s="67" t="n">
        <v>0.003214285714285714</v>
      </c>
      <c r="I7" s="67" t="n">
        <v>0.0075</v>
      </c>
      <c r="J7" s="67" t="n">
        <v>0.9524999999999999</v>
      </c>
      <c r="K7" s="67" t="n">
        <v>1.425</v>
      </c>
      <c r="L7" s="67" t="n">
        <v>1.425</v>
      </c>
      <c r="M7" s="67" t="n">
        <v>1.425</v>
      </c>
      <c r="N7" s="67" t="n">
        <v>1.425</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30 least-disturbed stations of this ecoregion</t>
        </is>
      </c>
      <c r="G9" s="67" t="n">
        <v>0</v>
      </c>
      <c r="H9" s="67" t="n">
        <v>25.58757857142857</v>
      </c>
      <c r="I9" s="67" t="n">
        <v>59.70435</v>
      </c>
      <c r="J9" s="67" t="n">
        <v>72.98432500000001</v>
      </c>
      <c r="K9" s="67" t="n">
        <v>79.62431250000002</v>
      </c>
      <c r="L9" s="67" t="n">
        <v>79.62431250000002</v>
      </c>
      <c r="M9" s="67" t="n">
        <v>79.62431250000002</v>
      </c>
      <c r="N9" s="67" t="n">
        <v>79.62431250000002</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8</v>
      </c>
      <c r="F11" s="67" t="inlineStr">
        <is>
          <t>30 least-disturbed stations of this ecoregion</t>
        </is>
      </c>
      <c r="G11" s="67" t="n">
        <v>0</v>
      </c>
      <c r="H11" s="67" t="n">
        <v>2.369398832321167</v>
      </c>
      <c r="I11" s="67" t="n">
        <v>6.546945607662201</v>
      </c>
      <c r="J11" s="67" t="n">
        <v>8.796393871307373</v>
      </c>
      <c r="K11" s="67" t="n">
        <v>15.22338891029358</v>
      </c>
      <c r="L11" s="67" t="n">
        <v>17.47283717393875</v>
      </c>
      <c r="M11" s="67" t="n">
        <v>21.65038394927979</v>
      </c>
      <c r="N11" s="67" t="n">
        <v>28.07737898826599</v>
      </c>
      <c r="O11" s="67" t="n">
        <v>0</v>
      </c>
      <c r="P11" s="67" t="n">
        <v>0.3</v>
      </c>
      <c r="Q11" s="67" t="n">
        <v>0.7</v>
      </c>
      <c r="R11" s="67" t="n">
        <v>1</v>
      </c>
      <c r="S11" s="67" t="n">
        <v>1</v>
      </c>
      <c r="T11" s="67" t="n">
        <v>0.7</v>
      </c>
      <c r="U11" s="67" t="n">
        <v>0.3</v>
      </c>
      <c r="V11" s="67" t="n">
        <v>0</v>
      </c>
    </row>
    <row r="12">
      <c r="A12" s="67" t="inlineStr">
        <is>
          <t>spring_phab_xbkf_h|</t>
        </is>
      </c>
      <c r="B12" s="67" t="inlineStr">
        <is>
          <t>spring-phab-xbkf-h</t>
        </is>
      </c>
      <c r="C12" s="67" t="inlineStr">
        <is>
          <t>Bankfull height above channel</t>
        </is>
      </c>
      <c r="D12" s="67" t="inlineStr"/>
      <c r="E12" s="67" t="n">
        <v>7</v>
      </c>
      <c r="F12" s="67" t="inlineStr">
        <is>
          <t>30 least-disturbed stations of this ecoregion</t>
        </is>
      </c>
      <c r="G12" s="67" t="n">
        <v>0</v>
      </c>
      <c r="H12" s="67" t="n">
        <v>0.05476135704666377</v>
      </c>
      <c r="I12" s="67" t="n">
        <v>0.2443181835114956</v>
      </c>
      <c r="J12" s="67" t="n">
        <v>0.785909116268158</v>
      </c>
      <c r="K12" s="67" t="n">
        <v>0.9754659427329898</v>
      </c>
      <c r="L12" s="67" t="n">
        <v>1.32750004902482</v>
      </c>
      <c r="M12" s="67" t="n">
        <v>1.869090981781483</v>
      </c>
      <c r="N12" s="67" t="n">
        <v>1.869090981781483</v>
      </c>
      <c r="O12" s="67" t="n">
        <v>0</v>
      </c>
      <c r="P12" s="67" t="n">
        <v>0.7</v>
      </c>
      <c r="Q12" s="67" t="n">
        <v>1</v>
      </c>
      <c r="R12" s="67" t="n">
        <v>1</v>
      </c>
      <c r="S12" s="67" t="n">
        <v>0.7</v>
      </c>
      <c r="T12" s="67" t="n">
        <v>0.3</v>
      </c>
      <c r="U12" s="67" t="n">
        <v>0</v>
      </c>
      <c r="V12" s="67" t="n">
        <v>0</v>
      </c>
    </row>
    <row r="13">
      <c r="A13" s="67" t="inlineStr">
        <is>
          <t>spring_phab_pct_safn|</t>
        </is>
      </c>
      <c r="B13" s="67" t="inlineStr">
        <is>
          <t>spring-phab-pct-safn</t>
        </is>
      </c>
      <c r="C13" s="67" t="inlineStr">
        <is>
          <t>Sand + fines</t>
        </is>
      </c>
      <c r="D13" s="67" t="inlineStr"/>
      <c r="E13" s="67" t="n">
        <v>5</v>
      </c>
      <c r="F13" s="67" t="inlineStr">
        <is>
          <t>269 least-disturbed stations borrowed from Level II ecoregion 6.2 (Western Cordillera) under the regional screen (agriculture at most 25 percent), transfer risk low</t>
        </is>
      </c>
      <c r="G13" s="67" t="n">
        <v>0</v>
      </c>
      <c r="H13" s="67" t="n">
        <v>4.761904716491699</v>
      </c>
      <c r="I13" s="67" t="n">
        <v>27.61904716491699</v>
      </c>
      <c r="J13" s="67" t="n">
        <v>61.90476083755493</v>
      </c>
      <c r="K13" s="67" t="n">
        <v>84.76190328598022</v>
      </c>
      <c r="L13" s="67" t="n">
        <v>84.76190328598022</v>
      </c>
      <c r="M13" s="67" t="n">
        <v>84.76190328598022</v>
      </c>
      <c r="N13" s="67" t="n">
        <v>84.76190328598022</v>
      </c>
      <c r="O13" s="67" t="n">
        <v>1</v>
      </c>
      <c r="P13" s="67" t="n">
        <v>1</v>
      </c>
      <c r="Q13" s="67" t="n">
        <v>0.7</v>
      </c>
      <c r="R13" s="67" t="n">
        <v>0.3</v>
      </c>
      <c r="S13" s="67" t="n">
        <v>0</v>
      </c>
      <c r="T13" s="67" t="n">
        <v>0</v>
      </c>
      <c r="U13" s="67" t="n">
        <v>0</v>
      </c>
      <c r="V13" s="67" t="n">
        <v>0</v>
      </c>
    </row>
    <row r="14">
      <c r="A14" s="67" t="inlineStr">
        <is>
          <t>spring_phab_xembed|</t>
        </is>
      </c>
      <c r="B14" s="67" t="inlineStr">
        <is>
          <t>spring-phab-xembed</t>
        </is>
      </c>
      <c r="C14" s="67" t="inlineStr">
        <is>
          <t>Embeddedness</t>
        </is>
      </c>
      <c r="D14" s="67" t="inlineStr"/>
      <c r="E14" s="67" t="n">
        <v>5</v>
      </c>
      <c r="F14" s="67" t="inlineStr">
        <is>
          <t>27 least-disturbed stations of this ecoregion</t>
        </is>
      </c>
      <c r="G14" s="67" t="n">
        <v>8.295453548431396</v>
      </c>
      <c r="H14" s="67" t="n">
        <v>19.13636302947998</v>
      </c>
      <c r="I14" s="67" t="n">
        <v>40.81818199157715</v>
      </c>
      <c r="J14" s="67" t="n">
        <v>73.3409104347229</v>
      </c>
      <c r="K14" s="67" t="n">
        <v>95.02272939682007</v>
      </c>
      <c r="L14" s="67" t="n">
        <v>95.02272939682007</v>
      </c>
      <c r="M14" s="67" t="n">
        <v>95.02272939682007</v>
      </c>
      <c r="N14" s="67" t="n">
        <v>95.02272939682007</v>
      </c>
      <c r="O14" s="67" t="n">
        <v>1</v>
      </c>
      <c r="P14" s="67" t="n">
        <v>1</v>
      </c>
      <c r="Q14" s="67" t="n">
        <v>0.7</v>
      </c>
      <c r="R14" s="67" t="n">
        <v>0.3</v>
      </c>
      <c r="S14" s="67" t="n">
        <v>0</v>
      </c>
      <c r="T14" s="67" t="n">
        <v>0</v>
      </c>
      <c r="U14" s="67" t="n">
        <v>0</v>
      </c>
      <c r="V14" s="67" t="n">
        <v>0</v>
      </c>
    </row>
    <row r="15">
      <c r="A15" s="67" t="inlineStr">
        <is>
          <t>spring_phab_sinu|</t>
        </is>
      </c>
      <c r="B15" s="67" t="inlineStr">
        <is>
          <t>spring-phab-sinu</t>
        </is>
      </c>
      <c r="C15" s="67" t="inlineStr">
        <is>
          <t>Sinuosity</t>
        </is>
      </c>
      <c r="D15" s="67" t="inlineStr"/>
      <c r="E15" s="67" t="n">
        <v>4</v>
      </c>
      <c r="F15" s="67" t="inlineStr">
        <is>
          <t>27 least-disturbed stations of this ecoregion</t>
        </is>
      </c>
      <c r="G15" s="67" t="n">
        <v>1</v>
      </c>
      <c r="H15" s="67" t="n">
        <v>1.063733279705048</v>
      </c>
      <c r="I15" s="67" t="n">
        <v>1.224763929843903</v>
      </c>
      <c r="J15" s="67" t="n">
        <v>1.30527925491333</v>
      </c>
      <c r="K15" s="67" t="n">
        <v>1.30527925491333</v>
      </c>
      <c r="L15" s="67" t="n">
        <v>1.30527925491333</v>
      </c>
      <c r="M15" s="67" t="n">
        <v>1.30527925491333</v>
      </c>
      <c r="N15" s="67" t="n">
        <v>1.30527925491333</v>
      </c>
      <c r="O15" s="67" t="n">
        <v>0</v>
      </c>
      <c r="P15" s="67" t="n">
        <v>0.7</v>
      </c>
      <c r="Q15" s="67" t="n">
        <v>1</v>
      </c>
      <c r="R15" s="67" t="n">
        <v>1</v>
      </c>
      <c r="S15" s="67" t="n">
        <v>1</v>
      </c>
      <c r="T15" s="67" t="n">
        <v>1</v>
      </c>
      <c r="U15" s="67" t="n">
        <v>1</v>
      </c>
      <c r="V15" s="67" t="n">
        <v>1</v>
      </c>
    </row>
    <row r="16">
      <c r="A16" s="67" t="inlineStr">
        <is>
          <t>spring_phab_xbka|</t>
        </is>
      </c>
      <c r="B16" s="67" t="inlineStr">
        <is>
          <t>spring-phab-xbka</t>
        </is>
      </c>
      <c r="C16" s="67" t="inlineStr">
        <is>
          <t>Bank angle</t>
        </is>
      </c>
      <c r="D16" s="67" t="inlineStr"/>
      <c r="E16" s="67" t="n">
        <v>7</v>
      </c>
      <c r="F16" s="67" t="inlineStr">
        <is>
          <t>27 least-disturbed stations of this ecoregion</t>
        </is>
      </c>
      <c r="G16" s="67" t="n">
        <v>0</v>
      </c>
      <c r="H16" s="67" t="n">
        <v>15.02954468727112</v>
      </c>
      <c r="I16" s="67" t="n">
        <v>20.45454502105713</v>
      </c>
      <c r="J16" s="67" t="n">
        <v>35.95454597473145</v>
      </c>
      <c r="K16" s="67" t="n">
        <v>41.37954630851745</v>
      </c>
      <c r="L16" s="67" t="n">
        <v>51.45454692840576</v>
      </c>
      <c r="M16" s="67" t="n">
        <v>66.95454788208008</v>
      </c>
      <c r="N16" s="67" t="n">
        <v>66.95454788208008</v>
      </c>
      <c r="O16" s="67" t="n">
        <v>0.7</v>
      </c>
      <c r="P16" s="67" t="n">
        <v>0.7</v>
      </c>
      <c r="Q16" s="67" t="n">
        <v>1</v>
      </c>
      <c r="R16" s="67" t="n">
        <v>1</v>
      </c>
      <c r="S16" s="67" t="n">
        <v>0.7</v>
      </c>
      <c r="T16" s="67" t="n">
        <v>0.3</v>
      </c>
      <c r="U16" s="67" t="n">
        <v>0</v>
      </c>
      <c r="V16" s="67" t="n">
        <v>0</v>
      </c>
    </row>
    <row r="17">
      <c r="A17" s="67" t="inlineStr">
        <is>
          <t>spring_phab_lrbs_use|</t>
        </is>
      </c>
      <c r="B17" s="67" t="inlineStr">
        <is>
          <t>spring-phab-lrbs-use</t>
        </is>
      </c>
      <c r="C17" s="67" t="inlineStr">
        <is>
          <t>Relative bed stability</t>
        </is>
      </c>
      <c r="D17" s="67" t="inlineStr"/>
      <c r="E17" s="67" t="n">
        <v>8</v>
      </c>
      <c r="F17" s="67" t="inlineStr">
        <is>
          <t>30 least-disturbed stations of this ecoregion</t>
        </is>
      </c>
      <c r="G17" s="67" t="n">
        <v>-2.39681606926024</v>
      </c>
      <c r="H17" s="67" t="n">
        <v>-1.612324823625386</v>
      </c>
      <c r="I17" s="67" t="n">
        <v>-1.102405513962731</v>
      </c>
      <c r="J17" s="67" t="n">
        <v>-0.8278335779905319</v>
      </c>
      <c r="K17" s="67" t="n">
        <v>-0.04334233235567808</v>
      </c>
      <c r="L17" s="67" t="n">
        <v>0.2312296036165207</v>
      </c>
      <c r="M17" s="67" t="n">
        <v>0.7411489132791758</v>
      </c>
      <c r="N17" s="67" t="n">
        <v>1.52564015891403</v>
      </c>
      <c r="O17" s="67" t="n">
        <v>0</v>
      </c>
      <c r="P17" s="67" t="n">
        <v>0.3</v>
      </c>
      <c r="Q17" s="67" t="n">
        <v>0.7</v>
      </c>
      <c r="R17" s="67" t="n">
        <v>1</v>
      </c>
      <c r="S17" s="67" t="n">
        <v>1</v>
      </c>
      <c r="T17" s="67" t="n">
        <v>0.7</v>
      </c>
      <c r="U17" s="67" t="n">
        <v>0.3</v>
      </c>
      <c r="V17" s="67" t="n">
        <v>0</v>
      </c>
    </row>
    <row r="18">
      <c r="A18" s="67" t="inlineStr">
        <is>
          <t>spring_phab_lwdeqvolm100|</t>
        </is>
      </c>
      <c r="B18" s="67" t="inlineStr">
        <is>
          <t>spring-phab-lwdeqvolm100</t>
        </is>
      </c>
      <c r="C18" s="67" t="inlineStr">
        <is>
          <t>Large wood volume</t>
        </is>
      </c>
      <c r="D18" s="67" t="inlineStr"/>
      <c r="E18" s="67" t="n">
        <v>5</v>
      </c>
      <c r="F18" s="67" t="inlineStr">
        <is>
          <t>22 least-disturbed stations of this ecoregion</t>
        </is>
      </c>
      <c r="G18" s="67" t="n">
        <v>0</v>
      </c>
      <c r="H18" s="67" t="n">
        <v>0.7819419801235199</v>
      </c>
      <c r="I18" s="67" t="n">
        <v>1.82453128695488</v>
      </c>
      <c r="J18" s="67" t="n">
        <v>23.37891626358032</v>
      </c>
      <c r="K18" s="67" t="n">
        <v>34.15610875189304</v>
      </c>
      <c r="L18" s="67" t="n">
        <v>34.15610875189304</v>
      </c>
      <c r="M18" s="67" t="n">
        <v>34.15610875189304</v>
      </c>
      <c r="N18" s="67" t="n">
        <v>34.15610875189304</v>
      </c>
      <c r="O18" s="67" t="n">
        <v>0</v>
      </c>
      <c r="P18" s="67" t="n">
        <v>0.3</v>
      </c>
      <c r="Q18" s="67" t="n">
        <v>0.7</v>
      </c>
      <c r="R18" s="67" t="n">
        <v>1</v>
      </c>
      <c r="S18" s="67" t="n">
        <v>1</v>
      </c>
      <c r="T18" s="67" t="n">
        <v>1</v>
      </c>
      <c r="U18" s="67" t="n">
        <v>1</v>
      </c>
      <c r="V18" s="67" t="n">
        <v>1</v>
      </c>
    </row>
    <row r="19">
      <c r="A19" s="67" t="inlineStr">
        <is>
          <t>spring_chem_chla|</t>
        </is>
      </c>
      <c r="B19" s="67" t="inlineStr">
        <is>
          <t>spring-chem-chla</t>
        </is>
      </c>
      <c r="C19" s="67" t="inlineStr">
        <is>
          <t>Chlorophyll a</t>
        </is>
      </c>
      <c r="D19" s="67" t="inlineStr"/>
      <c r="E19" s="67" t="n">
        <v>5</v>
      </c>
      <c r="F19" s="67" t="inlineStr">
        <is>
          <t>114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19" s="67" t="n">
        <v>0</v>
      </c>
      <c r="H19" s="67" t="n">
        <v>0.2624999955296516</v>
      </c>
      <c r="I19" s="67" t="n">
        <v>0.9089999943971634</v>
      </c>
      <c r="J19" s="67" t="n">
        <v>1.878749992698431</v>
      </c>
      <c r="K19" s="67" t="n">
        <v>2.525249991565943</v>
      </c>
      <c r="L19" s="67" t="n">
        <v>2.525249991565943</v>
      </c>
      <c r="M19" s="67" t="n">
        <v>2.525249991565943</v>
      </c>
      <c r="N19" s="67" t="n">
        <v>2.525249991565943</v>
      </c>
      <c r="O19" s="67" t="n">
        <v>1</v>
      </c>
      <c r="P19" s="67" t="n">
        <v>1</v>
      </c>
      <c r="Q19" s="67" t="n">
        <v>0.7</v>
      </c>
      <c r="R19" s="67" t="n">
        <v>0.3</v>
      </c>
      <c r="S19" s="67" t="n">
        <v>0</v>
      </c>
      <c r="T19" s="67" t="n">
        <v>0</v>
      </c>
      <c r="U19" s="67" t="n">
        <v>0</v>
      </c>
      <c r="V19" s="67" t="n">
        <v>0</v>
      </c>
    </row>
    <row r="20">
      <c r="A20" s="67" t="inlineStr">
        <is>
          <t>spring_phab_xcdenmid|</t>
        </is>
      </c>
      <c r="B20" s="67" t="inlineStr">
        <is>
          <t>spring-phab-xcdenmid</t>
        </is>
      </c>
      <c r="C20" s="67" t="inlineStr">
        <is>
          <t>Canopy density, mid-channel</t>
        </is>
      </c>
      <c r="D20" s="67" t="inlineStr"/>
      <c r="E20" s="67" t="n">
        <v>5</v>
      </c>
      <c r="F20" s="67" t="inlineStr">
        <is>
          <t>27 least-disturbed stations of this ecoregion</t>
        </is>
      </c>
      <c r="G20" s="67" t="n">
        <v>0</v>
      </c>
      <c r="H20" s="67" t="n">
        <v>22.13903781345912</v>
      </c>
      <c r="I20" s="67" t="n">
        <v>51.65775489807129</v>
      </c>
      <c r="J20" s="67" t="n">
        <v>93.78342056274414</v>
      </c>
      <c r="K20" s="67" t="n">
        <v>100</v>
      </c>
      <c r="L20" s="67" t="n">
        <v>100</v>
      </c>
      <c r="M20" s="67" t="n">
        <v>100</v>
      </c>
      <c r="N20" s="67" t="n">
        <v>100</v>
      </c>
      <c r="O20" s="67" t="n">
        <v>0</v>
      </c>
      <c r="P20" s="67" t="n">
        <v>0.3</v>
      </c>
      <c r="Q20" s="67" t="n">
        <v>0.7</v>
      </c>
      <c r="R20" s="67" t="n">
        <v>1</v>
      </c>
      <c r="S20" s="67" t="n">
        <v>1</v>
      </c>
      <c r="T20" s="67" t="n">
        <v>1</v>
      </c>
      <c r="U20" s="67" t="n">
        <v>1</v>
      </c>
      <c r="V20" s="67" t="n">
        <v>1</v>
      </c>
    </row>
    <row r="21">
      <c r="A21" s="67" t="inlineStr">
        <is>
          <t>spring_phab_xcmgw|</t>
        </is>
      </c>
      <c r="B21" s="67" t="inlineStr">
        <is>
          <t>spring-phab-xcmgw</t>
        </is>
      </c>
      <c r="C21" s="67" t="inlineStr">
        <is>
          <t>Riparian veg cover, woody</t>
        </is>
      </c>
      <c r="D21" s="67" t="inlineStr"/>
      <c r="E21" s="67" t="n">
        <v>5</v>
      </c>
      <c r="F21" s="67" t="inlineStr">
        <is>
          <t>30 least-disturbed stations of this ecoregion</t>
        </is>
      </c>
      <c r="G21" s="67" t="n">
        <v>0</v>
      </c>
      <c r="H21" s="67" t="n">
        <v>0.3702516151326044</v>
      </c>
      <c r="I21" s="67" t="n">
        <v>0.8639204353094101</v>
      </c>
      <c r="J21" s="67" t="n">
        <v>1.3670454621315</v>
      </c>
      <c r="K21" s="67" t="n">
        <v>1.618607975542545</v>
      </c>
      <c r="L21" s="67" t="n">
        <v>1.618607975542545</v>
      </c>
      <c r="M21" s="67" t="n">
        <v>1.618607975542545</v>
      </c>
      <c r="N21" s="67" t="n">
        <v>1.618607975542545</v>
      </c>
      <c r="O21" s="67" t="n">
        <v>0</v>
      </c>
      <c r="P21" s="67" t="n">
        <v>0.3</v>
      </c>
      <c r="Q21" s="67" t="n">
        <v>0.7</v>
      </c>
      <c r="R21" s="67" t="n">
        <v>1</v>
      </c>
      <c r="S21" s="67" t="n">
        <v>1</v>
      </c>
      <c r="T21" s="67" t="n">
        <v>1</v>
      </c>
      <c r="U21" s="67" t="n">
        <v>1</v>
      </c>
      <c r="V21" s="67" t="n">
        <v>1</v>
      </c>
    </row>
    <row r="22">
      <c r="A22" s="67" t="inlineStr">
        <is>
          <t>spring_chem_ntl|</t>
        </is>
      </c>
      <c r="B22" s="67" t="inlineStr">
        <is>
          <t>spring-chem-ntl</t>
        </is>
      </c>
      <c r="C22" s="67" t="inlineStr">
        <is>
          <t>Total nitrogen</t>
        </is>
      </c>
      <c r="D22" s="67" t="inlineStr"/>
      <c r="E22" s="67" t="n">
        <v>5</v>
      </c>
      <c r="F22" s="67" t="inlineStr">
        <is>
          <t>30 least-disturbed stations of this ecoregion</t>
        </is>
      </c>
      <c r="G22" s="67" t="n">
        <v>0</v>
      </c>
      <c r="H22" s="67" t="n">
        <v>0.02825000043958426</v>
      </c>
      <c r="I22" s="67" t="n">
        <v>0.1150000002235174</v>
      </c>
      <c r="J22" s="67" t="n">
        <v>0.2451249998994172</v>
      </c>
      <c r="K22" s="67" t="n">
        <v>0.3318749996833503</v>
      </c>
      <c r="L22" s="67" t="n">
        <v>0.3318749996833503</v>
      </c>
      <c r="M22" s="67" t="n">
        <v>0.3318749996833503</v>
      </c>
      <c r="N22" s="67" t="n">
        <v>0.3318749996833503</v>
      </c>
      <c r="O22" s="67" t="n">
        <v>1</v>
      </c>
      <c r="P22" s="67" t="n">
        <v>1</v>
      </c>
      <c r="Q22" s="67" t="n">
        <v>0.7</v>
      </c>
      <c r="R22" s="67" t="n">
        <v>0.3</v>
      </c>
      <c r="S22" s="67" t="n">
        <v>0</v>
      </c>
      <c r="T22" s="67" t="n">
        <v>0</v>
      </c>
      <c r="U22" s="67" t="n">
        <v>0</v>
      </c>
      <c r="V22" s="67" t="n">
        <v>0</v>
      </c>
    </row>
    <row r="23">
      <c r="A23" s="67" t="inlineStr">
        <is>
          <t>spring_chem_ptl|</t>
        </is>
      </c>
      <c r="B23" s="67" t="inlineStr">
        <is>
          <t>spring-chem-ptl</t>
        </is>
      </c>
      <c r="C23" s="67" t="inlineStr">
        <is>
          <t>Total phosphorus</t>
        </is>
      </c>
      <c r="D23" s="67" t="inlineStr"/>
      <c r="E23" s="67" t="n">
        <v>5</v>
      </c>
      <c r="F23" s="67" t="inlineStr">
        <is>
          <t>30 least-disturbed stations of this ecoregion</t>
        </is>
      </c>
      <c r="G23" s="67" t="n">
        <v>0</v>
      </c>
      <c r="H23" s="67" t="n">
        <v>15.22499990463257</v>
      </c>
      <c r="I23" s="67" t="n">
        <v>46.67500019073486</v>
      </c>
      <c r="J23" s="67" t="n">
        <v>93.85000061988831</v>
      </c>
      <c r="K23" s="67" t="n">
        <v>125.3000009059906</v>
      </c>
      <c r="L23" s="67" t="n">
        <v>125.3000009059906</v>
      </c>
      <c r="M23" s="67" t="n">
        <v>125.3000009059906</v>
      </c>
      <c r="N23" s="67" t="n">
        <v>125.3000009059906</v>
      </c>
      <c r="O23" s="67" t="n">
        <v>1</v>
      </c>
      <c r="P23" s="67" t="n">
        <v>1</v>
      </c>
      <c r="Q23" s="67" t="n">
        <v>0.7</v>
      </c>
      <c r="R23" s="67" t="n">
        <v>0.3</v>
      </c>
      <c r="S23" s="67" t="n">
        <v>0</v>
      </c>
      <c r="T23" s="67" t="n">
        <v>0</v>
      </c>
      <c r="U23" s="67" t="n">
        <v>0</v>
      </c>
      <c r="V23" s="67" t="n">
        <v>0</v>
      </c>
    </row>
    <row r="24">
      <c r="A24" s="67" t="inlineStr">
        <is>
          <t>spring_chem_cond|</t>
        </is>
      </c>
      <c r="B24" s="67" t="inlineStr">
        <is>
          <t>spring-chem-cond</t>
        </is>
      </c>
      <c r="C24" s="67" t="inlineStr">
        <is>
          <t>Specific conductivity</t>
        </is>
      </c>
      <c r="D24" s="67" t="inlineStr"/>
      <c r="E24" s="67" t="n">
        <v>5</v>
      </c>
      <c r="F24" s="67" t="inlineStr">
        <is>
          <t>30 least-disturbed stations of this ecoregion</t>
        </is>
      </c>
      <c r="G24" s="67" t="n">
        <v>27.02500104904175</v>
      </c>
      <c r="H24" s="67" t="n">
        <v>42.32499980926514</v>
      </c>
      <c r="I24" s="67" t="n">
        <v>72.92499732971191</v>
      </c>
      <c r="J24" s="67" t="n">
        <v>118.8249936103821</v>
      </c>
      <c r="K24" s="67" t="n">
        <v>149.4249911308289</v>
      </c>
      <c r="L24" s="67" t="n">
        <v>149.4249911308289</v>
      </c>
      <c r="M24" s="67" t="n">
        <v>149.4249911308289</v>
      </c>
      <c r="N24" s="67" t="n">
        <v>149.4249911308289</v>
      </c>
      <c r="O24" s="67" t="n">
        <v>1</v>
      </c>
      <c r="P24" s="67" t="n">
        <v>1</v>
      </c>
      <c r="Q24" s="67" t="n">
        <v>0.7</v>
      </c>
      <c r="R24" s="67" t="n">
        <v>0.3</v>
      </c>
      <c r="S24" s="67" t="n">
        <v>0</v>
      </c>
      <c r="T24" s="67" t="n">
        <v>0</v>
      </c>
      <c r="U24" s="67" t="n">
        <v>0</v>
      </c>
      <c r="V24" s="67" t="n">
        <v>0</v>
      </c>
    </row>
    <row r="25">
      <c r="A25" s="67" t="inlineStr">
        <is>
          <t>spring_chem_turb|</t>
        </is>
      </c>
      <c r="B25" s="67" t="inlineStr">
        <is>
          <t>spring-chem-turb</t>
        </is>
      </c>
      <c r="C25" s="67" t="inlineStr">
        <is>
          <t>Turbidity</t>
        </is>
      </c>
      <c r="D25" s="67" t="inlineStr"/>
      <c r="E25" s="67" t="n">
        <v>5</v>
      </c>
      <c r="F25" s="67" t="inlineStr">
        <is>
          <t>27 least-disturbed stations of this ecoregion</t>
        </is>
      </c>
      <c r="G25" s="67" t="n">
        <v>0</v>
      </c>
      <c r="H25" s="67" t="n">
        <v>0.07500000111758709</v>
      </c>
      <c r="I25" s="67" t="n">
        <v>1.115000009536743</v>
      </c>
      <c r="J25" s="67" t="n">
        <v>2.675000022165477</v>
      </c>
      <c r="K25" s="67" t="n">
        <v>3.715000030584633</v>
      </c>
      <c r="L25" s="67" t="n">
        <v>3.715000030584633</v>
      </c>
      <c r="M25" s="67" t="n">
        <v>3.715000030584633</v>
      </c>
      <c r="N25" s="67" t="n">
        <v>3.715000030584633</v>
      </c>
      <c r="O25" s="67" t="n">
        <v>1</v>
      </c>
      <c r="P25" s="67" t="n">
        <v>1</v>
      </c>
      <c r="Q25" s="67" t="n">
        <v>0.7</v>
      </c>
      <c r="R25" s="67" t="n">
        <v>0.3</v>
      </c>
      <c r="S25" s="67" t="n">
        <v>0</v>
      </c>
      <c r="T25" s="67" t="n">
        <v>0</v>
      </c>
      <c r="U25" s="67" t="n">
        <v>0</v>
      </c>
      <c r="V25" s="67" t="n">
        <v>0</v>
      </c>
    </row>
    <row r="26">
      <c r="A26" s="67" t="inlineStr">
        <is>
          <t>spring_phab_pct_fast|</t>
        </is>
      </c>
      <c r="B26" s="67" t="inlineStr">
        <is>
          <t>spring-phab-pct-fast</t>
        </is>
      </c>
      <c r="C26" s="67" t="inlineStr">
        <is>
          <t>Fast-water / riffle habitat</t>
        </is>
      </c>
      <c r="D26" s="67" t="inlineStr"/>
      <c r="E26" s="67" t="n">
        <v>5</v>
      </c>
      <c r="F26" s="67" t="inlineStr">
        <is>
          <t>30 least-disturbed stations of this ecoregion</t>
        </is>
      </c>
      <c r="G26" s="67" t="n">
        <v>0</v>
      </c>
      <c r="H26" s="67" t="n">
        <v>20.56639562334333</v>
      </c>
      <c r="I26" s="67" t="n">
        <v>47.98825645446777</v>
      </c>
      <c r="J26" s="67" t="n">
        <v>89.5</v>
      </c>
      <c r="K26" s="67" t="n">
        <v>100</v>
      </c>
      <c r="L26" s="67" t="n">
        <v>100</v>
      </c>
      <c r="M26" s="67" t="n">
        <v>100</v>
      </c>
      <c r="N26" s="67" t="n">
        <v>100</v>
      </c>
      <c r="O26" s="67" t="n">
        <v>0</v>
      </c>
      <c r="P26" s="67" t="n">
        <v>0.3</v>
      </c>
      <c r="Q26" s="67" t="n">
        <v>0.7</v>
      </c>
      <c r="R26" s="67" t="n">
        <v>1</v>
      </c>
      <c r="S26" s="67" t="n">
        <v>1</v>
      </c>
      <c r="T26" s="67" t="n">
        <v>1</v>
      </c>
      <c r="U26" s="67" t="n">
        <v>1</v>
      </c>
      <c r="V26" s="67" t="n">
        <v>1</v>
      </c>
    </row>
    <row r="27">
      <c r="A27" s="67" t="inlineStr">
        <is>
          <t>spring_phab_xfc_nat|</t>
        </is>
      </c>
      <c r="B27" s="67" t="inlineStr">
        <is>
          <t>spring-phab-xfc-nat</t>
        </is>
      </c>
      <c r="C27" s="67" t="inlineStr">
        <is>
          <t>Natural fish cover</t>
        </is>
      </c>
      <c r="D27" s="67" t="inlineStr"/>
      <c r="E27" s="67" t="n">
        <v>5</v>
      </c>
      <c r="F27" s="67" t="inlineStr">
        <is>
          <t>30 least-disturbed stations of this ecoregion</t>
        </is>
      </c>
      <c r="G27" s="67" t="n">
        <v>0</v>
      </c>
      <c r="H27" s="67" t="n">
        <v>0.1368506497570447</v>
      </c>
      <c r="I27" s="67" t="n">
        <v>0.3193181827664375</v>
      </c>
      <c r="J27" s="67" t="n">
        <v>0.6909090876579285</v>
      </c>
      <c r="K27" s="67" t="n">
        <v>0.8767045401036739</v>
      </c>
      <c r="L27" s="67" t="n">
        <v>0.8767045401036739</v>
      </c>
      <c r="M27" s="67" t="n">
        <v>0.8767045401036739</v>
      </c>
      <c r="N27" s="67" t="n">
        <v>0.8767045401036739</v>
      </c>
      <c r="O27" s="67" t="n">
        <v>0</v>
      </c>
      <c r="P27" s="67" t="n">
        <v>0.3</v>
      </c>
      <c r="Q27" s="67" t="n">
        <v>0.7</v>
      </c>
      <c r="R27" s="67" t="n">
        <v>1</v>
      </c>
      <c r="S27" s="67" t="n">
        <v>1</v>
      </c>
      <c r="T27" s="67" t="n">
        <v>1</v>
      </c>
      <c r="U27" s="67" t="n">
        <v>1</v>
      </c>
      <c r="V27" s="67" t="n">
        <v>1</v>
      </c>
    </row>
    <row r="28">
      <c r="A28" s="67" t="inlineStr">
        <is>
          <t>spring_bent_totlntax|</t>
        </is>
      </c>
      <c r="B28" s="67" t="inlineStr">
        <is>
          <t>spring-bent-totlntax</t>
        </is>
      </c>
      <c r="C28" s="67" t="inlineStr">
        <is>
          <t>Benthic total taxa richness</t>
        </is>
      </c>
      <c r="D28" s="67" t="inlineStr"/>
      <c r="E28" s="67" t="n">
        <v>5</v>
      </c>
      <c r="F28" s="67" t="inlineStr">
        <is>
          <t>30 least-disturbed stations of this ecoregion</t>
        </is>
      </c>
      <c r="G28" s="67" t="n">
        <v>0</v>
      </c>
      <c r="H28" s="67" t="n">
        <v>14.78571428571429</v>
      </c>
      <c r="I28" s="67" t="n">
        <v>34.5</v>
      </c>
      <c r="J28" s="67" t="n">
        <v>47</v>
      </c>
      <c r="K28" s="67" t="n">
        <v>53.25</v>
      </c>
      <c r="L28" s="67" t="n">
        <v>53.25</v>
      </c>
      <c r="M28" s="67" t="n">
        <v>53.25</v>
      </c>
      <c r="N28" s="67" t="n">
        <v>53.25</v>
      </c>
      <c r="O28" s="67" t="n">
        <v>0</v>
      </c>
      <c r="P28" s="67" t="n">
        <v>0.3</v>
      </c>
      <c r="Q28" s="67" t="n">
        <v>0.7</v>
      </c>
      <c r="R28" s="67" t="n">
        <v>1</v>
      </c>
      <c r="S28" s="67" t="n">
        <v>1</v>
      </c>
      <c r="T28" s="67" t="n">
        <v>1</v>
      </c>
      <c r="U28" s="67" t="n">
        <v>1</v>
      </c>
      <c r="V28" s="67" t="n">
        <v>1</v>
      </c>
    </row>
    <row r="29">
      <c r="A29" s="67" t="inlineStr">
        <is>
          <t>spring_bent_ept_ntax|</t>
        </is>
      </c>
      <c r="B29" s="67" t="inlineStr">
        <is>
          <t>spring-bent-ept-ntax</t>
        </is>
      </c>
      <c r="C29" s="67" t="inlineStr">
        <is>
          <t>EPT taxa richness</t>
        </is>
      </c>
      <c r="D29" s="67" t="inlineStr"/>
      <c r="E29" s="67" t="n">
        <v>5</v>
      </c>
      <c r="F29" s="67" t="inlineStr">
        <is>
          <t>30 least-disturbed stations of this ecoregion</t>
        </is>
      </c>
      <c r="G29" s="67" t="n">
        <v>0</v>
      </c>
      <c r="H29" s="67" t="n">
        <v>6</v>
      </c>
      <c r="I29" s="67" t="n">
        <v>14</v>
      </c>
      <c r="J29" s="67" t="n">
        <v>22.75</v>
      </c>
      <c r="K29" s="67" t="n">
        <v>27.125</v>
      </c>
      <c r="L29" s="67" t="n">
        <v>27.125</v>
      </c>
      <c r="M29" s="67" t="n">
        <v>27.125</v>
      </c>
      <c r="N29" s="67" t="n">
        <v>27.125</v>
      </c>
      <c r="O29" s="67" t="n">
        <v>0</v>
      </c>
      <c r="P29" s="67" t="n">
        <v>0.3</v>
      </c>
      <c r="Q29" s="67" t="n">
        <v>0.7</v>
      </c>
      <c r="R29" s="67" t="n">
        <v>1</v>
      </c>
      <c r="S29" s="67" t="n">
        <v>1</v>
      </c>
      <c r="T29" s="67" t="n">
        <v>1</v>
      </c>
      <c r="U29" s="67" t="n">
        <v>1</v>
      </c>
      <c r="V29" s="67" t="n">
        <v>1</v>
      </c>
    </row>
    <row r="30">
      <c r="A30" s="67" t="inlineStr">
        <is>
          <t>spring_bent_hprime|</t>
        </is>
      </c>
      <c r="B30" s="67" t="inlineStr">
        <is>
          <t>spring-bent-hprime</t>
        </is>
      </c>
      <c r="C30" s="67" t="inlineStr">
        <is>
          <t>Shannon diversity (H')</t>
        </is>
      </c>
      <c r="D30" s="67" t="inlineStr"/>
      <c r="E30" s="67" t="n">
        <v>5</v>
      </c>
      <c r="F30" s="67" t="inlineStr">
        <is>
          <t>30 least-disturbed stations of this ecoregion</t>
        </is>
      </c>
      <c r="G30" s="67" t="n">
        <v>0</v>
      </c>
      <c r="H30" s="67" t="n">
        <v>1.052142875535148</v>
      </c>
      <c r="I30" s="67" t="n">
        <v>2.455000042915344</v>
      </c>
      <c r="J30" s="67" t="n">
        <v>3.185000061988831</v>
      </c>
      <c r="K30" s="67" t="n">
        <v>3.550000071525574</v>
      </c>
      <c r="L30" s="67" t="n">
        <v>3.550000071525574</v>
      </c>
      <c r="M30" s="67" t="n">
        <v>3.550000071525574</v>
      </c>
      <c r="N30" s="67" t="n">
        <v>3.550000071525574</v>
      </c>
      <c r="O30" s="67" t="n">
        <v>0</v>
      </c>
      <c r="P30" s="67" t="n">
        <v>0.3</v>
      </c>
      <c r="Q30" s="67" t="n">
        <v>0.7</v>
      </c>
      <c r="R30" s="67" t="n">
        <v>1</v>
      </c>
      <c r="S30" s="67" t="n">
        <v>1</v>
      </c>
      <c r="T30" s="67" t="n">
        <v>1</v>
      </c>
      <c r="U30" s="67" t="n">
        <v>1</v>
      </c>
      <c r="V30" s="67" t="n">
        <v>1</v>
      </c>
    </row>
    <row r="31">
      <c r="A31" s="67" t="inlineStr">
        <is>
          <t>spring_nid_dams_1mi|</t>
        </is>
      </c>
      <c r="B31" s="67" t="inlineStr">
        <is>
          <t>spring-nid-dams-1mi</t>
        </is>
      </c>
      <c r="C31" s="67" t="inlineStr">
        <is>
          <t>Mapped dams within one mile</t>
        </is>
      </c>
      <c r="D31" s="67" t="inlineStr"/>
      <c r="E31" s="67" t="n">
        <v>4</v>
      </c>
      <c r="F31" s="67" t="inlineStr">
        <is>
          <t>Fixed criteria, the same in every region</t>
        </is>
      </c>
      <c r="G31" s="67" t="n">
        <v>0</v>
      </c>
      <c r="H31" s="67" t="n">
        <v>1</v>
      </c>
      <c r="I31" s="67" t="n">
        <v>2</v>
      </c>
      <c r="J31" s="67" t="n">
        <v>3</v>
      </c>
      <c r="K31" s="67" t="n">
        <v>3</v>
      </c>
      <c r="L31" s="67" t="n">
        <v>3</v>
      </c>
      <c r="M31" s="67" t="n">
        <v>3</v>
      </c>
      <c r="N31" s="67" t="n">
        <v>3</v>
      </c>
      <c r="O31" s="67" t="n">
        <v>1</v>
      </c>
      <c r="P31" s="67" t="n">
        <v>0.545</v>
      </c>
      <c r="Q31" s="67" t="n">
        <v>0.195</v>
      </c>
      <c r="R31" s="67" t="n">
        <v>0</v>
      </c>
      <c r="S31" s="67" t="n">
        <v>0</v>
      </c>
      <c r="T31" s="67" t="n">
        <v>0</v>
      </c>
      <c r="U31" s="67" t="n">
        <v>0</v>
      </c>
      <c r="V31" s="67" t="n">
        <v>0</v>
      </c>
    </row>
    <row r="34">
      <c r="A34" s="56" t="inlineStr">
        <is>
          <t>Curve sets by metric</t>
        </is>
      </c>
    </row>
    <row r="37">
      <c r="A37" s="56" t="inlineStr">
        <is>
          <t>Condition classes</t>
        </is>
      </c>
    </row>
    <row r="38">
      <c r="A38" t="inlineStr">
        <is>
          <t>Metric index: at or below 0.39 Non-Functioning, at or below 0.69 Functioning At-Risk, above Functioning.</t>
        </is>
      </c>
    </row>
    <row r="39">
      <c r="A39" t="inlineStr">
        <is>
          <t>Function score (0 to 15): at or below 5 Non-Functioning, at or below 10 Functioning At-Risk, above Functioning.</t>
        </is>
      </c>
    </row>
    <row r="40">
      <c r="A4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cascades</t>
        </is>
      </c>
    </row>
    <row r="5">
      <c r="A5" s="67" t="inlineStr">
        <is>
          <t>Assessment name</t>
        </is>
      </c>
      <c r="B5" s="67" t="inlineStr">
        <is>
          <t>Cascades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sha256:5a4d596751a1e3d7f5d849168a8a2c624ea83c462045cf8a285a437ced67d27a</t>
        </is>
      </c>
    </row>
    <row r="9">
      <c r="A9" s="67" t="inlineStr">
        <is>
          <t>Region</t>
        </is>
      </c>
      <c r="B9" s="67" t="inlineStr">
        <is>
          <t>ecoregion 4 Cascades</t>
        </is>
      </c>
    </row>
    <row r="10">
      <c r="A10" s="67" t="inlineStr">
        <is>
          <t>Source</t>
        </is>
      </c>
      <c r="B10" s="67" t="inlineStr">
        <is>
          <t>USEPA NRSA 2013-24 (L3 ecoregion 4),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27</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2026-09-30T07:06:29Z</dcterms:created>
  <dcterms:modified xmlns:dcterms="http://purl.org/dc/terms/" xmlns:xsi="http://www.w3.org/2001/XMLSchema-instance" xsi:type="dcterms:W3CDTF">2026-09-30T07:06:29Z</dcterms:modified>
  <cp:lastModifiedBy>DEEP</cp:lastModifiedBy>
  <cp:contentStatus>Draft</cp:contentStatus>
</cp:coreProperties>
</file>