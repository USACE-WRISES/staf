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bfwd_rat">'Reference'!$A$47:$A$49</definedName>
    <definedName name="strata_spring_phab_rp100_cm">'Reference'!$A$50:$A$52</definedName>
    <definedName name="strata_spring_phab_xbkf_h">'Reference'!$A$53:$A$55</definedName>
    <definedName name="strata_spring_phab_lrbs_use">'Reference'!$A$56:$A$58</definedName>
    <definedName name="strata_spring_phab_pct_fast">'Reference'!$A$59:$A$61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rp100_cm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ept_ntax">'Metrics'!$V$31</definedName>
    <definedName name="idx_spring_bent_hprime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Score'!$E$18</definedName>
    <definedName name="st_spring_phab_bfwd_rat">'DEEP Score'!$F$18</definedName>
    <definedName name="in_spring_phab_rp100_cm">'DEEP Score'!$E$19</definedName>
    <definedName name="st_spring_phab_rp100_cm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ept_ntax">'DEEP Score'!$E$44</definedName>
    <definedName name="in_spring_bent_hprime">'DEEP Score'!$E$45</definedName>
    <definedName name="in_spring_nid_dams_1mi">'DEEP Score'!$E$46</definedName>
    <definedName name="site_notes">'DEEP Score'!$A$58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Flint Hills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80" customHeight="1">
      <c r="A5" s="4" t="inlineStr">
        <is>
          <t>Reference condition. Reference condition is set by a fixed landscape-pressure screen, never by a score. 3 curves are fitted to this ecoregion's own streams under the documented regional screen, which relaxes agriculture only. 21 borrow comparable least-disturbed stations from a wider region, stating the region and the transfer risk. 3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10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3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Flint Hills reference assessment</t>
        </is>
      </c>
    </row>
    <row r="3">
      <c r="A3" s="5" t="inlineStr">
        <is>
          <t>Version 1 | Draft | USEPA NRSA 2013-24 (L3 ecoregion 28),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Bankfull width:depth ratio</t>
        </is>
      </c>
      <c r="D18" s="14" t="inlineStr"/>
      <c r="E18" s="15" t="n"/>
      <c r="F18" s="38" t="inlineStr">
        <is>
          <t>All streams (pooled)</t>
        </is>
      </c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39" t="inlineStr">
        <is>
          <t>All streams (pooled)</t>
        </is>
      </c>
      <c r="G19" s="26">
        <f>IF('Metrics'!$V$12="","",'Metrics'!$V$12)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43">
        <f>IF('DEEP Score'!$E$18="","",'DEEP Score'!$E$18)</f>
        <v/>
      </c>
      <c r="F21" s="44">
        <f>IF('DEEP Score'!$F$18="","",'DEEP Score'!$F$18)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39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5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43">
        <f>IF('DEEP Score'!$E$18="","",'DEEP Score'!$E$18)</f>
        <v/>
      </c>
      <c r="F25" s="44">
        <f>IF('DEEP Score'!$F$18="","",'DEEP Score'!$F$18)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6">
        <f>IF('DEEP Score'!$E$22="","",'DEEP Score'!$E$22)</f>
        <v/>
      </c>
      <c r="F26" s="47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5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5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38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6">
        <f>IF('DEEP Score'!$E$23="","",'DEEP Score'!$E$23)</f>
        <v/>
      </c>
      <c r="F30" s="47" t="inlineStr"/>
      <c r="G30" s="26">
        <f>IF('Metrics'!$V$14="","",'Metrics'!$V$14)</f>
        <v/>
      </c>
      <c r="H30" s="21" t="n"/>
      <c r="I30" s="27" t="n"/>
    </row>
    <row r="31">
      <c r="A31" s="45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6">
        <f>IF('DEEP Score'!$E$24="","",'DEEP Score'!$E$24)</f>
        <v/>
      </c>
      <c r="F32" s="47" t="inlineStr"/>
      <c r="G32" s="26">
        <f>IF('Metrics'!$V$15="","",'Metrics'!$V$15)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38" t="inlineStr">
        <is>
          <t>All streams (pooled)</t>
        </is>
      </c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Shannon diversity (H')</t>
        </is>
      </c>
      <c r="D45" s="23" t="inlineStr">
        <is>
          <t>H'</t>
        </is>
      </c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6" t="inlineStr">
        <is>
          <t>Notes</t>
        </is>
      </c>
    </row>
    <row r="58">
      <c r="A58" s="58" t="n"/>
      <c r="B58" s="59" t="n"/>
      <c r="C58" s="59" t="n"/>
      <c r="D58" s="59" t="n"/>
      <c r="E58" s="59" t="n"/>
      <c r="F58" s="59" t="n"/>
      <c r="G58" s="59" t="n"/>
      <c r="H58" s="59" t="n"/>
      <c r="I58" s="60" t="n"/>
    </row>
    <row r="59">
      <c r="A59" s="61" t="n"/>
      <c r="B59" s="62" t="n"/>
      <c r="C59" s="62" t="n"/>
      <c r="D59" s="62" t="n"/>
      <c r="E59" s="62" t="n"/>
      <c r="F59" s="62" t="n"/>
      <c r="G59" s="62" t="n"/>
      <c r="H59" s="62" t="n"/>
      <c r="I59" s="63" t="n"/>
    </row>
    <row r="60">
      <c r="A60" s="61" t="n"/>
      <c r="B60" s="62" t="n"/>
      <c r="C60" s="62" t="n"/>
      <c r="D60" s="62" t="n"/>
      <c r="E60" s="62" t="n"/>
      <c r="F60" s="62" t="n"/>
      <c r="G60" s="62" t="n"/>
      <c r="H60" s="62" t="n"/>
      <c r="I60" s="63" t="n"/>
    </row>
    <row r="61">
      <c r="A61" s="61" t="n"/>
      <c r="B61" s="62" t="n"/>
      <c r="C61" s="62" t="n"/>
      <c r="D61" s="62" t="n"/>
      <c r="E61" s="62" t="n"/>
      <c r="F61" s="62" t="n"/>
      <c r="G61" s="62" t="n"/>
      <c r="H61" s="62" t="n"/>
      <c r="I61" s="63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4" t="n"/>
      <c r="B63" s="65" t="n"/>
      <c r="C63" s="65" t="n"/>
      <c r="D63" s="65" t="n"/>
      <c r="E63" s="65" t="n"/>
      <c r="F63" s="65" t="n"/>
      <c r="G63" s="65" t="n"/>
      <c r="H63" s="65" t="n"/>
      <c r="I63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A58:I63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5">
    <dataValidation sqref="F18" showDropDown="0" showInputMessage="0" showErrorMessage="1" allowBlank="1" errorTitle="Curve set" error="Choose a curve set from the list." type="list">
      <formula1>=strata_spring_phab_bfwd_rat</formula1>
    </dataValidation>
    <dataValidation sqref="F19" showDropDown="0" showInputMessage="0" showErrorMessage="1" allowBlank="1" errorTitle="Curve set" error="Choose a curve set from the list." type="list">
      <formula1>=strata_spring_phab_rp100_cm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Score'!$E$18="","",'DEEP Score'!$E$18)</f>
        <v/>
      </c>
      <c r="C11" s="69">
        <f>IF('DEEP Score'!$F$18="","All streams (pooled)",'DEEP Score'!$F$18)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Residual pool depth</t>
        </is>
      </c>
      <c r="B12" s="69">
        <f>IF('DEEP Score'!$E$19="","",'DEEP Score'!$E$19)</f>
        <v/>
      </c>
      <c r="C12" s="69">
        <f>IF('DEEP Score'!$F$19="","All streams (pooled)",'DEEP Score'!$F$19)</f>
        <v/>
      </c>
      <c r="D12" s="69">
        <f>"spring_phab_rp100_cm|"&amp;'Metrics'!$C$12</f>
        <v/>
      </c>
      <c r="E12" s="69">
        <f>IFERROR(MATCH('Metrics'!$D$12,curve_key,0),MATCH("spring_phab_rp100_cm|All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height above channel</t>
        </is>
      </c>
      <c r="B13" s="69">
        <f>IF('DEEP Score'!$E$22="","",'DEEP Score'!$E$22)</f>
        <v/>
      </c>
      <c r="C13" s="69">
        <f>IF('DEEP Score'!$F$22="","All streams (pooled)",'DEEP Score'!$F$22)</f>
        <v/>
      </c>
      <c r="D13" s="69">
        <f>"spring_phab_xbkf_h|"&amp;'Metrics'!$C$13</f>
        <v/>
      </c>
      <c r="E13" s="69">
        <f>IFERROR(MATCH('Metrics'!$D$13,curve_key,0),MATCH("spring_phab_xbkf_h|All streams (pooled)",curve_key,0))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Sand + fines</t>
        </is>
      </c>
      <c r="B14" s="69">
        <f>IF('DEEP Score'!$E$23="","",'DEEP Score'!$E$23)</f>
        <v/>
      </c>
      <c r="C14" s="69">
        <f>""</f>
        <v/>
      </c>
      <c r="D14" s="69">
        <f>"spring_phab_pct_safn|"&amp;'Metrics'!$C$14</f>
        <v/>
      </c>
      <c r="E14" s="69">
        <f>IFERROR(MATCH('Metrics'!$D$14,curve_key,0),MATCH("spring_phab_pct_safn|",curve_key,0))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Embeddedness</t>
        </is>
      </c>
      <c r="B15" s="69">
        <f>IF('DEEP Score'!$E$24="","",'DEEP Score'!$E$24)</f>
        <v/>
      </c>
      <c r="C15" s="69">
        <f>""</f>
        <v/>
      </c>
      <c r="D15" s="69">
        <f>"spring_phab_xembed|"&amp;'Metrics'!$C$15</f>
        <v/>
      </c>
      <c r="E15" s="69">
        <f>IFERROR(MATCH('Metrics'!$D$15,curve_key,0),MATCH("spring_phab_xembed|",curve_key,0))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Sinuosity</t>
        </is>
      </c>
      <c r="B16" s="69">
        <f>IF('DEEP Score'!$E$27="","",'DEEP Score'!$E$27)</f>
        <v/>
      </c>
      <c r="C16" s="69">
        <f>""</f>
        <v/>
      </c>
      <c r="D16" s="69">
        <f>"spring_phab_sinu|"&amp;'Metrics'!$C$16</f>
        <v/>
      </c>
      <c r="E16" s="69">
        <f>IFERROR(MATCH('Metrics'!$D$16,curve_key,0),MATCH("spring_phab_sinu|",curve_key,0))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Bank angle</t>
        </is>
      </c>
      <c r="B17" s="69">
        <f>IF('DEEP Score'!$E$28="","",'DEEP Score'!$E$28)</f>
        <v/>
      </c>
      <c r="C17" s="69">
        <f>""</f>
        <v/>
      </c>
      <c r="D17" s="69">
        <f>"spring_phab_xbka|"&amp;'Metrics'!$C$17</f>
        <v/>
      </c>
      <c r="E17" s="69">
        <f>IFERROR(MATCH('Metrics'!$D$17,curve_key,0),MATCH("spring_phab_xbka|",curve_key,0))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Relative bed stability</t>
        </is>
      </c>
      <c r="B18" s="69">
        <f>IF('DEEP Score'!$E$29="","",'DEEP Score'!$E$29)</f>
        <v/>
      </c>
      <c r="C18" s="69">
        <f>IF('DEEP Score'!$F$29="","All streams (pooled)",'DEEP Score'!$F$29)</f>
        <v/>
      </c>
      <c r="D18" s="69">
        <f>"spring_phab_lrbs_use|"&amp;'Metrics'!$C$18</f>
        <v/>
      </c>
      <c r="E18" s="69">
        <f>IFERROR(MATCH('Metrics'!$D$18,curve_key,0),MATCH("spring_phab_lrbs_use|All streams (pooled)",curve_key,0))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Substrate size</t>
        </is>
      </c>
      <c r="B19" s="69">
        <f>IF('DEEP Score'!$E$31="","",'DEEP Score'!$E$31)</f>
        <v/>
      </c>
      <c r="C19" s="69">
        <f>""</f>
        <v/>
      </c>
      <c r="D19" s="69">
        <f>"spring_phab_lsub_dmm|"&amp;'Metrics'!$C$19</f>
        <v/>
      </c>
      <c r="E19" s="69">
        <f>IFERROR(MATCH('Metrics'!$D$19,curve_key,0),MATCH("spring_phab_lsub_dmm|",curve_key,0))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Canopy density, mid-channel</t>
        </is>
      </c>
      <c r="B21" s="69">
        <f>IF('DEEP Score'!$E$34="","",'DEEP Score'!$E$34)</f>
        <v/>
      </c>
      <c r="C21" s="69">
        <f>""</f>
        <v/>
      </c>
      <c r="D21" s="69">
        <f>"spring_phab_xcdenmid|"&amp;'Metrics'!$C$21</f>
        <v/>
      </c>
      <c r="E21" s="69">
        <f>IFERROR(MATCH('Metrics'!$D$21,curve_key,0),MATCH("spring_phab_xcdenmid|",curve_key,0))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Riparian veg cover, woody</t>
        </is>
      </c>
      <c r="B22" s="69">
        <f>IF('DEEP Score'!$E$35="","",'DEEP Score'!$E$35)</f>
        <v/>
      </c>
      <c r="C22" s="69">
        <f>""</f>
        <v/>
      </c>
      <c r="D22" s="69">
        <f>"spring_phab_xcmgw|"&amp;'Metrics'!$C$22</f>
        <v/>
      </c>
      <c r="E22" s="69">
        <f>IFERROR(MATCH('Metrics'!$D$22,curve_key,0),MATCH("spring_phab_xcmgw|",curve_key,0))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nitrogen</t>
        </is>
      </c>
      <c r="B23" s="69">
        <f>IF('DEEP Score'!$E$36="","",'DEEP Score'!$E$36)</f>
        <v/>
      </c>
      <c r="C23" s="69">
        <f>""</f>
        <v/>
      </c>
      <c r="D23" s="69">
        <f>"spring_chem_ntl|"&amp;'Metrics'!$C$23</f>
        <v/>
      </c>
      <c r="E23" s="69">
        <f>IFERROR(MATCH('Metrics'!$D$23,curve_key,0),MATCH("spring_chem_ntl|",curve_key,0))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phosphorus</t>
        </is>
      </c>
      <c r="B24" s="69">
        <f>IF('DEEP Score'!$E$37="","",'DEEP Score'!$E$37)</f>
        <v/>
      </c>
      <c r="C24" s="69">
        <f>""</f>
        <v/>
      </c>
      <c r="D24" s="69">
        <f>"spring_chem_ptl|"&amp;'Metrics'!$C$24</f>
        <v/>
      </c>
      <c r="E24" s="69">
        <f>IFERROR(MATCH('Metrics'!$D$24,curve_key,0),MATCH("spring_chem_ptl|",curve_key,0))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pH</t>
        </is>
      </c>
      <c r="B25" s="69">
        <f>IF('DEEP Score'!$E$38="","",'DEEP Score'!$E$38)</f>
        <v/>
      </c>
      <c r="C25" s="69">
        <f>""</f>
        <v/>
      </c>
      <c r="D25" s="69">
        <f>"spring_chem_ph|"&amp;'Metrics'!$C$25</f>
        <v/>
      </c>
      <c r="E25" s="69">
        <f>IFERROR(MATCH('Metrics'!$D$25,curve_key,0),MATCH("spring_chem_ph|",curve_key,0))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Specific conductivity</t>
        </is>
      </c>
      <c r="B26" s="69">
        <f>IF('DEEP Score'!$E$39="","",'DEEP Score'!$E$39)</f>
        <v/>
      </c>
      <c r="C26" s="69">
        <f>""</f>
        <v/>
      </c>
      <c r="D26" s="69">
        <f>"spring_chem_cond|"&amp;'Metrics'!$C$26</f>
        <v/>
      </c>
      <c r="E26" s="69">
        <f>IFERROR(MATCH('Metrics'!$D$26,curve_key,0),MATCH("spring_chem_cond|",curve_key,0))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Fast-water / riffle habitat</t>
        </is>
      </c>
      <c r="B27" s="69">
        <f>IF('DEEP Score'!$E$40="","",'DEEP Score'!$E$40)</f>
        <v/>
      </c>
      <c r="C27" s="69">
        <f>IF('DEEP Score'!$F$40="","All streams (pooled)",'DEEP Score'!$F$40)</f>
        <v/>
      </c>
      <c r="D27" s="69">
        <f>"spring_phab_pct_fast|"&amp;'Metrics'!$C$27</f>
        <v/>
      </c>
      <c r="E27" s="69">
        <f>IFERROR(MATCH('Metrics'!$D$27,curve_key,0),MATCH("spring_phab_pct_fast|All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Score'!$E$41="","",'DEEP Score'!$E$41)</f>
        <v/>
      </c>
      <c r="C28" s="69">
        <f>""</f>
        <v/>
      </c>
      <c r="D28" s="69">
        <f>"spring_phab_xfc_nat|"&amp;'Metrics'!$C$28</f>
        <v/>
      </c>
      <c r="E28" s="69">
        <f>IFERROR(MATCH('Metrics'!$D$28,curve_key,0),MATCH("spring_phab_xfc_nat|",curve_key,0))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Benthic total taxa richness</t>
        </is>
      </c>
      <c r="B29" s="69">
        <f>IF('DEEP Score'!$E$42="","",'DEEP Score'!$E$42)</f>
        <v/>
      </c>
      <c r="C29" s="69">
        <f>""</f>
        <v/>
      </c>
      <c r="D29" s="69">
        <f>"spring_bent_totlntax|"&amp;'Metrics'!$C$29</f>
        <v/>
      </c>
      <c r="E29" s="69">
        <f>IFERROR(MATCH('Metrics'!$D$29,curve_key,0),MATCH("spring_bent_totlntax|",curve_key,0))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Native fish taxa richness</t>
        </is>
      </c>
      <c r="B30" s="69">
        <f>IF('DEEP Score'!$E$43="","",'DEEP Score'!$E$43)</f>
        <v/>
      </c>
      <c r="C30" s="69">
        <f>""</f>
        <v/>
      </c>
      <c r="D30" s="69">
        <f>"spring_fish_nat_totlntax|"&amp;'Metrics'!$C$30</f>
        <v/>
      </c>
      <c r="E30" s="69">
        <f>IFERROR(MATCH('Metrics'!$D$30,curve_key,0),MATCH("spring_fish_nat_totlntax|",curve_key,0))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EPT taxa richness</t>
        </is>
      </c>
      <c r="B31" s="69">
        <f>IF('DEEP Score'!$E$44="","",'DEEP Score'!$E$44)</f>
        <v/>
      </c>
      <c r="C31" s="69">
        <f>""</f>
        <v/>
      </c>
      <c r="D31" s="69">
        <f>"spring_bent_ept_ntax|"&amp;'Metrics'!$C$31</f>
        <v/>
      </c>
      <c r="E31" s="69">
        <f>IFERROR(MATCH('Metrics'!$D$31,curve_key,0),MATCH("spring_bent_ept_ntax|",curve_key,0))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Shannon diversity (H')</t>
        </is>
      </c>
      <c r="B32" s="69">
        <f>IF('DEEP Score'!$E$45="","",'DEEP Score'!$E$45)</f>
        <v/>
      </c>
      <c r="C32" s="69">
        <f>""</f>
        <v/>
      </c>
      <c r="D32" s="69">
        <f>"spring_bent_hprime|"&amp;'Metrics'!$C$32</f>
        <v/>
      </c>
      <c r="E32" s="69">
        <f>IFERROR(MATCH('Metrics'!$D$32,curve_key,0),MATCH("spring_bent_hprime|",curve_key,0))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8" t="inlineStr">
        <is>
          <t>Mapped dams within one mile</t>
        </is>
      </c>
      <c r="B33" s="69">
        <f>IF('DEEP Score'!$E$46="","",'DEEP Score'!$E$46)</f>
        <v/>
      </c>
      <c r="C33" s="69">
        <f>""</f>
        <v/>
      </c>
      <c r="D33" s="69">
        <f>"spring_nid_dams_1mi|"&amp;'Metrics'!$C$33</f>
        <v/>
      </c>
      <c r="E33" s="69">
        <f>IFERROR(MATCH('Metrics'!$D$33,curve_key,0),MATCH("spring_nid_dams_1mi|",curve_key,0))</f>
        <v/>
      </c>
      <c r="F33" s="69">
        <f>INDEX(curve_x1,'Metrics'!$E$33)</f>
        <v/>
      </c>
      <c r="G33" s="69">
        <f>INDEX(curve_x2,'Metrics'!$E$33)</f>
        <v/>
      </c>
      <c r="H33" s="69">
        <f>INDEX(curve_x3,'Metrics'!$E$33)</f>
        <v/>
      </c>
      <c r="I33" s="69">
        <f>INDEX(curve_x4,'Metrics'!$E$33)</f>
        <v/>
      </c>
      <c r="J33" s="69">
        <f>INDEX(curve_x5,'Metrics'!$E$33)</f>
        <v/>
      </c>
      <c r="K33" s="69">
        <f>INDEX(curve_x6,'Metrics'!$E$33)</f>
        <v/>
      </c>
      <c r="L33" s="69">
        <f>INDEX(curve_x7,'Metrics'!$E$33)</f>
        <v/>
      </c>
      <c r="M33" s="69">
        <f>INDEX(curve_x8,'Metrics'!$E$33)</f>
        <v/>
      </c>
      <c r="N33" s="69">
        <f>INDEX(curve_y1,'Metrics'!$E$33)</f>
        <v/>
      </c>
      <c r="O33" s="69">
        <f>INDEX(curve_y2,'Metrics'!$E$33)</f>
        <v/>
      </c>
      <c r="P33" s="69">
        <f>INDEX(curve_y3,'Metrics'!$E$33)</f>
        <v/>
      </c>
      <c r="Q33" s="69">
        <f>INDEX(curve_y4,'Metrics'!$E$33)</f>
        <v/>
      </c>
      <c r="R33" s="69">
        <f>INDEX(curve_y5,'Metrics'!$E$33)</f>
        <v/>
      </c>
      <c r="S33" s="69">
        <f>INDEX(curve_y6,'Metrics'!$E$33)</f>
        <v/>
      </c>
      <c r="T33" s="69">
        <f>INDEX(curve_y7,'Metrics'!$E$33)</f>
        <v/>
      </c>
      <c r="U33" s="69">
        <f>INDEX(curve_y8,'Metrics'!$E$33)</f>
        <v/>
      </c>
      <c r="V33" s="70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6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Reference curve fitted to comparable least-disturbed stations drawn from the national pool, because this ecoregion and its parents hold too few of their own. Scored on a reference pool whose transfer to this ecoregion was not confirmed by the recovery test (class agreement 0.37 of evaluation regions; two thirds required; net optimism +0.11, at most 0.05 allowed); confidence capped at 39.</t>
        </is>
      </c>
      <c r="G9" s="68" t="n">
        <v>0</v>
      </c>
      <c r="H9" s="68" t="n">
        <v>26.65152857142857</v>
      </c>
      <c r="I9" s="68" t="n">
        <v>62.1869</v>
      </c>
      <c r="J9" s="68" t="n">
        <v>70.9971</v>
      </c>
      <c r="K9" s="68" t="n">
        <v>75.40220000000001</v>
      </c>
      <c r="L9" s="68" t="n">
        <v>75.40220000000001</v>
      </c>
      <c r="M9" s="68" t="n">
        <v>75.40220000000001</v>
      </c>
      <c r="N9" s="68" t="n">
        <v>75.40220000000001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8</v>
      </c>
      <c r="F11" s="68" t="inlineStr">
        <is>
          <t>53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1" s="68" t="n">
        <v>0</v>
      </c>
      <c r="H11" s="68" t="n">
        <v>0.8242425918579102</v>
      </c>
      <c r="I11" s="68" t="n">
        <v>4.556371259689332</v>
      </c>
      <c r="J11" s="68" t="n">
        <v>6.56597900390625</v>
      </c>
      <c r="K11" s="68" t="n">
        <v>12.30771541595459</v>
      </c>
      <c r="L11" s="68" t="n">
        <v>14.31732316017151</v>
      </c>
      <c r="M11" s="68" t="n">
        <v>18.04945182800293</v>
      </c>
      <c r="N11" s="68" t="n">
        <v>23.79118824005127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0.7</v>
      </c>
      <c r="U11" s="68" t="n">
        <v>0.3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8</v>
      </c>
      <c r="F12" s="68" t="inlineStr">
        <is>
          <t>53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2" s="68" t="n">
        <v>0</v>
      </c>
      <c r="H12" s="68" t="n">
        <v>1.95664644241333</v>
      </c>
      <c r="I12" s="68" t="n">
        <v>4.971233165264129</v>
      </c>
      <c r="J12" s="68" t="n">
        <v>6.594472169876099</v>
      </c>
      <c r="K12" s="68" t="n">
        <v>11.23229789733887</v>
      </c>
      <c r="L12" s="68" t="n">
        <v>12.85553690195084</v>
      </c>
      <c r="M12" s="68" t="n">
        <v>15.87012362480164</v>
      </c>
      <c r="N12" s="68" t="n">
        <v>20.5079493522644</v>
      </c>
      <c r="O12" s="68" t="n">
        <v>0</v>
      </c>
      <c r="P12" s="68" t="n">
        <v>0.3</v>
      </c>
      <c r="Q12" s="68" t="n">
        <v>0.7</v>
      </c>
      <c r="R12" s="68" t="n">
        <v>1</v>
      </c>
      <c r="S12" s="68" t="n">
        <v>1</v>
      </c>
      <c r="T12" s="68" t="n">
        <v>0.7</v>
      </c>
      <c r="U12" s="68" t="n">
        <v>0.3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8</v>
      </c>
      <c r="F13" s="68" t="inlineStr">
        <is>
          <t>53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+0.16, at most 0.05 allowed); confidence capped at 39.</t>
        </is>
      </c>
      <c r="G13" s="68" t="n">
        <v>0</v>
      </c>
      <c r="H13" s="68" t="n">
        <v>1.005876779556274</v>
      </c>
      <c r="I13" s="68" t="n">
        <v>4.829381710290908</v>
      </c>
      <c r="J13" s="68" t="n">
        <v>6.888192057609558</v>
      </c>
      <c r="K13" s="68" t="n">
        <v>12.77050733566284</v>
      </c>
      <c r="L13" s="68" t="n">
        <v>14.82931768298149</v>
      </c>
      <c r="M13" s="68" t="n">
        <v>18.65282261371613</v>
      </c>
      <c r="N13" s="68" t="n">
        <v>24.53513789176941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spring_phab_rp100_cm|All streams (pooled)</t>
        </is>
      </c>
      <c r="B14" s="68" t="inlineStr">
        <is>
          <t>spring-phab-rp100-cm</t>
        </is>
      </c>
      <c r="C14" s="68" t="inlineStr">
        <is>
          <t>Residual pool depth</t>
        </is>
      </c>
      <c r="D14" s="68" t="inlineStr">
        <is>
          <t>All streams (pooled)</t>
        </is>
      </c>
      <c r="E14" s="68" t="n">
        <v>5</v>
      </c>
      <c r="F14" s="68" t="inlineStr">
        <is>
          <t>54 least-disturbed stations borrowed from Level II ecoregion 9.4 (South Central Semi-Arid Prairies) under the regional screen (agriculture at most 77.37 percent), transfer risk moderate</t>
        </is>
      </c>
      <c r="G14" s="68" t="n">
        <v>0</v>
      </c>
      <c r="H14" s="68" t="n">
        <v>5.169650111879621</v>
      </c>
      <c r="I14" s="68" t="n">
        <v>12.06251692771912</v>
      </c>
      <c r="J14" s="68" t="n">
        <v>28.61127233505249</v>
      </c>
      <c r="K14" s="68" t="n">
        <v>36.88565003871918</v>
      </c>
      <c r="L14" s="68" t="n">
        <v>36.88565003871918</v>
      </c>
      <c r="M14" s="68" t="n">
        <v>36.88565003871918</v>
      </c>
      <c r="N14" s="68" t="n">
        <v>36.88565003871918</v>
      </c>
      <c r="O14" s="68" t="n">
        <v>0</v>
      </c>
      <c r="P14" s="68" t="n">
        <v>0.3</v>
      </c>
      <c r="Q14" s="68" t="n">
        <v>0.7</v>
      </c>
      <c r="R14" s="68" t="n">
        <v>1</v>
      </c>
      <c r="S14" s="68" t="n">
        <v>1</v>
      </c>
      <c r="T14" s="68" t="n">
        <v>1</v>
      </c>
      <c r="U14" s="68" t="n">
        <v>1</v>
      </c>
      <c r="V14" s="68" t="n">
        <v>1</v>
      </c>
    </row>
    <row r="15">
      <c r="A15" s="68" t="inlineStr">
        <is>
          <t>spring_phab_rp100_cm|Low gradient (under 0.5 percent)</t>
        </is>
      </c>
      <c r="B15" s="68" t="inlineStr">
        <is>
          <t>spring-phab-rp100-cm</t>
        </is>
      </c>
      <c r="C15" s="68" t="inlineStr">
        <is>
          <t>Residual pool depth</t>
        </is>
      </c>
      <c r="D15" s="68" t="inlineStr">
        <is>
          <t>Low gradient (under 0.5 percent)</t>
        </is>
      </c>
      <c r="E15" s="68" t="n">
        <v>5</v>
      </c>
      <c r="F15" s="68" t="inlineStr">
        <is>
          <t>54 least-disturbed stations borrowed from Level II ecoregion 9.4 (South Central Semi-Arid Prairies) under the regional screen (agriculture at most 77.37 percent), transfer risk moderate</t>
        </is>
      </c>
      <c r="G15" s="68" t="n">
        <v>0</v>
      </c>
      <c r="H15" s="68" t="n">
        <v>5.603196144104004</v>
      </c>
      <c r="I15" s="68" t="n">
        <v>13.07412433624268</v>
      </c>
      <c r="J15" s="68" t="n">
        <v>38.05121612548828</v>
      </c>
      <c r="K15" s="68" t="n">
        <v>50.53976202011108</v>
      </c>
      <c r="L15" s="68" t="n">
        <v>50.53976202011108</v>
      </c>
      <c r="M15" s="68" t="n">
        <v>50.53976202011108</v>
      </c>
      <c r="N15" s="68" t="n">
        <v>50.53976202011108</v>
      </c>
      <c r="O15" s="68" t="n">
        <v>0</v>
      </c>
      <c r="P15" s="68" t="n">
        <v>0.3</v>
      </c>
      <c r="Q15" s="68" t="n">
        <v>0.7</v>
      </c>
      <c r="R15" s="68" t="n">
        <v>1</v>
      </c>
      <c r="S15" s="68" t="n">
        <v>1</v>
      </c>
      <c r="T15" s="68" t="n">
        <v>1</v>
      </c>
      <c r="U15" s="68" t="n">
        <v>1</v>
      </c>
      <c r="V15" s="68" t="n">
        <v>1</v>
      </c>
    </row>
    <row r="16">
      <c r="A16" s="68" t="inlineStr">
        <is>
          <t>spring_phab_rp100_cm|Moderate gradient (0.5 to 2 percent)</t>
        </is>
      </c>
      <c r="B16" s="68" t="inlineStr">
        <is>
          <t>spring-phab-rp100-cm</t>
        </is>
      </c>
      <c r="C16" s="68" t="inlineStr">
        <is>
          <t>Residual pool depth</t>
        </is>
      </c>
      <c r="D16" s="68" t="inlineStr">
        <is>
          <t>Moderate gradient (0.5 to 2 percent)</t>
        </is>
      </c>
      <c r="E16" s="68" t="n">
        <v>5</v>
      </c>
      <c r="F16" s="68" t="inlineStr">
        <is>
          <t>54 least-disturbed stations borrowed from Level II ecoregion 9.4 (South Central Semi-Arid Prairies) under the regional screen (agriculture at most 77.37 percent), transfer risk moderate</t>
        </is>
      </c>
      <c r="G16" s="68" t="n">
        <v>0</v>
      </c>
      <c r="H16" s="68" t="n">
        <v>4.875764506203788</v>
      </c>
      <c r="I16" s="68" t="n">
        <v>11.37678384780884</v>
      </c>
      <c r="J16" s="68" t="n">
        <v>22.80361175537109</v>
      </c>
      <c r="K16" s="68" t="n">
        <v>28.51702570915222</v>
      </c>
      <c r="L16" s="68" t="n">
        <v>28.51702570915222</v>
      </c>
      <c r="M16" s="68" t="n">
        <v>28.51702570915222</v>
      </c>
      <c r="N16" s="68" t="n">
        <v>28.51702570915222</v>
      </c>
      <c r="O16" s="68" t="n">
        <v>0</v>
      </c>
      <c r="P16" s="68" t="n">
        <v>0.3</v>
      </c>
      <c r="Q16" s="68" t="n">
        <v>0.7</v>
      </c>
      <c r="R16" s="68" t="n">
        <v>1</v>
      </c>
      <c r="S16" s="68" t="n">
        <v>1</v>
      </c>
      <c r="T16" s="68" t="n">
        <v>1</v>
      </c>
      <c r="U16" s="68" t="n">
        <v>1</v>
      </c>
      <c r="V16" s="68" t="n">
        <v>1</v>
      </c>
    </row>
    <row r="17">
      <c r="A17" s="68" t="inlineStr">
        <is>
          <t>spring_phab_xbkf_h|All streams (pooled)</t>
        </is>
      </c>
      <c r="B17" s="68" t="inlineStr">
        <is>
          <t>spring-phab-xbkf-h</t>
        </is>
      </c>
      <c r="C17" s="68" t="inlineStr">
        <is>
          <t>Bankfull height above channel</t>
        </is>
      </c>
      <c r="D17" s="68" t="inlineStr">
        <is>
          <t>All streams (pooled)</t>
        </is>
      </c>
      <c r="E17" s="68" t="n">
        <v>7</v>
      </c>
      <c r="F17" s="68" t="inlineStr">
        <is>
          <t>54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7" s="68" t="n">
        <v>0</v>
      </c>
      <c r="H17" s="68" t="n">
        <v>0.08415908068418504</v>
      </c>
      <c r="I17" s="68" t="n">
        <v>0.2895454466342926</v>
      </c>
      <c r="J17" s="68" t="n">
        <v>0.8763636350631714</v>
      </c>
      <c r="K17" s="68" t="n">
        <v>1.081750001013279</v>
      </c>
      <c r="L17" s="68" t="n">
        <v>1.46318182349205</v>
      </c>
      <c r="M17" s="68" t="n">
        <v>2.050000011920929</v>
      </c>
      <c r="N17" s="68" t="n">
        <v>2.050000011920929</v>
      </c>
      <c r="O17" s="68" t="n">
        <v>0</v>
      </c>
      <c r="P17" s="68" t="n">
        <v>0.7</v>
      </c>
      <c r="Q17" s="68" t="n">
        <v>1</v>
      </c>
      <c r="R17" s="68" t="n">
        <v>1</v>
      </c>
      <c r="S17" s="68" t="n">
        <v>0.7</v>
      </c>
      <c r="T17" s="68" t="n">
        <v>0.3</v>
      </c>
      <c r="U17" s="68" t="n">
        <v>0</v>
      </c>
      <c r="V17" s="68" t="n">
        <v>0</v>
      </c>
    </row>
    <row r="18">
      <c r="A18" s="68" t="inlineStr">
        <is>
          <t>spring_phab_xbkf_h|Small stream (10 to 100 km2)</t>
        </is>
      </c>
      <c r="B18" s="68" t="inlineStr">
        <is>
          <t>spring-phab-xbkf-h</t>
        </is>
      </c>
      <c r="C18" s="68" t="inlineStr">
        <is>
          <t>Bankfull height above channel</t>
        </is>
      </c>
      <c r="D18" s="68" t="inlineStr">
        <is>
          <t>Small stream (10 to 100 km2)</t>
        </is>
      </c>
      <c r="E18" s="68" t="n">
        <v>7</v>
      </c>
      <c r="F18" s="68" t="inlineStr">
        <is>
          <t>54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68" t="n">
        <v>0</v>
      </c>
      <c r="H18" s="68" t="n">
        <v>0.1103295359760523</v>
      </c>
      <c r="I18" s="68" t="n">
        <v>0.295909084379673</v>
      </c>
      <c r="J18" s="68" t="n">
        <v>0.8261363655328751</v>
      </c>
      <c r="K18" s="68" t="n">
        <v>1.011715913936496</v>
      </c>
      <c r="L18" s="68" t="n">
        <v>1.356363646686077</v>
      </c>
      <c r="M18" s="68" t="n">
        <v>1.886590927839279</v>
      </c>
      <c r="N18" s="68" t="n">
        <v>1.886590927839279</v>
      </c>
      <c r="O18" s="68" t="n">
        <v>0</v>
      </c>
      <c r="P18" s="68" t="n">
        <v>0.7</v>
      </c>
      <c r="Q18" s="68" t="n">
        <v>1</v>
      </c>
      <c r="R18" s="68" t="n">
        <v>1</v>
      </c>
      <c r="S18" s="68" t="n">
        <v>0.7</v>
      </c>
      <c r="T18" s="68" t="n">
        <v>0.3</v>
      </c>
      <c r="U18" s="68" t="n">
        <v>0</v>
      </c>
      <c r="V18" s="68" t="n">
        <v>0</v>
      </c>
    </row>
    <row r="19">
      <c r="A19" s="68" t="inlineStr">
        <is>
          <t>spring_phab_xbkf_h|Large stream (over 100 km2)</t>
        </is>
      </c>
      <c r="B19" s="68" t="inlineStr">
        <is>
          <t>spring-phab-xbkf-h</t>
        </is>
      </c>
      <c r="C19" s="68" t="inlineStr">
        <is>
          <t>Bankfull height above channel</t>
        </is>
      </c>
      <c r="D19" s="68" t="inlineStr">
        <is>
          <t>Large stream (over 100 km2)</t>
        </is>
      </c>
      <c r="E19" s="68" t="n">
        <v>7</v>
      </c>
      <c r="F19" s="68" t="inlineStr">
        <is>
          <t>54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9" s="68" t="n">
        <v>0</v>
      </c>
      <c r="H19" s="68" t="n">
        <v>0.07945453971624375</v>
      </c>
      <c r="I19" s="68" t="n">
        <v>0.2818181812763214</v>
      </c>
      <c r="J19" s="68" t="n">
        <v>0.8600000143051147</v>
      </c>
      <c r="K19" s="68" t="n">
        <v>1.062363655865192</v>
      </c>
      <c r="L19" s="68" t="n">
        <v>1.438181847333908</v>
      </c>
      <c r="M19" s="68" t="n">
        <v>2.016363680362701</v>
      </c>
      <c r="N19" s="68" t="n">
        <v>2.016363680362701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0.7</v>
      </c>
      <c r="T19" s="68" t="n">
        <v>0.3</v>
      </c>
      <c r="U19" s="68" t="n">
        <v>0</v>
      </c>
      <c r="V19" s="68" t="n">
        <v>0</v>
      </c>
    </row>
    <row r="20">
      <c r="A20" s="68" t="inlineStr">
        <is>
          <t>spring_phab_pct_safn|</t>
        </is>
      </c>
      <c r="B20" s="68" t="inlineStr">
        <is>
          <t>spring-phab-pct-safn</t>
        </is>
      </c>
      <c r="C20" s="68" t="inlineStr">
        <is>
          <t>Sand + fines</t>
        </is>
      </c>
      <c r="D20" s="68" t="inlineStr"/>
      <c r="E20" s="68" t="n">
        <v>4</v>
      </c>
      <c r="F20" s="68" t="inlineStr">
        <is>
          <t>54 least-disturbed stations borrowed from Level II ecoregion 9.4 (South Central Semi-Arid Prairies) under the regional screen (agriculture at most 77.37 percent), transfer risk low</t>
        </is>
      </c>
      <c r="G20" s="68" t="n">
        <v>16.54761791229248</v>
      </c>
      <c r="H20" s="68" t="n">
        <v>38.09523773193359</v>
      </c>
      <c r="I20" s="68" t="n">
        <v>81.19047737121582</v>
      </c>
      <c r="J20" s="68" t="n">
        <v>100</v>
      </c>
      <c r="K20" s="68" t="n">
        <v>100</v>
      </c>
      <c r="L20" s="68" t="n">
        <v>100</v>
      </c>
      <c r="M20" s="68" t="n">
        <v>100</v>
      </c>
      <c r="N20" s="68" t="n">
        <v>100</v>
      </c>
      <c r="O20" s="68" t="n">
        <v>1</v>
      </c>
      <c r="P20" s="68" t="n">
        <v>1</v>
      </c>
      <c r="Q20" s="68" t="n">
        <v>0.7</v>
      </c>
      <c r="R20" s="68" t="n">
        <v>0</v>
      </c>
      <c r="S20" s="68" t="n">
        <v>0</v>
      </c>
      <c r="T20" s="68" t="n">
        <v>0</v>
      </c>
      <c r="U20" s="68" t="n">
        <v>0</v>
      </c>
      <c r="V20" s="68" t="n">
        <v>0</v>
      </c>
    </row>
    <row r="21">
      <c r="A21" s="68" t="inlineStr">
        <is>
          <t>spring_phab_xembed|</t>
        </is>
      </c>
      <c r="B21" s="68" t="inlineStr">
        <is>
          <t>spring-phab-xembed</t>
        </is>
      </c>
      <c r="C21" s="68" t="inlineStr">
        <is>
          <t>Embeddedness</t>
        </is>
      </c>
      <c r="D21" s="68" t="inlineStr"/>
      <c r="E21" s="68" t="n">
        <v>4</v>
      </c>
      <c r="F21" s="68" t="inlineStr">
        <is>
          <t>49 least-disturbed stations borrowed from Level II ecoregion 9.4 (South Central Semi-Arid Prairies) under the regional screen (agriculture at most 77.37 percent), transfer risk low</t>
        </is>
      </c>
      <c r="G21" s="68" t="n">
        <v>51.93939208984375</v>
      </c>
      <c r="H21" s="68" t="n">
        <v>65.18181610107422</v>
      </c>
      <c r="I21" s="68" t="n">
        <v>91.66666412353516</v>
      </c>
      <c r="J21" s="68" t="n">
        <v>100</v>
      </c>
      <c r="K21" s="68" t="n">
        <v>100</v>
      </c>
      <c r="L21" s="68" t="n">
        <v>100</v>
      </c>
      <c r="M21" s="68" t="n">
        <v>100</v>
      </c>
      <c r="N21" s="68" t="n">
        <v>100</v>
      </c>
      <c r="O21" s="68" t="n">
        <v>1</v>
      </c>
      <c r="P21" s="68" t="n">
        <v>1</v>
      </c>
      <c r="Q21" s="68" t="n">
        <v>0.7</v>
      </c>
      <c r="R21" s="68" t="n">
        <v>0</v>
      </c>
      <c r="S21" s="68" t="n">
        <v>0</v>
      </c>
      <c r="T21" s="68" t="n">
        <v>0</v>
      </c>
      <c r="U21" s="68" t="n">
        <v>0</v>
      </c>
      <c r="V21" s="68" t="n">
        <v>0</v>
      </c>
    </row>
    <row r="22">
      <c r="A22" s="68" t="inlineStr">
        <is>
          <t>spring_phab_sinu|</t>
        </is>
      </c>
      <c r="B22" s="68" t="inlineStr">
        <is>
          <t>spring-phab-sinu</t>
        </is>
      </c>
      <c r="C22" s="68" t="inlineStr">
        <is>
          <t>Sinuosity</t>
        </is>
      </c>
      <c r="D22" s="68" t="inlineStr"/>
      <c r="E22" s="68" t="n">
        <v>4</v>
      </c>
      <c r="F22" s="68" t="inlineStr">
        <is>
          <t>46 least-disturbed stations borrowed from Level II ecoregion 9.4 (South Central Semi-Arid Prairies) under the regional screen (agriculture at most 77.37 percent), transfer risk moderate</t>
        </is>
      </c>
      <c r="G22" s="68" t="n">
        <v>1</v>
      </c>
      <c r="H22" s="68" t="n">
        <v>1.125165730714798</v>
      </c>
      <c r="I22" s="68" t="n">
        <v>1.366043984889984</v>
      </c>
      <c r="J22" s="68" t="n">
        <v>1.486483111977577</v>
      </c>
      <c r="K22" s="68" t="n">
        <v>1.486483111977577</v>
      </c>
      <c r="L22" s="68" t="n">
        <v>1.486483111977577</v>
      </c>
      <c r="M22" s="68" t="n">
        <v>1.486483111977577</v>
      </c>
      <c r="N22" s="68" t="n">
        <v>1.486483111977577</v>
      </c>
      <c r="O22" s="68" t="n">
        <v>0</v>
      </c>
      <c r="P22" s="68" t="n">
        <v>0.7</v>
      </c>
      <c r="Q22" s="68" t="n">
        <v>1</v>
      </c>
      <c r="R22" s="68" t="n">
        <v>1</v>
      </c>
      <c r="S22" s="68" t="n">
        <v>1</v>
      </c>
      <c r="T22" s="68" t="n">
        <v>1</v>
      </c>
      <c r="U22" s="68" t="n">
        <v>1</v>
      </c>
      <c r="V22" s="68" t="n">
        <v>1</v>
      </c>
    </row>
    <row r="23">
      <c r="A23" s="68" t="inlineStr">
        <is>
          <t>spring_phab_xbka|</t>
        </is>
      </c>
      <c r="B23" s="68" t="inlineStr">
        <is>
          <t>spring-phab-xbka</t>
        </is>
      </c>
      <c r="C23" s="68" t="inlineStr">
        <is>
          <t>Bank angle</t>
        </is>
      </c>
      <c r="D23" s="68" t="inlineStr"/>
      <c r="E23" s="68" t="n">
        <v>7</v>
      </c>
      <c r="F23" s="68" t="inlineStr">
        <is>
          <t>49 least-disturbed stations borrowed from Level II ecoregion 9.4 (South Central Semi-Arid Prairies) under the regional screen (agriculture at most 77.37 percent), transfer risk low</t>
        </is>
      </c>
      <c r="G23" s="68" t="n">
        <v>2.090908050537109</v>
      </c>
      <c r="H23" s="68" t="n">
        <v>21.2909086227417</v>
      </c>
      <c r="I23" s="68" t="n">
        <v>25.3636360168457</v>
      </c>
      <c r="J23" s="68" t="n">
        <v>37</v>
      </c>
      <c r="K23" s="68" t="n">
        <v>41.07272739410401</v>
      </c>
      <c r="L23" s="68" t="n">
        <v>48.6363639831543</v>
      </c>
      <c r="M23" s="68" t="n">
        <v>60.27272796630859</v>
      </c>
      <c r="N23" s="68" t="n">
        <v>60.27272796630859</v>
      </c>
      <c r="O23" s="68" t="n">
        <v>0.7</v>
      </c>
      <c r="P23" s="68" t="n">
        <v>0.7</v>
      </c>
      <c r="Q23" s="68" t="n">
        <v>1</v>
      </c>
      <c r="R23" s="68" t="n">
        <v>1</v>
      </c>
      <c r="S23" s="68" t="n">
        <v>0.7</v>
      </c>
      <c r="T23" s="68" t="n">
        <v>0.3</v>
      </c>
      <c r="U23" s="68" t="n">
        <v>0</v>
      </c>
      <c r="V23" s="68" t="n">
        <v>0</v>
      </c>
    </row>
    <row r="24">
      <c r="A24" s="68" t="inlineStr">
        <is>
          <t>spring_phab_lrbs_use|All streams (pooled)</t>
        </is>
      </c>
      <c r="B24" s="68" t="inlineStr">
        <is>
          <t>spring-phab-lrbs-use</t>
        </is>
      </c>
      <c r="C24" s="68" t="inlineStr">
        <is>
          <t>Relative bed stability</t>
        </is>
      </c>
      <c r="D24" s="68" t="inlineStr">
        <is>
          <t>All streams (pooled)</t>
        </is>
      </c>
      <c r="E24" s="68" t="n">
        <v>8</v>
      </c>
      <c r="F24" s="68" t="inlineStr">
        <is>
          <t>92 least-disturbed stations borrowed from Level I ecoregion 9 (Great Plains) under the regional screen (agriculture at most 77.37 percent), transfer risk high</t>
        </is>
      </c>
      <c r="G24" s="68" t="n">
        <v>-5.049206852912903</v>
      </c>
      <c r="H24" s="68" t="n">
        <v>-3.598452180624008</v>
      </c>
      <c r="I24" s="68" t="n">
        <v>-2.655461643636227</v>
      </c>
      <c r="J24" s="68" t="n">
        <v>-2.147697508335114</v>
      </c>
      <c r="K24" s="68" t="n">
        <v>-0.6969428360462189</v>
      </c>
      <c r="L24" s="68" t="n">
        <v>-0.1891787007451058</v>
      </c>
      <c r="M24" s="68" t="n">
        <v>0.7538118362426758</v>
      </c>
      <c r="N24" s="68" t="n">
        <v>2.20456650853157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0.7</v>
      </c>
      <c r="U24" s="68" t="n">
        <v>0.3</v>
      </c>
      <c r="V24" s="68" t="n">
        <v>0</v>
      </c>
    </row>
    <row r="25">
      <c r="A25" s="68" t="inlineStr">
        <is>
          <t>spring_phab_lrbs_use|Small stream (10 to 100 km2)</t>
        </is>
      </c>
      <c r="B25" s="68" t="inlineStr">
        <is>
          <t>spring-phab-lrbs-use</t>
        </is>
      </c>
      <c r="C25" s="68" t="inlineStr">
        <is>
          <t>Relative bed stability</t>
        </is>
      </c>
      <c r="D25" s="68" t="inlineStr">
        <is>
          <t>Small stream (10 to 100 km2)</t>
        </is>
      </c>
      <c r="E25" s="68" t="n">
        <v>8</v>
      </c>
      <c r="F25" s="68" t="inlineStr">
        <is>
          <t>92 least-disturbed stations borrowed from Level I ecoregion 9 (Great Plains) under the regional screen (agriculture at most 77.37 percent), transfer risk high</t>
        </is>
      </c>
      <c r="G25" s="68" t="n">
        <v>-4.877356469631195</v>
      </c>
      <c r="H25" s="68" t="n">
        <v>-3.525697141885757</v>
      </c>
      <c r="I25" s="68" t="n">
        <v>-2.647118578851223</v>
      </c>
      <c r="J25" s="68" t="n">
        <v>-2.17403781414032</v>
      </c>
      <c r="K25" s="68" t="n">
        <v>-0.8223784863948822</v>
      </c>
      <c r="L25" s="68" t="n">
        <v>-0.349297721683979</v>
      </c>
      <c r="M25" s="68" t="n">
        <v>0.5292808413505554</v>
      </c>
      <c r="N25" s="68" t="n">
        <v>1.880940169095993</v>
      </c>
      <c r="O25" s="68" t="n">
        <v>0</v>
      </c>
      <c r="P25" s="68" t="n">
        <v>0.3</v>
      </c>
      <c r="Q25" s="68" t="n">
        <v>0.7</v>
      </c>
      <c r="R25" s="68" t="n">
        <v>1</v>
      </c>
      <c r="S25" s="68" t="n">
        <v>1</v>
      </c>
      <c r="T25" s="68" t="n">
        <v>0.7</v>
      </c>
      <c r="U25" s="68" t="n">
        <v>0.3</v>
      </c>
      <c r="V25" s="68" t="n">
        <v>0</v>
      </c>
    </row>
    <row r="26">
      <c r="A26" s="68" t="inlineStr">
        <is>
          <t>spring_phab_lrbs_use|Large stream (over 100 km2)</t>
        </is>
      </c>
      <c r="B26" s="68" t="inlineStr">
        <is>
          <t>spring-phab-lrbs-use</t>
        </is>
      </c>
      <c r="C26" s="68" t="inlineStr">
        <is>
          <t>Relative bed stability</t>
        </is>
      </c>
      <c r="D26" s="68" t="inlineStr">
        <is>
          <t>Large stream (over 100 km2)</t>
        </is>
      </c>
      <c r="E26" s="68" t="n">
        <v>8</v>
      </c>
      <c r="F26" s="68" t="inlineStr">
        <is>
          <t>92 least-disturbed stations borrowed from Level I ecoregion 9 (Great Plains) under the regional screen (agriculture at most 77.37 percent), transfer risk high</t>
        </is>
      </c>
      <c r="G26" s="68" t="n">
        <v>-5.212395548820496</v>
      </c>
      <c r="H26" s="68" t="n">
        <v>-3.625981628894806</v>
      </c>
      <c r="I26" s="68" t="n">
        <v>-2.594812580943108</v>
      </c>
      <c r="J26" s="68" t="n">
        <v>-2.039567708969116</v>
      </c>
      <c r="K26" s="68" t="n">
        <v>-0.4531537890434265</v>
      </c>
      <c r="L26" s="68" t="n">
        <v>0.1020910829305648</v>
      </c>
      <c r="M26" s="68" t="n">
        <v>1.133260130882263</v>
      </c>
      <c r="N26" s="68" t="n">
        <v>2.719674050807953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0.7</v>
      </c>
      <c r="U26" s="68" t="n">
        <v>0.3</v>
      </c>
      <c r="V26" s="68" t="n">
        <v>0</v>
      </c>
    </row>
    <row r="27">
      <c r="A27" s="68" t="inlineStr">
        <is>
          <t>spring_phab_lsub_dmm|</t>
        </is>
      </c>
      <c r="B27" s="68" t="inlineStr">
        <is>
          <t>spring-phab-lsub-dmm</t>
        </is>
      </c>
      <c r="C27" s="68" t="inlineStr">
        <is>
          <t>Substrate size</t>
        </is>
      </c>
      <c r="D27" s="68" t="inlineStr"/>
      <c r="E27" s="68" t="n">
        <v>5</v>
      </c>
      <c r="F27" s="68" t="inlineStr">
        <is>
          <t>14 least-disturbed streams of this ecoregion under the regional screen (agriculture at most 77.37 percent)</t>
        </is>
      </c>
      <c r="G27" s="68" t="n">
        <v>-1.175594311673194</v>
      </c>
      <c r="H27" s="68" t="n">
        <v>-0.6785173392854631</v>
      </c>
      <c r="I27" s="68" t="n">
        <v>0.06709811929613352</v>
      </c>
      <c r="J27" s="68" t="n">
        <v>0.5641750916838646</v>
      </c>
      <c r="K27" s="68" t="n">
        <v>0.8127135778777301</v>
      </c>
      <c r="L27" s="68" t="n">
        <v>0.8127135778777301</v>
      </c>
      <c r="M27" s="68" t="n">
        <v>0.8127135778777301</v>
      </c>
      <c r="N27" s="68" t="n">
        <v>0.8127135778777301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spring_chem_chla|</t>
        </is>
      </c>
      <c r="B28" s="68" t="inlineStr">
        <is>
          <t>spring-chem-chla</t>
        </is>
      </c>
      <c r="C28" s="68" t="inlineStr">
        <is>
          <t>Chlorophyll a</t>
        </is>
      </c>
      <c r="D28" s="68" t="inlineStr"/>
      <c r="E28" s="68" t="n">
        <v>5</v>
      </c>
      <c r="F28" s="68" t="inlineStr">
        <is>
          <t>31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0.53 of evaluation regions; two thirds required; net optimism +0.17, at most 0.05 allowed); confidence capped at 39.</t>
        </is>
      </c>
      <c r="G28" s="68" t="n">
        <v>0</v>
      </c>
      <c r="H28" s="68" t="n">
        <v>1.990714371204376</v>
      </c>
      <c r="I28" s="68" t="n">
        <v>7.445000171661377</v>
      </c>
      <c r="J28" s="68" t="n">
        <v>15.62642887234688</v>
      </c>
      <c r="K28" s="68" t="n">
        <v>21.08071467280388</v>
      </c>
      <c r="L28" s="68" t="n">
        <v>21.08071467280388</v>
      </c>
      <c r="M28" s="68" t="n">
        <v>21.08071467280388</v>
      </c>
      <c r="N28" s="68" t="n">
        <v>21.08071467280388</v>
      </c>
      <c r="O28" s="68" t="n">
        <v>1</v>
      </c>
      <c r="P28" s="68" t="n">
        <v>1</v>
      </c>
      <c r="Q28" s="68" t="n">
        <v>0.7</v>
      </c>
      <c r="R28" s="68" t="n">
        <v>0.3</v>
      </c>
      <c r="S28" s="68" t="n">
        <v>0</v>
      </c>
      <c r="T28" s="68" t="n">
        <v>0</v>
      </c>
      <c r="U28" s="68" t="n">
        <v>0</v>
      </c>
      <c r="V28" s="68" t="n">
        <v>0</v>
      </c>
    </row>
    <row r="29">
      <c r="A29" s="68" t="inlineStr">
        <is>
          <t>spring_phab_xcdenmid|</t>
        </is>
      </c>
      <c r="B29" s="68" t="inlineStr">
        <is>
          <t>spring-phab-xcdenmid</t>
        </is>
      </c>
      <c r="C29" s="68" t="inlineStr">
        <is>
          <t>Canopy density, mid-channel</t>
        </is>
      </c>
      <c r="D29" s="68" t="inlineStr"/>
      <c r="E29" s="68" t="n">
        <v>5</v>
      </c>
      <c r="F29" s="68" t="inlineStr">
        <is>
          <t>30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9" s="68" t="n">
        <v>0</v>
      </c>
      <c r="H29" s="68" t="n">
        <v>15.05443055289132</v>
      </c>
      <c r="I29" s="68" t="n">
        <v>35.12700462341309</v>
      </c>
      <c r="J29" s="68" t="n">
        <v>76.16644477844238</v>
      </c>
      <c r="K29" s="68" t="n">
        <v>96.68616485595703</v>
      </c>
      <c r="L29" s="68" t="n">
        <v>96.68616485595703</v>
      </c>
      <c r="M29" s="68" t="n">
        <v>96.68616485595703</v>
      </c>
      <c r="N29" s="68" t="n">
        <v>96.68616485595703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spring_phab_xcmgw|</t>
        </is>
      </c>
      <c r="B30" s="68" t="inlineStr">
        <is>
          <t>spring-phab-xcmgw</t>
        </is>
      </c>
      <c r="C30" s="68" t="inlineStr">
        <is>
          <t>Riparian veg cover, woody</t>
        </is>
      </c>
      <c r="D30" s="68" t="inlineStr"/>
      <c r="E30" s="68" t="n">
        <v>5</v>
      </c>
      <c r="F30" s="68" t="inlineStr">
        <is>
          <t>14 least-disturbed streams of this ecoregion under the regional screen (agriculture at most 77.37 percent)</t>
        </is>
      </c>
      <c r="G30" s="68" t="n">
        <v>0</v>
      </c>
      <c r="H30" s="68" t="n">
        <v>0.2704139713730131</v>
      </c>
      <c r="I30" s="68" t="n">
        <v>0.6309659332036972</v>
      </c>
      <c r="J30" s="68" t="n">
        <v>1.099147707223892</v>
      </c>
      <c r="K30" s="68" t="n">
        <v>1.33323859423399</v>
      </c>
      <c r="L30" s="68" t="n">
        <v>1.33323859423399</v>
      </c>
      <c r="M30" s="68" t="n">
        <v>1.33323859423399</v>
      </c>
      <c r="N30" s="68" t="n">
        <v>1.33323859423399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spring_chem_ntl|</t>
        </is>
      </c>
      <c r="B31" s="68" t="inlineStr">
        <is>
          <t>spring-chem-ntl</t>
        </is>
      </c>
      <c r="C31" s="68" t="inlineStr">
        <is>
          <t>Total nitrogen</t>
        </is>
      </c>
      <c r="D31" s="68" t="inlineStr"/>
      <c r="E31" s="68" t="n">
        <v>4</v>
      </c>
      <c r="F31" s="68" t="inlineStr">
        <is>
          <t>Scored against a published criterion rather than against stations from this ecoregion. The criterion carries its own definition of reference, which need not match this assessment's.</t>
        </is>
      </c>
      <c r="G31" s="68" t="n">
        <v>0</v>
      </c>
      <c r="H31" s="68" t="n">
        <v>0.7005</v>
      </c>
      <c r="I31" s="68" t="n">
        <v>1.274</v>
      </c>
      <c r="J31" s="68" t="n">
        <v>2.01955</v>
      </c>
      <c r="K31" s="68" t="n">
        <v>2.01955</v>
      </c>
      <c r="L31" s="68" t="n">
        <v>2.01955</v>
      </c>
      <c r="M31" s="68" t="n">
        <v>2.01955</v>
      </c>
      <c r="N31" s="68" t="n">
        <v>2.01955</v>
      </c>
      <c r="O31" s="68" t="n">
        <v>1</v>
      </c>
      <c r="P31" s="68" t="n">
        <v>0.6899999999999999</v>
      </c>
      <c r="Q31" s="68" t="n">
        <v>0.39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spring_chem_ptl|</t>
        </is>
      </c>
      <c r="B32" s="68" t="inlineStr">
        <is>
          <t>spring-chem-ptl</t>
        </is>
      </c>
      <c r="C32" s="68" t="inlineStr">
        <is>
          <t>Total phosphorus</t>
        </is>
      </c>
      <c r="D32" s="68" t="inlineStr"/>
      <c r="E32" s="68" t="n">
        <v>4</v>
      </c>
      <c r="F32" s="68" t="inlineStr">
        <is>
          <t>Scored against a published criterion rather than against stations from this ecoregion. The criterion carries its own definition of reference, which need not match this assessment's.</t>
        </is>
      </c>
      <c r="G32" s="68" t="n">
        <v>0</v>
      </c>
      <c r="H32" s="68" t="n">
        <v>88.65000000000001</v>
      </c>
      <c r="I32" s="68" t="n">
        <v>143</v>
      </c>
      <c r="J32" s="68" t="n">
        <v>213.655</v>
      </c>
      <c r="K32" s="68" t="n">
        <v>213.655</v>
      </c>
      <c r="L32" s="68" t="n">
        <v>213.655</v>
      </c>
      <c r="M32" s="68" t="n">
        <v>213.655</v>
      </c>
      <c r="N32" s="68" t="n">
        <v>213.655</v>
      </c>
      <c r="O32" s="68" t="n">
        <v>1</v>
      </c>
      <c r="P32" s="68" t="n">
        <v>0.6899999999999999</v>
      </c>
      <c r="Q32" s="68" t="n">
        <v>0.39</v>
      </c>
      <c r="R32" s="68" t="n">
        <v>0</v>
      </c>
      <c r="S32" s="68" t="n">
        <v>0</v>
      </c>
      <c r="T32" s="68" t="n">
        <v>0</v>
      </c>
      <c r="U32" s="68" t="n">
        <v>0</v>
      </c>
      <c r="V32" s="68" t="n">
        <v>0</v>
      </c>
    </row>
    <row r="33">
      <c r="A33" s="68" t="inlineStr">
        <is>
          <t>spring_chem_ph|</t>
        </is>
      </c>
      <c r="B33" s="68" t="inlineStr">
        <is>
          <t>spring-chem-ph</t>
        </is>
      </c>
      <c r="C33" s="68" t="inlineStr">
        <is>
          <t>pH</t>
        </is>
      </c>
      <c r="D33" s="68" t="inlineStr"/>
      <c r="E33" s="68" t="n">
        <v>8</v>
      </c>
      <c r="F33" s="68" t="inlineStr">
        <is>
          <t>33 least-disturbed stations borrowed from Level II ecoregion 9.4 (South Central Semi-Arid Prairies) under the regional screen (agriculture at most 77.37 percent), transfer risk low</t>
        </is>
      </c>
      <c r="G33" s="68" t="n">
        <v>7.369998931884766</v>
      </c>
      <c r="H33" s="68" t="n">
        <v>7.639999389648438</v>
      </c>
      <c r="I33" s="68" t="n">
        <v>7.815499687194825</v>
      </c>
      <c r="J33" s="68" t="n">
        <v>7.909999847412109</v>
      </c>
      <c r="K33" s="68" t="n">
        <v>8.180000305175781</v>
      </c>
      <c r="L33" s="68" t="n">
        <v>8.274500465393066</v>
      </c>
      <c r="M33" s="68" t="n">
        <v>8.450000762939453</v>
      </c>
      <c r="N33" s="68" t="n">
        <v>8.720001220703125</v>
      </c>
      <c r="O33" s="68" t="n">
        <v>0</v>
      </c>
      <c r="P33" s="68" t="n">
        <v>0.3</v>
      </c>
      <c r="Q33" s="68" t="n">
        <v>0.7</v>
      </c>
      <c r="R33" s="68" t="n">
        <v>1</v>
      </c>
      <c r="S33" s="68" t="n">
        <v>1</v>
      </c>
      <c r="T33" s="68" t="n">
        <v>0.7</v>
      </c>
      <c r="U33" s="68" t="n">
        <v>0.3</v>
      </c>
      <c r="V33" s="68" t="n">
        <v>0</v>
      </c>
    </row>
    <row r="34">
      <c r="A34" s="68" t="inlineStr">
        <is>
          <t>spring_chem_cond|</t>
        </is>
      </c>
      <c r="B34" s="68" t="inlineStr">
        <is>
          <t>spring-chem-cond</t>
        </is>
      </c>
      <c r="C34" s="68" t="inlineStr">
        <is>
          <t>Specific conductivity</t>
        </is>
      </c>
      <c r="D34" s="68" t="inlineStr"/>
      <c r="E34" s="68" t="n">
        <v>4</v>
      </c>
      <c r="F34" s="68" t="inlineStr">
        <is>
          <t>Scored against a published criterion rather than against stations from this ecoregion. The criterion carries its own definition of reference, which need not match this assessment's.</t>
        </is>
      </c>
      <c r="G34" s="68" t="n">
        <v>0</v>
      </c>
      <c r="H34" s="68" t="n">
        <v>1000.05</v>
      </c>
      <c r="I34" s="68" t="n">
        <v>2000.05</v>
      </c>
      <c r="J34" s="68" t="n">
        <v>3300.05</v>
      </c>
      <c r="K34" s="68" t="n">
        <v>3300.05</v>
      </c>
      <c r="L34" s="68" t="n">
        <v>3300.05</v>
      </c>
      <c r="M34" s="68" t="n">
        <v>3300.05</v>
      </c>
      <c r="N34" s="68" t="n">
        <v>3300.05</v>
      </c>
      <c r="O34" s="68" t="n">
        <v>1</v>
      </c>
      <c r="P34" s="68" t="n">
        <v>0.6899999999999999</v>
      </c>
      <c r="Q34" s="68" t="n">
        <v>0.39</v>
      </c>
      <c r="R34" s="68" t="n">
        <v>0</v>
      </c>
      <c r="S34" s="68" t="n">
        <v>0</v>
      </c>
      <c r="T34" s="68" t="n">
        <v>0</v>
      </c>
      <c r="U34" s="68" t="n">
        <v>0</v>
      </c>
      <c r="V34" s="68" t="n">
        <v>0</v>
      </c>
    </row>
    <row r="35">
      <c r="A35" s="68" t="inlineStr">
        <is>
          <t>spring_phab_pct_fast|All streams (pooled)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>
        <is>
          <t>All streams (pooled)</t>
        </is>
      </c>
      <c r="E35" s="68" t="n">
        <v>5</v>
      </c>
      <c r="F35" s="68" t="inlineStr">
        <is>
          <t>54 least-disturbed stations borrowed from Level II ecoregion 9.4 (South Central Semi-Arid Prairies) under the regional screen (agriculture at most 77.37 percent), transfer risk low</t>
        </is>
      </c>
      <c r="G35" s="68" t="n">
        <v>0</v>
      </c>
      <c r="H35" s="68" t="n">
        <v>0.5357142857142857</v>
      </c>
      <c r="I35" s="68" t="n">
        <v>1.25</v>
      </c>
      <c r="J35" s="68" t="n">
        <v>15.86363625526428</v>
      </c>
      <c r="K35" s="68" t="n">
        <v>23.17045438289642</v>
      </c>
      <c r="L35" s="68" t="n">
        <v>23.17045438289642</v>
      </c>
      <c r="M35" s="68" t="n">
        <v>23.17045438289642</v>
      </c>
      <c r="N35" s="68" t="n">
        <v>23.17045438289642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spring_phab_pct_fast|Low gradient (under 0.5 percent)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>
        <is>
          <t>Low gradient (under 0.5 percent)</t>
        </is>
      </c>
      <c r="E36" s="68" t="n">
        <v>5</v>
      </c>
      <c r="F36" s="68" t="inlineStr">
        <is>
          <t>54 least-disturbed stations borrowed from Level II ecoregion 9.4 (South Central Semi-Arid Prairies) under the regional screen (agriculture at most 77.37 percent), transfer risk low</t>
        </is>
      </c>
      <c r="G36" s="68" t="n">
        <v>0</v>
      </c>
      <c r="H36" s="68" t="n">
        <v>0.4183673475469862</v>
      </c>
      <c r="I36" s="68" t="n">
        <v>0.9761904776096344</v>
      </c>
      <c r="J36" s="68" t="n">
        <v>12</v>
      </c>
      <c r="K36" s="68" t="n">
        <v>17.51190476119518</v>
      </c>
      <c r="L36" s="68" t="n">
        <v>17.51190476119518</v>
      </c>
      <c r="M36" s="68" t="n">
        <v>17.51190476119518</v>
      </c>
      <c r="N36" s="68" t="n">
        <v>17.51190476119518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spring_phab_pct_fast|Moderate gradient (0.5 to 2 percent)</t>
        </is>
      </c>
      <c r="B37" s="68" t="inlineStr">
        <is>
          <t>spring-phab-pct-fast</t>
        </is>
      </c>
      <c r="C37" s="68" t="inlineStr">
        <is>
          <t>Fast-water / riffle habitat</t>
        </is>
      </c>
      <c r="D37" s="68" t="inlineStr">
        <is>
          <t>Moderate gradient (0.5 to 2 percent)</t>
        </is>
      </c>
      <c r="E37" s="68" t="n">
        <v>5</v>
      </c>
      <c r="F37" s="68" t="inlineStr">
        <is>
          <t>54 least-disturbed stations borrowed from Level II ecoregion 9.4 (South Central Semi-Arid Prairies) under the regional screen (agriculture at most 77.37 percent), transfer risk low</t>
        </is>
      </c>
      <c r="G37" s="68" t="n">
        <v>0</v>
      </c>
      <c r="H37" s="68" t="n">
        <v>2.785714285714286</v>
      </c>
      <c r="I37" s="68" t="n">
        <v>6.5</v>
      </c>
      <c r="J37" s="68" t="n">
        <v>25.5</v>
      </c>
      <c r="K37" s="68" t="n">
        <v>35</v>
      </c>
      <c r="L37" s="68" t="n">
        <v>35</v>
      </c>
      <c r="M37" s="68" t="n">
        <v>35</v>
      </c>
      <c r="N37" s="68" t="n">
        <v>35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/>
      <c r="E38" s="68" t="n">
        <v>5</v>
      </c>
      <c r="F38" s="68" t="inlineStr">
        <is>
          <t>35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+0.15, at most 0.05 allowed); confidence capped at 39.</t>
        </is>
      </c>
      <c r="G38" s="68" t="n">
        <v>0</v>
      </c>
      <c r="H38" s="68" t="n">
        <v>0.07305194863251277</v>
      </c>
      <c r="I38" s="68" t="n">
        <v>0.1704545468091965</v>
      </c>
      <c r="J38" s="68" t="n">
        <v>0.2693181782960892</v>
      </c>
      <c r="K38" s="68" t="n">
        <v>0.3187499940395355</v>
      </c>
      <c r="L38" s="68" t="n">
        <v>0.3187499940395355</v>
      </c>
      <c r="M38" s="68" t="n">
        <v>0.3187499940395355</v>
      </c>
      <c r="N38" s="68" t="n">
        <v>0.3187499940395355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spring_bent_totlntax|</t>
        </is>
      </c>
      <c r="B39" s="68" t="inlineStr">
        <is>
          <t>spring-bent-totlntax</t>
        </is>
      </c>
      <c r="C39" s="68" t="inlineStr">
        <is>
          <t>Benthic total taxa richness</t>
        </is>
      </c>
      <c r="D39" s="68" t="inlineStr"/>
      <c r="E39" s="68" t="n">
        <v>5</v>
      </c>
      <c r="F39" s="68" t="inlineStr">
        <is>
          <t>28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39" s="68" t="n">
        <v>0</v>
      </c>
      <c r="H39" s="68" t="n">
        <v>10.28571428571429</v>
      </c>
      <c r="I39" s="68" t="n">
        <v>24</v>
      </c>
      <c r="J39" s="68" t="n">
        <v>35</v>
      </c>
      <c r="K39" s="68" t="n">
        <v>40.5</v>
      </c>
      <c r="L39" s="68" t="n">
        <v>40.5</v>
      </c>
      <c r="M39" s="68" t="n">
        <v>40.5</v>
      </c>
      <c r="N39" s="68" t="n">
        <v>40.5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spring_fish_nat_totlntax|</t>
        </is>
      </c>
      <c r="B40" s="68" t="inlineStr">
        <is>
          <t>spring-fish-nat-totlntax</t>
        </is>
      </c>
      <c r="C40" s="68" t="inlineStr">
        <is>
          <t>Native fish taxa richness</t>
        </is>
      </c>
      <c r="D40" s="68" t="inlineStr"/>
      <c r="E40" s="68" t="n">
        <v>5</v>
      </c>
      <c r="F40" s="68" t="inlineStr">
        <is>
          <t>23 least-disturbed stations borrowed from NARS-9 region TPL under the regional screen (agriculture at most 77.37 percent), transfer risk moderate</t>
        </is>
      </c>
      <c r="G40" s="68" t="n">
        <v>0</v>
      </c>
      <c r="H40" s="68" t="n">
        <v>3.428571428571428</v>
      </c>
      <c r="I40" s="68" t="n">
        <v>8</v>
      </c>
      <c r="J40" s="68" t="n">
        <v>16.5</v>
      </c>
      <c r="K40" s="68" t="n">
        <v>20.75</v>
      </c>
      <c r="L40" s="68" t="n">
        <v>20.75</v>
      </c>
      <c r="M40" s="68" t="n">
        <v>20.75</v>
      </c>
      <c r="N40" s="68" t="n">
        <v>20.75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spring_bent_ept_ntax|</t>
        </is>
      </c>
      <c r="B41" s="68" t="inlineStr">
        <is>
          <t>spring-bent-ept-ntax</t>
        </is>
      </c>
      <c r="C41" s="68" t="inlineStr">
        <is>
          <t>EPT taxa richness</t>
        </is>
      </c>
      <c r="D41" s="68" t="inlineStr"/>
      <c r="E41" s="68" t="n">
        <v>5</v>
      </c>
      <c r="F41" s="68" t="inlineStr">
        <is>
          <t>28 least-disturbed stations borrowed from Level II ecoregion 9.4 (South Central Semi-Arid Prairies)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41" s="68" t="n">
        <v>0</v>
      </c>
      <c r="H41" s="68" t="n">
        <v>0.4285714285714285</v>
      </c>
      <c r="I41" s="68" t="n">
        <v>1</v>
      </c>
      <c r="J41" s="68" t="n">
        <v>8</v>
      </c>
      <c r="K41" s="68" t="n">
        <v>11.5</v>
      </c>
      <c r="L41" s="68" t="n">
        <v>11.5</v>
      </c>
      <c r="M41" s="68" t="n">
        <v>11.5</v>
      </c>
      <c r="N41" s="68" t="n">
        <v>11.5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spring_bent_hprime|</t>
        </is>
      </c>
      <c r="B42" s="68" t="inlineStr">
        <is>
          <t>spring-bent-hprime</t>
        </is>
      </c>
      <c r="C42" s="68" t="inlineStr">
        <is>
          <t>Shannon diversity (H')</t>
        </is>
      </c>
      <c r="D42" s="68" t="inlineStr"/>
      <c r="E42" s="68" t="n">
        <v>5</v>
      </c>
      <c r="F42" s="68" t="inlineStr">
        <is>
          <t>14 least-disturbed streams of this ecoregion under the regional screen (agriculture at most 77.37 percent)</t>
        </is>
      </c>
      <c r="G42" s="68" t="n">
        <v>0</v>
      </c>
      <c r="H42" s="68" t="n">
        <v>1.032857179641724</v>
      </c>
      <c r="I42" s="68" t="n">
        <v>2.410000085830688</v>
      </c>
      <c r="J42" s="68" t="n">
        <v>2.717500030994415</v>
      </c>
      <c r="K42" s="68" t="n">
        <v>2.871250003576279</v>
      </c>
      <c r="L42" s="68" t="n">
        <v>2.871250003576279</v>
      </c>
      <c r="M42" s="68" t="n">
        <v>2.871250003576279</v>
      </c>
      <c r="N42" s="68" t="n">
        <v>2.871250003576279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spring_nid_dams_1mi|</t>
        </is>
      </c>
      <c r="B43" s="68" t="inlineStr">
        <is>
          <t>spring-nid-dams-1mi</t>
        </is>
      </c>
      <c r="C43" s="68" t="inlineStr">
        <is>
          <t>Mapped dams within one mile</t>
        </is>
      </c>
      <c r="D43" s="68" t="inlineStr"/>
      <c r="E43" s="68" t="n">
        <v>4</v>
      </c>
      <c r="F43" s="68" t="inlineStr">
        <is>
          <t>Fixed criteria, the same in every region</t>
        </is>
      </c>
      <c r="G43" s="68" t="n">
        <v>0</v>
      </c>
      <c r="H43" s="68" t="n">
        <v>1</v>
      </c>
      <c r="I43" s="68" t="n">
        <v>2</v>
      </c>
      <c r="J43" s="68" t="n">
        <v>3</v>
      </c>
      <c r="K43" s="68" t="n">
        <v>3</v>
      </c>
      <c r="L43" s="68" t="n">
        <v>3</v>
      </c>
      <c r="M43" s="68" t="n">
        <v>3</v>
      </c>
      <c r="N43" s="68" t="n">
        <v>3</v>
      </c>
      <c r="O43" s="68" t="n">
        <v>1</v>
      </c>
      <c r="P43" s="68" t="n">
        <v>0.545</v>
      </c>
      <c r="Q43" s="68" t="n">
        <v>0.195</v>
      </c>
      <c r="R43" s="68" t="n">
        <v>0</v>
      </c>
      <c r="S43" s="68" t="n">
        <v>0</v>
      </c>
      <c r="T43" s="68" t="n">
        <v>0</v>
      </c>
      <c r="U43" s="68" t="n">
        <v>0</v>
      </c>
      <c r="V43" s="68" t="n">
        <v>0</v>
      </c>
    </row>
    <row r="46">
      <c r="A46" s="71" t="inlineStr">
        <is>
          <t>Curve sets by metric</t>
        </is>
      </c>
    </row>
    <row r="47">
      <c r="A47" s="68" t="inlineStr">
        <is>
          <t>All streams (pooled)</t>
        </is>
      </c>
      <c r="B47" s="5" t="inlineStr">
        <is>
          <t>Bankfull width:depth ratio</t>
        </is>
      </c>
    </row>
    <row r="48">
      <c r="A48" s="68" t="inlineStr">
        <is>
          <t>Small stream (10 to 100 km2)</t>
        </is>
      </c>
      <c r="B48" s="5" t="inlineStr">
        <is>
          <t>Bankfull width:depth ratio</t>
        </is>
      </c>
    </row>
    <row r="49">
      <c r="A49" s="68" t="inlineStr">
        <is>
          <t>Large stream (over 100 km2)</t>
        </is>
      </c>
      <c r="B49" s="5" t="inlineStr">
        <is>
          <t>Bankfull width:depth ratio</t>
        </is>
      </c>
    </row>
    <row r="50">
      <c r="A50" s="68" t="inlineStr">
        <is>
          <t>All streams (pooled)</t>
        </is>
      </c>
      <c r="B50" s="5" t="inlineStr">
        <is>
          <t>Residual pool depth</t>
        </is>
      </c>
    </row>
    <row r="51">
      <c r="A51" s="68" t="inlineStr">
        <is>
          <t>Low gradient (under 0.5 percent)</t>
        </is>
      </c>
      <c r="B51" s="5" t="inlineStr">
        <is>
          <t>Residual pool depth</t>
        </is>
      </c>
    </row>
    <row r="52">
      <c r="A52" s="68" t="inlineStr">
        <is>
          <t>Moderate gradient (0.5 to 2 percent)</t>
        </is>
      </c>
      <c r="B52" s="5" t="inlineStr">
        <is>
          <t>Residual pool depth</t>
        </is>
      </c>
    </row>
    <row r="53">
      <c r="A53" s="68" t="inlineStr">
        <is>
          <t>All streams (pooled)</t>
        </is>
      </c>
      <c r="B53" s="5" t="inlineStr">
        <is>
          <t>Bankfull height above channel</t>
        </is>
      </c>
    </row>
    <row r="54">
      <c r="A54" s="68" t="inlineStr">
        <is>
          <t>Small stream (10 to 100 km2)</t>
        </is>
      </c>
      <c r="B54" s="5" t="inlineStr">
        <is>
          <t>Bankfull height above channel</t>
        </is>
      </c>
    </row>
    <row r="55">
      <c r="A55" s="68" t="inlineStr">
        <is>
          <t>Large stream (over 100 km2)</t>
        </is>
      </c>
      <c r="B55" s="5" t="inlineStr">
        <is>
          <t>Bankfull height above channel</t>
        </is>
      </c>
    </row>
    <row r="56">
      <c r="A56" s="68" t="inlineStr">
        <is>
          <t>All streams (pooled)</t>
        </is>
      </c>
      <c r="B56" s="5" t="inlineStr">
        <is>
          <t>Relative bed stability</t>
        </is>
      </c>
    </row>
    <row r="57">
      <c r="A57" s="68" t="inlineStr">
        <is>
          <t>Small stream (10 to 100 km2)</t>
        </is>
      </c>
      <c r="B57" s="5" t="inlineStr">
        <is>
          <t>Relative bed stability</t>
        </is>
      </c>
    </row>
    <row r="58">
      <c r="A58" s="68" t="inlineStr">
        <is>
          <t>Large stream (over 100 km2)</t>
        </is>
      </c>
      <c r="B58" s="5" t="inlineStr">
        <is>
          <t>Relative bed stability</t>
        </is>
      </c>
    </row>
    <row r="59">
      <c r="A59" s="68" t="inlineStr">
        <is>
          <t>All streams (pooled)</t>
        </is>
      </c>
      <c r="B59" s="5" t="inlineStr">
        <is>
          <t>Fast-water / riffle habitat</t>
        </is>
      </c>
    </row>
    <row r="60">
      <c r="A60" s="68" t="inlineStr">
        <is>
          <t>Low gradient (under 0.5 percent)</t>
        </is>
      </c>
      <c r="B60" s="5" t="inlineStr">
        <is>
          <t>Fast-water / riffle habitat</t>
        </is>
      </c>
    </row>
    <row r="61">
      <c r="A61" s="68" t="inlineStr">
        <is>
          <t>Moderate gradient (0.5 to 2 percent)</t>
        </is>
      </c>
      <c r="B61" s="5" t="inlineStr">
        <is>
          <t>Fast-water / riffle habitat</t>
        </is>
      </c>
    </row>
    <row r="64">
      <c r="A64" s="71" t="inlineStr">
        <is>
          <t>Condition classes</t>
        </is>
      </c>
    </row>
    <row r="65">
      <c r="A65" t="inlineStr">
        <is>
          <t>Metric index: at or below 0.39 Non-Functioning, at or below 0.69 Functioning At-Risk, above Functioning.</t>
        </is>
      </c>
    </row>
    <row r="66">
      <c r="A66" t="inlineStr">
        <is>
          <t>Function score (0 to 15): at or below 5 Non-Functioning, at or below 10 Functioning At-Risk, above Functioning.</t>
        </is>
      </c>
    </row>
    <row r="67">
      <c r="A6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flint-hills</t>
        </is>
      </c>
    </row>
    <row r="5">
      <c r="A5" s="68" t="inlineStr">
        <is>
          <t>Assessment name</t>
        </is>
      </c>
      <c r="B5" s="68" t="inlineStr">
        <is>
          <t>Flint Hills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sha256:ccfa82b988c0f4175c6c6a9671be4532ca6dbac35154676375017e7ad4327d5d</t>
        </is>
      </c>
    </row>
    <row r="9">
      <c r="A9" s="68" t="inlineStr">
        <is>
          <t>Region</t>
        </is>
      </c>
      <c r="B9" s="68" t="inlineStr">
        <is>
          <t>ecoregion 28 Flint Hills</t>
        </is>
      </c>
    </row>
    <row r="10">
      <c r="A10" s="68" t="inlineStr">
        <is>
          <t>Source</t>
        </is>
      </c>
      <c r="B10" s="68" t="inlineStr">
        <is>
          <t>USEPA NRSA 2013-24 (L3 ecoregion 28),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29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1" t="inlineStr">
        <is>
          <t>Function</t>
        </is>
      </c>
      <c r="B2" s="71" t="inlineStr">
        <is>
          <t>Score</t>
        </is>
      </c>
      <c r="C2" s="71" t="inlineStr">
        <is>
          <t>Non-Functioning (0-5)</t>
        </is>
      </c>
      <c r="D2" s="71" t="inlineStr">
        <is>
          <t>Functioning At-Risk (6-10)</t>
        </is>
      </c>
      <c r="E2" s="71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71" t="inlineStr">
        <is>
          <t>Outcome</t>
        </is>
      </c>
      <c r="B24" s="71" t="inlineStr">
        <is>
          <t>Score</t>
        </is>
      </c>
      <c r="C24" s="71" t="inlineStr">
        <is>
          <t>Non-Functioning (0.00-0.39)</t>
        </is>
      </c>
      <c r="D24" s="71" t="inlineStr">
        <is>
          <t>Functioning At-Risk (0.40-0.69)</t>
        </is>
      </c>
      <c r="E24" s="71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2026-09-30T07:05:52Z</dcterms:created>
  <dcterms:modified xmlns:dcterms="http://purl.org/dc/terms/" xmlns:xsi="http://www.w3.org/2001/XMLSchema-instance" xsi:type="dcterms:W3CDTF">2026-09-30T07:05:52Z</dcterms:modified>
  <cp:lastModifiedBy>DEEP</cp:lastModifiedBy>
  <cp:contentStatus>Draft</cp:contentStatus>
</cp:coreProperties>
</file>