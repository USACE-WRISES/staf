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'Reference'!$A$5:$A$38</definedName>
    <definedName name="curve_x1">'Reference'!$G$5:$G$38</definedName>
    <definedName name="curve_y1">'Reference'!$O$5:$O$38</definedName>
    <definedName name="curve_x2">'Reference'!$H$5:$H$38</definedName>
    <definedName name="curve_y2">'Reference'!$P$5:$P$38</definedName>
    <definedName name="curve_x3">'Reference'!$I$5:$I$38</definedName>
    <definedName name="curve_y3">'Reference'!$Q$5:$Q$38</definedName>
    <definedName name="curve_x4">'Reference'!$J$5:$J$38</definedName>
    <definedName name="curve_y4">'Reference'!$R$5:$R$38</definedName>
    <definedName name="curve_x5">'Reference'!$K$5:$K$38</definedName>
    <definedName name="curve_y5">'Reference'!$S$5:$S$38</definedName>
    <definedName name="curve_x6">'Reference'!$L$5:$L$38</definedName>
    <definedName name="curve_y6">'Reference'!$T$5:$T$38</definedName>
    <definedName name="curve_x7">'Reference'!$M$5:$M$38</definedName>
    <definedName name="curve_y7">'Reference'!$U$5:$U$38</definedName>
    <definedName name="curve_x8">'Reference'!$N$5:$N$38</definedName>
    <definedName name="curve_y8">'Reference'!$V$5:$V$38</definedName>
    <definedName name="strata_spring_phab_lrbs_use">'Reference'!$A$42:$A$45</definedName>
    <definedName name="strata_spring_phab_xcdenmid">'Reference'!$A$46:$A$48</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fish_na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Interior River Valleys and Hills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5 curves are fitted to this ecoregion's own streams under the documented regional screen, which relaxes agriculture only. 20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Interior River Valleys and Hills reference assessment</t>
        </is>
      </c>
    </row>
    <row r="3">
      <c r="A3" s="5" t="inlineStr">
        <is>
          <t>Version 1 | Draft | USEPA NRSA 2013-24 (L3 ecoregion 72),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46"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IF('Metrics'!$V$15="","",'Metrics'!$V$15)</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8" t="inlineStr">
        <is>
          <t>All streams (pooled)</t>
        </is>
      </c>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50" t="inlineStr">
        <is>
          <t>Biology</t>
        </is>
      </c>
      <c r="B40" s="12" t="inlineStr">
        <is>
          <t>Habitat provision</t>
        </is>
      </c>
      <c r="C40" s="13" t="inlineStr">
        <is>
          <t>Fast-water / riffle habitat</t>
        </is>
      </c>
      <c r="D40" s="14" t="inlineStr">
        <is>
          <t>%</t>
        </is>
      </c>
      <c r="E40" s="15" t="n"/>
      <c r="F40" s="16" t="inlineStr"/>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IF('Metrics'!$V$28="","",'Metrics'!$V$28)</f>
        <v/>
      </c>
      <c r="H41" s="21" t="n"/>
      <c r="I41" s="27" t="n"/>
    </row>
    <row r="42">
      <c r="A42" s="50" t="inlineStr">
        <is>
          <t>Biology</t>
        </is>
      </c>
      <c r="B42" s="12" t="inlineStr">
        <is>
          <t>Population support</t>
        </is>
      </c>
      <c r="C42" s="13" t="inlineStr">
        <is>
          <t>Benthic total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IF('Metrics'!$V$30="","",'Metrics'!$V$30)</f>
        <v/>
      </c>
      <c r="H43" s="21" t="n"/>
      <c r="I43" s="27" t="n"/>
    </row>
    <row r="44">
      <c r="A44" s="50"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f>
        <v/>
      </c>
      <c r="D12" s="69">
        <f>"spring_phab_bfwd_rat|"&amp;'Metrics'!$C$12</f>
        <v/>
      </c>
      <c r="E12" s="69">
        <f>IFERROR(MATCH('Metrics'!$D$12,curve_key,0),MATCH("spring_phab_bfwd_rat|",curve_key,0))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IF('DEEP Score'!$F$34="","All streams (pooled)",'DEEP Score'!$F$34)</f>
        <v/>
      </c>
      <c r="D21" s="69">
        <f>"spring_phab_xcdenmid|"&amp;'Metrics'!$C$21</f>
        <v/>
      </c>
      <c r="E21" s="69">
        <f>IFERROR(MATCH('Metrics'!$D$21,curve_key,0),MATCH("spring_phab_xcdenmid|All streams (pooled)",curve_key,0))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f>
        <v/>
      </c>
      <c r="D27" s="69">
        <f>"spring_phab_pct_fast|"&amp;'Metrics'!$C$27</f>
        <v/>
      </c>
      <c r="E27" s="69">
        <f>IFERROR(MATCH('Metrics'!$D$27,curve_key,0),MATCH("spring_phab_pct_fast|",curve_key,0))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f>
        <v/>
      </c>
      <c r="D28" s="69">
        <f>"spring_phab_xfc_nat|"&amp;'Metrics'!$C$28</f>
        <v/>
      </c>
      <c r="E28" s="69">
        <f>IFERROR(MATCH('Metrics'!$D$28,curve_key,0),MATCH("spring_phab_xfc_nat|",curve_key,0))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Score'!$E$42="","",'DEEP Score'!$E$42)</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fish taxa richness</t>
        </is>
      </c>
      <c r="B30" s="69">
        <f>IF('DEEP Score'!$E$43="","",'DEEP Score'!$E$43)</f>
        <v/>
      </c>
      <c r="C30" s="69">
        <f>""</f>
        <v/>
      </c>
      <c r="D30" s="69">
        <f>"spring_fish_nat_totlntax|"&amp;'Metrics'!$C$30</f>
        <v/>
      </c>
      <c r="E30" s="69">
        <f>IFERROR(MATCH('Metrics'!$D$30,curve_key,0),MATCH("spring_fish_nat_totlntax|",curve_key,0))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4"/>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confidence capped at 39.</t>
        </is>
      </c>
      <c r="G7" s="68" t="n">
        <v>0</v>
      </c>
      <c r="H7" s="68" t="n">
        <v>0.1414285714285714</v>
      </c>
      <c r="I7" s="68" t="n">
        <v>0.33</v>
      </c>
      <c r="J7" s="68" t="n">
        <v>11.31</v>
      </c>
      <c r="K7" s="68" t="n">
        <v>16.8</v>
      </c>
      <c r="L7" s="68" t="n">
        <v>16.8</v>
      </c>
      <c r="M7" s="68" t="n">
        <v>16.8</v>
      </c>
      <c r="N7" s="68" t="n">
        <v>16.8</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153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13.53972857142857</v>
      </c>
      <c r="I9" s="68" t="n">
        <v>31.5927</v>
      </c>
      <c r="J9" s="68" t="n">
        <v>51.9744</v>
      </c>
      <c r="K9" s="68" t="n">
        <v>62.16525</v>
      </c>
      <c r="L9" s="68" t="n">
        <v>62.16525</v>
      </c>
      <c r="M9" s="68" t="n">
        <v>62.16525</v>
      </c>
      <c r="N9" s="68" t="n">
        <v>62.16525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28 least-disturbed stations borrowed from Level II ecoregion 8.3 (Southeastern Usa Plains) under the regional screen (agriculture at most 77.37 percent), transfer risk moderate</t>
        </is>
      </c>
      <c r="G11" s="68" t="n">
        <v>0</v>
      </c>
      <c r="H11" s="68" t="n">
        <v>5.415674992970058</v>
      </c>
      <c r="I11" s="68" t="n">
        <v>12.6365749835968</v>
      </c>
      <c r="J11" s="68" t="n">
        <v>36.78337478637695</v>
      </c>
      <c r="K11" s="68" t="n">
        <v>48.85677468776703</v>
      </c>
      <c r="L11" s="68" t="n">
        <v>48.85677468776703</v>
      </c>
      <c r="M11" s="68" t="n">
        <v>48.85677468776703</v>
      </c>
      <c r="N11" s="68" t="n">
        <v>48.85677468776703</v>
      </c>
      <c r="O11" s="68" t="n">
        <v>0</v>
      </c>
      <c r="P11" s="68" t="n">
        <v>0.3</v>
      </c>
      <c r="Q11" s="68" t="n">
        <v>0.7</v>
      </c>
      <c r="R11" s="68" t="n">
        <v>1</v>
      </c>
      <c r="S11" s="68" t="n">
        <v>1</v>
      </c>
      <c r="T11" s="68" t="n">
        <v>1</v>
      </c>
      <c r="U11" s="68" t="n">
        <v>1</v>
      </c>
      <c r="V11" s="68" t="n">
        <v>1</v>
      </c>
    </row>
    <row r="12">
      <c r="A12" s="68" t="inlineStr">
        <is>
          <t>spring_phab_bfwd_rat|</t>
        </is>
      </c>
      <c r="B12" s="68" t="inlineStr">
        <is>
          <t>spring-phab-bfwd-rat</t>
        </is>
      </c>
      <c r="C12" s="68" t="inlineStr">
        <is>
          <t>Bankfull width:depth ratio</t>
        </is>
      </c>
      <c r="D12" s="68" t="inlineStr"/>
      <c r="E12" s="68" t="n">
        <v>7</v>
      </c>
      <c r="F12" s="68" t="inlineStr">
        <is>
          <t>28 least-disturbed stations borrowed from Level II ecoregion 8.3 (Southeastern Usa Plains)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5.640855550765991</v>
      </c>
      <c r="I12" s="68" t="n">
        <v>8.759873867034912</v>
      </c>
      <c r="J12" s="68" t="n">
        <v>17.6713547706604</v>
      </c>
      <c r="K12" s="68" t="n">
        <v>20.79037308692932</v>
      </c>
      <c r="L12" s="68" t="n">
        <v>26.58283567428589</v>
      </c>
      <c r="M12" s="68" t="n">
        <v>35.49431657791138</v>
      </c>
      <c r="N12" s="68" t="n">
        <v>35.49431657791138</v>
      </c>
      <c r="O12" s="68" t="n">
        <v>0</v>
      </c>
      <c r="P12" s="68" t="n">
        <v>0.7</v>
      </c>
      <c r="Q12" s="68" t="n">
        <v>1</v>
      </c>
      <c r="R12" s="68" t="n">
        <v>1</v>
      </c>
      <c r="S12" s="68" t="n">
        <v>0.7</v>
      </c>
      <c r="T12" s="68" t="n">
        <v>0.3</v>
      </c>
      <c r="U12" s="68" t="n">
        <v>0</v>
      </c>
      <c r="V12" s="68" t="n">
        <v>0</v>
      </c>
    </row>
    <row r="13">
      <c r="A13" s="68" t="inlineStr">
        <is>
          <t>spring_phab_xbkf_h|</t>
        </is>
      </c>
      <c r="B13" s="68" t="inlineStr">
        <is>
          <t>spring-phab-xbkf-h</t>
        </is>
      </c>
      <c r="C13" s="68" t="inlineStr">
        <is>
          <t>Bankfull height above channel</t>
        </is>
      </c>
      <c r="D13" s="68" t="inlineStr"/>
      <c r="E13" s="68" t="n">
        <v>7</v>
      </c>
      <c r="F13" s="68" t="inlineStr">
        <is>
          <t>28 least-disturbed stations borrowed from Level II ecoregion 8.3 (Southeastern Usa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0.2302613757550717</v>
      </c>
      <c r="I13" s="68" t="n">
        <v>0.3838636428117752</v>
      </c>
      <c r="J13" s="68" t="n">
        <v>0.8227272629737854</v>
      </c>
      <c r="K13" s="68" t="n">
        <v>0.9763295300304889</v>
      </c>
      <c r="L13" s="68" t="n">
        <v>1.261590883135796</v>
      </c>
      <c r="M13" s="68" t="n">
        <v>1.700454503297806</v>
      </c>
      <c r="N13" s="68" t="n">
        <v>1.700454503297806</v>
      </c>
      <c r="O13" s="68" t="n">
        <v>0</v>
      </c>
      <c r="P13" s="68" t="n">
        <v>0.7</v>
      </c>
      <c r="Q13" s="68" t="n">
        <v>1</v>
      </c>
      <c r="R13" s="68" t="n">
        <v>1</v>
      </c>
      <c r="S13" s="68" t="n">
        <v>0.7</v>
      </c>
      <c r="T13" s="68" t="n">
        <v>0.3</v>
      </c>
      <c r="U13" s="68" t="n">
        <v>0</v>
      </c>
      <c r="V13" s="68" t="n">
        <v>0</v>
      </c>
    </row>
    <row r="14">
      <c r="A14" s="68" t="inlineStr">
        <is>
          <t>spring_phab_pct_safn|</t>
        </is>
      </c>
      <c r="B14" s="68" t="inlineStr">
        <is>
          <t>spring-phab-pct-safn</t>
        </is>
      </c>
      <c r="C14" s="68" t="inlineStr">
        <is>
          <t>Sand + fines</t>
        </is>
      </c>
      <c r="D14" s="68" t="inlineStr"/>
      <c r="E14" s="68" t="n">
        <v>4</v>
      </c>
      <c r="F14" s="68" t="inlineStr">
        <is>
          <t>28 least-disturbed stations borrowed from Level II ecoregion 8.3 (Southeastern Usa Plains) under the regional screen (agriculture at most 77.37 percent), transfer risk low</t>
        </is>
      </c>
      <c r="G14" s="68" t="n">
        <v>8.333332538604736</v>
      </c>
      <c r="H14" s="68" t="n">
        <v>26.42857074737549</v>
      </c>
      <c r="I14" s="68" t="n">
        <v>62.61904716491699</v>
      </c>
      <c r="J14" s="68" t="n">
        <v>100</v>
      </c>
      <c r="K14" s="68" t="n">
        <v>100</v>
      </c>
      <c r="L14" s="68" t="n">
        <v>100</v>
      </c>
      <c r="M14" s="68" t="n">
        <v>100</v>
      </c>
      <c r="N14" s="68" t="n">
        <v>100</v>
      </c>
      <c r="O14" s="68" t="n">
        <v>1</v>
      </c>
      <c r="P14" s="68" t="n">
        <v>1</v>
      </c>
      <c r="Q14" s="68" t="n">
        <v>0.7</v>
      </c>
      <c r="R14" s="68" t="n">
        <v>0</v>
      </c>
      <c r="S14" s="68" t="n">
        <v>0</v>
      </c>
      <c r="T14" s="68" t="n">
        <v>0</v>
      </c>
      <c r="U14" s="68" t="n">
        <v>0</v>
      </c>
      <c r="V14" s="68" t="n">
        <v>0</v>
      </c>
    </row>
    <row r="15">
      <c r="A15" s="68" t="inlineStr">
        <is>
          <t>spring_phab_xembed|</t>
        </is>
      </c>
      <c r="B15" s="68" t="inlineStr">
        <is>
          <t>spring-phab-xembed</t>
        </is>
      </c>
      <c r="C15" s="68" t="inlineStr">
        <is>
          <t>Embeddedness</t>
        </is>
      </c>
      <c r="D15" s="68" t="inlineStr"/>
      <c r="E15" s="68" t="n">
        <v>4</v>
      </c>
      <c r="F15" s="68" t="inlineStr">
        <is>
          <t>14 least-disturbed streams of this ecoregion under the regional screen (agriculture at most 77.37 percent)</t>
        </is>
      </c>
      <c r="G15" s="68" t="n">
        <v>48.48863649368286</v>
      </c>
      <c r="H15" s="68" t="n">
        <v>57.50000095367432</v>
      </c>
      <c r="I15" s="68" t="n">
        <v>75.52272987365723</v>
      </c>
      <c r="J15" s="68" t="n">
        <v>100</v>
      </c>
      <c r="K15" s="68" t="n">
        <v>100</v>
      </c>
      <c r="L15" s="68" t="n">
        <v>100</v>
      </c>
      <c r="M15" s="68" t="n">
        <v>100</v>
      </c>
      <c r="N15" s="68" t="n">
        <v>100</v>
      </c>
      <c r="O15" s="68" t="n">
        <v>1</v>
      </c>
      <c r="P15" s="68" t="n">
        <v>1</v>
      </c>
      <c r="Q15" s="68" t="n">
        <v>0.7</v>
      </c>
      <c r="R15" s="68" t="n">
        <v>0</v>
      </c>
      <c r="S15" s="68" t="n">
        <v>0</v>
      </c>
      <c r="T15" s="68" t="n">
        <v>0</v>
      </c>
      <c r="U15" s="68" t="n">
        <v>0</v>
      </c>
      <c r="V15" s="68" t="n">
        <v>0</v>
      </c>
    </row>
    <row r="16">
      <c r="A16" s="68" t="inlineStr">
        <is>
          <t>spring_phab_sinu|</t>
        </is>
      </c>
      <c r="B16" s="68" t="inlineStr">
        <is>
          <t>spring-phab-sinu</t>
        </is>
      </c>
      <c r="C16" s="68" t="inlineStr">
        <is>
          <t>Sinuosity</t>
        </is>
      </c>
      <c r="D16" s="68" t="inlineStr"/>
      <c r="E16" s="68" t="n">
        <v>4</v>
      </c>
      <c r="F16" s="68" t="inlineStr">
        <is>
          <t>132 least-disturbed stations borrowed from Level I ecoregion 8 (Eastern Temperate Forests) under the regional screen (agriculture at most 77.37 percent), transfer risk high</t>
        </is>
      </c>
      <c r="G16" s="68" t="n">
        <v>1</v>
      </c>
      <c r="H16" s="68" t="n">
        <v>1.069941848516464</v>
      </c>
      <c r="I16" s="68" t="n">
        <v>1.273952037096024</v>
      </c>
      <c r="J16" s="68" t="n">
        <v>1.375957131385803</v>
      </c>
      <c r="K16" s="68" t="n">
        <v>1.375957131385803</v>
      </c>
      <c r="L16" s="68" t="n">
        <v>1.375957131385803</v>
      </c>
      <c r="M16" s="68" t="n">
        <v>1.375957131385803</v>
      </c>
      <c r="N16" s="68" t="n">
        <v>1.375957131385803</v>
      </c>
      <c r="O16" s="68" t="n">
        <v>0</v>
      </c>
      <c r="P16" s="68" t="n">
        <v>0.7</v>
      </c>
      <c r="Q16" s="68" t="n">
        <v>1</v>
      </c>
      <c r="R16" s="68" t="n">
        <v>1</v>
      </c>
      <c r="S16" s="68" t="n">
        <v>1</v>
      </c>
      <c r="T16" s="68" t="n">
        <v>1</v>
      </c>
      <c r="U16" s="68" t="n">
        <v>1</v>
      </c>
      <c r="V16" s="68" t="n">
        <v>1</v>
      </c>
    </row>
    <row r="17">
      <c r="A17" s="68" t="inlineStr">
        <is>
          <t>spring_phab_xbka|</t>
        </is>
      </c>
      <c r="B17" s="68" t="inlineStr">
        <is>
          <t>spring-phab-xbka</t>
        </is>
      </c>
      <c r="C17" s="68" t="inlineStr">
        <is>
          <t>Bank angle</t>
        </is>
      </c>
      <c r="D17" s="68" t="inlineStr"/>
      <c r="E17" s="68" t="n">
        <v>7</v>
      </c>
      <c r="F17" s="68" t="inlineStr">
        <is>
          <t>26 least-disturbed stations borrowed from Level II ecoregion 8.3 (Southeastern Usa Plains) under the regional screen (agriculture at most 77.37 percent), transfer risk low</t>
        </is>
      </c>
      <c r="G17" s="68" t="n">
        <v>6.170455932617188</v>
      </c>
      <c r="H17" s="68" t="n">
        <v>21.0017053604126</v>
      </c>
      <c r="I17" s="68" t="n">
        <v>24.14772796630859</v>
      </c>
      <c r="J17" s="68" t="n">
        <v>33.1363639831543</v>
      </c>
      <c r="K17" s="68" t="n">
        <v>36.28238658905029</v>
      </c>
      <c r="L17" s="68" t="n">
        <v>42.125</v>
      </c>
      <c r="M17" s="68" t="n">
        <v>51.1136360168457</v>
      </c>
      <c r="N17" s="68" t="n">
        <v>51.1136360168457</v>
      </c>
      <c r="O17" s="68" t="n">
        <v>0.7</v>
      </c>
      <c r="P17" s="68" t="n">
        <v>0.7</v>
      </c>
      <c r="Q17" s="68" t="n">
        <v>1</v>
      </c>
      <c r="R17" s="68" t="n">
        <v>1</v>
      </c>
      <c r="S17" s="68" t="n">
        <v>0.7</v>
      </c>
      <c r="T17" s="68" t="n">
        <v>0.3</v>
      </c>
      <c r="U17" s="68" t="n">
        <v>0</v>
      </c>
      <c r="V17" s="68" t="n">
        <v>0</v>
      </c>
    </row>
    <row r="18">
      <c r="A18" s="68" t="inlineStr">
        <is>
          <t>spring_phab_lrbs_use|All streams (pooled)</t>
        </is>
      </c>
      <c r="B18" s="68" t="inlineStr">
        <is>
          <t>spring-phab-lrbs-use</t>
        </is>
      </c>
      <c r="C18" s="68" t="inlineStr">
        <is>
          <t>Relative bed stability</t>
        </is>
      </c>
      <c r="D18" s="68" t="inlineStr">
        <is>
          <t>All streams (pooled)</t>
        </is>
      </c>
      <c r="E18" s="68" t="n">
        <v>8</v>
      </c>
      <c r="F18" s="68" t="inlineStr">
        <is>
          <t>175 least-disturbed stations borrowed from Level I ecoregion 8 (Eastern Temperate Forests) under the regional screen (agriculture at most 77.37 percent), transfer risk high</t>
        </is>
      </c>
      <c r="G18" s="68" t="n">
        <v>-4.176823019981384</v>
      </c>
      <c r="H18" s="68" t="n">
        <v>-2.697869300842285</v>
      </c>
      <c r="I18" s="68" t="n">
        <v>-1.736549383401871</v>
      </c>
      <c r="J18" s="68" t="n">
        <v>-1.218915581703186</v>
      </c>
      <c r="K18" s="68" t="n">
        <v>0.2600381374359131</v>
      </c>
      <c r="L18" s="68" t="n">
        <v>0.7776719391345978</v>
      </c>
      <c r="M18" s="68" t="n">
        <v>1.738991856575012</v>
      </c>
      <c r="N18" s="68" t="n">
        <v>3.217945575714111</v>
      </c>
      <c r="O18" s="68" t="n">
        <v>0</v>
      </c>
      <c r="P18" s="68" t="n">
        <v>0.3</v>
      </c>
      <c r="Q18" s="68" t="n">
        <v>0.7</v>
      </c>
      <c r="R18" s="68" t="n">
        <v>1</v>
      </c>
      <c r="S18" s="68" t="n">
        <v>1</v>
      </c>
      <c r="T18" s="68" t="n">
        <v>0.7</v>
      </c>
      <c r="U18" s="68" t="n">
        <v>0.3</v>
      </c>
      <c r="V18" s="68" t="n">
        <v>0</v>
      </c>
    </row>
    <row r="19">
      <c r="A19" s="68" t="inlineStr">
        <is>
          <t>spring_phab_lrbs_use|Headwater (10 km2 and under)</t>
        </is>
      </c>
      <c r="B19" s="68" t="inlineStr">
        <is>
          <t>spring-phab-lrbs-use</t>
        </is>
      </c>
      <c r="C19" s="68" t="inlineStr">
        <is>
          <t>Relative bed stability</t>
        </is>
      </c>
      <c r="D19" s="68" t="inlineStr">
        <is>
          <t>Headwater (10 km2 and under)</t>
        </is>
      </c>
      <c r="E19" s="68" t="n">
        <v>8</v>
      </c>
      <c r="F19" s="68" t="inlineStr">
        <is>
          <t>175 least-disturbed stations borrowed from Level I ecoregion 8 (Eastern Temperate Forests) under the regional screen (agriculture at most 77.37 percent), transfer risk high</t>
        </is>
      </c>
      <c r="G19" s="68" t="n">
        <v>-4.880007892847061</v>
      </c>
      <c r="H19" s="68" t="n">
        <v>-3.3711017370224</v>
      </c>
      <c r="I19" s="68" t="n">
        <v>-2.39031273573637</v>
      </c>
      <c r="J19" s="68" t="n">
        <v>-1.862195581197739</v>
      </c>
      <c r="K19" s="68" t="n">
        <v>-0.3532894253730774</v>
      </c>
      <c r="L19" s="68" t="n">
        <v>0.174827729165554</v>
      </c>
      <c r="M19" s="68" t="n">
        <v>1.155616730451584</v>
      </c>
      <c r="N19" s="68" t="n">
        <v>2.664522886276245</v>
      </c>
      <c r="O19" s="68" t="n">
        <v>0</v>
      </c>
      <c r="P19" s="68" t="n">
        <v>0.3</v>
      </c>
      <c r="Q19" s="68" t="n">
        <v>0.7</v>
      </c>
      <c r="R19" s="68" t="n">
        <v>1</v>
      </c>
      <c r="S19" s="68" t="n">
        <v>1</v>
      </c>
      <c r="T19" s="68" t="n">
        <v>0.7</v>
      </c>
      <c r="U19" s="68" t="n">
        <v>0.3</v>
      </c>
      <c r="V19" s="68" t="n">
        <v>0</v>
      </c>
    </row>
    <row r="20">
      <c r="A20" s="68" t="inlineStr">
        <is>
          <t>spring_phab_lrbs_use|Small stream (10 to 100 km2)</t>
        </is>
      </c>
      <c r="B20" s="68" t="inlineStr">
        <is>
          <t>spring-phab-lrbs-use</t>
        </is>
      </c>
      <c r="C20" s="68" t="inlineStr">
        <is>
          <t>Relative bed stability</t>
        </is>
      </c>
      <c r="D20" s="68" t="inlineStr">
        <is>
          <t>Small stream (10 to 100 km2)</t>
        </is>
      </c>
      <c r="E20" s="68" t="n">
        <v>8</v>
      </c>
      <c r="F20" s="68" t="inlineStr">
        <is>
          <t>175 least-disturbed stations borrowed from Level I ecoregion 8 (Eastern Temperate Forests) under the regional screen (agriculture at most 77.37 percent), transfer risk high</t>
        </is>
      </c>
      <c r="G20" s="68" t="n">
        <v>-4.105244264006615</v>
      </c>
      <c r="H20" s="68" t="n">
        <v>-2.802466414868832</v>
      </c>
      <c r="I20" s="68" t="n">
        <v>-1.955660812929273</v>
      </c>
      <c r="J20" s="68" t="n">
        <v>-1.499688565731049</v>
      </c>
      <c r="K20" s="68" t="n">
        <v>-0.1969107165932655</v>
      </c>
      <c r="L20" s="68" t="n">
        <v>0.2590615306049585</v>
      </c>
      <c r="M20" s="68" t="n">
        <v>1.105867132544518</v>
      </c>
      <c r="N20" s="68" t="n">
        <v>2.408644981682301</v>
      </c>
      <c r="O20" s="68" t="n">
        <v>0</v>
      </c>
      <c r="P20" s="68" t="n">
        <v>0.3</v>
      </c>
      <c r="Q20" s="68" t="n">
        <v>0.7</v>
      </c>
      <c r="R20" s="68" t="n">
        <v>1</v>
      </c>
      <c r="S20" s="68" t="n">
        <v>1</v>
      </c>
      <c r="T20" s="68" t="n">
        <v>0.7</v>
      </c>
      <c r="U20" s="68" t="n">
        <v>0.3</v>
      </c>
      <c r="V20" s="68" t="n">
        <v>0</v>
      </c>
    </row>
    <row r="21">
      <c r="A21" s="68" t="inlineStr">
        <is>
          <t>spring_phab_lrbs_use|Large stream (over 100 km2)</t>
        </is>
      </c>
      <c r="B21" s="68" t="inlineStr">
        <is>
          <t>spring-phab-lrbs-use</t>
        </is>
      </c>
      <c r="C21" s="68" t="inlineStr">
        <is>
          <t>Relative bed stability</t>
        </is>
      </c>
      <c r="D21" s="68" t="inlineStr">
        <is>
          <t>Large stream (over 100 km2)</t>
        </is>
      </c>
      <c r="E21" s="68" t="n">
        <v>8</v>
      </c>
      <c r="F21" s="68" t="inlineStr">
        <is>
          <t>175 least-disturbed stations borrowed from Level I ecoregion 8 (Eastern Temperate Forests) under the regional screen (agriculture at most 77.37 percent), transfer risk high</t>
        </is>
      </c>
      <c r="G21" s="68" t="n">
        <v>-4.049520790576935</v>
      </c>
      <c r="H21" s="68" t="n">
        <v>-2.453174158930779</v>
      </c>
      <c r="I21" s="68" t="n">
        <v>-1.415548848360777</v>
      </c>
      <c r="J21" s="68" t="n">
        <v>-0.8568275272846222</v>
      </c>
      <c r="K21" s="68" t="n">
        <v>0.7395191043615341</v>
      </c>
      <c r="L21" s="68" t="n">
        <v>1.298240425437689</v>
      </c>
      <c r="M21" s="68" t="n">
        <v>2.33586573600769</v>
      </c>
      <c r="N21" s="68" t="n">
        <v>3.932212367653847</v>
      </c>
      <c r="O21" s="68" t="n">
        <v>0</v>
      </c>
      <c r="P21" s="68" t="n">
        <v>0.3</v>
      </c>
      <c r="Q21" s="68" t="n">
        <v>0.7</v>
      </c>
      <c r="R21" s="68" t="n">
        <v>1</v>
      </c>
      <c r="S21" s="68" t="n">
        <v>1</v>
      </c>
      <c r="T21" s="68" t="n">
        <v>0.7</v>
      </c>
      <c r="U21" s="68" t="n">
        <v>0.3</v>
      </c>
      <c r="V21" s="68" t="n">
        <v>0</v>
      </c>
    </row>
    <row r="22">
      <c r="A22" s="68" t="inlineStr">
        <is>
          <t>spring_phab_lsub_dmm|</t>
        </is>
      </c>
      <c r="B22" s="68" t="inlineStr">
        <is>
          <t>spring-phab-lsub-dmm</t>
        </is>
      </c>
      <c r="C22" s="68" t="inlineStr">
        <is>
          <t>Substrate size</t>
        </is>
      </c>
      <c r="D22" s="68" t="inlineStr"/>
      <c r="E22" s="68" t="n">
        <v>5</v>
      </c>
      <c r="F22" s="68" t="inlineStr">
        <is>
          <t>16 least-disturbed streams of this ecoregion under the regional screen (agriculture at most 77.37 percent)</t>
        </is>
      </c>
      <c r="G22" s="68" t="n">
        <v>-4.406058952212334</v>
      </c>
      <c r="H22" s="68" t="n">
        <v>-2.899241641163826</v>
      </c>
      <c r="I22" s="68" t="n">
        <v>-0.6390156745910645</v>
      </c>
      <c r="J22" s="68" t="n">
        <v>0.8678016364574432</v>
      </c>
      <c r="K22" s="68" t="n">
        <v>1.621210291981697</v>
      </c>
      <c r="L22" s="68" t="n">
        <v>1.621210291981697</v>
      </c>
      <c r="M22" s="68" t="n">
        <v>1.621210291981697</v>
      </c>
      <c r="N22" s="68" t="n">
        <v>1.621210291981697</v>
      </c>
      <c r="O22" s="68" t="n">
        <v>0</v>
      </c>
      <c r="P22" s="68" t="n">
        <v>0.3</v>
      </c>
      <c r="Q22" s="68" t="n">
        <v>0.7</v>
      </c>
      <c r="R22" s="68" t="n">
        <v>1</v>
      </c>
      <c r="S22" s="68" t="n">
        <v>1</v>
      </c>
      <c r="T22" s="68" t="n">
        <v>1</v>
      </c>
      <c r="U22" s="68" t="n">
        <v>1</v>
      </c>
      <c r="V22" s="68" t="n">
        <v>1</v>
      </c>
    </row>
    <row r="23">
      <c r="A23" s="68" t="inlineStr">
        <is>
          <t>spring_chem_chla|</t>
        </is>
      </c>
      <c r="B23" s="68" t="inlineStr">
        <is>
          <t>spring-chem-chla</t>
        </is>
      </c>
      <c r="C23" s="68" t="inlineStr">
        <is>
          <t>Chlorophyll a</t>
        </is>
      </c>
      <c r="D23" s="68" t="inlineStr"/>
      <c r="E23" s="68" t="n">
        <v>5</v>
      </c>
      <c r="F23" s="68" t="inlineStr">
        <is>
          <t>83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3" s="68" t="n">
        <v>0</v>
      </c>
      <c r="H23" s="68" t="n">
        <v>1.185000002384186</v>
      </c>
      <c r="I23" s="68" t="n">
        <v>5.284999847412109</v>
      </c>
      <c r="J23" s="68" t="n">
        <v>11.43499961495399</v>
      </c>
      <c r="K23" s="68" t="n">
        <v>15.53499945998192</v>
      </c>
      <c r="L23" s="68" t="n">
        <v>15.53499945998192</v>
      </c>
      <c r="M23" s="68" t="n">
        <v>15.53499945998192</v>
      </c>
      <c r="N23" s="68" t="n">
        <v>15.53499945998192</v>
      </c>
      <c r="O23" s="68" t="n">
        <v>1</v>
      </c>
      <c r="P23" s="68" t="n">
        <v>1</v>
      </c>
      <c r="Q23" s="68" t="n">
        <v>0.7</v>
      </c>
      <c r="R23" s="68" t="n">
        <v>0.3</v>
      </c>
      <c r="S23" s="68" t="n">
        <v>0</v>
      </c>
      <c r="T23" s="68" t="n">
        <v>0</v>
      </c>
      <c r="U23" s="68" t="n">
        <v>0</v>
      </c>
      <c r="V23" s="68" t="n">
        <v>0</v>
      </c>
    </row>
    <row r="24">
      <c r="A24" s="68" t="inlineStr">
        <is>
          <t>spring_phab_xcdenmid|All streams (pooled)</t>
        </is>
      </c>
      <c r="B24" s="68" t="inlineStr">
        <is>
          <t>spring-phab-xcdenmid</t>
        </is>
      </c>
      <c r="C24" s="68" t="inlineStr">
        <is>
          <t>Canopy density, mid-channel</t>
        </is>
      </c>
      <c r="D24" s="68" t="inlineStr">
        <is>
          <t>All streams (pooled)</t>
        </is>
      </c>
      <c r="E24" s="68" t="n">
        <v>5</v>
      </c>
      <c r="F24" s="68" t="inlineStr">
        <is>
          <t>82 least-disturbed stations borrowed from Level II ecoregion 8.3 (Southeastern Usa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8" t="n">
        <v>0</v>
      </c>
      <c r="H24" s="68" t="n">
        <v>32.25744846888951</v>
      </c>
      <c r="I24" s="68" t="n">
        <v>75.26737976074219</v>
      </c>
      <c r="J24" s="68" t="n">
        <v>94.85293960571289</v>
      </c>
      <c r="K24" s="68" t="n">
        <v>100</v>
      </c>
      <c r="L24" s="68" t="n">
        <v>100</v>
      </c>
      <c r="M24" s="68" t="n">
        <v>100</v>
      </c>
      <c r="N24" s="68" t="n">
        <v>100</v>
      </c>
      <c r="O24" s="68" t="n">
        <v>0</v>
      </c>
      <c r="P24" s="68" t="n">
        <v>0.3</v>
      </c>
      <c r="Q24" s="68" t="n">
        <v>0.7</v>
      </c>
      <c r="R24" s="68" t="n">
        <v>1</v>
      </c>
      <c r="S24" s="68" t="n">
        <v>1</v>
      </c>
      <c r="T24" s="68" t="n">
        <v>1</v>
      </c>
      <c r="U24" s="68" t="n">
        <v>1</v>
      </c>
      <c r="V24" s="68" t="n">
        <v>1</v>
      </c>
    </row>
    <row r="25">
      <c r="A25" s="68" t="inlineStr">
        <is>
          <t>spring_phab_xcdenmid|Headwater (10 km2 and under)</t>
        </is>
      </c>
      <c r="B25" s="68" t="inlineStr">
        <is>
          <t>spring-phab-xcdenmid</t>
        </is>
      </c>
      <c r="C25" s="68" t="inlineStr">
        <is>
          <t>Canopy density, mid-channel</t>
        </is>
      </c>
      <c r="D25" s="68" t="inlineStr">
        <is>
          <t>Headwater (10 km2 and under)</t>
        </is>
      </c>
      <c r="E25" s="68" t="n">
        <v>5</v>
      </c>
      <c r="F25" s="68" t="inlineStr">
        <is>
          <t>82 least-disturbed stations borrowed from Level II ecoregion 8.3 (Southeastern Usa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8" t="n">
        <v>0</v>
      </c>
      <c r="H25" s="68" t="n">
        <v>38.18038640703474</v>
      </c>
      <c r="I25" s="68" t="n">
        <v>89.08756828308105</v>
      </c>
      <c r="J25" s="68" t="n">
        <v>97.89438438415527</v>
      </c>
      <c r="K25" s="68" t="n">
        <v>100</v>
      </c>
      <c r="L25" s="68" t="n">
        <v>100</v>
      </c>
      <c r="M25" s="68" t="n">
        <v>100</v>
      </c>
      <c r="N25" s="68" t="n">
        <v>100</v>
      </c>
      <c r="O25" s="68" t="n">
        <v>0</v>
      </c>
      <c r="P25" s="68" t="n">
        <v>0.3</v>
      </c>
      <c r="Q25" s="68" t="n">
        <v>0.7</v>
      </c>
      <c r="R25" s="68" t="n">
        <v>1</v>
      </c>
      <c r="S25" s="68" t="n">
        <v>1</v>
      </c>
      <c r="T25" s="68" t="n">
        <v>1</v>
      </c>
      <c r="U25" s="68" t="n">
        <v>1</v>
      </c>
      <c r="V25" s="68" t="n">
        <v>1</v>
      </c>
    </row>
    <row r="26">
      <c r="A26" s="68" t="inlineStr">
        <is>
          <t>spring_phab_xcdenmid|Small stream (10 to 100 km2)</t>
        </is>
      </c>
      <c r="B26" s="68" t="inlineStr">
        <is>
          <t>spring-phab-xcdenmid</t>
        </is>
      </c>
      <c r="C26" s="68" t="inlineStr">
        <is>
          <t>Canopy density, mid-channel</t>
        </is>
      </c>
      <c r="D26" s="68" t="inlineStr">
        <is>
          <t>Small stream (10 to 100 km2)</t>
        </is>
      </c>
      <c r="E26" s="68" t="n">
        <v>5</v>
      </c>
      <c r="F26" s="68" t="inlineStr">
        <is>
          <t>82 least-disturbed stations borrowed from Level II ecoregion 8.3 (Southeastern Usa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8" t="n">
        <v>0</v>
      </c>
      <c r="H26" s="68" t="n">
        <v>30.98261996677943</v>
      </c>
      <c r="I26" s="68" t="n">
        <v>72.29277992248535</v>
      </c>
      <c r="J26" s="68" t="n">
        <v>93.01470375061035</v>
      </c>
      <c r="K26" s="68" t="n">
        <v>100</v>
      </c>
      <c r="L26" s="68" t="n">
        <v>100</v>
      </c>
      <c r="M26" s="68" t="n">
        <v>100</v>
      </c>
      <c r="N26" s="68" t="n">
        <v>100</v>
      </c>
      <c r="O26" s="68" t="n">
        <v>0</v>
      </c>
      <c r="P26" s="68" t="n">
        <v>0.3</v>
      </c>
      <c r="Q26" s="68" t="n">
        <v>0.7</v>
      </c>
      <c r="R26" s="68" t="n">
        <v>1</v>
      </c>
      <c r="S26" s="68" t="n">
        <v>1</v>
      </c>
      <c r="T26" s="68" t="n">
        <v>1</v>
      </c>
      <c r="U26" s="68" t="n">
        <v>1</v>
      </c>
      <c r="V26" s="68" t="n">
        <v>1</v>
      </c>
    </row>
    <row r="27">
      <c r="A27" s="68" t="inlineStr">
        <is>
          <t>spring_phab_xcmgw|</t>
        </is>
      </c>
      <c r="B27" s="68" t="inlineStr">
        <is>
          <t>spring-phab-xcmgw</t>
        </is>
      </c>
      <c r="C27" s="68" t="inlineStr">
        <is>
          <t>Riparian veg cover, woody</t>
        </is>
      </c>
      <c r="D27" s="68" t="inlineStr"/>
      <c r="E27" s="68" t="n">
        <v>5</v>
      </c>
      <c r="F27" s="68" t="inlineStr">
        <is>
          <t>85 least-disturbed stations borrowed from Level II ecoregion 8.3 (Southeastern Usa Plains)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7" s="68" t="n">
        <v>0</v>
      </c>
      <c r="H27" s="68" t="n">
        <v>0.2887987068721226</v>
      </c>
      <c r="I27" s="68" t="n">
        <v>0.6738636493682861</v>
      </c>
      <c r="J27" s="68" t="n">
        <v>1.362499952316284</v>
      </c>
      <c r="K27" s="68" t="n">
        <v>1.706818103790283</v>
      </c>
      <c r="L27" s="68" t="n">
        <v>1.706818103790283</v>
      </c>
      <c r="M27" s="68" t="n">
        <v>1.706818103790283</v>
      </c>
      <c r="N27" s="68" t="n">
        <v>1.706818103790283</v>
      </c>
      <c r="O27" s="68" t="n">
        <v>0</v>
      </c>
      <c r="P27" s="68" t="n">
        <v>0.3</v>
      </c>
      <c r="Q27" s="68" t="n">
        <v>0.7</v>
      </c>
      <c r="R27" s="68" t="n">
        <v>1</v>
      </c>
      <c r="S27" s="68" t="n">
        <v>1</v>
      </c>
      <c r="T27" s="68" t="n">
        <v>1</v>
      </c>
      <c r="U27" s="68" t="n">
        <v>1</v>
      </c>
      <c r="V27" s="68" t="n">
        <v>1</v>
      </c>
    </row>
    <row r="28">
      <c r="A28" s="68" t="inlineStr">
        <is>
          <t>spring_chem_ntl|</t>
        </is>
      </c>
      <c r="B28" s="68" t="inlineStr">
        <is>
          <t>spring-chem-ntl</t>
        </is>
      </c>
      <c r="C28" s="68" t="inlineStr">
        <is>
          <t>Total nitrogen</t>
        </is>
      </c>
      <c r="D28" s="68" t="inlineStr"/>
      <c r="E28" s="68" t="n">
        <v>4</v>
      </c>
      <c r="F28" s="68" t="inlineStr">
        <is>
          <t>Scored against a published criterion rather than against stations from this ecoregion. The criterion carries its own definition of reference, which need not match this assessment's.</t>
        </is>
      </c>
      <c r="G28" s="68" t="n">
        <v>0</v>
      </c>
      <c r="H28" s="68" t="n">
        <v>0.7005</v>
      </c>
      <c r="I28" s="68" t="n">
        <v>1.274</v>
      </c>
      <c r="J28" s="68" t="n">
        <v>2.01955</v>
      </c>
      <c r="K28" s="68" t="n">
        <v>2.01955</v>
      </c>
      <c r="L28" s="68" t="n">
        <v>2.01955</v>
      </c>
      <c r="M28" s="68" t="n">
        <v>2.01955</v>
      </c>
      <c r="N28" s="68" t="n">
        <v>2.01955</v>
      </c>
      <c r="O28" s="68" t="n">
        <v>1</v>
      </c>
      <c r="P28" s="68" t="n">
        <v>0.6899999999999999</v>
      </c>
      <c r="Q28" s="68" t="n">
        <v>0.39</v>
      </c>
      <c r="R28" s="68" t="n">
        <v>0</v>
      </c>
      <c r="S28" s="68" t="n">
        <v>0</v>
      </c>
      <c r="T28" s="68" t="n">
        <v>0</v>
      </c>
      <c r="U28" s="68" t="n">
        <v>0</v>
      </c>
      <c r="V28" s="68" t="n">
        <v>0</v>
      </c>
    </row>
    <row r="29">
      <c r="A29" s="68" t="inlineStr">
        <is>
          <t>spring_chem_ptl|</t>
        </is>
      </c>
      <c r="B29" s="68" t="inlineStr">
        <is>
          <t>spring-chem-ptl</t>
        </is>
      </c>
      <c r="C29" s="68" t="inlineStr">
        <is>
          <t>Total phosphorus</t>
        </is>
      </c>
      <c r="D29" s="68" t="inlineStr"/>
      <c r="E29" s="68" t="n">
        <v>4</v>
      </c>
      <c r="F29" s="68" t="inlineStr">
        <is>
          <t>Scored against a published criterion rather than against stations from this ecoregion. The criterion carries its own definition of reference, which need not match this assessment's.</t>
        </is>
      </c>
      <c r="G29" s="68" t="n">
        <v>0</v>
      </c>
      <c r="H29" s="68" t="n">
        <v>88.65000000000001</v>
      </c>
      <c r="I29" s="68" t="n">
        <v>143</v>
      </c>
      <c r="J29" s="68" t="n">
        <v>213.655</v>
      </c>
      <c r="K29" s="68" t="n">
        <v>213.655</v>
      </c>
      <c r="L29" s="68" t="n">
        <v>213.655</v>
      </c>
      <c r="M29" s="68" t="n">
        <v>213.655</v>
      </c>
      <c r="N29" s="68" t="n">
        <v>213.655</v>
      </c>
      <c r="O29" s="68" t="n">
        <v>1</v>
      </c>
      <c r="P29" s="68" t="n">
        <v>0.6899999999999999</v>
      </c>
      <c r="Q29" s="68" t="n">
        <v>0.39</v>
      </c>
      <c r="R29" s="68" t="n">
        <v>0</v>
      </c>
      <c r="S29" s="68" t="n">
        <v>0</v>
      </c>
      <c r="T29" s="68" t="n">
        <v>0</v>
      </c>
      <c r="U29" s="68" t="n">
        <v>0</v>
      </c>
      <c r="V29" s="68" t="n">
        <v>0</v>
      </c>
    </row>
    <row r="30">
      <c r="A30" s="68" t="inlineStr">
        <is>
          <t>spring_chem_ph|</t>
        </is>
      </c>
      <c r="B30" s="68" t="inlineStr">
        <is>
          <t>spring-chem-ph</t>
        </is>
      </c>
      <c r="C30" s="68" t="inlineStr">
        <is>
          <t>pH</t>
        </is>
      </c>
      <c r="D30" s="68" t="inlineStr"/>
      <c r="E30" s="68" t="n">
        <v>8</v>
      </c>
      <c r="F30" s="68" t="inlineStr">
        <is>
          <t>27 least-disturbed stations borrowed from Level II ecoregion 8.3 (Southeastern Usa Plains) under the regional screen (agriculture at most 77.37 percent), transfer risk low</t>
        </is>
      </c>
      <c r="G30" s="68" t="n">
        <v>6.955000877380371</v>
      </c>
      <c r="H30" s="68" t="n">
        <v>7.355000495910645</v>
      </c>
      <c r="I30" s="68" t="n">
        <v>7.615000247955322</v>
      </c>
      <c r="J30" s="68" t="n">
        <v>7.755000114440918</v>
      </c>
      <c r="K30" s="68" t="n">
        <v>8.154999732971191</v>
      </c>
      <c r="L30" s="68" t="n">
        <v>8.294999599456787</v>
      </c>
      <c r="M30" s="68" t="n">
        <v>8.554999351501465</v>
      </c>
      <c r="N30" s="68" t="n">
        <v>8.954998970031738</v>
      </c>
      <c r="O30" s="68" t="n">
        <v>0</v>
      </c>
      <c r="P30" s="68" t="n">
        <v>0.3</v>
      </c>
      <c r="Q30" s="68" t="n">
        <v>0.7</v>
      </c>
      <c r="R30" s="68" t="n">
        <v>1</v>
      </c>
      <c r="S30" s="68" t="n">
        <v>1</v>
      </c>
      <c r="T30" s="68" t="n">
        <v>0.7</v>
      </c>
      <c r="U30" s="68" t="n">
        <v>0.3</v>
      </c>
      <c r="V30" s="68" t="n">
        <v>0</v>
      </c>
    </row>
    <row r="31">
      <c r="A31" s="68" t="inlineStr">
        <is>
          <t>spring_chem_turb|</t>
        </is>
      </c>
      <c r="B31" s="68" t="inlineStr">
        <is>
          <t>spring-chem-turb</t>
        </is>
      </c>
      <c r="C31" s="68" t="inlineStr">
        <is>
          <t>Turbidity</t>
        </is>
      </c>
      <c r="D31" s="68" t="inlineStr"/>
      <c r="E31" s="68" t="n">
        <v>5</v>
      </c>
      <c r="F31" s="68" t="inlineStr">
        <is>
          <t>16 least-disturbed streams of this ecoregion under the regional screen (agriculture at most 77.37 percent)</t>
        </is>
      </c>
      <c r="G31" s="68" t="n">
        <v>0</v>
      </c>
      <c r="H31" s="68" t="n">
        <v>4.382499873638153</v>
      </c>
      <c r="I31" s="68" t="n">
        <v>14.47999978065491</v>
      </c>
      <c r="J31" s="68" t="n">
        <v>29.62624964118004</v>
      </c>
      <c r="K31" s="68" t="n">
        <v>39.72374954819679</v>
      </c>
      <c r="L31" s="68" t="n">
        <v>39.72374954819679</v>
      </c>
      <c r="M31" s="68" t="n">
        <v>39.72374954819679</v>
      </c>
      <c r="N31" s="68" t="n">
        <v>39.72374954819679</v>
      </c>
      <c r="O31" s="68" t="n">
        <v>1</v>
      </c>
      <c r="P31" s="68" t="n">
        <v>1</v>
      </c>
      <c r="Q31" s="68" t="n">
        <v>0.7</v>
      </c>
      <c r="R31" s="68" t="n">
        <v>0.3</v>
      </c>
      <c r="S31" s="68" t="n">
        <v>0</v>
      </c>
      <c r="T31" s="68" t="n">
        <v>0</v>
      </c>
      <c r="U31" s="68" t="n">
        <v>0</v>
      </c>
      <c r="V31" s="68" t="n">
        <v>0</v>
      </c>
    </row>
    <row r="32">
      <c r="A32" s="68" t="inlineStr">
        <is>
          <t>spring_phab_pct_fast|</t>
        </is>
      </c>
      <c r="B32" s="68" t="inlineStr">
        <is>
          <t>spring-phab-pct-fast</t>
        </is>
      </c>
      <c r="C32" s="68" t="inlineStr">
        <is>
          <t>Fast-water / riffle habitat</t>
        </is>
      </c>
      <c r="D32" s="68" t="inlineStr"/>
      <c r="E32" s="68" t="n">
        <v>5</v>
      </c>
      <c r="F32" s="68" t="inlineStr">
        <is>
          <t>28 least-disturbed stations borrowed from Level II ecoregion 8.3 (Southeastern Usa Plains) under the regional screen (agriculture at most 77.37 percent), transfer risk low</t>
        </is>
      </c>
      <c r="G32" s="68" t="n">
        <v>0</v>
      </c>
      <c r="H32" s="68" t="n">
        <v>1.428571432828903</v>
      </c>
      <c r="I32" s="68" t="n">
        <v>3.333333343267441</v>
      </c>
      <c r="J32" s="68" t="n">
        <v>19.01098871231079</v>
      </c>
      <c r="K32" s="68" t="n">
        <v>26.84981639683247</v>
      </c>
      <c r="L32" s="68" t="n">
        <v>26.84981639683247</v>
      </c>
      <c r="M32" s="68" t="n">
        <v>26.84981639683247</v>
      </c>
      <c r="N32" s="68" t="n">
        <v>26.84981639683247</v>
      </c>
      <c r="O32" s="68" t="n">
        <v>0</v>
      </c>
      <c r="P32" s="68" t="n">
        <v>0.3</v>
      </c>
      <c r="Q32" s="68" t="n">
        <v>0.7</v>
      </c>
      <c r="R32" s="68" t="n">
        <v>1</v>
      </c>
      <c r="S32" s="68" t="n">
        <v>1</v>
      </c>
      <c r="T32" s="68" t="n">
        <v>1</v>
      </c>
      <c r="U32" s="68" t="n">
        <v>1</v>
      </c>
      <c r="V32" s="68" t="n">
        <v>1</v>
      </c>
    </row>
    <row r="33">
      <c r="A33" s="68" t="inlineStr">
        <is>
          <t>spring_phab_xfc_nat|</t>
        </is>
      </c>
      <c r="B33" s="68" t="inlineStr">
        <is>
          <t>spring-phab-xfc-nat</t>
        </is>
      </c>
      <c r="C33" s="68" t="inlineStr">
        <is>
          <t>Natural fish cover</t>
        </is>
      </c>
      <c r="D33" s="68" t="inlineStr"/>
      <c r="E33" s="68" t="n">
        <v>5</v>
      </c>
      <c r="F33" s="68" t="inlineStr">
        <is>
          <t>16 least-disturbed streams of this ecoregion under the regional screen (agriculture at most 77.37 percent)</t>
        </is>
      </c>
      <c r="G33" s="68" t="n">
        <v>0</v>
      </c>
      <c r="H33" s="68" t="n">
        <v>0.08912337464945656</v>
      </c>
      <c r="I33" s="68" t="n">
        <v>0.207954540848732</v>
      </c>
      <c r="J33" s="68" t="n">
        <v>0.3181818127632141</v>
      </c>
      <c r="K33" s="68" t="n">
        <v>0.3732954487204552</v>
      </c>
      <c r="L33" s="68" t="n">
        <v>0.3732954487204552</v>
      </c>
      <c r="M33" s="68" t="n">
        <v>0.3732954487204552</v>
      </c>
      <c r="N33" s="68" t="n">
        <v>0.3732954487204552</v>
      </c>
      <c r="O33" s="68" t="n">
        <v>0</v>
      </c>
      <c r="P33" s="68" t="n">
        <v>0.3</v>
      </c>
      <c r="Q33" s="68" t="n">
        <v>0.7</v>
      </c>
      <c r="R33" s="68" t="n">
        <v>1</v>
      </c>
      <c r="S33" s="68" t="n">
        <v>1</v>
      </c>
      <c r="T33" s="68" t="n">
        <v>1</v>
      </c>
      <c r="U33" s="68" t="n">
        <v>1</v>
      </c>
      <c r="V33" s="68" t="n">
        <v>1</v>
      </c>
    </row>
    <row r="34">
      <c r="A34" s="68" t="inlineStr">
        <is>
          <t>spring_bent_totlntax|</t>
        </is>
      </c>
      <c r="B34" s="68" t="inlineStr">
        <is>
          <t>spring-bent-totlntax</t>
        </is>
      </c>
      <c r="C34" s="68" t="inlineStr">
        <is>
          <t>Benthic total taxa richness</t>
        </is>
      </c>
      <c r="D34" s="68" t="inlineStr"/>
      <c r="E34" s="68" t="n">
        <v>5</v>
      </c>
      <c r="F34" s="68" t="inlineStr">
        <is>
          <t>81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+0.08, at most 0.05 allowed); confidence capped at 39.</t>
        </is>
      </c>
      <c r="G34" s="68" t="n">
        <v>0</v>
      </c>
      <c r="H34" s="68" t="n">
        <v>12</v>
      </c>
      <c r="I34" s="68" t="n">
        <v>28</v>
      </c>
      <c r="J34" s="68" t="n">
        <v>41</v>
      </c>
      <c r="K34" s="68" t="n">
        <v>47.5</v>
      </c>
      <c r="L34" s="68" t="n">
        <v>47.5</v>
      </c>
      <c r="M34" s="68" t="n">
        <v>47.5</v>
      </c>
      <c r="N34" s="68" t="n">
        <v>47.5</v>
      </c>
      <c r="O34" s="68" t="n">
        <v>0</v>
      </c>
      <c r="P34" s="68" t="n">
        <v>0.3</v>
      </c>
      <c r="Q34" s="68" t="n">
        <v>0.7</v>
      </c>
      <c r="R34" s="68" t="n">
        <v>1</v>
      </c>
      <c r="S34" s="68" t="n">
        <v>1</v>
      </c>
      <c r="T34" s="68" t="n">
        <v>1</v>
      </c>
      <c r="U34" s="68" t="n">
        <v>1</v>
      </c>
      <c r="V34" s="68" t="n">
        <v>1</v>
      </c>
    </row>
    <row r="35">
      <c r="A35" s="68" t="inlineStr">
        <is>
          <t>spring_fish_nat_totlntax|</t>
        </is>
      </c>
      <c r="B35" s="68" t="inlineStr">
        <is>
          <t>spring-fish-nat-totlntax</t>
        </is>
      </c>
      <c r="C35" s="68" t="inlineStr">
        <is>
          <t>Native fish taxa richness</t>
        </is>
      </c>
      <c r="D35" s="68" t="inlineStr"/>
      <c r="E35" s="68" t="n">
        <v>5</v>
      </c>
      <c r="F35" s="68" t="inlineStr">
        <is>
          <t>52 least-disturbed stations borrowed from NARS-9 region TPL under the regional screen (agriculture at most 77.37 percent), transfer risk moderate</t>
        </is>
      </c>
      <c r="G35" s="68" t="n">
        <v>0</v>
      </c>
      <c r="H35" s="68" t="n">
        <v>3.428571428571428</v>
      </c>
      <c r="I35" s="68" t="n">
        <v>8</v>
      </c>
      <c r="J35" s="68" t="n">
        <v>15.25</v>
      </c>
      <c r="K35" s="68" t="n">
        <v>18.875</v>
      </c>
      <c r="L35" s="68" t="n">
        <v>18.875</v>
      </c>
      <c r="M35" s="68" t="n">
        <v>18.875</v>
      </c>
      <c r="N35" s="68" t="n">
        <v>18.875</v>
      </c>
      <c r="O35" s="68" t="n">
        <v>0</v>
      </c>
      <c r="P35" s="68" t="n">
        <v>0.3</v>
      </c>
      <c r="Q35" s="68" t="n">
        <v>0.7</v>
      </c>
      <c r="R35" s="68" t="n">
        <v>1</v>
      </c>
      <c r="S35" s="68" t="n">
        <v>1</v>
      </c>
      <c r="T35" s="68" t="n">
        <v>1</v>
      </c>
      <c r="U35" s="68" t="n">
        <v>1</v>
      </c>
      <c r="V35" s="68" t="n">
        <v>1</v>
      </c>
    </row>
    <row r="36">
      <c r="A36" s="68" t="inlineStr">
        <is>
          <t>spring_bent_ept_ntax|</t>
        </is>
      </c>
      <c r="B36" s="68" t="inlineStr">
        <is>
          <t>spring-bent-ept-ntax</t>
        </is>
      </c>
      <c r="C36" s="68" t="inlineStr">
        <is>
          <t>EPT taxa richness</t>
        </is>
      </c>
      <c r="D36" s="68" t="inlineStr"/>
      <c r="E36" s="68" t="n">
        <v>5</v>
      </c>
      <c r="F36" s="68" t="inlineStr">
        <is>
          <t>38 least-disturbed stations borrowed from Level II ecoregion 8.3 (Southeastern Usa Plains)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confidence capped at 39.</t>
        </is>
      </c>
      <c r="G36" s="68" t="n">
        <v>0</v>
      </c>
      <c r="H36" s="68" t="n">
        <v>0.9642857142857143</v>
      </c>
      <c r="I36" s="68" t="n">
        <v>2.25</v>
      </c>
      <c r="J36" s="68" t="n">
        <v>8</v>
      </c>
      <c r="K36" s="68" t="n">
        <v>10.875</v>
      </c>
      <c r="L36" s="68" t="n">
        <v>10.875</v>
      </c>
      <c r="M36" s="68" t="n">
        <v>10.875</v>
      </c>
      <c r="N36" s="68" t="n">
        <v>10.875</v>
      </c>
      <c r="O36" s="68" t="n">
        <v>0</v>
      </c>
      <c r="P36" s="68" t="n">
        <v>0.3</v>
      </c>
      <c r="Q36" s="68" t="n">
        <v>0.7</v>
      </c>
      <c r="R36" s="68" t="n">
        <v>1</v>
      </c>
      <c r="S36" s="68" t="n">
        <v>1</v>
      </c>
      <c r="T36" s="68" t="n">
        <v>1</v>
      </c>
      <c r="U36" s="68" t="n">
        <v>1</v>
      </c>
      <c r="V36" s="68" t="n">
        <v>1</v>
      </c>
    </row>
    <row r="37">
      <c r="A37" s="68" t="inlineStr">
        <is>
          <t>spring_bent_hprime|</t>
        </is>
      </c>
      <c r="B37" s="68" t="inlineStr">
        <is>
          <t>spring-bent-hprime</t>
        </is>
      </c>
      <c r="C37" s="68" t="inlineStr">
        <is>
          <t>Shannon diversity (H')</t>
        </is>
      </c>
      <c r="D37" s="68" t="inlineStr"/>
      <c r="E37" s="68" t="n">
        <v>5</v>
      </c>
      <c r="F37" s="68" t="inlineStr">
        <is>
          <t>16 least-disturbed streams of this ecoregion under the regional screen (agriculture at most 77.37 percent)</t>
        </is>
      </c>
      <c r="G37" s="68" t="n">
        <v>0</v>
      </c>
      <c r="H37" s="68" t="n">
        <v>0.8882142560822623</v>
      </c>
      <c r="I37" s="68" t="n">
        <v>2.072499930858612</v>
      </c>
      <c r="J37" s="68" t="n">
        <v>2.564999938011169</v>
      </c>
      <c r="K37" s="68" t="n">
        <v>2.811249941587448</v>
      </c>
      <c r="L37" s="68" t="n">
        <v>2.811249941587448</v>
      </c>
      <c r="M37" s="68" t="n">
        <v>2.811249941587448</v>
      </c>
      <c r="N37" s="68" t="n">
        <v>2.811249941587448</v>
      </c>
      <c r="O37" s="68" t="n">
        <v>0</v>
      </c>
      <c r="P37" s="68" t="n">
        <v>0.3</v>
      </c>
      <c r="Q37" s="68" t="n">
        <v>0.7</v>
      </c>
      <c r="R37" s="68" t="n">
        <v>1</v>
      </c>
      <c r="S37" s="68" t="n">
        <v>1</v>
      </c>
      <c r="T37" s="68" t="n">
        <v>1</v>
      </c>
      <c r="U37" s="68" t="n">
        <v>1</v>
      </c>
      <c r="V37" s="68" t="n">
        <v>1</v>
      </c>
    </row>
    <row r="38">
      <c r="A38" s="68" t="inlineStr">
        <is>
          <t>spring_nid_dams_1mi|</t>
        </is>
      </c>
      <c r="B38" s="68" t="inlineStr">
        <is>
          <t>spring-nid-dams-1mi</t>
        </is>
      </c>
      <c r="C38" s="68" t="inlineStr">
        <is>
          <t>Mapped dams within one mile</t>
        </is>
      </c>
      <c r="D38" s="68" t="inlineStr"/>
      <c r="E38" s="68" t="n">
        <v>4</v>
      </c>
      <c r="F38" s="68" t="inlineStr">
        <is>
          <t>Fixed criteria, the same in every region</t>
        </is>
      </c>
      <c r="G38" s="68" t="n">
        <v>0</v>
      </c>
      <c r="H38" s="68" t="n">
        <v>1</v>
      </c>
      <c r="I38" s="68" t="n">
        <v>2</v>
      </c>
      <c r="J38" s="68" t="n">
        <v>3</v>
      </c>
      <c r="K38" s="68" t="n">
        <v>3</v>
      </c>
      <c r="L38" s="68" t="n">
        <v>3</v>
      </c>
      <c r="M38" s="68" t="n">
        <v>3</v>
      </c>
      <c r="N38" s="68" t="n">
        <v>3</v>
      </c>
      <c r="O38" s="68" t="n">
        <v>1</v>
      </c>
      <c r="P38" s="68" t="n">
        <v>0.545</v>
      </c>
      <c r="Q38" s="68" t="n">
        <v>0.195</v>
      </c>
      <c r="R38" s="68" t="n">
        <v>0</v>
      </c>
      <c r="S38" s="68" t="n">
        <v>0</v>
      </c>
      <c r="T38" s="68" t="n">
        <v>0</v>
      </c>
      <c r="U38" s="68" t="n">
        <v>0</v>
      </c>
      <c r="V38" s="68" t="n">
        <v>0</v>
      </c>
    </row>
    <row r="41">
      <c r="A41" s="71" t="inlineStr">
        <is>
          <t>Curve sets by metric</t>
        </is>
      </c>
    </row>
    <row r="42">
      <c r="A42" s="68" t="inlineStr">
        <is>
          <t>All streams (pooled)</t>
        </is>
      </c>
      <c r="B42" s="5" t="inlineStr">
        <is>
          <t>Relative bed stability</t>
        </is>
      </c>
    </row>
    <row r="43">
      <c r="A43" s="68" t="inlineStr">
        <is>
          <t>Headwater (10 km2 and under)</t>
        </is>
      </c>
      <c r="B43" s="5" t="inlineStr">
        <is>
          <t>Relative bed stability</t>
        </is>
      </c>
    </row>
    <row r="44">
      <c r="A44" s="68" t="inlineStr">
        <is>
          <t>Small stream (10 to 100 km2)</t>
        </is>
      </c>
      <c r="B44" s="5" t="inlineStr">
        <is>
          <t>Relative bed stability</t>
        </is>
      </c>
    </row>
    <row r="45">
      <c r="A45" s="68" t="inlineStr">
        <is>
          <t>Large stream (over 100 km2)</t>
        </is>
      </c>
      <c r="B45" s="5" t="inlineStr">
        <is>
          <t>Relative bed stability</t>
        </is>
      </c>
    </row>
    <row r="46">
      <c r="A46" s="68" t="inlineStr">
        <is>
          <t>All streams (pooled)</t>
        </is>
      </c>
      <c r="B46" s="5" t="inlineStr">
        <is>
          <t>Canopy density, mid-channel</t>
        </is>
      </c>
    </row>
    <row r="47">
      <c r="A47" s="68" t="inlineStr">
        <is>
          <t>Headwater (10 km2 and under)</t>
        </is>
      </c>
      <c r="B47" s="5" t="inlineStr">
        <is>
          <t>Canopy density, mid-channel</t>
        </is>
      </c>
    </row>
    <row r="48">
      <c r="A48" s="68" t="inlineStr">
        <is>
          <t>Small stream (10 to 100 km2)</t>
        </is>
      </c>
      <c r="B48" s="5" t="inlineStr">
        <is>
          <t>Canopy density, mid-channel</t>
        </is>
      </c>
    </row>
    <row r="51">
      <c r="A51" s="71" t="inlineStr">
        <is>
          <t>Condition classes</t>
        </is>
      </c>
    </row>
    <row r="52">
      <c r="A52" t="inlineStr">
        <is>
          <t>Metric index: at or below 0.39 Non-Functioning, at or below 0.69 Functioning At-Risk, above Functioning.</t>
        </is>
      </c>
    </row>
    <row r="53">
      <c r="A53" t="inlineStr">
        <is>
          <t>Function score (0 to 15): at or below 5 Non-Functioning, at or below 10 Functioning At-Risk, above Functioning.</t>
        </is>
      </c>
    </row>
    <row r="54">
      <c r="A54"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interior-river-valleys-and-hills</t>
        </is>
      </c>
    </row>
    <row r="5">
      <c r="A5" s="68" t="inlineStr">
        <is>
          <t>Assessment name</t>
        </is>
      </c>
      <c r="B5" s="68" t="inlineStr">
        <is>
          <t>Interior River Valleys and Hills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sha256:3ed23f4a8c1793a122a750cf8cb113a90f16ca70f47b09b96cb6984cd1aa6e56</t>
        </is>
      </c>
    </row>
    <row r="9">
      <c r="A9" s="68" t="inlineStr">
        <is>
          <t>Region</t>
        </is>
      </c>
      <c r="B9" s="68" t="inlineStr">
        <is>
          <t>ecoregion 72 Interior River Valleys and Hills</t>
        </is>
      </c>
    </row>
    <row r="10">
      <c r="A10" s="68" t="inlineStr">
        <is>
          <t>Source</t>
        </is>
      </c>
      <c r="B10" s="68" t="inlineStr">
        <is>
          <t>USEPA NRSA 2013-24 (L3 ecoregion 72),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2026-09-30T07:05:40Z</dcterms:created>
  <dcterms:modified xmlns:dcterms="http://purl.org/dc/terms/" xmlns:xsi="http://www.w3.org/2001/XMLSchema-instance" xsi:type="dcterms:W3CDTF">2026-09-30T07:05:40Z</dcterms:modified>
  <cp:lastModifiedBy>DEEP</cp:lastModifiedBy>
  <cp:contentStatus>Draft</cp:contentStatus>
</cp:coreProperties>
</file>