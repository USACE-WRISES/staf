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ctwet2019ws">'Reference'!$A$52:$A$54</definedName>
    <definedName name="strata_spring_phab_rp100_cm">'Reference'!$A$55:$A$57</definedName>
    <definedName name="strata_spring_phab_bfwd_rat">'Reference'!$A$58:$A$60</definedName>
    <definedName name="strata_spring_phab_xbkf_h">'Reference'!$A$61:$A$63</definedName>
    <definedName name="strata_spring_phab_lrbs_use">'Reference'!$A$64:$A$66</definedName>
    <definedName name="strata_spring_phab_xcdenmid">'Reference'!$A$67:$A$70</definedName>
    <definedName name="strata_spring_phab_xfc_nat">'Reference'!$A$71:$A$74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xfc_nat">'DEEP Score'!$E$40</definedName>
    <definedName name="st_spring_phab_xfc_nat">'DEEP Score'!$F$40</definedName>
    <definedName name="in_spring_bent_totlntax">'DEEP Score'!$E$41</definedName>
    <definedName name="in_spring_fish_nat_totlntax">'DEEP Score'!$E$42</definedName>
    <definedName name="in_spring_bent_ept_ntax">'DEEP Score'!$E$43</definedName>
    <definedName name="in_spring_bent_hprime">'DEEP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Central Hardwood Forests reference assessment</t>
        </is>
      </c>
    </row>
    <row r="4" ht="30" customHeight="1">
      <c r="A4" s="3" t="inlineStr">
        <is>
          <t>This workbook scores one detailed assessment. It carries the assessment's metrics and their reference curves, and it scores exactly as the DEEP web application does.</t>
        </is>
      </c>
    </row>
    <row r="5" ht="180" customHeight="1">
      <c r="A5" s="3"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Central Hardwood Forests reference assessment</t>
        </is>
      </c>
    </row>
    <row r="3">
      <c r="A3" s="4" t="inlineStr">
        <is>
          <t>Version 1 | USEPA NRSA 2013-24 (L3 ecoregion 51),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40" t="inlineStr">
        <is>
          <t>All streams (pooled)</t>
        </is>
      </c>
      <c r="G19" s="25">
        <f>IF('Metrics'!$V$11="","",'Metrics'!$V$11)</f>
        <v/>
      </c>
      <c r="H19" s="20" t="n"/>
      <c r="I19" s="26" t="n"/>
    </row>
    <row r="20">
      <c r="A20" s="41" t="inlineStr">
        <is>
          <t>Hydraulics</t>
        </is>
      </c>
      <c r="B20" s="28" t="inlineStr">
        <is>
          <t>High flow dynamics</t>
        </is>
      </c>
      <c r="C20" s="29" t="inlineStr">
        <is>
          <t>Impervious surface</t>
        </is>
      </c>
      <c r="D20" s="30" t="inlineStr">
        <is>
          <t>%</t>
        </is>
      </c>
      <c r="E20" s="42">
        <f>IF('DEEP Score'!$E$12="","",'DEEP Score'!$E$12)</f>
        <v/>
      </c>
      <c r="F20" s="43"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14" t="n"/>
      <c r="F21" s="44"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0" t="inlineStr">
        <is>
          <t>All streams (pooled)</t>
        </is>
      </c>
      <c r="G22" s="25">
        <f>IF('Metrics'!$V$13="","",'Metrics'!$V$13)</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5" t="inlineStr">
        <is>
          <t>Geomorphology</t>
        </is>
      </c>
      <c r="B25" s="11" t="inlineStr">
        <is>
          <t>Channel evolution</t>
        </is>
      </c>
      <c r="C25" s="12" t="inlineStr">
        <is>
          <t>Bankfull width:depth ratio</t>
        </is>
      </c>
      <c r="D25" s="13" t="inlineStr"/>
      <c r="E25" s="38">
        <f>IF('DEEP Score'!$E$21="","",'DEEP Score'!$E$21)</f>
        <v/>
      </c>
      <c r="F25" s="39">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6">
        <f>IF('DEEP Score'!$E$22="","",'DEEP Score'!$E$22)</f>
        <v/>
      </c>
      <c r="F26" s="47">
        <f>IF('DEEP Score'!$F$22="","",'DEEP Score'!$F$22)</f>
        <v/>
      </c>
      <c r="G26" s="25">
        <f>IF('Metrics'!$V$13="","",'Metrics'!$V$13)</f>
        <v/>
      </c>
      <c r="H26" s="20" t="n"/>
      <c r="I26" s="26" t="n"/>
    </row>
    <row r="27">
      <c r="A27" s="45"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5" t="inlineStr">
        <is>
          <t>Geomorphology</t>
        </is>
      </c>
      <c r="B29" s="11" t="inlineStr">
        <is>
          <t>Sediment continuity</t>
        </is>
      </c>
      <c r="C29" s="12" t="inlineStr">
        <is>
          <t>Relative bed stability</t>
        </is>
      </c>
      <c r="D29" s="13" t="inlineStr">
        <is>
          <t>log</t>
        </is>
      </c>
      <c r="E29" s="14" t="n"/>
      <c r="F29" s="44"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6">
        <f>IF('DEEP Score'!$E$23="","",'DEEP Score'!$E$23)</f>
        <v/>
      </c>
      <c r="F30" s="47" t="inlineStr"/>
      <c r="G30" s="25">
        <f>IF('Metrics'!$V$14="","",'Metrics'!$V$14)</f>
        <v/>
      </c>
      <c r="H30" s="20" t="n"/>
      <c r="I30" s="26" t="n"/>
    </row>
    <row r="31">
      <c r="A31" s="45" t="inlineStr">
        <is>
          <t>Geomorphology</t>
        </is>
      </c>
      <c r="B31" s="11" t="inlineStr">
        <is>
          <t>Bed composition and bedform dynamics</t>
        </is>
      </c>
      <c r="C31" s="12" t="inlineStr">
        <is>
          <t>Embeddedness</t>
        </is>
      </c>
      <c r="D31" s="13" t="inlineStr">
        <is>
          <t>%</t>
        </is>
      </c>
      <c r="E31" s="38">
        <f>IF('DEEP Score'!$E$24="","",'DEEP Score'!$E$24)</f>
        <v/>
      </c>
      <c r="F31" s="39"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8"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0" t="inlineStr">
        <is>
          <t>All streams (pooled)</t>
        </is>
      </c>
      <c r="G34" s="25">
        <f>IF('Metrics'!$V$21="","",'Metrics'!$V$21)</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IF('Metrics'!$V$22="","",'Metrics'!$V$22)</f>
        <v/>
      </c>
      <c r="H35" s="34">
        <f>IF('Results'!$B$17="","",'Results'!$B$17)</f>
        <v/>
      </c>
      <c r="I35" s="35">
        <f>IF('DEEP Score'!$H$35="","",IF('DEEP Score'!$H$35&lt;=5,"Non-Functioning",IF('DEEP Score'!$H$35&lt;=10,"Functioning At-Risk","Functioning")))</f>
        <v/>
      </c>
    </row>
    <row r="36">
      <c r="A36" s="48"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8"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50" t="inlineStr">
        <is>
          <t>Biology</t>
        </is>
      </c>
      <c r="B40" s="28" t="inlineStr">
        <is>
          <t>Habitat provision</t>
        </is>
      </c>
      <c r="C40" s="29" t="inlineStr">
        <is>
          <t>Natural fish cover</t>
        </is>
      </c>
      <c r="D40" s="30" t="inlineStr">
        <is>
          <t>frac</t>
        </is>
      </c>
      <c r="E40" s="31" t="n"/>
      <c r="F40" s="32" t="inlineStr">
        <is>
          <t>All streams (pooled)</t>
        </is>
      </c>
      <c r="G40" s="33">
        <f>IF('Metrics'!$V$27="","",'Metrics'!$V$27)</f>
        <v/>
      </c>
      <c r="H40" s="34">
        <f>IF('Results'!$B$20="","",'Results'!$B$20)</f>
        <v/>
      </c>
      <c r="I40" s="35">
        <f>IF('DEEP Score'!$H$40="","",IF('DEEP Score'!$H$40&lt;=5,"Non-Functioning",IF('DEEP Score'!$H$40&lt;=10,"Functioning At-Risk","Functioning")))</f>
        <v/>
      </c>
    </row>
    <row r="41">
      <c r="A41" s="51" t="inlineStr">
        <is>
          <t>Biology</t>
        </is>
      </c>
      <c r="B41" s="11" t="inlineStr">
        <is>
          <t>Population support</t>
        </is>
      </c>
      <c r="C41" s="12" t="inlineStr">
        <is>
          <t>Benthic total taxa richness</t>
        </is>
      </c>
      <c r="D41" s="13" t="inlineStr"/>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Native fish taxa richness</t>
        </is>
      </c>
      <c r="D42" s="22" t="inlineStr"/>
      <c r="E42" s="23" t="n"/>
      <c r="F42" s="24" t="inlineStr"/>
      <c r="G42" s="25">
        <f>IF('Metrics'!$V$29="","",'Metrics'!$V$29)</f>
        <v/>
      </c>
      <c r="H42" s="20" t="n"/>
      <c r="I42" s="26" t="n"/>
    </row>
    <row r="43">
      <c r="A43" s="51" t="inlineStr">
        <is>
          <t>Biology</t>
        </is>
      </c>
      <c r="B43" s="11" t="inlineStr">
        <is>
          <t>Community dynamics</t>
        </is>
      </c>
      <c r="C43" s="12" t="inlineStr">
        <is>
          <t>EPT taxa richness</t>
        </is>
      </c>
      <c r="D43" s="13" t="inlineStr"/>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IF('Metrics'!$V$31="","",'Metrics'!$V$31)</f>
        <v/>
      </c>
      <c r="H44" s="20" t="n"/>
      <c r="I44" s="26" t="n"/>
    </row>
    <row r="45">
      <c r="A45" s="50" t="inlineStr">
        <is>
          <t>Biology</t>
        </is>
      </c>
      <c r="B45" s="28" t="inlineStr">
        <is>
          <t>Watershed connectivity</t>
        </is>
      </c>
      <c r="C45" s="29" t="inlineStr">
        <is>
          <t>Mapped dams within one mile</t>
        </is>
      </c>
      <c r="D45" s="30" t="inlineStr">
        <is>
          <t>dams</t>
        </is>
      </c>
      <c r="E45" s="31" t="n"/>
      <c r="F45" s="36" t="inlineStr"/>
      <c r="G45" s="33">
        <f>IF('Metrics'!$V$32="","",'Metrics'!$V$32)</f>
        <v/>
      </c>
      <c r="H45" s="34">
        <f>IF('Results'!$B$23="","",'Results'!$B$23)</f>
        <v/>
      </c>
      <c r="I45" s="35">
        <f>IF('DEEP Score'!$H$45="","",IF('DEEP Score'!$H$45&lt;=5,"Non-Functioning",IF('DEEP Score'!$H$45&lt;=10,"Functioning At-Risk","Functioning")))</f>
        <v/>
      </c>
    </row>
    <row r="47">
      <c r="A47" s="52" t="inlineStr">
        <is>
          <t>Summary</t>
        </is>
      </c>
    </row>
    <row r="48">
      <c r="A48" s="9" t="inlineStr">
        <is>
          <t>Outcome</t>
        </is>
      </c>
      <c r="B48" s="9" t="inlineStr">
        <is>
          <t>Sub-index (0 to 1)</t>
        </is>
      </c>
      <c r="C48" s="9"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8" t="inlineStr">
        <is>
          <t>Withheld for insufficient reference support (not scored)</t>
        </is>
      </c>
    </row>
    <row r="57">
      <c r="A57" t="inlineStr">
        <is>
          <t>Fast-water / riffle habitat</t>
        </is>
      </c>
      <c r="C57" s="4" t="inlineStr">
        <is>
          <t>Habitat provision</t>
        </is>
      </c>
    </row>
    <row r="59">
      <c r="A59" s="5"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IF('DEEP Score'!$F$19="","All streams (pooled)",'DEEP Score'!$F$19)</f>
        <v/>
      </c>
      <c r="D11" s="70">
        <f>"spring_phab_rp100_cm|"&amp;'Metrics'!$C$11</f>
        <v/>
      </c>
      <c r="E11" s="70">
        <f>IFERROR(MATCH('Metrics'!$D$11,curve_key,0),MATCH("spring_phab_rp100_cm|All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IF('DEEP Score'!$F$34="","All streams (pooled)",'DEEP Score'!$F$34)</f>
        <v/>
      </c>
      <c r="D21" s="70">
        <f>"spring_phab_xcdenmid|"&amp;'Metrics'!$C$21</f>
        <v/>
      </c>
      <c r="E21" s="70">
        <f>IFERROR(MATCH('Metrics'!$D$21,curve_key,0),MATCH("spring_phab_xcdenmid|All streams (pooled)",curve_key,0))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Score'!$E$38="","",'DEEP Score'!$E$38)</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Score'!$E$39="","",'DEEP Score'!$E$39)</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Score'!$E$40="","",'DEEP Score'!$E$40)</f>
        <v/>
      </c>
      <c r="C27" s="70">
        <f>IF('DEEP Score'!$F$40="","All streams (pooled)",'DEEP Score'!$F$40)</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Score'!$E$41="","",'DEEP Score'!$E$41)</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Score'!$E$42="","",'DEEP Score'!$E$42)</f>
        <v/>
      </c>
      <c r="C29" s="70">
        <f>""</f>
        <v/>
      </c>
      <c r="D29" s="70">
        <f>"spring_fish_nat_totlntax|"&amp;'Metrics'!$C$29</f>
        <v/>
      </c>
      <c r="E29" s="70">
        <f>IFERROR(MATCH('Metrics'!$D$29,curve_key,0),MATCH("spring_fish_nat_totlntax|",curve_key,0))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Score'!$E$43="","",'DEEP Score'!$E$43)</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Score'!$E$44="","",'DEEP Score'!$E$44)</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Score'!G40:G40)=0,"",SUM('DEEP Score'!G40:G40)/COUNT('DEEP Score'!G40:G40)*15)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7" s="69" t="n">
        <v>0</v>
      </c>
      <c r="H7" s="69" t="n">
        <v>7.280357142857143</v>
      </c>
      <c r="I7" s="69" t="n">
        <v>16.9875</v>
      </c>
      <c r="J7" s="69" t="n">
        <v>42.4575</v>
      </c>
      <c r="K7" s="69" t="n">
        <v>55.1925</v>
      </c>
      <c r="L7" s="69" t="n">
        <v>55.1925</v>
      </c>
      <c r="M7" s="69" t="n">
        <v>55.1925</v>
      </c>
      <c r="N7" s="69" t="n">
        <v>55.1925</v>
      </c>
      <c r="O7" s="69" t="n">
        <v>0</v>
      </c>
      <c r="P7" s="69" t="n">
        <v>0.3</v>
      </c>
      <c r="Q7" s="69" t="n">
        <v>0.7</v>
      </c>
      <c r="R7" s="69" t="n">
        <v>1</v>
      </c>
      <c r="S7" s="69" t="n">
        <v>1</v>
      </c>
      <c r="T7" s="69" t="n">
        <v>1</v>
      </c>
      <c r="U7" s="69" t="n">
        <v>1</v>
      </c>
      <c r="V7" s="69" t="n">
        <v>1</v>
      </c>
    </row>
    <row r="8">
      <c r="A8" s="69" t="inlineStr">
        <is>
          <t>spring_pctwet2019ws|Low gradient (under 0.5 percent)</t>
        </is>
      </c>
      <c r="B8" s="69" t="inlineStr">
        <is>
          <t>spring-pctwet2019ws</t>
        </is>
      </c>
      <c r="C8" s="69" t="inlineStr">
        <is>
          <t>Wetland</t>
        </is>
      </c>
      <c r="D8" s="69" t="inlineStr">
        <is>
          <t>Low gradient (under 0.5 percent)</t>
        </is>
      </c>
      <c r="E8" s="69" t="n">
        <v>5</v>
      </c>
      <c r="F8" s="69"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8" s="69" t="n">
        <v>0</v>
      </c>
      <c r="H8" s="69" t="n">
        <v>8.816785714285713</v>
      </c>
      <c r="I8" s="69" t="n">
        <v>20.5725</v>
      </c>
      <c r="J8" s="69" t="n">
        <v>45.705</v>
      </c>
      <c r="K8" s="69" t="n">
        <v>58.27124999999999</v>
      </c>
      <c r="L8" s="69" t="n">
        <v>58.27124999999999</v>
      </c>
      <c r="M8" s="69" t="n">
        <v>58.27124999999999</v>
      </c>
      <c r="N8" s="69" t="n">
        <v>58.27124999999999</v>
      </c>
      <c r="O8" s="69" t="n">
        <v>0</v>
      </c>
      <c r="P8" s="69" t="n">
        <v>0.3</v>
      </c>
      <c r="Q8" s="69" t="n">
        <v>0.7</v>
      </c>
      <c r="R8" s="69" t="n">
        <v>1</v>
      </c>
      <c r="S8" s="69" t="n">
        <v>1</v>
      </c>
      <c r="T8" s="69" t="n">
        <v>1</v>
      </c>
      <c r="U8" s="69" t="n">
        <v>1</v>
      </c>
      <c r="V8" s="69" t="n">
        <v>1</v>
      </c>
    </row>
    <row r="9">
      <c r="A9" s="69" t="inlineStr">
        <is>
          <t>spring_pctwet2019ws|Moderate gradient (0.5 to 2 percent)</t>
        </is>
      </c>
      <c r="B9" s="69" t="inlineStr">
        <is>
          <t>spring-pctwet2019ws</t>
        </is>
      </c>
      <c r="C9" s="69" t="inlineStr">
        <is>
          <t>Wetland</t>
        </is>
      </c>
      <c r="D9" s="69" t="inlineStr">
        <is>
          <t>Moderate gradient (0.5 to 2 percent)</t>
        </is>
      </c>
      <c r="E9" s="69" t="n">
        <v>5</v>
      </c>
      <c r="F9" s="69"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0.47 of evaluation regions; two thirds required); confidence capped at 39.</t>
        </is>
      </c>
      <c r="G9" s="69" t="n">
        <v>0</v>
      </c>
      <c r="H9" s="69" t="n">
        <v>3.398571428571429</v>
      </c>
      <c r="I9" s="69" t="n">
        <v>7.93</v>
      </c>
      <c r="J9" s="69" t="n">
        <v>24.865</v>
      </c>
      <c r="K9" s="69" t="n">
        <v>33.3325</v>
      </c>
      <c r="L9" s="69" t="n">
        <v>33.3325</v>
      </c>
      <c r="M9" s="69" t="n">
        <v>33.3325</v>
      </c>
      <c r="N9" s="69" t="n">
        <v>33.3325</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100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11" s="69" t="n">
        <v>0</v>
      </c>
      <c r="H11" s="69" t="n">
        <v>23.56405714285714</v>
      </c>
      <c r="I11" s="69" t="n">
        <v>54.9828</v>
      </c>
      <c r="J11" s="69" t="n">
        <v>68.131075</v>
      </c>
      <c r="K11" s="69" t="n">
        <v>74.70521249999999</v>
      </c>
      <c r="L11" s="69" t="n">
        <v>74.70521249999999</v>
      </c>
      <c r="M11" s="69" t="n">
        <v>74.70521249999999</v>
      </c>
      <c r="N11" s="69" t="n">
        <v>74.70521249999999</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spring_phab_rp100_cm|All streams (pooled)</t>
        </is>
      </c>
      <c r="B13" s="69" t="inlineStr">
        <is>
          <t>spring-phab-rp100-cm</t>
        </is>
      </c>
      <c r="C13" s="69" t="inlineStr">
        <is>
          <t>Residual pool depth</t>
        </is>
      </c>
      <c r="D13" s="69" t="inlineStr">
        <is>
          <t>All streams (pooled)</t>
        </is>
      </c>
      <c r="E13" s="69" t="n">
        <v>5</v>
      </c>
      <c r="F13" s="69" t="inlineStr">
        <is>
          <t>53 least-disturbed stations borrowed from Level II ecoregion 8.1 (Mixed Wood Plains) under the regional screen (agriculture at most 25 percent), transfer risk moderate</t>
        </is>
      </c>
      <c r="G13" s="69" t="n">
        <v>0</v>
      </c>
      <c r="H13" s="69" t="n">
        <v>4.768916538783482</v>
      </c>
      <c r="I13" s="69" t="n">
        <v>11.12747192382812</v>
      </c>
      <c r="J13" s="69" t="n">
        <v>27.89545631408691</v>
      </c>
      <c r="K13" s="69" t="n">
        <v>36.27944850921631</v>
      </c>
      <c r="L13" s="69" t="n">
        <v>36.27944850921631</v>
      </c>
      <c r="M13" s="69" t="n">
        <v>36.27944850921631</v>
      </c>
      <c r="N13" s="69" t="n">
        <v>36.27944850921631</v>
      </c>
      <c r="O13" s="69" t="n">
        <v>0</v>
      </c>
      <c r="P13" s="69" t="n">
        <v>0.3</v>
      </c>
      <c r="Q13" s="69" t="n">
        <v>0.7</v>
      </c>
      <c r="R13" s="69" t="n">
        <v>1</v>
      </c>
      <c r="S13" s="69" t="n">
        <v>1</v>
      </c>
      <c r="T13" s="69" t="n">
        <v>1</v>
      </c>
      <c r="U13" s="69" t="n">
        <v>1</v>
      </c>
      <c r="V13" s="69" t="n">
        <v>1</v>
      </c>
    </row>
    <row r="14">
      <c r="A14" s="69" t="inlineStr">
        <is>
          <t>spring_phab_rp100_cm|Low gradient (under 0.5 percent)</t>
        </is>
      </c>
      <c r="B14" s="69" t="inlineStr">
        <is>
          <t>spring-phab-rp100-cm</t>
        </is>
      </c>
      <c r="C14" s="69" t="inlineStr">
        <is>
          <t>Residual pool depth</t>
        </is>
      </c>
      <c r="D14" s="69" t="inlineStr">
        <is>
          <t>Low gradient (under 0.5 percent)</t>
        </is>
      </c>
      <c r="E14" s="69" t="n">
        <v>5</v>
      </c>
      <c r="F14" s="69" t="inlineStr">
        <is>
          <t>53 least-disturbed stations borrowed from Level II ecoregion 8.1 (Mixed Wood Plains) under the regional screen (agriculture at most 25 percent), transfer risk moderate</t>
        </is>
      </c>
      <c r="G14" s="69" t="n">
        <v>0</v>
      </c>
      <c r="H14" s="69" t="n">
        <v>7.616670063563755</v>
      </c>
      <c r="I14" s="69" t="n">
        <v>17.77223014831543</v>
      </c>
      <c r="J14" s="69" t="n">
        <v>40.1892032623291</v>
      </c>
      <c r="K14" s="69" t="n">
        <v>51.39768981933594</v>
      </c>
      <c r="L14" s="69" t="n">
        <v>51.39768981933594</v>
      </c>
      <c r="M14" s="69" t="n">
        <v>51.39768981933594</v>
      </c>
      <c r="N14" s="69" t="n">
        <v>51.39768981933594</v>
      </c>
      <c r="O14" s="69" t="n">
        <v>0</v>
      </c>
      <c r="P14" s="69" t="n">
        <v>0.3</v>
      </c>
      <c r="Q14" s="69" t="n">
        <v>0.7</v>
      </c>
      <c r="R14" s="69" t="n">
        <v>1</v>
      </c>
      <c r="S14" s="69" t="n">
        <v>1</v>
      </c>
      <c r="T14" s="69" t="n">
        <v>1</v>
      </c>
      <c r="U14" s="69" t="n">
        <v>1</v>
      </c>
      <c r="V14" s="69" t="n">
        <v>1</v>
      </c>
    </row>
    <row r="15">
      <c r="A15" s="69" t="inlineStr">
        <is>
          <t>spring_phab_rp100_cm|Moderate gradient (0.5 to 2 percent)</t>
        </is>
      </c>
      <c r="B15" s="69" t="inlineStr">
        <is>
          <t>spring-phab-rp100-cm</t>
        </is>
      </c>
      <c r="C15" s="69" t="inlineStr">
        <is>
          <t>Residual pool depth</t>
        </is>
      </c>
      <c r="D15" s="69" t="inlineStr">
        <is>
          <t>Moderate gradient (0.5 to 2 percent)</t>
        </is>
      </c>
      <c r="E15" s="69" t="n">
        <v>5</v>
      </c>
      <c r="F15" s="69" t="inlineStr">
        <is>
          <t>53 least-disturbed stations borrowed from Level II ecoregion 8.1 (Mixed Wood Plains) under the regional screen (agriculture at most 25 percent), transfer risk moderate</t>
        </is>
      </c>
      <c r="G15" s="69" t="n">
        <v>0</v>
      </c>
      <c r="H15" s="69" t="n">
        <v>3.560257775442941</v>
      </c>
      <c r="I15" s="69" t="n">
        <v>8.307268142700195</v>
      </c>
      <c r="J15" s="69" t="n">
        <v>24.5585765838623</v>
      </c>
      <c r="K15" s="69" t="n">
        <v>32.68423080444336</v>
      </c>
      <c r="L15" s="69" t="n">
        <v>32.68423080444336</v>
      </c>
      <c r="M15" s="69" t="n">
        <v>32.68423080444336</v>
      </c>
      <c r="N15" s="69" t="n">
        <v>32.68423080444336</v>
      </c>
      <c r="O15" s="69" t="n">
        <v>0</v>
      </c>
      <c r="P15" s="69" t="n">
        <v>0.3</v>
      </c>
      <c r="Q15" s="69" t="n">
        <v>0.7</v>
      </c>
      <c r="R15" s="69" t="n">
        <v>1</v>
      </c>
      <c r="S15" s="69" t="n">
        <v>1</v>
      </c>
      <c r="T15" s="69" t="n">
        <v>1</v>
      </c>
      <c r="U15" s="69" t="n">
        <v>1</v>
      </c>
      <c r="V15" s="69" t="n">
        <v>1</v>
      </c>
    </row>
    <row r="16">
      <c r="A16" s="69" t="inlineStr">
        <is>
          <t>spring_phab_bfwd_rat|All streams (pooled)</t>
        </is>
      </c>
      <c r="B16" s="69" t="inlineStr">
        <is>
          <t>spring-phab-bfwd-rat</t>
        </is>
      </c>
      <c r="C16" s="69" t="inlineStr">
        <is>
          <t>Bankfull width:depth ratio</t>
        </is>
      </c>
      <c r="D16" s="69" t="inlineStr">
        <is>
          <t>All streams (pooled)</t>
        </is>
      </c>
      <c r="E16" s="69" t="n">
        <v>7</v>
      </c>
      <c r="F16"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9" t="n">
        <v>0</v>
      </c>
      <c r="H16" s="69" t="n">
        <v>3.98867250084877</v>
      </c>
      <c r="I16" s="69" t="n">
        <v>7.787969946861267</v>
      </c>
      <c r="J16" s="69" t="n">
        <v>18.64310550689697</v>
      </c>
      <c r="K16" s="69" t="n">
        <v>22.44240295290947</v>
      </c>
      <c r="L16" s="69" t="n">
        <v>29.49824106693268</v>
      </c>
      <c r="M16" s="69" t="n">
        <v>40.35337662696838</v>
      </c>
      <c r="N16" s="69" t="n">
        <v>40.35337662696838</v>
      </c>
      <c r="O16" s="69" t="n">
        <v>0</v>
      </c>
      <c r="P16" s="69" t="n">
        <v>0.7</v>
      </c>
      <c r="Q16" s="69" t="n">
        <v>1</v>
      </c>
      <c r="R16" s="69" t="n">
        <v>1</v>
      </c>
      <c r="S16" s="69" t="n">
        <v>0.7</v>
      </c>
      <c r="T16" s="69" t="n">
        <v>0.3</v>
      </c>
      <c r="U16" s="69" t="n">
        <v>0</v>
      </c>
      <c r="V16" s="69" t="n">
        <v>0</v>
      </c>
    </row>
    <row r="17">
      <c r="A17" s="69" t="inlineStr">
        <is>
          <t>spring_phab_bfwd_rat|Small stream (10 to 100 km2)</t>
        </is>
      </c>
      <c r="B17" s="69" t="inlineStr">
        <is>
          <t>spring-phab-bfwd-rat</t>
        </is>
      </c>
      <c r="C17" s="69" t="inlineStr">
        <is>
          <t>Bankfull width:depth ratio</t>
        </is>
      </c>
      <c r="D17" s="69" t="inlineStr">
        <is>
          <t>Small stream (10 to 100 km2)</t>
        </is>
      </c>
      <c r="E17" s="69" t="n">
        <v>8</v>
      </c>
      <c r="F17"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69" t="n">
        <v>0</v>
      </c>
      <c r="H17" s="69" t="n">
        <v>2.450046300888062</v>
      </c>
      <c r="I17" s="69" t="n">
        <v>7.0005704164505</v>
      </c>
      <c r="J17" s="69" t="n">
        <v>9.450852632522583</v>
      </c>
      <c r="K17" s="69" t="n">
        <v>16.4516589641571</v>
      </c>
      <c r="L17" s="69" t="n">
        <v>18.90194118022919</v>
      </c>
      <c r="M17" s="69" t="n">
        <v>23.45246529579163</v>
      </c>
      <c r="N17" s="69" t="n">
        <v>30.45327162742615</v>
      </c>
      <c r="O17" s="69" t="n">
        <v>0</v>
      </c>
      <c r="P17" s="69" t="n">
        <v>0.3</v>
      </c>
      <c r="Q17" s="69" t="n">
        <v>0.7</v>
      </c>
      <c r="R17" s="69" t="n">
        <v>1</v>
      </c>
      <c r="S17" s="69" t="n">
        <v>1</v>
      </c>
      <c r="T17" s="69" t="n">
        <v>0.7</v>
      </c>
      <c r="U17" s="69" t="n">
        <v>0.3</v>
      </c>
      <c r="V17" s="69" t="n">
        <v>0</v>
      </c>
    </row>
    <row r="18">
      <c r="A18" s="69" t="inlineStr">
        <is>
          <t>spring_phab_bfwd_rat|Large stream (over 100 km2)</t>
        </is>
      </c>
      <c r="B18" s="69" t="inlineStr">
        <is>
          <t>spring-phab-bfwd-rat</t>
        </is>
      </c>
      <c r="C18" s="69" t="inlineStr">
        <is>
          <t>Bankfull width:depth ratio</t>
        </is>
      </c>
      <c r="D18" s="69" t="inlineStr">
        <is>
          <t>Large stream (over 100 km2)</t>
        </is>
      </c>
      <c r="E18" s="69" t="n">
        <v>7</v>
      </c>
      <c r="F18"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8" s="69" t="n">
        <v>0</v>
      </c>
      <c r="H18" s="69" t="n">
        <v>7.353948032855988</v>
      </c>
      <c r="I18" s="69" t="n">
        <v>12.69133830070496</v>
      </c>
      <c r="J18" s="69" t="n">
        <v>27.94102478027344</v>
      </c>
      <c r="K18" s="69" t="n">
        <v>33.2784150481224</v>
      </c>
      <c r="L18" s="69" t="n">
        <v>43.19071125984192</v>
      </c>
      <c r="M18" s="69" t="n">
        <v>58.4403977394104</v>
      </c>
      <c r="N18" s="69" t="n">
        <v>58.4403977394104</v>
      </c>
      <c r="O18" s="69" t="n">
        <v>0</v>
      </c>
      <c r="P18" s="69" t="n">
        <v>0.7</v>
      </c>
      <c r="Q18" s="69" t="n">
        <v>1</v>
      </c>
      <c r="R18" s="69" t="n">
        <v>1</v>
      </c>
      <c r="S18" s="69" t="n">
        <v>0.7</v>
      </c>
      <c r="T18" s="69" t="n">
        <v>0.3</v>
      </c>
      <c r="U18" s="69" t="n">
        <v>0</v>
      </c>
      <c r="V18" s="69" t="n">
        <v>0</v>
      </c>
    </row>
    <row r="19">
      <c r="A19" s="69" t="inlineStr">
        <is>
          <t>spring_phab_xbkf_h|All streams (pooled)</t>
        </is>
      </c>
      <c r="B19" s="69" t="inlineStr">
        <is>
          <t>spring-phab-xbkf-h</t>
        </is>
      </c>
      <c r="C19" s="69" t="inlineStr">
        <is>
          <t>Bankfull height above channel</t>
        </is>
      </c>
      <c r="D19" s="69" t="inlineStr">
        <is>
          <t>All streams (pooled)</t>
        </is>
      </c>
      <c r="E19" s="69" t="n">
        <v>7</v>
      </c>
      <c r="F19"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0</v>
      </c>
      <c r="H19" s="69" t="n">
        <v>0.07961364258080722</v>
      </c>
      <c r="I19" s="69" t="n">
        <v>0.1863636411726475</v>
      </c>
      <c r="J19" s="69" t="n">
        <v>0.491363637149334</v>
      </c>
      <c r="K19" s="69" t="n">
        <v>0.5981136357411743</v>
      </c>
      <c r="L19" s="69" t="n">
        <v>0.7963636331260204</v>
      </c>
      <c r="M19" s="69" t="n">
        <v>1.101363629102707</v>
      </c>
      <c r="N19" s="69" t="n">
        <v>1.101363629102707</v>
      </c>
      <c r="O19" s="69" t="n">
        <v>0</v>
      </c>
      <c r="P19" s="69" t="n">
        <v>0.7</v>
      </c>
      <c r="Q19" s="69" t="n">
        <v>1</v>
      </c>
      <c r="R19" s="69" t="n">
        <v>1</v>
      </c>
      <c r="S19" s="69" t="n">
        <v>0.7</v>
      </c>
      <c r="T19" s="69" t="n">
        <v>0.3</v>
      </c>
      <c r="U19" s="69" t="n">
        <v>0</v>
      </c>
      <c r="V19" s="69" t="n">
        <v>0</v>
      </c>
    </row>
    <row r="20">
      <c r="A20" s="69" t="inlineStr">
        <is>
          <t>spring_phab_xbkf_h|Small stream (10 to 100 km2)</t>
        </is>
      </c>
      <c r="B20" s="69" t="inlineStr">
        <is>
          <t>spring-phab-xbkf-h</t>
        </is>
      </c>
      <c r="C20" s="69" t="inlineStr">
        <is>
          <t>Bankfull height above channel</t>
        </is>
      </c>
      <c r="D20" s="69" t="inlineStr">
        <is>
          <t>Small stream (10 to 100 km2)</t>
        </is>
      </c>
      <c r="E20" s="69" t="n">
        <v>8</v>
      </c>
      <c r="F20"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69" t="n">
        <v>0</v>
      </c>
      <c r="H20" s="69" t="n">
        <v>0.003693193197250366</v>
      </c>
      <c r="I20" s="69" t="n">
        <v>0.1179971631616354</v>
      </c>
      <c r="J20" s="69" t="n">
        <v>0.1795454546809196</v>
      </c>
      <c r="K20" s="69" t="n">
        <v>0.3553977161645889</v>
      </c>
      <c r="L20" s="69" t="n">
        <v>0.4169460076838732</v>
      </c>
      <c r="M20" s="69" t="n">
        <v>0.5312499776482582</v>
      </c>
      <c r="N20" s="69" t="n">
        <v>0.7071022391319275</v>
      </c>
      <c r="O20" s="69" t="n">
        <v>0</v>
      </c>
      <c r="P20" s="69" t="n">
        <v>0.3</v>
      </c>
      <c r="Q20" s="69" t="n">
        <v>0.7</v>
      </c>
      <c r="R20" s="69" t="n">
        <v>1</v>
      </c>
      <c r="S20" s="69" t="n">
        <v>1</v>
      </c>
      <c r="T20" s="69" t="n">
        <v>0.7</v>
      </c>
      <c r="U20" s="69" t="n">
        <v>0.3</v>
      </c>
      <c r="V20" s="69" t="n">
        <v>0</v>
      </c>
    </row>
    <row r="21">
      <c r="A21" s="69" t="inlineStr">
        <is>
          <t>spring_phab_xbkf_h|Large stream (over 100 km2)</t>
        </is>
      </c>
      <c r="B21" s="69" t="inlineStr">
        <is>
          <t>spring-phab-xbkf-h</t>
        </is>
      </c>
      <c r="C21" s="69" t="inlineStr">
        <is>
          <t>Bankfull height above channel</t>
        </is>
      </c>
      <c r="D21" s="69" t="inlineStr">
        <is>
          <t>Large stream (over 100 km2)</t>
        </is>
      </c>
      <c r="E21" s="69" t="n">
        <v>7</v>
      </c>
      <c r="F21" s="69" t="inlineStr">
        <is>
          <t>54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69" t="n">
        <v>0</v>
      </c>
      <c r="H21" s="69" t="n">
        <v>0.1906590856611729</v>
      </c>
      <c r="I21" s="69" t="n">
        <v>0.3486363589763641</v>
      </c>
      <c r="J21" s="69" t="n">
        <v>0.7999999970197678</v>
      </c>
      <c r="K21" s="69" t="n">
        <v>0.9579772703349591</v>
      </c>
      <c r="L21" s="69" t="n">
        <v>1.251363635063171</v>
      </c>
      <c r="M21" s="69" t="n">
        <v>1.702727273106575</v>
      </c>
      <c r="N21" s="69" t="n">
        <v>1.702727273106575</v>
      </c>
      <c r="O21" s="69" t="n">
        <v>0</v>
      </c>
      <c r="P21" s="69" t="n">
        <v>0.7</v>
      </c>
      <c r="Q21" s="69" t="n">
        <v>1</v>
      </c>
      <c r="R21" s="69" t="n">
        <v>1</v>
      </c>
      <c r="S21" s="69" t="n">
        <v>0.7</v>
      </c>
      <c r="T21" s="69" t="n">
        <v>0.3</v>
      </c>
      <c r="U21" s="69" t="n">
        <v>0</v>
      </c>
      <c r="V21" s="69" t="n">
        <v>0</v>
      </c>
    </row>
    <row r="22">
      <c r="A22" s="69" t="inlineStr">
        <is>
          <t>spring_phab_pct_safn|</t>
        </is>
      </c>
      <c r="B22" s="69" t="inlineStr">
        <is>
          <t>spring-phab-pct-safn</t>
        </is>
      </c>
      <c r="C22" s="69" t="inlineStr">
        <is>
          <t>Sand + fines</t>
        </is>
      </c>
      <c r="D22" s="69" t="inlineStr"/>
      <c r="E22" s="69" t="n">
        <v>4</v>
      </c>
      <c r="F22" s="69" t="inlineStr">
        <is>
          <t>54 least-disturbed stations borrowed from Level II ecoregion 8.1 (Mixed Wood Plains) under the regional screen (agriculture at most 25 percent), transfer risk low</t>
        </is>
      </c>
      <c r="G22" s="69" t="n">
        <v>0</v>
      </c>
      <c r="H22" s="69" t="n">
        <v>13.33333301544189</v>
      </c>
      <c r="I22" s="69" t="n">
        <v>92.14285659790039</v>
      </c>
      <c r="J22" s="69" t="n">
        <v>100</v>
      </c>
      <c r="K22" s="69" t="n">
        <v>100</v>
      </c>
      <c r="L22" s="69" t="n">
        <v>100</v>
      </c>
      <c r="M22" s="69" t="n">
        <v>100</v>
      </c>
      <c r="N22" s="69" t="n">
        <v>100</v>
      </c>
      <c r="O22" s="69" t="n">
        <v>1</v>
      </c>
      <c r="P22" s="69" t="n">
        <v>1</v>
      </c>
      <c r="Q22" s="69" t="n">
        <v>0.7</v>
      </c>
      <c r="R22" s="69" t="n">
        <v>0</v>
      </c>
      <c r="S22" s="69" t="n">
        <v>0</v>
      </c>
      <c r="T22" s="69" t="n">
        <v>0</v>
      </c>
      <c r="U22" s="69" t="n">
        <v>0</v>
      </c>
      <c r="V22" s="69" t="n">
        <v>0</v>
      </c>
    </row>
    <row r="23">
      <c r="A23" s="69" t="inlineStr">
        <is>
          <t>spring_phab_xembed|</t>
        </is>
      </c>
      <c r="B23" s="69" t="inlineStr">
        <is>
          <t>spring-phab-xembed</t>
        </is>
      </c>
      <c r="C23" s="69" t="inlineStr">
        <is>
          <t>Embeddedness</t>
        </is>
      </c>
      <c r="D23" s="69" t="inlineStr"/>
      <c r="E23" s="69" t="n">
        <v>4</v>
      </c>
      <c r="F23" s="69" t="inlineStr">
        <is>
          <t>40 least-disturbed stations borrowed from Level II ecoregion 8.1 (Mixed Wood Plains) under the regional screen (agriculture at most 25 percent), transfer risk low</t>
        </is>
      </c>
      <c r="G23" s="69" t="n">
        <v>5.547728061676025</v>
      </c>
      <c r="H23" s="69" t="n">
        <v>33.70454502105713</v>
      </c>
      <c r="I23" s="69" t="n">
        <v>90.01817893981934</v>
      </c>
      <c r="J23" s="69" t="n">
        <v>100</v>
      </c>
      <c r="K23" s="69" t="n">
        <v>100</v>
      </c>
      <c r="L23" s="69" t="n">
        <v>100</v>
      </c>
      <c r="M23" s="69" t="n">
        <v>100</v>
      </c>
      <c r="N23" s="69" t="n">
        <v>100</v>
      </c>
      <c r="O23" s="69" t="n">
        <v>1</v>
      </c>
      <c r="P23" s="69" t="n">
        <v>1</v>
      </c>
      <c r="Q23" s="69" t="n">
        <v>0.7</v>
      </c>
      <c r="R23" s="69" t="n">
        <v>0</v>
      </c>
      <c r="S23" s="69" t="n">
        <v>0</v>
      </c>
      <c r="T23" s="69" t="n">
        <v>0</v>
      </c>
      <c r="U23" s="69" t="n">
        <v>0</v>
      </c>
      <c r="V23" s="69" t="n">
        <v>0</v>
      </c>
    </row>
    <row r="24">
      <c r="A24" s="69" t="inlineStr">
        <is>
          <t>spring_phab_sinu|</t>
        </is>
      </c>
      <c r="B24" s="69" t="inlineStr">
        <is>
          <t>spring-phab-sinu</t>
        </is>
      </c>
      <c r="C24" s="69" t="inlineStr">
        <is>
          <t>Sinuosity</t>
        </is>
      </c>
      <c r="D24" s="69" t="inlineStr"/>
      <c r="E24" s="69" t="n">
        <v>4</v>
      </c>
      <c r="F24" s="69" t="inlineStr">
        <is>
          <t>39 least-disturbed stations borrowed from Level II ecoregion 8.1 (Mixed Wood Plains) under the regional screen (agriculture at most 25 percent), transfer risk moderate</t>
        </is>
      </c>
      <c r="G24" s="69" t="n">
        <v>1</v>
      </c>
      <c r="H24" s="69" t="n">
        <v>1.084621250629425</v>
      </c>
      <c r="I24" s="69" t="n">
        <v>1.309629857540131</v>
      </c>
      <c r="J24" s="69" t="n">
        <v>1.422134160995483</v>
      </c>
      <c r="K24" s="69" t="n">
        <v>1.422134160995483</v>
      </c>
      <c r="L24" s="69" t="n">
        <v>1.422134160995483</v>
      </c>
      <c r="M24" s="69" t="n">
        <v>1.422134160995483</v>
      </c>
      <c r="N24" s="69" t="n">
        <v>1.422134160995483</v>
      </c>
      <c r="O24" s="69" t="n">
        <v>0</v>
      </c>
      <c r="P24" s="69" t="n">
        <v>0.7</v>
      </c>
      <c r="Q24" s="69" t="n">
        <v>1</v>
      </c>
      <c r="R24" s="69" t="n">
        <v>1</v>
      </c>
      <c r="S24" s="69" t="n">
        <v>1</v>
      </c>
      <c r="T24" s="69" t="n">
        <v>1</v>
      </c>
      <c r="U24" s="69" t="n">
        <v>1</v>
      </c>
      <c r="V24" s="69" t="n">
        <v>1</v>
      </c>
    </row>
    <row r="25">
      <c r="A25" s="69" t="inlineStr">
        <is>
          <t>spring_phab_xbka|</t>
        </is>
      </c>
      <c r="B25" s="69" t="inlineStr">
        <is>
          <t>spring-phab-xbka</t>
        </is>
      </c>
      <c r="C25" s="69" t="inlineStr">
        <is>
          <t>Bank angle</t>
        </is>
      </c>
      <c r="D25" s="69" t="inlineStr"/>
      <c r="E25" s="69" t="n">
        <v>7</v>
      </c>
      <c r="F25" s="69" t="inlineStr">
        <is>
          <t>79 least-disturbed stations borrowed from NARS-9 region UMW under the regional screen (agriculture at most 25 percent), transfer risk moderate</t>
        </is>
      </c>
      <c r="G25" s="69" t="n">
        <v>0</v>
      </c>
      <c r="H25" s="69" t="n">
        <v>9.365909028053284</v>
      </c>
      <c r="I25" s="69" t="n">
        <v>15.20454549789429</v>
      </c>
      <c r="J25" s="69" t="n">
        <v>31.8863639831543</v>
      </c>
      <c r="K25" s="69" t="n">
        <v>37.7250004529953</v>
      </c>
      <c r="L25" s="69" t="n">
        <v>48.56818246841431</v>
      </c>
      <c r="M25" s="69" t="n">
        <v>65.25000095367432</v>
      </c>
      <c r="N25" s="69" t="n">
        <v>65.25000095367432</v>
      </c>
      <c r="O25" s="69" t="n">
        <v>0.7</v>
      </c>
      <c r="P25" s="69" t="n">
        <v>0.7</v>
      </c>
      <c r="Q25" s="69" t="n">
        <v>1</v>
      </c>
      <c r="R25" s="69" t="n">
        <v>1</v>
      </c>
      <c r="S25" s="69" t="n">
        <v>0.7</v>
      </c>
      <c r="T25" s="69" t="n">
        <v>0.3</v>
      </c>
      <c r="U25" s="69" t="n">
        <v>0</v>
      </c>
      <c r="V25" s="69" t="n">
        <v>0</v>
      </c>
    </row>
    <row r="26">
      <c r="A26" s="69" t="inlineStr">
        <is>
          <t>spring_phab_lrbs_use|All streams (pooled)</t>
        </is>
      </c>
      <c r="B26" s="69" t="inlineStr">
        <is>
          <t>spring-phab-lrbs-use</t>
        </is>
      </c>
      <c r="C26" s="69" t="inlineStr">
        <is>
          <t>Relative bed stability</t>
        </is>
      </c>
      <c r="D26" s="69" t="inlineStr">
        <is>
          <t>All streams (pooled)</t>
        </is>
      </c>
      <c r="E26" s="69" t="n">
        <v>8</v>
      </c>
      <c r="F26" s="69" t="inlineStr">
        <is>
          <t>56 least-disturbed stations borrowed from Level I ecoregion 8 (Eastern Temperate Forests) under the regional screen (agriculture at most 25 percent), transfer risk high</t>
        </is>
      </c>
      <c r="G26" s="69" t="n">
        <v>-4.458700031042099</v>
      </c>
      <c r="H26" s="69" t="n">
        <v>-2.901191562414169</v>
      </c>
      <c r="I26" s="69" t="n">
        <v>-1.888811057806015</v>
      </c>
      <c r="J26" s="69" t="n">
        <v>-1.34368309378624</v>
      </c>
      <c r="K26" s="69" t="n">
        <v>0.2138253748416901</v>
      </c>
      <c r="L26" s="69" t="n">
        <v>0.7589533388614654</v>
      </c>
      <c r="M26" s="69" t="n">
        <v>1.77133384346962</v>
      </c>
      <c r="N26" s="69" t="n">
        <v>3.328842312097549</v>
      </c>
      <c r="O26" s="69" t="n">
        <v>0</v>
      </c>
      <c r="P26" s="69" t="n">
        <v>0.3</v>
      </c>
      <c r="Q26" s="69" t="n">
        <v>0.7</v>
      </c>
      <c r="R26" s="69" t="n">
        <v>1</v>
      </c>
      <c r="S26" s="69" t="n">
        <v>1</v>
      </c>
      <c r="T26" s="69" t="n">
        <v>0.7</v>
      </c>
      <c r="U26" s="69" t="n">
        <v>0.3</v>
      </c>
      <c r="V26" s="69" t="n">
        <v>0</v>
      </c>
    </row>
    <row r="27">
      <c r="A27" s="69" t="inlineStr">
        <is>
          <t>spring_phab_lrbs_use|Small stream (10 to 100 km2)</t>
        </is>
      </c>
      <c r="B27" s="69" t="inlineStr">
        <is>
          <t>spring-phab-lrbs-use</t>
        </is>
      </c>
      <c r="C27" s="69" t="inlineStr">
        <is>
          <t>Relative bed stability</t>
        </is>
      </c>
      <c r="D27" s="69" t="inlineStr">
        <is>
          <t>Small stream (10 to 100 km2)</t>
        </is>
      </c>
      <c r="E27" s="69" t="n">
        <v>8</v>
      </c>
      <c r="F27" s="69" t="inlineStr">
        <is>
          <t>56 least-disturbed stations borrowed from Level I ecoregion 8 (Eastern Temperate Forests) under the regional screen (agriculture at most 25 percent), transfer risk high</t>
        </is>
      </c>
      <c r="G27" s="69" t="n">
        <v>-3.333901844918728</v>
      </c>
      <c r="H27" s="69" t="n">
        <v>-2.181118126958609</v>
      </c>
      <c r="I27" s="69" t="n">
        <v>-1.431808710284531</v>
      </c>
      <c r="J27" s="69" t="n">
        <v>-1.028334408998489</v>
      </c>
      <c r="K27" s="69" t="n">
        <v>0.1244493089616299</v>
      </c>
      <c r="L27" s="69" t="n">
        <v>0.5279236102476716</v>
      </c>
      <c r="M27" s="69" t="n">
        <v>1.277233026921749</v>
      </c>
      <c r="N27" s="69" t="n">
        <v>2.430016744881868</v>
      </c>
      <c r="O27" s="69" t="n">
        <v>0</v>
      </c>
      <c r="P27" s="69" t="n">
        <v>0.3</v>
      </c>
      <c r="Q27" s="69" t="n">
        <v>0.7</v>
      </c>
      <c r="R27" s="69" t="n">
        <v>1</v>
      </c>
      <c r="S27" s="69" t="n">
        <v>1</v>
      </c>
      <c r="T27" s="69" t="n">
        <v>0.7</v>
      </c>
      <c r="U27" s="69" t="n">
        <v>0.3</v>
      </c>
      <c r="V27" s="69" t="n">
        <v>0</v>
      </c>
    </row>
    <row r="28">
      <c r="A28" s="69" t="inlineStr">
        <is>
          <t>spring_phab_lrbs_use|Large stream (over 100 km2)</t>
        </is>
      </c>
      <c r="B28" s="69" t="inlineStr">
        <is>
          <t>spring-phab-lrbs-use</t>
        </is>
      </c>
      <c r="C28" s="69" t="inlineStr">
        <is>
          <t>Relative bed stability</t>
        </is>
      </c>
      <c r="D28" s="69" t="inlineStr">
        <is>
          <t>Large stream (over 100 km2)</t>
        </is>
      </c>
      <c r="E28" s="69" t="n">
        <v>8</v>
      </c>
      <c r="F28" s="69" t="inlineStr">
        <is>
          <t>56 least-disturbed stations borrowed from Level I ecoregion 8 (Eastern Temperate Forests) under the regional screen (agriculture at most 25 percent), transfer risk high</t>
        </is>
      </c>
      <c r="G28" s="69" t="n">
        <v>-3.76850526034832</v>
      </c>
      <c r="H28" s="69" t="n">
        <v>-2.328000143170357</v>
      </c>
      <c r="I28" s="69" t="n">
        <v>-1.39167181700468</v>
      </c>
      <c r="J28" s="69" t="n">
        <v>-0.8874950259923935</v>
      </c>
      <c r="K28" s="69" t="n">
        <v>0.5530100911855698</v>
      </c>
      <c r="L28" s="69" t="n">
        <v>1.057186882197857</v>
      </c>
      <c r="M28" s="69" t="n">
        <v>1.993515208363533</v>
      </c>
      <c r="N28" s="69" t="n">
        <v>3.434020325541496</v>
      </c>
      <c r="O28" s="69" t="n">
        <v>0</v>
      </c>
      <c r="P28" s="69" t="n">
        <v>0.3</v>
      </c>
      <c r="Q28" s="69" t="n">
        <v>0.7</v>
      </c>
      <c r="R28" s="69" t="n">
        <v>1</v>
      </c>
      <c r="S28" s="69" t="n">
        <v>1</v>
      </c>
      <c r="T28" s="69" t="n">
        <v>0.7</v>
      </c>
      <c r="U28" s="69" t="n">
        <v>0.3</v>
      </c>
      <c r="V28" s="69" t="n">
        <v>0</v>
      </c>
    </row>
    <row r="29">
      <c r="A29" s="69" t="inlineStr">
        <is>
          <t>spring_phab_lwdeqvolm100|</t>
        </is>
      </c>
      <c r="B29" s="69" t="inlineStr">
        <is>
          <t>spring-phab-lwdeqvolm100</t>
        </is>
      </c>
      <c r="C29" s="69" t="inlineStr">
        <is>
          <t>Large wood volume</t>
        </is>
      </c>
      <c r="D29" s="69" t="inlineStr"/>
      <c r="E29" s="69" t="n">
        <v>5</v>
      </c>
      <c r="F29" s="69" t="inlineStr">
        <is>
          <t>Reference curve fitted to comparable least-disturbed stations drawn from the national pool, because this ecoregion and its parents hold too few of their own.</t>
        </is>
      </c>
      <c r="G29" s="69" t="n">
        <v>0</v>
      </c>
      <c r="H29" s="69" t="n">
        <v>0.1902857167380197</v>
      </c>
      <c r="I29" s="69" t="n">
        <v>0.4440000057220459</v>
      </c>
      <c r="J29" s="69" t="n">
        <v>18.53000068664551</v>
      </c>
      <c r="K29" s="69" t="n">
        <v>27.57300102710724</v>
      </c>
      <c r="L29" s="69" t="n">
        <v>27.57300102710724</v>
      </c>
      <c r="M29" s="69" t="n">
        <v>27.57300102710724</v>
      </c>
      <c r="N29" s="69" t="n">
        <v>27.57300102710724</v>
      </c>
      <c r="O29" s="69" t="n">
        <v>0</v>
      </c>
      <c r="P29" s="69" t="n">
        <v>0.3</v>
      </c>
      <c r="Q29" s="69" t="n">
        <v>0.7</v>
      </c>
      <c r="R29" s="69" t="n">
        <v>1</v>
      </c>
      <c r="S29" s="69" t="n">
        <v>1</v>
      </c>
      <c r="T29" s="69" t="n">
        <v>1</v>
      </c>
      <c r="U29" s="69" t="n">
        <v>1</v>
      </c>
      <c r="V29" s="69" t="n">
        <v>1</v>
      </c>
    </row>
    <row r="30">
      <c r="A30" s="69" t="inlineStr">
        <is>
          <t>spring_chem_chla|</t>
        </is>
      </c>
      <c r="B30" s="69" t="inlineStr">
        <is>
          <t>spring-chem-chla</t>
        </is>
      </c>
      <c r="C30" s="69" t="inlineStr">
        <is>
          <t>Chlorophyll a</t>
        </is>
      </c>
      <c r="D30" s="69" t="inlineStr"/>
      <c r="E30" s="69" t="n">
        <v>5</v>
      </c>
      <c r="F30" s="69" t="inlineStr">
        <is>
          <t>107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30" s="69" t="n">
        <v>0.2450000643730164</v>
      </c>
      <c r="H30" s="69" t="n">
        <v>1.095000028610229</v>
      </c>
      <c r="I30" s="69" t="n">
        <v>2.794999957084656</v>
      </c>
      <c r="J30" s="69" t="n">
        <v>5.344999849796295</v>
      </c>
      <c r="K30" s="69" t="n">
        <v>7.044999778270721</v>
      </c>
      <c r="L30" s="69" t="n">
        <v>7.044999778270721</v>
      </c>
      <c r="M30" s="69" t="n">
        <v>7.044999778270721</v>
      </c>
      <c r="N30" s="69" t="n">
        <v>7.044999778270721</v>
      </c>
      <c r="O30" s="69" t="n">
        <v>1</v>
      </c>
      <c r="P30" s="69" t="n">
        <v>1</v>
      </c>
      <c r="Q30" s="69" t="n">
        <v>0.7</v>
      </c>
      <c r="R30" s="69" t="n">
        <v>0.3</v>
      </c>
      <c r="S30" s="69" t="n">
        <v>0</v>
      </c>
      <c r="T30" s="69" t="n">
        <v>0</v>
      </c>
      <c r="U30" s="69" t="n">
        <v>0</v>
      </c>
      <c r="V30" s="69" t="n">
        <v>0</v>
      </c>
    </row>
    <row r="31">
      <c r="A31" s="69" t="inlineStr">
        <is>
          <t>spring_phab_xcdenmid|All streams (pooled)</t>
        </is>
      </c>
      <c r="B31" s="69" t="inlineStr">
        <is>
          <t>spring-phab-xcdenmid</t>
        </is>
      </c>
      <c r="C31" s="69" t="inlineStr">
        <is>
          <t>Canopy density, mid-channel</t>
        </is>
      </c>
      <c r="D31" s="69" t="inlineStr">
        <is>
          <t>All streams (pooled)</t>
        </is>
      </c>
      <c r="E31" s="69" t="n">
        <v>5</v>
      </c>
      <c r="F31" s="69"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1" s="69" t="n">
        <v>0</v>
      </c>
      <c r="H31" s="69" t="n">
        <v>11.45912933349609</v>
      </c>
      <c r="I31" s="69" t="n">
        <v>26.73796844482422</v>
      </c>
      <c r="J31" s="69" t="n">
        <v>77.54010772705078</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spring_phab_xcdenmid|Headwater (10 km2 and under)</t>
        </is>
      </c>
      <c r="B32" s="69" t="inlineStr">
        <is>
          <t>spring-phab-xcdenmid</t>
        </is>
      </c>
      <c r="C32" s="69" t="inlineStr">
        <is>
          <t>Canopy density, mid-channel</t>
        </is>
      </c>
      <c r="D32" s="69" t="inlineStr">
        <is>
          <t>Headwater (10 km2 and under)</t>
        </is>
      </c>
      <c r="E32" s="69" t="n">
        <v>5</v>
      </c>
      <c r="F32" s="69"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2" s="69" t="n">
        <v>0</v>
      </c>
      <c r="H32" s="69" t="n">
        <v>27.63082408905029</v>
      </c>
      <c r="I32" s="69" t="n">
        <v>64.47192287445068</v>
      </c>
      <c r="J32" s="69" t="n">
        <v>93.51604080200195</v>
      </c>
      <c r="K32" s="69" t="n">
        <v>100</v>
      </c>
      <c r="L32" s="69" t="n">
        <v>100</v>
      </c>
      <c r="M32" s="69" t="n">
        <v>100</v>
      </c>
      <c r="N32" s="69" t="n">
        <v>100</v>
      </c>
      <c r="O32" s="69" t="n">
        <v>0</v>
      </c>
      <c r="P32" s="69" t="n">
        <v>0.3</v>
      </c>
      <c r="Q32" s="69" t="n">
        <v>0.7</v>
      </c>
      <c r="R32" s="69" t="n">
        <v>1</v>
      </c>
      <c r="S32" s="69" t="n">
        <v>1</v>
      </c>
      <c r="T32" s="69" t="n">
        <v>1</v>
      </c>
      <c r="U32" s="69" t="n">
        <v>1</v>
      </c>
      <c r="V32" s="69" t="n">
        <v>1</v>
      </c>
    </row>
    <row r="33">
      <c r="A33" s="69" t="inlineStr">
        <is>
          <t>spring_phab_xcdenmid|Small stream (10 to 100 km2)</t>
        </is>
      </c>
      <c r="B33" s="69" t="inlineStr">
        <is>
          <t>spring-phab-xcdenmid</t>
        </is>
      </c>
      <c r="C33" s="69" t="inlineStr">
        <is>
          <t>Canopy density, mid-channel</t>
        </is>
      </c>
      <c r="D33" s="69" t="inlineStr">
        <is>
          <t>Small stream (10 to 100 km2)</t>
        </is>
      </c>
      <c r="E33" s="69" t="n">
        <v>5</v>
      </c>
      <c r="F33" s="69"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3" s="69" t="n">
        <v>0</v>
      </c>
      <c r="H33" s="69" t="n">
        <v>11.20129884992327</v>
      </c>
      <c r="I33" s="69" t="n">
        <v>26.1363639831543</v>
      </c>
      <c r="J33" s="69" t="n">
        <v>81.88502883911133</v>
      </c>
      <c r="K33" s="69" t="n">
        <v>100</v>
      </c>
      <c r="L33" s="69" t="n">
        <v>100</v>
      </c>
      <c r="M33" s="69" t="n">
        <v>100</v>
      </c>
      <c r="N33" s="69" t="n">
        <v>100</v>
      </c>
      <c r="O33" s="69" t="n">
        <v>0</v>
      </c>
      <c r="P33" s="69" t="n">
        <v>0.3</v>
      </c>
      <c r="Q33" s="69" t="n">
        <v>0.7</v>
      </c>
      <c r="R33" s="69" t="n">
        <v>1</v>
      </c>
      <c r="S33" s="69" t="n">
        <v>1</v>
      </c>
      <c r="T33" s="69" t="n">
        <v>1</v>
      </c>
      <c r="U33" s="69" t="n">
        <v>1</v>
      </c>
      <c r="V33" s="69" t="n">
        <v>1</v>
      </c>
    </row>
    <row r="34">
      <c r="A34" s="69" t="inlineStr">
        <is>
          <t>spring_phab_xcdenmid|Large stream (over 100 km2)</t>
        </is>
      </c>
      <c r="B34" s="69" t="inlineStr">
        <is>
          <t>spring-phab-xcdenmid</t>
        </is>
      </c>
      <c r="C34" s="69" t="inlineStr">
        <is>
          <t>Canopy density, mid-channel</t>
        </is>
      </c>
      <c r="D34" s="69" t="inlineStr">
        <is>
          <t>Large stream (over 100 km2)</t>
        </is>
      </c>
      <c r="E34" s="69" t="n">
        <v>5</v>
      </c>
      <c r="F34" s="69" t="inlineStr">
        <is>
          <t>85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4" s="69" t="n">
        <v>0</v>
      </c>
      <c r="H34" s="69" t="n">
        <v>8.923796858106341</v>
      </c>
      <c r="I34" s="69" t="n">
        <v>20.82219266891479</v>
      </c>
      <c r="J34" s="69" t="n">
        <v>46.39037322998047</v>
      </c>
      <c r="K34" s="69" t="n">
        <v>59.17446351051331</v>
      </c>
      <c r="L34" s="69" t="n">
        <v>59.17446351051331</v>
      </c>
      <c r="M34" s="69" t="n">
        <v>59.17446351051331</v>
      </c>
      <c r="N34" s="69" t="n">
        <v>59.17446351051331</v>
      </c>
      <c r="O34" s="69" t="n">
        <v>0</v>
      </c>
      <c r="P34" s="69" t="n">
        <v>0.3</v>
      </c>
      <c r="Q34" s="69" t="n">
        <v>0.7</v>
      </c>
      <c r="R34" s="69" t="n">
        <v>1</v>
      </c>
      <c r="S34" s="69" t="n">
        <v>1</v>
      </c>
      <c r="T34" s="69" t="n">
        <v>1</v>
      </c>
      <c r="U34" s="69" t="n">
        <v>1</v>
      </c>
      <c r="V34" s="69" t="n">
        <v>1</v>
      </c>
    </row>
    <row r="35">
      <c r="A35" s="69" t="inlineStr">
        <is>
          <t>spring_phab_xcmgw|</t>
        </is>
      </c>
      <c r="B35" s="69" t="inlineStr">
        <is>
          <t>spring-phab-xcmgw</t>
        </is>
      </c>
      <c r="C35" s="69" t="inlineStr">
        <is>
          <t>Riparian veg cover, woody</t>
        </is>
      </c>
      <c r="D35" s="69" t="inlineStr"/>
      <c r="E35" s="69" t="n">
        <v>5</v>
      </c>
      <c r="F35" s="69"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35" s="69" t="n">
        <v>0</v>
      </c>
      <c r="H35" s="69" t="n">
        <v>0.2737012931278774</v>
      </c>
      <c r="I35" s="69" t="n">
        <v>0.6386363506317139</v>
      </c>
      <c r="J35" s="69" t="n">
        <v>1.184374958276749</v>
      </c>
      <c r="K35" s="69" t="n">
        <v>1.457244262099266</v>
      </c>
      <c r="L35" s="69" t="n">
        <v>1.457244262099266</v>
      </c>
      <c r="M35" s="69" t="n">
        <v>1.457244262099266</v>
      </c>
      <c r="N35" s="69" t="n">
        <v>1.457244262099266</v>
      </c>
      <c r="O35" s="69" t="n">
        <v>0</v>
      </c>
      <c r="P35" s="69" t="n">
        <v>0.3</v>
      </c>
      <c r="Q35" s="69" t="n">
        <v>0.7</v>
      </c>
      <c r="R35" s="69" t="n">
        <v>1</v>
      </c>
      <c r="S35" s="69" t="n">
        <v>1</v>
      </c>
      <c r="T35" s="69" t="n">
        <v>1</v>
      </c>
      <c r="U35" s="69" t="n">
        <v>1</v>
      </c>
      <c r="V35" s="69" t="n">
        <v>1</v>
      </c>
    </row>
    <row r="36">
      <c r="A36" s="69" t="inlineStr">
        <is>
          <t>spring_chem_ntl|</t>
        </is>
      </c>
      <c r="B36" s="69" t="inlineStr">
        <is>
          <t>spring-chem-ntl</t>
        </is>
      </c>
      <c r="C36" s="69" t="inlineStr">
        <is>
          <t>Total nitrogen</t>
        </is>
      </c>
      <c r="D36" s="69" t="inlineStr"/>
      <c r="E36" s="69" t="n">
        <v>4</v>
      </c>
      <c r="F36" s="69" t="inlineStr">
        <is>
          <t>Scored against a published criterion rather than against stations from this ecoregion. The criterion carries its own definition of reference, which need not match this assessment's.</t>
        </is>
      </c>
      <c r="G36" s="69" t="n">
        <v>0</v>
      </c>
      <c r="H36" s="69" t="n">
        <v>0.5835</v>
      </c>
      <c r="I36" s="69" t="n">
        <v>1.024</v>
      </c>
      <c r="J36" s="69" t="n">
        <v>1.59665</v>
      </c>
      <c r="K36" s="69" t="n">
        <v>1.59665</v>
      </c>
      <c r="L36" s="69" t="n">
        <v>1.59665</v>
      </c>
      <c r="M36" s="69" t="n">
        <v>1.59665</v>
      </c>
      <c r="N36" s="69" t="n">
        <v>1.59665</v>
      </c>
      <c r="O36" s="69" t="n">
        <v>1</v>
      </c>
      <c r="P36" s="69" t="n">
        <v>0.6899999999999999</v>
      </c>
      <c r="Q36" s="69" t="n">
        <v>0.39</v>
      </c>
      <c r="R36" s="69" t="n">
        <v>0</v>
      </c>
      <c r="S36" s="69" t="n">
        <v>0</v>
      </c>
      <c r="T36" s="69" t="n">
        <v>0</v>
      </c>
      <c r="U36" s="69" t="n">
        <v>0</v>
      </c>
      <c r="V36" s="69" t="n">
        <v>0</v>
      </c>
    </row>
    <row r="37">
      <c r="A37" s="69" t="inlineStr">
        <is>
          <t>spring_chem_ptl|</t>
        </is>
      </c>
      <c r="B37" s="69" t="inlineStr">
        <is>
          <t>spring-chem-ptl</t>
        </is>
      </c>
      <c r="C37" s="69" t="inlineStr">
        <is>
          <t>Total phosphorus</t>
        </is>
      </c>
      <c r="D37" s="69" t="inlineStr"/>
      <c r="E37" s="69" t="n">
        <v>4</v>
      </c>
      <c r="F37" s="69" t="inlineStr">
        <is>
          <t>Scored against a published criterion rather than against stations from this ecoregion. The criterion carries its own definition of reference, which need not match this assessment's.</t>
        </is>
      </c>
      <c r="G37" s="69" t="n">
        <v>0</v>
      </c>
      <c r="H37" s="69" t="n">
        <v>36.35</v>
      </c>
      <c r="I37" s="69" t="n">
        <v>49.9</v>
      </c>
      <c r="J37" s="69" t="n">
        <v>67.515</v>
      </c>
      <c r="K37" s="69" t="n">
        <v>67.515</v>
      </c>
      <c r="L37" s="69" t="n">
        <v>67.515</v>
      </c>
      <c r="M37" s="69" t="n">
        <v>67.515</v>
      </c>
      <c r="N37" s="69" t="n">
        <v>67.515</v>
      </c>
      <c r="O37" s="69" t="n">
        <v>1</v>
      </c>
      <c r="P37" s="69" t="n">
        <v>0.6899999999999999</v>
      </c>
      <c r="Q37" s="69" t="n">
        <v>0.39</v>
      </c>
      <c r="R37" s="69" t="n">
        <v>0</v>
      </c>
      <c r="S37" s="69" t="n">
        <v>0</v>
      </c>
      <c r="T37" s="69" t="n">
        <v>0</v>
      </c>
      <c r="U37" s="69" t="n">
        <v>0</v>
      </c>
      <c r="V37" s="69" t="n">
        <v>0</v>
      </c>
    </row>
    <row r="38">
      <c r="A38" s="69" t="inlineStr">
        <is>
          <t>spring_chem_cond|</t>
        </is>
      </c>
      <c r="B38" s="69" t="inlineStr">
        <is>
          <t>spring-chem-cond</t>
        </is>
      </c>
      <c r="C38" s="69" t="inlineStr">
        <is>
          <t>Specific conductivity</t>
        </is>
      </c>
      <c r="D38" s="69" t="inlineStr"/>
      <c r="E38" s="69" t="n">
        <v>4</v>
      </c>
      <c r="F38" s="69" t="inlineStr">
        <is>
          <t>Scored against a published criterion rather than against stations from this ecoregion. The criterion carries its own definition of reference, which need not match this assessment's.</t>
        </is>
      </c>
      <c r="G38" s="69" t="n">
        <v>0</v>
      </c>
      <c r="H38" s="69" t="n">
        <v>500.05</v>
      </c>
      <c r="I38" s="69" t="n">
        <v>1000.05</v>
      </c>
      <c r="J38" s="69" t="n">
        <v>1650.05</v>
      </c>
      <c r="K38" s="69" t="n">
        <v>1650.05</v>
      </c>
      <c r="L38" s="69" t="n">
        <v>1650.05</v>
      </c>
      <c r="M38" s="69" t="n">
        <v>1650.05</v>
      </c>
      <c r="N38" s="69" t="n">
        <v>1650.05</v>
      </c>
      <c r="O38" s="69" t="n">
        <v>1</v>
      </c>
      <c r="P38" s="69" t="n">
        <v>0.6899999999999999</v>
      </c>
      <c r="Q38" s="69" t="n">
        <v>0.39</v>
      </c>
      <c r="R38" s="69" t="n">
        <v>0</v>
      </c>
      <c r="S38" s="69" t="n">
        <v>0</v>
      </c>
      <c r="T38" s="69" t="n">
        <v>0</v>
      </c>
      <c r="U38" s="69" t="n">
        <v>0</v>
      </c>
      <c r="V38" s="69" t="n">
        <v>0</v>
      </c>
    </row>
    <row r="39">
      <c r="A39" s="69" t="inlineStr">
        <is>
          <t>spring_chem_turb|</t>
        </is>
      </c>
      <c r="B39" s="69" t="inlineStr">
        <is>
          <t>spring-chem-turb</t>
        </is>
      </c>
      <c r="C39" s="69" t="inlineStr">
        <is>
          <t>Turbidity</t>
        </is>
      </c>
      <c r="D39" s="69" t="inlineStr"/>
      <c r="E39" s="69" t="n">
        <v>5</v>
      </c>
      <c r="F39" s="69" t="inlineStr">
        <is>
          <t>Reference curve from a modeled expectation. The response to landscape pressure is estimated nationally and this ecoregion's own level is added, because the ecoregion holds too few streams clean enough to observe reference condition directly.</t>
        </is>
      </c>
      <c r="G39" s="69" t="n">
        <v>0</v>
      </c>
      <c r="H39" s="69" t="n">
        <v>0.8861332724622022</v>
      </c>
      <c r="I39" s="69" t="n">
        <v>3.206543638620922</v>
      </c>
      <c r="J39" s="69" t="n">
        <v>6.687159187859002</v>
      </c>
      <c r="K39" s="69" t="n">
        <v>9.007569554017723</v>
      </c>
      <c r="L39" s="69" t="n">
        <v>9.007569554017723</v>
      </c>
      <c r="M39" s="69" t="n">
        <v>9.007569554017723</v>
      </c>
      <c r="N39" s="69" t="n">
        <v>9.007569554017723</v>
      </c>
      <c r="O39" s="69" t="n">
        <v>1</v>
      </c>
      <c r="P39" s="69" t="n">
        <v>1</v>
      </c>
      <c r="Q39" s="69" t="n">
        <v>0.7</v>
      </c>
      <c r="R39" s="69" t="n">
        <v>0.3</v>
      </c>
      <c r="S39" s="69" t="n">
        <v>0</v>
      </c>
      <c r="T39" s="69" t="n">
        <v>0</v>
      </c>
      <c r="U39" s="69" t="n">
        <v>0</v>
      </c>
      <c r="V39" s="69" t="n">
        <v>0</v>
      </c>
    </row>
    <row r="40">
      <c r="A40" s="69" t="inlineStr">
        <is>
          <t>spring_phab_xfc_nat|All streams (pooled)</t>
        </is>
      </c>
      <c r="B40" s="69" t="inlineStr">
        <is>
          <t>spring-phab-xfc-nat</t>
        </is>
      </c>
      <c r="C40" s="69" t="inlineStr">
        <is>
          <t>Natural fish cover</t>
        </is>
      </c>
      <c r="D40" s="69" t="inlineStr">
        <is>
          <t>All streams (pooled)</t>
        </is>
      </c>
      <c r="E40" s="69" t="n">
        <v>5</v>
      </c>
      <c r="F40" s="69"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0" s="69" t="n">
        <v>0</v>
      </c>
      <c r="H40" s="69" t="n">
        <v>0.08936688091073718</v>
      </c>
      <c r="I40" s="69" t="n">
        <v>0.2085227221250534</v>
      </c>
      <c r="J40" s="69" t="n">
        <v>0.4426136389374733</v>
      </c>
      <c r="K40" s="69" t="n">
        <v>0.5596590973436832</v>
      </c>
      <c r="L40" s="69" t="n">
        <v>0.5596590973436832</v>
      </c>
      <c r="M40" s="69" t="n">
        <v>0.5596590973436832</v>
      </c>
      <c r="N40" s="69" t="n">
        <v>0.5596590973436832</v>
      </c>
      <c r="O40" s="69" t="n">
        <v>0</v>
      </c>
      <c r="P40" s="69" t="n">
        <v>0.3</v>
      </c>
      <c r="Q40" s="69" t="n">
        <v>0.7</v>
      </c>
      <c r="R40" s="69" t="n">
        <v>1</v>
      </c>
      <c r="S40" s="69" t="n">
        <v>1</v>
      </c>
      <c r="T40" s="69" t="n">
        <v>1</v>
      </c>
      <c r="U40" s="69" t="n">
        <v>1</v>
      </c>
      <c r="V40" s="69" t="n">
        <v>1</v>
      </c>
    </row>
    <row r="41">
      <c r="A41" s="69" t="inlineStr">
        <is>
          <t>spring_phab_xfc_nat|Headwater (10 km2 and under)</t>
        </is>
      </c>
      <c r="B41" s="69" t="inlineStr">
        <is>
          <t>spring-phab-xfc-nat</t>
        </is>
      </c>
      <c r="C41" s="69" t="inlineStr">
        <is>
          <t>Natural fish cover</t>
        </is>
      </c>
      <c r="D41" s="69" t="inlineStr">
        <is>
          <t>Headwater (10 km2 and under)</t>
        </is>
      </c>
      <c r="E41" s="69" t="n">
        <v>5</v>
      </c>
      <c r="F41" s="69"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1" s="69" t="n">
        <v>0</v>
      </c>
      <c r="H41" s="69" t="n">
        <v>0.0857142869915281</v>
      </c>
      <c r="I41" s="69" t="n">
        <v>0.2000000029802322</v>
      </c>
      <c r="J41" s="69" t="n">
        <v>0.4295454621315002</v>
      </c>
      <c r="K41" s="69" t="n">
        <v>0.5443181917071342</v>
      </c>
      <c r="L41" s="69" t="n">
        <v>0.5443181917071342</v>
      </c>
      <c r="M41" s="69" t="n">
        <v>0.5443181917071342</v>
      </c>
      <c r="N41" s="69" t="n">
        <v>0.5443181917071342</v>
      </c>
      <c r="O41" s="69" t="n">
        <v>0</v>
      </c>
      <c r="P41" s="69" t="n">
        <v>0.3</v>
      </c>
      <c r="Q41" s="69" t="n">
        <v>0.7</v>
      </c>
      <c r="R41" s="69" t="n">
        <v>1</v>
      </c>
      <c r="S41" s="69" t="n">
        <v>1</v>
      </c>
      <c r="T41" s="69" t="n">
        <v>1</v>
      </c>
      <c r="U41" s="69" t="n">
        <v>1</v>
      </c>
      <c r="V41" s="69" t="n">
        <v>1</v>
      </c>
    </row>
    <row r="42">
      <c r="A42" s="69" t="inlineStr">
        <is>
          <t>spring_phab_xfc_nat|Small stream (10 to 100 km2)</t>
        </is>
      </c>
      <c r="B42" s="69" t="inlineStr">
        <is>
          <t>spring-phab-xfc-nat</t>
        </is>
      </c>
      <c r="C42" s="69" t="inlineStr">
        <is>
          <t>Natural fish cover</t>
        </is>
      </c>
      <c r="D42" s="69" t="inlineStr">
        <is>
          <t>Small stream (10 to 100 km2)</t>
        </is>
      </c>
      <c r="E42" s="69" t="n">
        <v>5</v>
      </c>
      <c r="F42" s="69"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2" s="69" t="n">
        <v>0</v>
      </c>
      <c r="H42" s="69" t="n">
        <v>0.0932629858808858</v>
      </c>
      <c r="I42" s="69" t="n">
        <v>0.2176136337220669</v>
      </c>
      <c r="J42" s="69" t="n">
        <v>0.5357954651117325</v>
      </c>
      <c r="K42" s="69" t="n">
        <v>0.6948863808065653</v>
      </c>
      <c r="L42" s="69" t="n">
        <v>0.6948863808065653</v>
      </c>
      <c r="M42" s="69" t="n">
        <v>0.6948863808065653</v>
      </c>
      <c r="N42" s="69" t="n">
        <v>0.6948863808065653</v>
      </c>
      <c r="O42" s="69" t="n">
        <v>0</v>
      </c>
      <c r="P42" s="69" t="n">
        <v>0.3</v>
      </c>
      <c r="Q42" s="69" t="n">
        <v>0.7</v>
      </c>
      <c r="R42" s="69" t="n">
        <v>1</v>
      </c>
      <c r="S42" s="69" t="n">
        <v>1</v>
      </c>
      <c r="T42" s="69" t="n">
        <v>1</v>
      </c>
      <c r="U42" s="69" t="n">
        <v>1</v>
      </c>
      <c r="V42" s="69" t="n">
        <v>1</v>
      </c>
    </row>
    <row r="43">
      <c r="A43" s="69" t="inlineStr">
        <is>
          <t>spring_phab_xfc_nat|Large stream (over 100 km2)</t>
        </is>
      </c>
      <c r="B43" s="69" t="inlineStr">
        <is>
          <t>spring-phab-xfc-nat</t>
        </is>
      </c>
      <c r="C43" s="69" t="inlineStr">
        <is>
          <t>Natural fish cover</t>
        </is>
      </c>
      <c r="D43" s="69" t="inlineStr">
        <is>
          <t>Large stream (over 100 km2)</t>
        </is>
      </c>
      <c r="E43" s="69" t="n">
        <v>5</v>
      </c>
      <c r="F43" s="69" t="inlineStr">
        <is>
          <t>112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43" s="69" t="n">
        <v>0</v>
      </c>
      <c r="H43" s="69" t="n">
        <v>0.08961038717201777</v>
      </c>
      <c r="I43" s="69" t="n">
        <v>0.2090909034013748</v>
      </c>
      <c r="J43" s="69" t="n">
        <v>0.4204545319080353</v>
      </c>
      <c r="K43" s="69" t="n">
        <v>0.5261363461613655</v>
      </c>
      <c r="L43" s="69" t="n">
        <v>0.5261363461613655</v>
      </c>
      <c r="M43" s="69" t="n">
        <v>0.5261363461613655</v>
      </c>
      <c r="N43" s="69" t="n">
        <v>0.5261363461613655</v>
      </c>
      <c r="O43" s="69" t="n">
        <v>0</v>
      </c>
      <c r="P43" s="69" t="n">
        <v>0.3</v>
      </c>
      <c r="Q43" s="69" t="n">
        <v>0.7</v>
      </c>
      <c r="R43" s="69" t="n">
        <v>1</v>
      </c>
      <c r="S43" s="69" t="n">
        <v>1</v>
      </c>
      <c r="T43" s="69" t="n">
        <v>1</v>
      </c>
      <c r="U43" s="69" t="n">
        <v>1</v>
      </c>
      <c r="V43" s="69" t="n">
        <v>1</v>
      </c>
    </row>
    <row r="44">
      <c r="A44" s="69" t="inlineStr">
        <is>
          <t>spring_bent_totlntax|</t>
        </is>
      </c>
      <c r="B44" s="69" t="inlineStr">
        <is>
          <t>spring-bent-totlntax</t>
        </is>
      </c>
      <c r="C44" s="69" t="inlineStr">
        <is>
          <t>Benthic total taxa richness</t>
        </is>
      </c>
      <c r="D44" s="69" t="inlineStr"/>
      <c r="E44" s="69" t="n">
        <v>5</v>
      </c>
      <c r="F44" s="69" t="inlineStr">
        <is>
          <t>Reference curve fitted to comparable least-disturbed stations drawn from the national pool, because this ecoregion and its parents hold too few of their own.</t>
        </is>
      </c>
      <c r="G44" s="69" t="n">
        <v>0</v>
      </c>
      <c r="H44" s="69" t="n">
        <v>14.35714285714286</v>
      </c>
      <c r="I44" s="69" t="n">
        <v>33.5</v>
      </c>
      <c r="J44" s="69" t="n">
        <v>50</v>
      </c>
      <c r="K44" s="69" t="n">
        <v>58.25</v>
      </c>
      <c r="L44" s="69" t="n">
        <v>58.25</v>
      </c>
      <c r="M44" s="69" t="n">
        <v>58.25</v>
      </c>
      <c r="N44" s="69" t="n">
        <v>58.25</v>
      </c>
      <c r="O44" s="69" t="n">
        <v>0</v>
      </c>
      <c r="P44" s="69" t="n">
        <v>0.3</v>
      </c>
      <c r="Q44" s="69" t="n">
        <v>0.7</v>
      </c>
      <c r="R44" s="69" t="n">
        <v>1</v>
      </c>
      <c r="S44" s="69" t="n">
        <v>1</v>
      </c>
      <c r="T44" s="69" t="n">
        <v>1</v>
      </c>
      <c r="U44" s="69" t="n">
        <v>1</v>
      </c>
      <c r="V44" s="69" t="n">
        <v>1</v>
      </c>
    </row>
    <row r="45">
      <c r="A45" s="69" t="inlineStr">
        <is>
          <t>spring_fish_nat_totlntax|</t>
        </is>
      </c>
      <c r="B45" s="69" t="inlineStr">
        <is>
          <t>spring-fish-nat-totlntax</t>
        </is>
      </c>
      <c r="C45" s="69" t="inlineStr">
        <is>
          <t>Native fish taxa richness</t>
        </is>
      </c>
      <c r="D45" s="69" t="inlineStr"/>
      <c r="E45" s="69" t="n">
        <v>5</v>
      </c>
      <c r="F45"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45" s="69" t="n">
        <v>0</v>
      </c>
      <c r="H45" s="69" t="n">
        <v>2.142857142857143</v>
      </c>
      <c r="I45" s="69" t="n">
        <v>5</v>
      </c>
      <c r="J45" s="69" t="n">
        <v>13</v>
      </c>
      <c r="K45" s="69" t="n">
        <v>17</v>
      </c>
      <c r="L45" s="69" t="n">
        <v>17</v>
      </c>
      <c r="M45" s="69" t="n">
        <v>17</v>
      </c>
      <c r="N45" s="69" t="n">
        <v>17</v>
      </c>
      <c r="O45" s="69" t="n">
        <v>0</v>
      </c>
      <c r="P45" s="69" t="n">
        <v>0.3</v>
      </c>
      <c r="Q45" s="69" t="n">
        <v>0.7</v>
      </c>
      <c r="R45" s="69" t="n">
        <v>1</v>
      </c>
      <c r="S45" s="69" t="n">
        <v>1</v>
      </c>
      <c r="T45" s="69" t="n">
        <v>1</v>
      </c>
      <c r="U45" s="69" t="n">
        <v>1</v>
      </c>
      <c r="V45" s="69" t="n">
        <v>1</v>
      </c>
    </row>
    <row r="46">
      <c r="A46" s="69" t="inlineStr">
        <is>
          <t>spring_bent_ept_ntax|</t>
        </is>
      </c>
      <c r="B46" s="69" t="inlineStr">
        <is>
          <t>spring-bent-ept-ntax</t>
        </is>
      </c>
      <c r="C46" s="69" t="inlineStr">
        <is>
          <t>EPT taxa richness</t>
        </is>
      </c>
      <c r="D46" s="69" t="inlineStr"/>
      <c r="E46" s="69" t="n">
        <v>5</v>
      </c>
      <c r="F46" s="69" t="inlineStr">
        <is>
          <t>21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6" s="69" t="n">
        <v>0</v>
      </c>
      <c r="H46" s="69" t="n">
        <v>3.857142857142857</v>
      </c>
      <c r="I46" s="69" t="n">
        <v>9</v>
      </c>
      <c r="J46" s="69" t="n">
        <v>16</v>
      </c>
      <c r="K46" s="69" t="n">
        <v>19.5</v>
      </c>
      <c r="L46" s="69" t="n">
        <v>19.5</v>
      </c>
      <c r="M46" s="69" t="n">
        <v>19.5</v>
      </c>
      <c r="N46" s="69" t="n">
        <v>19.5</v>
      </c>
      <c r="O46" s="69" t="n">
        <v>0</v>
      </c>
      <c r="P46" s="69" t="n">
        <v>0.3</v>
      </c>
      <c r="Q46" s="69" t="n">
        <v>0.7</v>
      </c>
      <c r="R46" s="69" t="n">
        <v>1</v>
      </c>
      <c r="S46" s="69" t="n">
        <v>1</v>
      </c>
      <c r="T46" s="69" t="n">
        <v>1</v>
      </c>
      <c r="U46" s="69" t="n">
        <v>1</v>
      </c>
      <c r="V46" s="69" t="n">
        <v>1</v>
      </c>
    </row>
    <row r="47">
      <c r="A47" s="69" t="inlineStr">
        <is>
          <t>spring_bent_hprime|</t>
        </is>
      </c>
      <c r="B47" s="69" t="inlineStr">
        <is>
          <t>spring-bent-hprime</t>
        </is>
      </c>
      <c r="C47" s="69" t="inlineStr">
        <is>
          <t>Shannon diversity (H')</t>
        </is>
      </c>
      <c r="D47" s="69" t="inlineStr"/>
      <c r="E47" s="69" t="n">
        <v>5</v>
      </c>
      <c r="F47" s="69" t="inlineStr">
        <is>
          <t>Reference curve fitted to comparable least-disturbed stations drawn from the national pool, because this ecoregion and its parents hold too few of their own.</t>
        </is>
      </c>
      <c r="G47" s="69" t="n">
        <v>0</v>
      </c>
      <c r="H47" s="69" t="n">
        <v>1.133571471486773</v>
      </c>
      <c r="I47" s="69" t="n">
        <v>2.645000100135803</v>
      </c>
      <c r="J47" s="69" t="n">
        <v>3.215000033378601</v>
      </c>
      <c r="K47" s="69" t="n">
        <v>3.5</v>
      </c>
      <c r="L47" s="69" t="n">
        <v>3.5</v>
      </c>
      <c r="M47" s="69" t="n">
        <v>3.5</v>
      </c>
      <c r="N47" s="69" t="n">
        <v>3.5</v>
      </c>
      <c r="O47" s="69" t="n">
        <v>0</v>
      </c>
      <c r="P47" s="69" t="n">
        <v>0.3</v>
      </c>
      <c r="Q47" s="69" t="n">
        <v>0.7</v>
      </c>
      <c r="R47" s="69" t="n">
        <v>1</v>
      </c>
      <c r="S47" s="69" t="n">
        <v>1</v>
      </c>
      <c r="T47" s="69" t="n">
        <v>1</v>
      </c>
      <c r="U47" s="69" t="n">
        <v>1</v>
      </c>
      <c r="V47" s="69" t="n">
        <v>1</v>
      </c>
    </row>
    <row r="48">
      <c r="A48" s="69" t="inlineStr">
        <is>
          <t>spring_nid_dams_1mi|</t>
        </is>
      </c>
      <c r="B48" s="69" t="inlineStr">
        <is>
          <t>spring-nid-dams-1mi</t>
        </is>
      </c>
      <c r="C48" s="69" t="inlineStr">
        <is>
          <t>Mapped dams within one mile</t>
        </is>
      </c>
      <c r="D48" s="69" t="inlineStr"/>
      <c r="E48" s="69" t="n">
        <v>4</v>
      </c>
      <c r="F48" s="69" t="inlineStr">
        <is>
          <t>Fixed criteria, the same in every region</t>
        </is>
      </c>
      <c r="G48" s="69" t="n">
        <v>0</v>
      </c>
      <c r="H48" s="69" t="n">
        <v>1</v>
      </c>
      <c r="I48" s="69" t="n">
        <v>2</v>
      </c>
      <c r="J48" s="69" t="n">
        <v>3</v>
      </c>
      <c r="K48" s="69" t="n">
        <v>3</v>
      </c>
      <c r="L48" s="69" t="n">
        <v>3</v>
      </c>
      <c r="M48" s="69" t="n">
        <v>3</v>
      </c>
      <c r="N48" s="69" t="n">
        <v>3</v>
      </c>
      <c r="O48" s="69" t="n">
        <v>1</v>
      </c>
      <c r="P48" s="69" t="n">
        <v>0.545</v>
      </c>
      <c r="Q48" s="69" t="n">
        <v>0.195</v>
      </c>
      <c r="R48" s="69" t="n">
        <v>0</v>
      </c>
      <c r="S48" s="69" t="n">
        <v>0</v>
      </c>
      <c r="T48" s="69" t="n">
        <v>0</v>
      </c>
      <c r="U48" s="69" t="n">
        <v>0</v>
      </c>
      <c r="V48" s="69" t="n">
        <v>0</v>
      </c>
    </row>
    <row r="51">
      <c r="A51" s="58" t="inlineStr">
        <is>
          <t>Curve sets by metric</t>
        </is>
      </c>
    </row>
    <row r="52">
      <c r="A52" s="69" t="inlineStr">
        <is>
          <t>All streams (pooled)</t>
        </is>
      </c>
      <c r="B52" s="4" t="inlineStr">
        <is>
          <t>Wetland</t>
        </is>
      </c>
    </row>
    <row r="53">
      <c r="A53" s="69" t="inlineStr">
        <is>
          <t>Low gradient (under 0.5 percent)</t>
        </is>
      </c>
      <c r="B53" s="4" t="inlineStr">
        <is>
          <t>Wetland</t>
        </is>
      </c>
    </row>
    <row r="54">
      <c r="A54" s="69" t="inlineStr">
        <is>
          <t>Moderate gradient (0.5 to 2 percent)</t>
        </is>
      </c>
      <c r="B54" s="4" t="inlineStr">
        <is>
          <t>Wetland</t>
        </is>
      </c>
    </row>
    <row r="55">
      <c r="A55" s="69" t="inlineStr">
        <is>
          <t>All streams (pooled)</t>
        </is>
      </c>
      <c r="B55" s="4" t="inlineStr">
        <is>
          <t>Residual pool depth</t>
        </is>
      </c>
    </row>
    <row r="56">
      <c r="A56" s="69" t="inlineStr">
        <is>
          <t>Low gradient (under 0.5 percent)</t>
        </is>
      </c>
      <c r="B56" s="4" t="inlineStr">
        <is>
          <t>Residual pool depth</t>
        </is>
      </c>
    </row>
    <row r="57">
      <c r="A57" s="69" t="inlineStr">
        <is>
          <t>Moderate gradient (0.5 to 2 percent)</t>
        </is>
      </c>
      <c r="B57" s="4" t="inlineStr">
        <is>
          <t>Residual pool depth</t>
        </is>
      </c>
    </row>
    <row r="58">
      <c r="A58" s="69" t="inlineStr">
        <is>
          <t>All streams (pooled)</t>
        </is>
      </c>
      <c r="B58" s="4" t="inlineStr">
        <is>
          <t>Bankfull width:depth ratio</t>
        </is>
      </c>
    </row>
    <row r="59">
      <c r="A59" s="69" t="inlineStr">
        <is>
          <t>Small stream (10 to 100 km2)</t>
        </is>
      </c>
      <c r="B59" s="4" t="inlineStr">
        <is>
          <t>Bankfull width:depth ratio</t>
        </is>
      </c>
    </row>
    <row r="60">
      <c r="A60" s="69" t="inlineStr">
        <is>
          <t>Large stream (over 100 km2)</t>
        </is>
      </c>
      <c r="B60" s="4" t="inlineStr">
        <is>
          <t>Bankfull width:depth ratio</t>
        </is>
      </c>
    </row>
    <row r="61">
      <c r="A61" s="69" t="inlineStr">
        <is>
          <t>All streams (pooled)</t>
        </is>
      </c>
      <c r="B61" s="4" t="inlineStr">
        <is>
          <t>Bankfull height above channel</t>
        </is>
      </c>
    </row>
    <row r="62">
      <c r="A62" s="69" t="inlineStr">
        <is>
          <t>Small stream (10 to 100 km2)</t>
        </is>
      </c>
      <c r="B62" s="4" t="inlineStr">
        <is>
          <t>Bankfull height above channel</t>
        </is>
      </c>
    </row>
    <row r="63">
      <c r="A63" s="69" t="inlineStr">
        <is>
          <t>Large stream (over 100 km2)</t>
        </is>
      </c>
      <c r="B63" s="4" t="inlineStr">
        <is>
          <t>Bankfull height above channel</t>
        </is>
      </c>
    </row>
    <row r="64">
      <c r="A64" s="69" t="inlineStr">
        <is>
          <t>All streams (pooled)</t>
        </is>
      </c>
      <c r="B64" s="4" t="inlineStr">
        <is>
          <t>Relative bed stability</t>
        </is>
      </c>
    </row>
    <row r="65">
      <c r="A65" s="69" t="inlineStr">
        <is>
          <t>Small stream (10 to 100 km2)</t>
        </is>
      </c>
      <c r="B65" s="4" t="inlineStr">
        <is>
          <t>Relative bed stability</t>
        </is>
      </c>
    </row>
    <row r="66">
      <c r="A66" s="69" t="inlineStr">
        <is>
          <t>Large stream (over 100 km2)</t>
        </is>
      </c>
      <c r="B66" s="4" t="inlineStr">
        <is>
          <t>Relative bed stability</t>
        </is>
      </c>
    </row>
    <row r="67">
      <c r="A67" s="69" t="inlineStr">
        <is>
          <t>All streams (pooled)</t>
        </is>
      </c>
      <c r="B67" s="4" t="inlineStr">
        <is>
          <t>Canopy density, mid-channel</t>
        </is>
      </c>
    </row>
    <row r="68">
      <c r="A68" s="69" t="inlineStr">
        <is>
          <t>Headwater (10 km2 and under)</t>
        </is>
      </c>
      <c r="B68" s="4" t="inlineStr">
        <is>
          <t>Canopy density, mid-channel</t>
        </is>
      </c>
    </row>
    <row r="69">
      <c r="A69" s="69" t="inlineStr">
        <is>
          <t>Small stream (10 to 100 km2)</t>
        </is>
      </c>
      <c r="B69" s="4" t="inlineStr">
        <is>
          <t>Canopy density, mid-channel</t>
        </is>
      </c>
    </row>
    <row r="70">
      <c r="A70" s="69" t="inlineStr">
        <is>
          <t>Large stream (over 100 km2)</t>
        </is>
      </c>
      <c r="B70" s="4" t="inlineStr">
        <is>
          <t>Canopy density, mid-channel</t>
        </is>
      </c>
    </row>
    <row r="71">
      <c r="A71" s="69" t="inlineStr">
        <is>
          <t>All streams (pooled)</t>
        </is>
      </c>
      <c r="B71" s="4" t="inlineStr">
        <is>
          <t>Natural fish cover</t>
        </is>
      </c>
    </row>
    <row r="72">
      <c r="A72" s="69" t="inlineStr">
        <is>
          <t>Headwater (10 km2 and under)</t>
        </is>
      </c>
      <c r="B72" s="4" t="inlineStr">
        <is>
          <t>Natural fish cover</t>
        </is>
      </c>
    </row>
    <row r="73">
      <c r="A73" s="69" t="inlineStr">
        <is>
          <t>Small stream (10 to 100 km2)</t>
        </is>
      </c>
      <c r="B73" s="4" t="inlineStr">
        <is>
          <t>Natural fish cover</t>
        </is>
      </c>
    </row>
    <row r="74">
      <c r="A74" s="69" t="inlineStr">
        <is>
          <t>Large stream (over 100 km2)</t>
        </is>
      </c>
      <c r="B74" s="4" t="inlineStr">
        <is>
          <t>Natural fish cover</t>
        </is>
      </c>
    </row>
    <row r="77">
      <c r="A77" s="58" t="inlineStr">
        <is>
          <t>Condition classes</t>
        </is>
      </c>
    </row>
    <row r="78">
      <c r="A78" t="inlineStr">
        <is>
          <t>Metric index: at or below 0.39 Non-Functioning, at or below 0.69 Functioning At-Risk, above Functioning.</t>
        </is>
      </c>
    </row>
    <row r="79">
      <c r="A79" t="inlineStr">
        <is>
          <t>Function score (0 to 15): at or below 5 Non-Functioning, at or below 10 Functioning At-Risk, above Functioning.</t>
        </is>
      </c>
    </row>
    <row r="80">
      <c r="A8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north-central-hardwood-forests</t>
        </is>
      </c>
    </row>
    <row r="5">
      <c r="A5" s="69" t="inlineStr">
        <is>
          <t>Assessment name</t>
        </is>
      </c>
      <c r="B5" s="69" t="inlineStr">
        <is>
          <t>North Central Hardwood Forests reference assessment</t>
        </is>
      </c>
    </row>
    <row r="6">
      <c r="A6" s="69" t="inlineStr">
        <is>
          <t>Version</t>
        </is>
      </c>
      <c r="B6" s="69" t="n">
        <v>1</v>
      </c>
    </row>
    <row r="7">
      <c r="A7" s="69" t="inlineStr">
        <is>
          <t>Lifecycle status</t>
        </is>
      </c>
      <c r="B7" s="69" t="inlineStr"/>
    </row>
    <row r="8">
      <c r="A8" s="69" t="inlineStr">
        <is>
          <t>Content digest</t>
        </is>
      </c>
      <c r="B8" s="69" t="inlineStr">
        <is>
          <t>sha256:b38d91140db054378edba33178d80b027f785c0512477a6a3e9223df25834371</t>
        </is>
      </c>
    </row>
    <row r="9">
      <c r="A9" s="69" t="inlineStr">
        <is>
          <t>Region</t>
        </is>
      </c>
      <c r="B9" s="69" t="inlineStr">
        <is>
          <t>ecoregion 51 North Central Hardwood Forests</t>
        </is>
      </c>
    </row>
    <row r="10">
      <c r="A10" s="69" t="inlineStr">
        <is>
          <t>Source</t>
        </is>
      </c>
      <c r="B10" s="69" t="inlineStr">
        <is>
          <t>USEPA NRSA 2013-24 (L3 ecoregion 51),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2026-09-30T07:06:01Z</dcterms:created>
  <dcterms:modified xmlns:dcterms="http://purl.org/dc/terms/" xmlns:xsi="http://www.w3.org/2001/XMLSchema-instance" xsi:type="dcterms:W3CDTF">2026-09-30T07:06:01Z</dcterms:modified>
  <cp:lastModifiedBy>DEEP</cp:lastModifiedBy>
</cp:coreProperties>
</file>