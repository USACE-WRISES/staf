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xbkf_h">'Reference'!$A$41:$A$44</definedName>
    <definedName name="strata_spring_phab_xcdenmid">'Reference'!$A$45:$A$48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ptl">'Metrics'!$V$22</definedName>
    <definedName name="idx_spring_chem_n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ptl">'DEEP Score'!$E$36</definedName>
    <definedName name="in_spring_chem_n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Central Appalachians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13 curves are fitted to least-disturbed stations of this ecoregion. 4 curves are fitted to this ecoregion's own streams under the documented regional screen, which relaxes agriculture only. 6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Central Appalachians reference assessment</t>
        </is>
      </c>
    </row>
    <row r="3">
      <c r="A3" s="5" t="inlineStr">
        <is>
          <t>Version 1 | Draft | USEPA NRSA 2013-24 (L3 ecoregion 62),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3"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7"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3" t="inlineStr">
        <is>
          <t>All streams (pooled)</t>
        </is>
      </c>
      <c r="G34" s="26">
        <f>IF('Metrics'!$V$20="","",'Metrics'!$V$20)</f>
        <v/>
      </c>
      <c r="H34" s="21" t="n"/>
      <c r="I34" s="27" t="n"/>
    </row>
    <row r="35">
      <c r="A35" s="48"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7" t="inlineStr">
        <is>
          <t>Physicochemistry</t>
        </is>
      </c>
      <c r="B36" s="12" t="inlineStr">
        <is>
          <t>Nutrient cycling</t>
        </is>
      </c>
      <c r="C36" s="13" t="inlineStr">
        <is>
          <t>Total phosphorus</t>
        </is>
      </c>
      <c r="D36" s="14" t="inlineStr">
        <is>
          <t>ug/L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nitrogen</t>
        </is>
      </c>
      <c r="D37" s="23" t="inlineStr">
        <is>
          <t>mg N/L</t>
        </is>
      </c>
      <c r="E37" s="24" t="n"/>
      <c r="F37" s="25" t="inlineStr"/>
      <c r="G37" s="26">
        <f>IF('Metrics'!$V$23="","",'Metrics'!$V$23)</f>
        <v/>
      </c>
      <c r="H37" s="21" t="n"/>
      <c r="I37" s="27" t="n"/>
    </row>
    <row r="38">
      <c r="A38" s="47"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9"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50"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9" t="inlineStr">
        <is>
          <t>Biology</t>
        </is>
      </c>
      <c r="B43" s="12" t="inlineStr">
        <is>
          <t>Community dynamics</t>
        </is>
      </c>
      <c r="C43" s="13" t="inlineStr">
        <is>
          <t>Shannon diversity (H')</t>
        </is>
      </c>
      <c r="D43" s="14" t="inlineStr">
        <is>
          <t>H'</t>
        </is>
      </c>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50"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1" t="inlineStr">
        <is>
          <t>Summary</t>
        </is>
      </c>
    </row>
    <row r="48">
      <c r="A48" s="10" t="inlineStr">
        <is>
          <t>Outcome</t>
        </is>
      </c>
      <c r="B48" s="10" t="inlineStr">
        <is>
          <t>Sub-index (0 to 1)</t>
        </is>
      </c>
      <c r="C48" s="10" t="inlineStr">
        <is>
          <t>Condition</t>
        </is>
      </c>
    </row>
    <row r="49">
      <c r="A49" s="52" t="inlineStr">
        <is>
          <t>Physical</t>
        </is>
      </c>
      <c r="B49" s="53">
        <f>'Results'!$B$26</f>
        <v/>
      </c>
      <c r="C49" s="54">
        <f>IF('DEEP Score'!$B$49&lt;=0.39,"Non-Functioning",IF('DEEP Score'!$B$49&lt;=0.69,"Functioning At-Risk","Functioning"))</f>
        <v/>
      </c>
    </row>
    <row r="50">
      <c r="A50" s="52" t="inlineStr">
        <is>
          <t>Chemical</t>
        </is>
      </c>
      <c r="B50" s="53">
        <f>'Results'!$B$27</f>
        <v/>
      </c>
      <c r="C50" s="54">
        <f>IF('DEEP Score'!$B$50&lt;=0.39,"Non-Functioning",IF('DEEP Score'!$B$50&lt;=0.69,"Functioning At-Risk","Functioning"))</f>
        <v/>
      </c>
    </row>
    <row r="51">
      <c r="A51" s="52" t="inlineStr">
        <is>
          <t>Biological</t>
        </is>
      </c>
      <c r="B51" s="53">
        <f>'Results'!$B$28</f>
        <v/>
      </c>
      <c r="C51" s="54">
        <f>IF('DEEP Score'!$B$51&lt;=0.39,"Non-Functioning",IF('DEEP Score'!$B$51&lt;=0.69,"Functioning At-Risk","Functioning"))</f>
        <v/>
      </c>
    </row>
    <row r="52" ht="30" customHeight="1">
      <c r="A52" s="55" t="inlineStr">
        <is>
          <t>Ecosystem Condition Index</t>
        </is>
      </c>
      <c r="B52" s="56">
        <f>'Results'!$B$29</f>
        <v/>
      </c>
      <c r="C52" s="54">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7"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8" t="n"/>
      <c r="B61" s="59" t="n"/>
      <c r="C61" s="59" t="n"/>
      <c r="D61" s="59" t="n"/>
      <c r="E61" s="59" t="n"/>
      <c r="F61" s="59" t="n"/>
      <c r="G61" s="59" t="n"/>
      <c r="H61" s="59" t="n"/>
      <c r="I61" s="60" t="n"/>
    </row>
    <row r="62">
      <c r="A62" s="61" t="n"/>
      <c r="B62" s="62" t="n"/>
      <c r="C62" s="62" t="n"/>
      <c r="D62" s="62" t="n"/>
      <c r="E62" s="62" t="n"/>
      <c r="F62" s="62" t="n"/>
      <c r="G62" s="62" t="n"/>
      <c r="H62" s="62" t="n"/>
      <c r="I62" s="63"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4" t="n"/>
      <c r="B66" s="65" t="n"/>
      <c r="C66" s="65" t="n"/>
      <c r="D66" s="65" t="n"/>
      <c r="E66" s="65" t="n"/>
      <c r="F66" s="65" t="n"/>
      <c r="G66" s="65" t="n"/>
      <c r="H66" s="65" t="n"/>
      <c r="I66" s="66"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 cover of the watershed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Bankfull width:depth ratio</t>
        </is>
      </c>
      <c r="B11" s="69">
        <f>IF('DEEP Score'!$E$19="","",'DEEP Score'!$E$19)</f>
        <v/>
      </c>
      <c r="C11" s="69">
        <f>""</f>
        <v/>
      </c>
      <c r="D11" s="69">
        <f>"spring_phab_bfwd_rat|"&amp;'Metrics'!$C$11</f>
        <v/>
      </c>
      <c r="E11" s="69">
        <f>IFERROR(MATCH('Metrics'!$D$11,curve_key,0),MATCH("spring_phab_bfwd_rat|",curve_key,0))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height above channel</t>
        </is>
      </c>
      <c r="B12" s="69">
        <f>IF('DEEP Score'!$E$22="","",'DEEP Score'!$E$22)</f>
        <v/>
      </c>
      <c r="C12" s="69">
        <f>IF('DEEP Score'!$F$22="","All streams (pooled)",'DEEP Score'!$F$22)</f>
        <v/>
      </c>
      <c r="D12" s="69">
        <f>"spring_phab_xbkf_h|"&amp;'Metrics'!$C$12</f>
        <v/>
      </c>
      <c r="E12" s="69">
        <f>IFERROR(MATCH('Metrics'!$D$12,curve_key,0),MATCH("spring_phab_xbkf_h|All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Sand + fines</t>
        </is>
      </c>
      <c r="B13" s="69">
        <f>IF('DEEP Score'!$E$23="","",'DEEP Score'!$E$23)</f>
        <v/>
      </c>
      <c r="C13" s="69">
        <f>""</f>
        <v/>
      </c>
      <c r="D13" s="69">
        <f>"spring_phab_pct_safn|"&amp;'Metrics'!$C$13</f>
        <v/>
      </c>
      <c r="E13" s="69">
        <f>IFERROR(MATCH('Metrics'!$D$13,curve_key,0),MATCH("spring_phab_pct_safn|",curve_key,0))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Embeddedness</t>
        </is>
      </c>
      <c r="B14" s="69">
        <f>IF('DEEP Score'!$E$24="","",'DEEP Score'!$E$24)</f>
        <v/>
      </c>
      <c r="C14" s="69">
        <f>""</f>
        <v/>
      </c>
      <c r="D14" s="69">
        <f>"spring_phab_xembed|"&amp;'Metrics'!$C$14</f>
        <v/>
      </c>
      <c r="E14" s="69">
        <f>IFERROR(MATCH('Metrics'!$D$14,curve_key,0),MATCH("spring_phab_xembed|",curve_key,0))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Sinuosity</t>
        </is>
      </c>
      <c r="B15" s="69">
        <f>IF('DEEP Score'!$E$27="","",'DEEP Score'!$E$27)</f>
        <v/>
      </c>
      <c r="C15" s="69">
        <f>""</f>
        <v/>
      </c>
      <c r="D15" s="69">
        <f>"spring_phab_sinu|"&amp;'Metrics'!$C$15</f>
        <v/>
      </c>
      <c r="E15" s="69">
        <f>IFERROR(MATCH('Metrics'!$D$15,curve_key,0),MATCH("spring_phab_sinu|",curve_key,0))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Bank angle</t>
        </is>
      </c>
      <c r="B16" s="69">
        <f>IF('DEEP Score'!$E$28="","",'DEEP Score'!$E$28)</f>
        <v/>
      </c>
      <c r="C16" s="69">
        <f>""</f>
        <v/>
      </c>
      <c r="D16" s="69">
        <f>"spring_phab_xbka|"&amp;'Metrics'!$C$16</f>
        <v/>
      </c>
      <c r="E16" s="69">
        <f>IFERROR(MATCH('Metrics'!$D$16,curve_key,0),MATCH("spring_phab_xbka|",curve_key,0))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Relative bed stability</t>
        </is>
      </c>
      <c r="B17" s="69">
        <f>IF('DEEP Score'!$E$29="","",'DEEP Score'!$E$29)</f>
        <v/>
      </c>
      <c r="C17" s="69">
        <f>""</f>
        <v/>
      </c>
      <c r="D17" s="69">
        <f>"spring_phab_lrbs_use|"&amp;'Metrics'!$C$17</f>
        <v/>
      </c>
      <c r="E17" s="69">
        <f>IFERROR(MATCH('Metrics'!$D$17,curve_key,0),MATCH("spring_phab_lrbs_use|",curve_key,0))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Large wood volume</t>
        </is>
      </c>
      <c r="B18" s="69">
        <f>IF('DEEP Score'!$E$32="","",'DEEP Score'!$E$32)</f>
        <v/>
      </c>
      <c r="C18" s="69">
        <f>""</f>
        <v/>
      </c>
      <c r="D18" s="69">
        <f>"spring_phab_lwdeqvolm100|"&amp;'Metrics'!$C$18</f>
        <v/>
      </c>
      <c r="E18" s="69">
        <f>IFERROR(MATCH('Metrics'!$D$18,curve_key,0),MATCH("spring_phab_lwdeqvolm100|",curve_key,0))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Chlorophyll a</t>
        </is>
      </c>
      <c r="B19" s="69">
        <f>IF('DEEP Score'!$E$33="","",'DEEP Score'!$E$33)</f>
        <v/>
      </c>
      <c r="C19" s="69">
        <f>""</f>
        <v/>
      </c>
      <c r="D19" s="69">
        <f>"spring_chem_chla|"&amp;'Metrics'!$C$19</f>
        <v/>
      </c>
      <c r="E19" s="69">
        <f>IFERROR(MATCH('Metrics'!$D$19,curve_key,0),MATCH("spring_chem_chla|",curve_key,0))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Canopy density, mid-channel</t>
        </is>
      </c>
      <c r="B20" s="69">
        <f>IF('DEEP Score'!$E$34="","",'DEEP Score'!$E$34)</f>
        <v/>
      </c>
      <c r="C20" s="69">
        <f>IF('DEEP Score'!$F$34="","All streams (pooled)",'DEEP Score'!$F$34)</f>
        <v/>
      </c>
      <c r="D20" s="69">
        <f>"spring_phab_xcdenmid|"&amp;'Metrics'!$C$20</f>
        <v/>
      </c>
      <c r="E20" s="69">
        <f>IFERROR(MATCH('Metrics'!$D$20,curve_key,0),MATCH("spring_phab_xcdenmid|All streams (pooled)",curve_key,0))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Riparian veg cover, woody</t>
        </is>
      </c>
      <c r="B21" s="69">
        <f>IF('DEEP Score'!$E$35="","",'DEEP Score'!$E$35)</f>
        <v/>
      </c>
      <c r="C21" s="69">
        <f>""</f>
        <v/>
      </c>
      <c r="D21" s="69">
        <f>"spring_phab_xcmgw|"&amp;'Metrics'!$C$21</f>
        <v/>
      </c>
      <c r="E21" s="69">
        <f>IFERROR(MATCH('Metrics'!$D$21,curve_key,0),MATCH("spring_phab_xcmgw|",curve_key,0))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Total phosphorus</t>
        </is>
      </c>
      <c r="B22" s="69">
        <f>IF('DEEP Score'!$E$36="","",'DEEP Score'!$E$36)</f>
        <v/>
      </c>
      <c r="C22" s="69">
        <f>""</f>
        <v/>
      </c>
      <c r="D22" s="69">
        <f>"spring_chem_ptl|"&amp;'Metrics'!$C$22</f>
        <v/>
      </c>
      <c r="E22" s="69">
        <f>IFERROR(MATCH('Metrics'!$D$22,curve_key,0),MATCH("spring_chem_ptl|",curve_key,0))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Score'!$E$37="","",'DEEP Score'!$E$37)</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pH</t>
        </is>
      </c>
      <c r="B24" s="69">
        <f>IF('DEEP Score'!$E$38="","",'DEEP Score'!$E$38)</f>
        <v/>
      </c>
      <c r="C24" s="69">
        <f>""</f>
        <v/>
      </c>
      <c r="D24" s="69">
        <f>"spring_chem_ph|"&amp;'Metrics'!$C$24</f>
        <v/>
      </c>
      <c r="E24" s="69">
        <f>IFERROR(MATCH('Metrics'!$D$24,curve_key,0),MATCH("spring_chem_ph|",curve_key,0))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Turbidity</t>
        </is>
      </c>
      <c r="B25" s="69">
        <f>IF('DEEP Score'!$E$39="","",'DEEP Score'!$E$39)</f>
        <v/>
      </c>
      <c r="C25" s="69">
        <f>""</f>
        <v/>
      </c>
      <c r="D25" s="69">
        <f>"spring_chem_turb|"&amp;'Metrics'!$C$25</f>
        <v/>
      </c>
      <c r="E25" s="69">
        <f>IFERROR(MATCH('Metrics'!$D$25,curve_key,0),MATCH("spring_chem_turb|",curve_key,0))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Fast-water / riffle habitat</t>
        </is>
      </c>
      <c r="B26" s="69">
        <f>IF('DEEP Score'!$E$40="","",'DEEP Score'!$E$40)</f>
        <v/>
      </c>
      <c r="C26" s="69">
        <f>""</f>
        <v/>
      </c>
      <c r="D26" s="69">
        <f>"spring_phab_pct_fast|"&amp;'Metrics'!$C$26</f>
        <v/>
      </c>
      <c r="E26" s="69">
        <f>IFERROR(MATCH('Metrics'!$D$26,curve_key,0),MATCH("spring_phab_pct_fast|",curve_key,0))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Score'!$E$41="","",'DEEP Score'!$E$41)</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Benthic total taxa richness</t>
        </is>
      </c>
      <c r="B28" s="69">
        <f>IF('DEEP Score'!$E$42="","",'DEEP Score'!$E$42)</f>
        <v/>
      </c>
      <c r="C28" s="69">
        <f>""</f>
        <v/>
      </c>
      <c r="D28" s="69">
        <f>"spring_bent_totlntax|"&amp;'Metrics'!$C$28</f>
        <v/>
      </c>
      <c r="E28" s="69">
        <f>IFERROR(MATCH('Metrics'!$D$28,curve_key,0),MATCH("spring_bent_totlntax|",curve_key,0))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Shannon diversity (H')</t>
        </is>
      </c>
      <c r="B29" s="69">
        <f>IF('DEEP Score'!$E$43="","",'DEEP Score'!$E$43)</f>
        <v/>
      </c>
      <c r="C29" s="69">
        <f>""</f>
        <v/>
      </c>
      <c r="D29" s="69">
        <f>"spring_bent_hprime|"&amp;'Metrics'!$C$29</f>
        <v/>
      </c>
      <c r="E29" s="69">
        <f>IFERROR(MATCH('Metrics'!$D$29,curve_key,0),MATCH("spring_bent_hprime|",curve_key,0))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Tolerant individuals (%) ~ HBI</t>
        </is>
      </c>
      <c r="B30" s="69">
        <f>IF('DEEP Score'!$E$44="","",'DEEP Score'!$E$44)</f>
        <v/>
      </c>
      <c r="C30" s="69">
        <f>""</f>
        <v/>
      </c>
      <c r="D30" s="69">
        <f>"spring_bent_tolrpind|"&amp;'Metrics'!$C$30</f>
        <v/>
      </c>
      <c r="E30" s="69">
        <f>IFERROR(MATCH('Metrics'!$D$30,curve_key,0),MATCH("spring_bent_tolrpind|",curve_key,0))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Mapped dams within one mile</t>
        </is>
      </c>
      <c r="B31" s="69">
        <f>IF('DEEP Score'!$E$45="","",'DEEP Score'!$E$45)</f>
        <v/>
      </c>
      <c r="C31" s="69">
        <f>""</f>
        <v/>
      </c>
      <c r="D31" s="69">
        <f>"spring_nid_dams_1mi|"&amp;'Metrics'!$C$31</f>
        <v/>
      </c>
      <c r="E31" s="69">
        <f>IFERROR(MATCH('Metrics'!$D$31,curve_key,0),MATCH("spring_nid_dams_1mi|",curve_key,0))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Score'!G42:G42)=0,"",SUM('DEEP Score'!G42:G42)/COUNT('DEEP Score'!G42:G42)*15)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Score'!G43:G44)=0,"",SUM('DEEP Score'!G43:G44)/COUNT('DEEP Score'!G43:G44)*15)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Score'!G45:G45)=0,"",SUM('DEEP Score'!G45:G45)/COUNT('DEEP Score'!G45:G45)*15)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6" t="inlineStr">
        <is>
          <t>Outcome</t>
        </is>
      </c>
      <c r="B25" s="6"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5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 cover of the watershed</t>
        </is>
      </c>
      <c r="D7" s="68" t="inlineStr"/>
      <c r="E7" s="68" t="n">
        <v>4</v>
      </c>
      <c r="F7" s="68" t="inlineStr">
        <is>
          <t>Adopted from EASI's national screening method (provisional)</t>
        </is>
      </c>
      <c r="G7" s="68" t="n">
        <v>0</v>
      </c>
      <c r="H7" s="68" t="n">
        <v>0.995</v>
      </c>
      <c r="I7" s="68" t="n">
        <v>5</v>
      </c>
      <c r="J7" s="68" t="n">
        <v>9.138500000000001</v>
      </c>
      <c r="K7" s="68" t="n">
        <v>9.138500000000001</v>
      </c>
      <c r="L7" s="68" t="n">
        <v>9.138500000000001</v>
      </c>
      <c r="M7" s="68" t="n">
        <v>9.138500000000001</v>
      </c>
      <c r="N7" s="68" t="n">
        <v>9.138500000000001</v>
      </c>
      <c r="O7" s="68" t="n">
        <v>0.315468</v>
      </c>
      <c r="P7" s="68" t="n">
        <v>0.39</v>
      </c>
      <c r="Q7" s="68" t="n">
        <v>0.6899999999999999</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13 least-disturbed stations of this ecoregion</t>
        </is>
      </c>
      <c r="G9" s="68" t="n">
        <v>0</v>
      </c>
      <c r="H9" s="68" t="n">
        <v>16.92312857142857</v>
      </c>
      <c r="I9" s="68" t="n">
        <v>39.4873</v>
      </c>
      <c r="J9" s="68" t="n">
        <v>42</v>
      </c>
      <c r="K9" s="68" t="n">
        <v>43.25635</v>
      </c>
      <c r="L9" s="68" t="n">
        <v>43.25635</v>
      </c>
      <c r="M9" s="68" t="n">
        <v>43.25635</v>
      </c>
      <c r="N9" s="68" t="n">
        <v>43.25635</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spring_phab_bfwd_rat|</t>
        </is>
      </c>
      <c r="B11" s="68" t="inlineStr">
        <is>
          <t>spring-phab-bfwd-rat</t>
        </is>
      </c>
      <c r="C11" s="68" t="inlineStr">
        <is>
          <t>Bankfull width:depth ratio</t>
        </is>
      </c>
      <c r="D11" s="68" t="inlineStr"/>
      <c r="E11" s="68" t="n">
        <v>8</v>
      </c>
      <c r="F11" s="68" t="inlineStr">
        <is>
          <t>21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1" s="68" t="n">
        <v>0</v>
      </c>
      <c r="H11" s="68" t="n">
        <v>2.823070526123047</v>
      </c>
      <c r="I11" s="68" t="n">
        <v>7.451723194122314</v>
      </c>
      <c r="J11" s="68" t="n">
        <v>9.944074630737305</v>
      </c>
      <c r="K11" s="68" t="n">
        <v>17.06507873535156</v>
      </c>
      <c r="L11" s="68" t="n">
        <v>19.55743017196655</v>
      </c>
      <c r="M11" s="68" t="n">
        <v>24.18608283996582</v>
      </c>
      <c r="N11" s="68" t="n">
        <v>31.30708694458008</v>
      </c>
      <c r="O11" s="68" t="n">
        <v>0</v>
      </c>
      <c r="P11" s="68" t="n">
        <v>0.3</v>
      </c>
      <c r="Q11" s="68" t="n">
        <v>0.7</v>
      </c>
      <c r="R11" s="68" t="n">
        <v>1</v>
      </c>
      <c r="S11" s="68" t="n">
        <v>1</v>
      </c>
      <c r="T11" s="68" t="n">
        <v>0.7</v>
      </c>
      <c r="U11" s="68" t="n">
        <v>0.3</v>
      </c>
      <c r="V11" s="68" t="n">
        <v>0</v>
      </c>
    </row>
    <row r="12">
      <c r="A12" s="68" t="inlineStr">
        <is>
          <t>spring_phab_xbkf_h|All streams (pooled)</t>
        </is>
      </c>
      <c r="B12" s="68" t="inlineStr">
        <is>
          <t>spring-phab-xbkf-h</t>
        </is>
      </c>
      <c r="C12" s="68" t="inlineStr">
        <is>
          <t>Bankfull height above channel</t>
        </is>
      </c>
      <c r="D12" s="68" t="inlineStr">
        <is>
          <t>All streams (pooled)</t>
        </is>
      </c>
      <c r="E12" s="68" t="n">
        <v>7</v>
      </c>
      <c r="F12" s="68"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8" t="n">
        <v>0</v>
      </c>
      <c r="H12" s="68" t="n">
        <v>0.1133636213839054</v>
      </c>
      <c r="I12" s="68" t="n">
        <v>0.239999994635582</v>
      </c>
      <c r="J12" s="68" t="n">
        <v>0.6018182039260864</v>
      </c>
      <c r="K12" s="68" t="n">
        <v>0.728454577177763</v>
      </c>
      <c r="L12" s="68" t="n">
        <v>0.9636364132165909</v>
      </c>
      <c r="M12" s="68" t="n">
        <v>1.325454622507095</v>
      </c>
      <c r="N12" s="68" t="n">
        <v>1.325454622507095</v>
      </c>
      <c r="O12" s="68" t="n">
        <v>0</v>
      </c>
      <c r="P12" s="68" t="n">
        <v>0.7</v>
      </c>
      <c r="Q12" s="68" t="n">
        <v>1</v>
      </c>
      <c r="R12" s="68" t="n">
        <v>1</v>
      </c>
      <c r="S12" s="68" t="n">
        <v>0.7</v>
      </c>
      <c r="T12" s="68" t="n">
        <v>0.3</v>
      </c>
      <c r="U12" s="68" t="n">
        <v>0</v>
      </c>
      <c r="V12" s="68" t="n">
        <v>0</v>
      </c>
    </row>
    <row r="13">
      <c r="A13" s="68" t="inlineStr">
        <is>
          <t>spring_phab_xbkf_h|Headwater (10 km2 and under)</t>
        </is>
      </c>
      <c r="B13" s="68" t="inlineStr">
        <is>
          <t>spring-phab-xbkf-h</t>
        </is>
      </c>
      <c r="C13" s="68" t="inlineStr">
        <is>
          <t>Bankfull height above channel</t>
        </is>
      </c>
      <c r="D13" s="68" t="inlineStr">
        <is>
          <t>Headwater (10 km2 and under)</t>
        </is>
      </c>
      <c r="E13" s="68" t="n">
        <v>7</v>
      </c>
      <c r="F13" s="68"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8" t="n">
        <v>0</v>
      </c>
      <c r="H13" s="68" t="n">
        <v>0.09670454375445843</v>
      </c>
      <c r="I13" s="68" t="n">
        <v>0.1818181797862053</v>
      </c>
      <c r="J13" s="68" t="n">
        <v>0.4249999970197678</v>
      </c>
      <c r="K13" s="68" t="n">
        <v>0.5101136330515146</v>
      </c>
      <c r="L13" s="68" t="n">
        <v>0.6681818142533302</v>
      </c>
      <c r="M13" s="68" t="n">
        <v>0.9113636314868927</v>
      </c>
      <c r="N13" s="68" t="n">
        <v>0.9113636314868927</v>
      </c>
      <c r="O13" s="68" t="n">
        <v>0</v>
      </c>
      <c r="P13" s="68" t="n">
        <v>0.7</v>
      </c>
      <c r="Q13" s="68" t="n">
        <v>1</v>
      </c>
      <c r="R13" s="68" t="n">
        <v>1</v>
      </c>
      <c r="S13" s="68" t="n">
        <v>0.7</v>
      </c>
      <c r="T13" s="68" t="n">
        <v>0.3</v>
      </c>
      <c r="U13" s="68" t="n">
        <v>0</v>
      </c>
      <c r="V13" s="68" t="n">
        <v>0</v>
      </c>
    </row>
    <row r="14">
      <c r="A14" s="68" t="inlineStr">
        <is>
          <t>spring_phab_xbkf_h|Small stream (10 to 100 km2)</t>
        </is>
      </c>
      <c r="B14" s="68" t="inlineStr">
        <is>
          <t>spring-phab-xbkf-h</t>
        </is>
      </c>
      <c r="C14" s="68" t="inlineStr">
        <is>
          <t>Bankfull height above channel</t>
        </is>
      </c>
      <c r="D14" s="68" t="inlineStr">
        <is>
          <t>Small stream (10 to 100 km2)</t>
        </is>
      </c>
      <c r="E14" s="68" t="n">
        <v>7</v>
      </c>
      <c r="F14" s="68"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8" t="n">
        <v>0</v>
      </c>
      <c r="H14" s="68" t="n">
        <v>0.1470454484224319</v>
      </c>
      <c r="I14" s="68" t="n">
        <v>0.2599999904632568</v>
      </c>
      <c r="J14" s="68" t="n">
        <v>0.5827272534370422</v>
      </c>
      <c r="K14" s="68" t="n">
        <v>0.6956817954778671</v>
      </c>
      <c r="L14" s="68" t="n">
        <v>0.9054545164108276</v>
      </c>
      <c r="M14" s="68" t="n">
        <v>1.228181779384613</v>
      </c>
      <c r="N14" s="68" t="n">
        <v>1.228181779384613</v>
      </c>
      <c r="O14" s="68" t="n">
        <v>0</v>
      </c>
      <c r="P14" s="68" t="n">
        <v>0.7</v>
      </c>
      <c r="Q14" s="68" t="n">
        <v>1</v>
      </c>
      <c r="R14" s="68" t="n">
        <v>1</v>
      </c>
      <c r="S14" s="68" t="n">
        <v>0.7</v>
      </c>
      <c r="T14" s="68" t="n">
        <v>0.3</v>
      </c>
      <c r="U14" s="68" t="n">
        <v>0</v>
      </c>
      <c r="V14" s="68" t="n">
        <v>0</v>
      </c>
    </row>
    <row r="15">
      <c r="A15" s="68" t="inlineStr">
        <is>
          <t>spring_phab_xbkf_h|Large stream (over 100 km2)</t>
        </is>
      </c>
      <c r="B15" s="68" t="inlineStr">
        <is>
          <t>spring-phab-xbkf-h</t>
        </is>
      </c>
      <c r="C15" s="68" t="inlineStr">
        <is>
          <t>Bankfull height above channel</t>
        </is>
      </c>
      <c r="D15" s="68" t="inlineStr">
        <is>
          <t>Large stream (over 100 km2)</t>
        </is>
      </c>
      <c r="E15" s="68" t="n">
        <v>8</v>
      </c>
      <c r="F15" s="68"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8" t="n">
        <v>0</v>
      </c>
      <c r="H15" s="68" t="n">
        <v>0.1236363649368286</v>
      </c>
      <c r="I15" s="68" t="n">
        <v>0.3227727323770523</v>
      </c>
      <c r="J15" s="68" t="n">
        <v>0.4300000071525574</v>
      </c>
      <c r="K15" s="68" t="n">
        <v>0.7363636493682861</v>
      </c>
      <c r="L15" s="68" t="n">
        <v>0.8435909241437912</v>
      </c>
      <c r="M15" s="68" t="n">
        <v>1.042727291584015</v>
      </c>
      <c r="N15" s="68" t="n">
        <v>1.349090933799744</v>
      </c>
      <c r="O15" s="68" t="n">
        <v>0</v>
      </c>
      <c r="P15" s="68" t="n">
        <v>0.3</v>
      </c>
      <c r="Q15" s="68" t="n">
        <v>0.7</v>
      </c>
      <c r="R15" s="68" t="n">
        <v>1</v>
      </c>
      <c r="S15" s="68" t="n">
        <v>1</v>
      </c>
      <c r="T15" s="68" t="n">
        <v>0.7</v>
      </c>
      <c r="U15" s="68" t="n">
        <v>0.3</v>
      </c>
      <c r="V15" s="68" t="n">
        <v>0</v>
      </c>
    </row>
    <row r="16">
      <c r="A16" s="68" t="inlineStr">
        <is>
          <t>spring_phab_pct_safn|</t>
        </is>
      </c>
      <c r="B16" s="68" t="inlineStr">
        <is>
          <t>spring-phab-pct-safn</t>
        </is>
      </c>
      <c r="C16" s="68" t="inlineStr">
        <is>
          <t>Sand + fines</t>
        </is>
      </c>
      <c r="D16" s="68" t="inlineStr"/>
      <c r="E16" s="68" t="n">
        <v>5</v>
      </c>
      <c r="F16" s="68" t="inlineStr">
        <is>
          <t>105 least-disturbed stations borrowed from Level II ecoregion 5.3 (Atlantic Highlands) under the regional screen (agriculture at most 25 percent), transfer risk low</t>
        </is>
      </c>
      <c r="G16" s="68" t="n">
        <v>0</v>
      </c>
      <c r="H16" s="68" t="n">
        <v>6.666666507720947</v>
      </c>
      <c r="I16" s="68" t="n">
        <v>31.4285717010498</v>
      </c>
      <c r="J16" s="68" t="n">
        <v>68.57142949104309</v>
      </c>
      <c r="K16" s="68" t="n">
        <v>93.33333468437195</v>
      </c>
      <c r="L16" s="68" t="n">
        <v>93.33333468437195</v>
      </c>
      <c r="M16" s="68" t="n">
        <v>93.33333468437195</v>
      </c>
      <c r="N16" s="68" t="n">
        <v>93.33333468437195</v>
      </c>
      <c r="O16" s="68" t="n">
        <v>1</v>
      </c>
      <c r="P16" s="68" t="n">
        <v>1</v>
      </c>
      <c r="Q16" s="68" t="n">
        <v>0.7</v>
      </c>
      <c r="R16" s="68" t="n">
        <v>0.3</v>
      </c>
      <c r="S16" s="68" t="n">
        <v>0</v>
      </c>
      <c r="T16" s="68" t="n">
        <v>0</v>
      </c>
      <c r="U16" s="68" t="n">
        <v>0</v>
      </c>
      <c r="V16" s="68" t="n">
        <v>0</v>
      </c>
    </row>
    <row r="17">
      <c r="A17" s="68" t="inlineStr">
        <is>
          <t>spring_phab_xembed|</t>
        </is>
      </c>
      <c r="B17" s="68" t="inlineStr">
        <is>
          <t>spring-phab-xembed</t>
        </is>
      </c>
      <c r="C17" s="68" t="inlineStr">
        <is>
          <t>Embeddedness</t>
        </is>
      </c>
      <c r="D17" s="68" t="inlineStr"/>
      <c r="E17" s="68" t="n">
        <v>4</v>
      </c>
      <c r="F17" s="68" t="inlineStr">
        <is>
          <t>21 least-disturbed streams of this ecoregion under the regional screen (agriculture at most 25 percent)</t>
        </is>
      </c>
      <c r="G17" s="68" t="n">
        <v>2.727274894714355</v>
      </c>
      <c r="H17" s="68" t="n">
        <v>21.09090995788574</v>
      </c>
      <c r="I17" s="68" t="n">
        <v>57.81818008422852</v>
      </c>
      <c r="J17" s="68" t="n">
        <v>100</v>
      </c>
      <c r="K17" s="68" t="n">
        <v>100</v>
      </c>
      <c r="L17" s="68" t="n">
        <v>100</v>
      </c>
      <c r="M17" s="68" t="n">
        <v>100</v>
      </c>
      <c r="N17" s="68" t="n">
        <v>100</v>
      </c>
      <c r="O17" s="68" t="n">
        <v>1</v>
      </c>
      <c r="P17" s="68" t="n">
        <v>1</v>
      </c>
      <c r="Q17" s="68" t="n">
        <v>0.7</v>
      </c>
      <c r="R17" s="68" t="n">
        <v>0</v>
      </c>
      <c r="S17" s="68" t="n">
        <v>0</v>
      </c>
      <c r="T17" s="68" t="n">
        <v>0</v>
      </c>
      <c r="U17" s="68" t="n">
        <v>0</v>
      </c>
      <c r="V17" s="68" t="n">
        <v>0</v>
      </c>
    </row>
    <row r="18">
      <c r="A18" s="68" t="inlineStr">
        <is>
          <t>spring_phab_sinu|</t>
        </is>
      </c>
      <c r="B18" s="68" t="inlineStr">
        <is>
          <t>spring-phab-sinu</t>
        </is>
      </c>
      <c r="C18" s="68" t="inlineStr">
        <is>
          <t>Sinuosity</t>
        </is>
      </c>
      <c r="D18" s="68" t="inlineStr"/>
      <c r="E18" s="68" t="n">
        <v>4</v>
      </c>
      <c r="F18" s="68" t="inlineStr">
        <is>
          <t>13 least-disturbed stations of this ecoregion</t>
        </is>
      </c>
      <c r="G18" s="68" t="n">
        <v>1</v>
      </c>
      <c r="H18" s="68" t="n">
        <v>1.062933087348938</v>
      </c>
      <c r="I18" s="68" t="n">
        <v>1.143728494644165</v>
      </c>
      <c r="J18" s="68" t="n">
        <v>1.184126198291779</v>
      </c>
      <c r="K18" s="68" t="n">
        <v>1.184126198291779</v>
      </c>
      <c r="L18" s="68" t="n">
        <v>1.184126198291779</v>
      </c>
      <c r="M18" s="68" t="n">
        <v>1.184126198291779</v>
      </c>
      <c r="N18" s="68" t="n">
        <v>1.184126198291779</v>
      </c>
      <c r="O18" s="68" t="n">
        <v>0</v>
      </c>
      <c r="P18" s="68" t="n">
        <v>0.7</v>
      </c>
      <c r="Q18" s="68" t="n">
        <v>1</v>
      </c>
      <c r="R18" s="68" t="n">
        <v>1</v>
      </c>
      <c r="S18" s="68" t="n">
        <v>1</v>
      </c>
      <c r="T18" s="68" t="n">
        <v>1</v>
      </c>
      <c r="U18" s="68" t="n">
        <v>1</v>
      </c>
      <c r="V18" s="68" t="n">
        <v>1</v>
      </c>
    </row>
    <row r="19">
      <c r="A19" s="68" t="inlineStr">
        <is>
          <t>spring_phab_xbka|</t>
        </is>
      </c>
      <c r="B19" s="68" t="inlineStr">
        <is>
          <t>spring-phab-xbka</t>
        </is>
      </c>
      <c r="C19" s="68" t="inlineStr">
        <is>
          <t>Bank angle</t>
        </is>
      </c>
      <c r="D19" s="68" t="inlineStr"/>
      <c r="E19" s="68" t="n">
        <v>7</v>
      </c>
      <c r="F19" s="68" t="inlineStr">
        <is>
          <t>13 least-disturbed stations of this ecoregion</t>
        </is>
      </c>
      <c r="G19" s="68" t="n">
        <v>3.090909957885742</v>
      </c>
      <c r="H19" s="68" t="n">
        <v>24.39090852737427</v>
      </c>
      <c r="I19" s="68" t="n">
        <v>28.90909004211426</v>
      </c>
      <c r="J19" s="68" t="n">
        <v>41.81818008422852</v>
      </c>
      <c r="K19" s="68" t="n">
        <v>46.33636159896851</v>
      </c>
      <c r="L19" s="68" t="n">
        <v>54.72727012634277</v>
      </c>
      <c r="M19" s="68" t="n">
        <v>67.63636016845703</v>
      </c>
      <c r="N19" s="68" t="n">
        <v>67.63636016845703</v>
      </c>
      <c r="O19" s="68" t="n">
        <v>0.7</v>
      </c>
      <c r="P19" s="68" t="n">
        <v>0.7</v>
      </c>
      <c r="Q19" s="68" t="n">
        <v>1</v>
      </c>
      <c r="R19" s="68" t="n">
        <v>1</v>
      </c>
      <c r="S19" s="68" t="n">
        <v>0.7</v>
      </c>
      <c r="T19" s="68" t="n">
        <v>0.3</v>
      </c>
      <c r="U19" s="68" t="n">
        <v>0</v>
      </c>
      <c r="V19" s="68" t="n">
        <v>0</v>
      </c>
    </row>
    <row r="20">
      <c r="A20" s="68" t="inlineStr">
        <is>
          <t>spring_phab_lrbs_use|</t>
        </is>
      </c>
      <c r="B20" s="68" t="inlineStr">
        <is>
          <t>spring-phab-lrbs-use</t>
        </is>
      </c>
      <c r="C20" s="68" t="inlineStr">
        <is>
          <t>Relative bed stability</t>
        </is>
      </c>
      <c r="D20" s="68" t="inlineStr"/>
      <c r="E20" s="68" t="n">
        <v>8</v>
      </c>
      <c r="F20" s="68" t="inlineStr">
        <is>
          <t>13 least-disturbed stations of this ecoregion</t>
        </is>
      </c>
      <c r="G20" s="68" t="n">
        <v>-1.629630029201508</v>
      </c>
      <c r="H20" s="68" t="n">
        <v>-1.125835090875626</v>
      </c>
      <c r="I20" s="68" t="n">
        <v>-0.7983683809638024</v>
      </c>
      <c r="J20" s="68" t="n">
        <v>-0.6220401525497437</v>
      </c>
      <c r="K20" s="68" t="n">
        <v>-0.1182452142238617</v>
      </c>
      <c r="L20" s="68" t="n">
        <v>0.05808301419019699</v>
      </c>
      <c r="M20" s="68" t="n">
        <v>0.3855497241020203</v>
      </c>
      <c r="N20" s="68" t="n">
        <v>0.8893446624279022</v>
      </c>
      <c r="O20" s="68" t="n">
        <v>0</v>
      </c>
      <c r="P20" s="68" t="n">
        <v>0.3</v>
      </c>
      <c r="Q20" s="68" t="n">
        <v>0.7</v>
      </c>
      <c r="R20" s="68" t="n">
        <v>1</v>
      </c>
      <c r="S20" s="68" t="n">
        <v>1</v>
      </c>
      <c r="T20" s="68" t="n">
        <v>0.7</v>
      </c>
      <c r="U20" s="68" t="n">
        <v>0.3</v>
      </c>
      <c r="V20" s="68" t="n">
        <v>0</v>
      </c>
    </row>
    <row r="21">
      <c r="A21" s="68" t="inlineStr">
        <is>
          <t>spring_phab_lwdeqvolm100|</t>
        </is>
      </c>
      <c r="B21" s="68" t="inlineStr">
        <is>
          <t>spring-phab-lwdeqvolm100</t>
        </is>
      </c>
      <c r="C21" s="68" t="inlineStr">
        <is>
          <t>Large wood volume</t>
        </is>
      </c>
      <c r="D21" s="68" t="inlineStr"/>
      <c r="E21" s="68" t="n">
        <v>5</v>
      </c>
      <c r="F21" s="68" t="inlineStr">
        <is>
          <t>Reference curve fitted to comparable least-disturbed stations drawn from the national pool, because this ecoregion and its parents hold too few of their own.</t>
        </is>
      </c>
      <c r="G21" s="68" t="n">
        <v>0</v>
      </c>
      <c r="H21" s="68" t="n">
        <v>0.1219780274799892</v>
      </c>
      <c r="I21" s="68" t="n">
        <v>0.2846153974533081</v>
      </c>
      <c r="J21" s="68" t="n">
        <v>8.543333053588867</v>
      </c>
      <c r="K21" s="68" t="n">
        <v>12.67269188165665</v>
      </c>
      <c r="L21" s="68" t="n">
        <v>12.67269188165665</v>
      </c>
      <c r="M21" s="68" t="n">
        <v>12.67269188165665</v>
      </c>
      <c r="N21" s="68" t="n">
        <v>12.67269188165665</v>
      </c>
      <c r="O21" s="68" t="n">
        <v>0</v>
      </c>
      <c r="P21" s="68" t="n">
        <v>0.3</v>
      </c>
      <c r="Q21" s="68" t="n">
        <v>0.7</v>
      </c>
      <c r="R21" s="68" t="n">
        <v>1</v>
      </c>
      <c r="S21" s="68" t="n">
        <v>1</v>
      </c>
      <c r="T21" s="68" t="n">
        <v>1</v>
      </c>
      <c r="U21" s="68" t="n">
        <v>1</v>
      </c>
      <c r="V21" s="68" t="n">
        <v>1</v>
      </c>
    </row>
    <row r="22">
      <c r="A22" s="68" t="inlineStr">
        <is>
          <t>spring_chem_chla|</t>
        </is>
      </c>
      <c r="B22" s="68" t="inlineStr">
        <is>
          <t>spring-chem-chla</t>
        </is>
      </c>
      <c r="C22" s="68" t="inlineStr">
        <is>
          <t>Chlorophyll a</t>
        </is>
      </c>
      <c r="D22" s="68" t="inlineStr"/>
      <c r="E22" s="68" t="n">
        <v>5</v>
      </c>
      <c r="F22" s="68" t="inlineStr">
        <is>
          <t>50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8" t="n">
        <v>0</v>
      </c>
      <c r="H22" s="68" t="n">
        <v>0.2647499963641167</v>
      </c>
      <c r="I22" s="68" t="n">
        <v>1.160000026226044</v>
      </c>
      <c r="J22" s="68" t="n">
        <v>2.502875071018934</v>
      </c>
      <c r="K22" s="68" t="n">
        <v>3.398125100880861</v>
      </c>
      <c r="L22" s="68" t="n">
        <v>3.398125100880861</v>
      </c>
      <c r="M22" s="68" t="n">
        <v>3.398125100880861</v>
      </c>
      <c r="N22" s="68" t="n">
        <v>3.398125100880861</v>
      </c>
      <c r="O22" s="68" t="n">
        <v>1</v>
      </c>
      <c r="P22" s="68" t="n">
        <v>1</v>
      </c>
      <c r="Q22" s="68" t="n">
        <v>0.7</v>
      </c>
      <c r="R22" s="68" t="n">
        <v>0.3</v>
      </c>
      <c r="S22" s="68" t="n">
        <v>0</v>
      </c>
      <c r="T22" s="68" t="n">
        <v>0</v>
      </c>
      <c r="U22" s="68" t="n">
        <v>0</v>
      </c>
      <c r="V22" s="68" t="n">
        <v>0</v>
      </c>
    </row>
    <row r="23">
      <c r="A23" s="68" t="inlineStr">
        <is>
          <t>spring_phab_xcdenmid|All streams (pooled)</t>
        </is>
      </c>
      <c r="B23" s="68" t="inlineStr">
        <is>
          <t>spring-phab-xcdenmid</t>
        </is>
      </c>
      <c r="C23" s="68" t="inlineStr">
        <is>
          <t>Canopy density, mid-channel</t>
        </is>
      </c>
      <c r="D23" s="68" t="inlineStr">
        <is>
          <t>All streams (pooled)</t>
        </is>
      </c>
      <c r="E23" s="68" t="n">
        <v>5</v>
      </c>
      <c r="F23" s="68"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8" t="n">
        <v>0</v>
      </c>
      <c r="H23" s="68" t="n">
        <v>10.7715813773019</v>
      </c>
      <c r="I23" s="68" t="n">
        <v>25.13368988037109</v>
      </c>
      <c r="J23" s="68" t="n">
        <v>93.98395538330078</v>
      </c>
      <c r="K23" s="68" t="n">
        <v>100</v>
      </c>
      <c r="L23" s="68" t="n">
        <v>100</v>
      </c>
      <c r="M23" s="68" t="n">
        <v>100</v>
      </c>
      <c r="N23" s="68" t="n">
        <v>100</v>
      </c>
      <c r="O23" s="68" t="n">
        <v>0</v>
      </c>
      <c r="P23" s="68" t="n">
        <v>0.3</v>
      </c>
      <c r="Q23" s="68" t="n">
        <v>0.7</v>
      </c>
      <c r="R23" s="68" t="n">
        <v>1</v>
      </c>
      <c r="S23" s="68" t="n">
        <v>1</v>
      </c>
      <c r="T23" s="68" t="n">
        <v>1</v>
      </c>
      <c r="U23" s="68" t="n">
        <v>1</v>
      </c>
      <c r="V23" s="68" t="n">
        <v>1</v>
      </c>
    </row>
    <row r="24">
      <c r="A24" s="68" t="inlineStr">
        <is>
          <t>spring_phab_xcdenmid|Headwater (10 km2 and under)</t>
        </is>
      </c>
      <c r="B24" s="68" t="inlineStr">
        <is>
          <t>spring-phab-xcdenmid</t>
        </is>
      </c>
      <c r="C24" s="68" t="inlineStr">
        <is>
          <t>Canopy density, mid-channel</t>
        </is>
      </c>
      <c r="D24" s="68" t="inlineStr">
        <is>
          <t>Headwater (10 km2 and under)</t>
        </is>
      </c>
      <c r="E24" s="68" t="n">
        <v>5</v>
      </c>
      <c r="F24" s="68"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8" t="n">
        <v>0</v>
      </c>
      <c r="H24" s="68" t="n">
        <v>31.42666135515486</v>
      </c>
      <c r="I24" s="68" t="n">
        <v>73.32887649536133</v>
      </c>
      <c r="J24" s="68" t="n">
        <v>96.66803741455078</v>
      </c>
      <c r="K24" s="68" t="n">
        <v>100</v>
      </c>
      <c r="L24" s="68" t="n">
        <v>100</v>
      </c>
      <c r="M24" s="68" t="n">
        <v>100</v>
      </c>
      <c r="N24" s="68" t="n">
        <v>100</v>
      </c>
      <c r="O24" s="68" t="n">
        <v>0</v>
      </c>
      <c r="P24" s="68" t="n">
        <v>0.3</v>
      </c>
      <c r="Q24" s="68" t="n">
        <v>0.7</v>
      </c>
      <c r="R24" s="68" t="n">
        <v>1</v>
      </c>
      <c r="S24" s="68" t="n">
        <v>1</v>
      </c>
      <c r="T24" s="68" t="n">
        <v>1</v>
      </c>
      <c r="U24" s="68" t="n">
        <v>1</v>
      </c>
      <c r="V24" s="68" t="n">
        <v>1</v>
      </c>
    </row>
    <row r="25">
      <c r="A25" s="68" t="inlineStr">
        <is>
          <t>spring_phab_xcdenmid|Small stream (10 to 100 km2)</t>
        </is>
      </c>
      <c r="B25" s="68" t="inlineStr">
        <is>
          <t>spring-phab-xcdenmid</t>
        </is>
      </c>
      <c r="C25" s="68" t="inlineStr">
        <is>
          <t>Canopy density, mid-channel</t>
        </is>
      </c>
      <c r="D25" s="68" t="inlineStr">
        <is>
          <t>Small stream (10 to 100 km2)</t>
        </is>
      </c>
      <c r="E25" s="68" t="n">
        <v>5</v>
      </c>
      <c r="F25" s="68"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8" t="n">
        <v>0</v>
      </c>
      <c r="H25" s="68" t="n">
        <v>16.3355884552002</v>
      </c>
      <c r="I25" s="68" t="n">
        <v>38.11637306213379</v>
      </c>
      <c r="J25" s="68" t="n">
        <v>91.84491729736328</v>
      </c>
      <c r="K25" s="68" t="n">
        <v>100</v>
      </c>
      <c r="L25" s="68" t="n">
        <v>100</v>
      </c>
      <c r="M25" s="68" t="n">
        <v>100</v>
      </c>
      <c r="N25" s="68" t="n">
        <v>100</v>
      </c>
      <c r="O25" s="68" t="n">
        <v>0</v>
      </c>
      <c r="P25" s="68" t="n">
        <v>0.3</v>
      </c>
      <c r="Q25" s="68" t="n">
        <v>0.7</v>
      </c>
      <c r="R25" s="68" t="n">
        <v>1</v>
      </c>
      <c r="S25" s="68" t="n">
        <v>1</v>
      </c>
      <c r="T25" s="68" t="n">
        <v>1</v>
      </c>
      <c r="U25" s="68" t="n">
        <v>1</v>
      </c>
      <c r="V25" s="68" t="n">
        <v>1</v>
      </c>
    </row>
    <row r="26">
      <c r="A26" s="68" t="inlineStr">
        <is>
          <t>spring_phab_xcdenmid|Large stream (over 100 km2)</t>
        </is>
      </c>
      <c r="B26" s="68" t="inlineStr">
        <is>
          <t>spring-phab-xcdenmid</t>
        </is>
      </c>
      <c r="C26" s="68" t="inlineStr">
        <is>
          <t>Canopy density, mid-channel</t>
        </is>
      </c>
      <c r="D26" s="68" t="inlineStr">
        <is>
          <t>Large stream (over 100 km2)</t>
        </is>
      </c>
      <c r="E26" s="68" t="n">
        <v>5</v>
      </c>
      <c r="F26" s="68"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8" t="n">
        <v>0</v>
      </c>
      <c r="H26" s="68" t="n">
        <v>3.050993084907532</v>
      </c>
      <c r="I26" s="68" t="n">
        <v>7.118983864784241</v>
      </c>
      <c r="J26" s="68" t="n">
        <v>22.66042852401733</v>
      </c>
      <c r="K26" s="68" t="n">
        <v>30.43115085363388</v>
      </c>
      <c r="L26" s="68" t="n">
        <v>30.43115085363388</v>
      </c>
      <c r="M26" s="68" t="n">
        <v>30.43115085363388</v>
      </c>
      <c r="N26" s="68" t="n">
        <v>30.43115085363388</v>
      </c>
      <c r="O26" s="68" t="n">
        <v>0</v>
      </c>
      <c r="P26" s="68" t="n">
        <v>0.3</v>
      </c>
      <c r="Q26" s="68" t="n">
        <v>0.7</v>
      </c>
      <c r="R26" s="68" t="n">
        <v>1</v>
      </c>
      <c r="S26" s="68" t="n">
        <v>1</v>
      </c>
      <c r="T26" s="68" t="n">
        <v>1</v>
      </c>
      <c r="U26" s="68" t="n">
        <v>1</v>
      </c>
      <c r="V26" s="68" t="n">
        <v>1</v>
      </c>
    </row>
    <row r="27">
      <c r="A27" s="68" t="inlineStr">
        <is>
          <t>spring_phab_xcmgw|</t>
        </is>
      </c>
      <c r="B27" s="68" t="inlineStr">
        <is>
          <t>spring-phab-xcmgw</t>
        </is>
      </c>
      <c r="C27" s="68" t="inlineStr">
        <is>
          <t>Riparian veg cover, woody</t>
        </is>
      </c>
      <c r="D27" s="68" t="inlineStr"/>
      <c r="E27" s="68" t="n">
        <v>5</v>
      </c>
      <c r="F27" s="68" t="inlineStr">
        <is>
          <t>91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8" t="n">
        <v>0</v>
      </c>
      <c r="H27" s="68" t="n">
        <v>0.3090097393308367</v>
      </c>
      <c r="I27" s="68" t="n">
        <v>0.7210227251052856</v>
      </c>
      <c r="J27" s="68" t="n">
        <v>1.51294070482254</v>
      </c>
      <c r="K27" s="68" t="n">
        <v>1.908899694681168</v>
      </c>
      <c r="L27" s="68" t="n">
        <v>1.908899694681168</v>
      </c>
      <c r="M27" s="68" t="n">
        <v>1.908899694681168</v>
      </c>
      <c r="N27" s="68" t="n">
        <v>1.908899694681168</v>
      </c>
      <c r="O27" s="68" t="n">
        <v>0</v>
      </c>
      <c r="P27" s="68" t="n">
        <v>0.3</v>
      </c>
      <c r="Q27" s="68" t="n">
        <v>0.7</v>
      </c>
      <c r="R27" s="68" t="n">
        <v>1</v>
      </c>
      <c r="S27" s="68" t="n">
        <v>1</v>
      </c>
      <c r="T27" s="68" t="n">
        <v>1</v>
      </c>
      <c r="U27" s="68" t="n">
        <v>1</v>
      </c>
      <c r="V27" s="68" t="n">
        <v>1</v>
      </c>
    </row>
    <row r="28">
      <c r="A28" s="68" t="inlineStr">
        <is>
          <t>spring_chem_ptl|</t>
        </is>
      </c>
      <c r="B28" s="68" t="inlineStr">
        <is>
          <t>spring-chem-ptl</t>
        </is>
      </c>
      <c r="C28" s="68" t="inlineStr">
        <is>
          <t>Total phosphorus</t>
        </is>
      </c>
      <c r="D28" s="68" t="inlineStr"/>
      <c r="E28" s="68" t="n">
        <v>5</v>
      </c>
      <c r="F28" s="68" t="inlineStr">
        <is>
          <t>13 least-disturbed stations of this ecoregion</t>
        </is>
      </c>
      <c r="G28" s="68" t="n">
        <v>3.242500305175781</v>
      </c>
      <c r="H28" s="68" t="n">
        <v>10</v>
      </c>
      <c r="I28" s="68" t="n">
        <v>23.51499938964844</v>
      </c>
      <c r="J28" s="68" t="n">
        <v>43.78749847412109</v>
      </c>
      <c r="K28" s="68" t="n">
        <v>57.30249786376953</v>
      </c>
      <c r="L28" s="68" t="n">
        <v>57.30249786376953</v>
      </c>
      <c r="M28" s="68" t="n">
        <v>57.30249786376953</v>
      </c>
      <c r="N28" s="68" t="n">
        <v>57.30249786376953</v>
      </c>
      <c r="O28" s="68" t="n">
        <v>1</v>
      </c>
      <c r="P28" s="68" t="n">
        <v>1</v>
      </c>
      <c r="Q28" s="68" t="n">
        <v>0.7</v>
      </c>
      <c r="R28" s="68" t="n">
        <v>0.3</v>
      </c>
      <c r="S28" s="68" t="n">
        <v>0</v>
      </c>
      <c r="T28" s="68" t="n">
        <v>0</v>
      </c>
      <c r="U28" s="68" t="n">
        <v>0</v>
      </c>
      <c r="V28" s="68" t="n">
        <v>0</v>
      </c>
    </row>
    <row r="29">
      <c r="A29" s="68" t="inlineStr">
        <is>
          <t>spring_chem_ntl|</t>
        </is>
      </c>
      <c r="B29" s="68" t="inlineStr">
        <is>
          <t>spring-chem-ntl</t>
        </is>
      </c>
      <c r="C29" s="68" t="inlineStr">
        <is>
          <t>Total nitrogen</t>
        </is>
      </c>
      <c r="D29" s="68" t="inlineStr"/>
      <c r="E29" s="68" t="n">
        <v>4</v>
      </c>
      <c r="F29" s="68" t="inlineStr">
        <is>
          <t>Scored against a published criterion rather than against stations from this ecoregion. The criterion carries its own definition of reference, which need not match this assessment's.</t>
        </is>
      </c>
      <c r="G29" s="68" t="n">
        <v>0</v>
      </c>
      <c r="H29" s="68" t="n">
        <v>0.3455</v>
      </c>
      <c r="I29" s="68" t="n">
        <v>0.482</v>
      </c>
      <c r="J29" s="68" t="n">
        <v>0.65945</v>
      </c>
      <c r="K29" s="68" t="n">
        <v>0.65945</v>
      </c>
      <c r="L29" s="68" t="n">
        <v>0.65945</v>
      </c>
      <c r="M29" s="68" t="n">
        <v>0.65945</v>
      </c>
      <c r="N29" s="68" t="n">
        <v>0.65945</v>
      </c>
      <c r="O29" s="68" t="n">
        <v>1</v>
      </c>
      <c r="P29" s="68" t="n">
        <v>0.6899999999999999</v>
      </c>
      <c r="Q29" s="68" t="n">
        <v>0.39</v>
      </c>
      <c r="R29" s="68" t="n">
        <v>0</v>
      </c>
      <c r="S29" s="68" t="n">
        <v>0</v>
      </c>
      <c r="T29" s="68" t="n">
        <v>0</v>
      </c>
      <c r="U29" s="68" t="n">
        <v>0</v>
      </c>
      <c r="V29" s="68" t="n">
        <v>0</v>
      </c>
    </row>
    <row r="30">
      <c r="A30" s="68" t="inlineStr">
        <is>
          <t>spring_chem_ph|</t>
        </is>
      </c>
      <c r="B30" s="68" t="inlineStr">
        <is>
          <t>spring-chem-ph</t>
        </is>
      </c>
      <c r="C30" s="68" t="inlineStr">
        <is>
          <t>pH</t>
        </is>
      </c>
      <c r="D30" s="68" t="inlineStr"/>
      <c r="E30" s="68" t="n">
        <v>8</v>
      </c>
      <c r="F30" s="68" t="inlineStr">
        <is>
          <t>13 least-disturbed stations of this ecoregion</t>
        </is>
      </c>
      <c r="G30" s="68" t="n">
        <v>5.96999979019165</v>
      </c>
      <c r="H30" s="68" t="n">
        <v>6.46999979019165</v>
      </c>
      <c r="I30" s="68" t="n">
        <v>6.794999790191651</v>
      </c>
      <c r="J30" s="68" t="n">
        <v>6.96999979019165</v>
      </c>
      <c r="K30" s="68" t="n">
        <v>7.46999979019165</v>
      </c>
      <c r="L30" s="68" t="n">
        <v>7.64499979019165</v>
      </c>
      <c r="M30" s="68" t="n">
        <v>7.96999979019165</v>
      </c>
      <c r="N30" s="68" t="n">
        <v>8.46999979019165</v>
      </c>
      <c r="O30" s="68" t="n">
        <v>0</v>
      </c>
      <c r="P30" s="68" t="n">
        <v>0.3</v>
      </c>
      <c r="Q30" s="68" t="n">
        <v>0.7</v>
      </c>
      <c r="R30" s="68" t="n">
        <v>1</v>
      </c>
      <c r="S30" s="68" t="n">
        <v>1</v>
      </c>
      <c r="T30" s="68" t="n">
        <v>0.7</v>
      </c>
      <c r="U30" s="68" t="n">
        <v>0.3</v>
      </c>
      <c r="V30" s="68" t="n">
        <v>0</v>
      </c>
    </row>
    <row r="31">
      <c r="A31" s="68" t="inlineStr">
        <is>
          <t>spring_chem_turb|</t>
        </is>
      </c>
      <c r="B31" s="68" t="inlineStr">
        <is>
          <t>spring-chem-turb</t>
        </is>
      </c>
      <c r="C31" s="68" t="inlineStr">
        <is>
          <t>Turbidity</t>
        </is>
      </c>
      <c r="D31" s="68" t="inlineStr"/>
      <c r="E31" s="68" t="n">
        <v>5</v>
      </c>
      <c r="F31" s="68" t="inlineStr">
        <is>
          <t>21 least-disturbed streams of this ecoregion under the regional screen (agriculture at most 25 percent)</t>
        </is>
      </c>
      <c r="G31" s="68" t="n">
        <v>0.2000000476837158</v>
      </c>
      <c r="H31" s="68" t="n">
        <v>1</v>
      </c>
      <c r="I31" s="68" t="n">
        <v>2.599999904632568</v>
      </c>
      <c r="J31" s="68" t="n">
        <v>4.999999761581421</v>
      </c>
      <c r="K31" s="68" t="n">
        <v>6.599999666213989</v>
      </c>
      <c r="L31" s="68" t="n">
        <v>6.599999666213989</v>
      </c>
      <c r="M31" s="68" t="n">
        <v>6.599999666213989</v>
      </c>
      <c r="N31" s="68" t="n">
        <v>6.599999666213989</v>
      </c>
      <c r="O31" s="68" t="n">
        <v>1</v>
      </c>
      <c r="P31" s="68" t="n">
        <v>1</v>
      </c>
      <c r="Q31" s="68" t="n">
        <v>0.7</v>
      </c>
      <c r="R31" s="68" t="n">
        <v>0.3</v>
      </c>
      <c r="S31" s="68" t="n">
        <v>0</v>
      </c>
      <c r="T31" s="68" t="n">
        <v>0</v>
      </c>
      <c r="U31" s="68" t="n">
        <v>0</v>
      </c>
      <c r="V31" s="68" t="n">
        <v>0</v>
      </c>
    </row>
    <row r="32">
      <c r="A32" s="68" t="inlineStr">
        <is>
          <t>spring_phab_pct_fast|</t>
        </is>
      </c>
      <c r="B32" s="68" t="inlineStr">
        <is>
          <t>spring-phab-pct-fast</t>
        </is>
      </c>
      <c r="C32" s="68" t="inlineStr">
        <is>
          <t>Fast-water / riffle habitat</t>
        </is>
      </c>
      <c r="D32" s="68" t="inlineStr"/>
      <c r="E32" s="68" t="n">
        <v>5</v>
      </c>
      <c r="F32" s="68" t="inlineStr">
        <is>
          <t>13 least-disturbed stations of this ecoregion</t>
        </is>
      </c>
      <c r="G32" s="68" t="n">
        <v>0</v>
      </c>
      <c r="H32" s="68" t="n">
        <v>16.12057604108538</v>
      </c>
      <c r="I32" s="68" t="n">
        <v>37.61467742919922</v>
      </c>
      <c r="J32" s="68" t="n">
        <v>71</v>
      </c>
      <c r="K32" s="68" t="n">
        <v>87.69266128540039</v>
      </c>
      <c r="L32" s="68" t="n">
        <v>87.69266128540039</v>
      </c>
      <c r="M32" s="68" t="n">
        <v>87.69266128540039</v>
      </c>
      <c r="N32" s="68" t="n">
        <v>87.69266128540039</v>
      </c>
      <c r="O32" s="68" t="n">
        <v>0</v>
      </c>
      <c r="P32" s="68" t="n">
        <v>0.3</v>
      </c>
      <c r="Q32" s="68" t="n">
        <v>0.7</v>
      </c>
      <c r="R32" s="68" t="n">
        <v>1</v>
      </c>
      <c r="S32" s="68" t="n">
        <v>1</v>
      </c>
      <c r="T32" s="68" t="n">
        <v>1</v>
      </c>
      <c r="U32" s="68" t="n">
        <v>1</v>
      </c>
      <c r="V32" s="68" t="n">
        <v>1</v>
      </c>
    </row>
    <row r="33">
      <c r="A33" s="68" t="inlineStr">
        <is>
          <t>spring_phab_xfc_nat|</t>
        </is>
      </c>
      <c r="B33" s="68" t="inlineStr">
        <is>
          <t>spring-phab-xfc-nat</t>
        </is>
      </c>
      <c r="C33" s="68" t="inlineStr">
        <is>
          <t>Natural fish cover</t>
        </is>
      </c>
      <c r="D33" s="68" t="inlineStr"/>
      <c r="E33" s="68" t="n">
        <v>5</v>
      </c>
      <c r="F33" s="68" t="inlineStr">
        <is>
          <t>13 least-disturbed stations of this ecoregion</t>
        </is>
      </c>
      <c r="G33" s="68" t="n">
        <v>0</v>
      </c>
      <c r="H33" s="68" t="n">
        <v>0.1616883107594081</v>
      </c>
      <c r="I33" s="68" t="n">
        <v>0.3772727251052856</v>
      </c>
      <c r="J33" s="68" t="n">
        <v>0.6961538195610046</v>
      </c>
      <c r="K33" s="68" t="n">
        <v>0.8555943667888641</v>
      </c>
      <c r="L33" s="68" t="n">
        <v>0.8555943667888641</v>
      </c>
      <c r="M33" s="68" t="n">
        <v>0.8555943667888641</v>
      </c>
      <c r="N33" s="68" t="n">
        <v>0.8555943667888641</v>
      </c>
      <c r="O33" s="68" t="n">
        <v>0</v>
      </c>
      <c r="P33" s="68" t="n">
        <v>0.3</v>
      </c>
      <c r="Q33" s="68" t="n">
        <v>0.7</v>
      </c>
      <c r="R33" s="68" t="n">
        <v>1</v>
      </c>
      <c r="S33" s="68" t="n">
        <v>1</v>
      </c>
      <c r="T33" s="68" t="n">
        <v>1</v>
      </c>
      <c r="U33" s="68" t="n">
        <v>1</v>
      </c>
      <c r="V33" s="68" t="n">
        <v>1</v>
      </c>
    </row>
    <row r="34">
      <c r="A34" s="68" t="inlineStr">
        <is>
          <t>spring_bent_totlntax|</t>
        </is>
      </c>
      <c r="B34" s="68" t="inlineStr">
        <is>
          <t>spring-bent-totlntax</t>
        </is>
      </c>
      <c r="C34" s="68" t="inlineStr">
        <is>
          <t>Benthic total taxa richness</t>
        </is>
      </c>
      <c r="D34" s="68" t="inlineStr"/>
      <c r="E34" s="68" t="n">
        <v>5</v>
      </c>
      <c r="F34" s="68" t="inlineStr">
        <is>
          <t>13 least-disturbed stations of this ecoregion</t>
        </is>
      </c>
      <c r="G34" s="68" t="n">
        <v>0</v>
      </c>
      <c r="H34" s="68" t="n">
        <v>17.57142857142857</v>
      </c>
      <c r="I34" s="68" t="n">
        <v>41</v>
      </c>
      <c r="J34" s="68" t="n">
        <v>55</v>
      </c>
      <c r="K34" s="68" t="n">
        <v>62</v>
      </c>
      <c r="L34" s="68" t="n">
        <v>62</v>
      </c>
      <c r="M34" s="68" t="n">
        <v>62</v>
      </c>
      <c r="N34" s="68" t="n">
        <v>62</v>
      </c>
      <c r="O34" s="68" t="n">
        <v>0</v>
      </c>
      <c r="P34" s="68" t="n">
        <v>0.3</v>
      </c>
      <c r="Q34" s="68" t="n">
        <v>0.7</v>
      </c>
      <c r="R34" s="68" t="n">
        <v>1</v>
      </c>
      <c r="S34" s="68" t="n">
        <v>1</v>
      </c>
      <c r="T34" s="68" t="n">
        <v>1</v>
      </c>
      <c r="U34" s="68" t="n">
        <v>1</v>
      </c>
      <c r="V34" s="68" t="n">
        <v>1</v>
      </c>
    </row>
    <row r="35">
      <c r="A35" s="68" t="inlineStr">
        <is>
          <t>spring_bent_hprime|</t>
        </is>
      </c>
      <c r="B35" s="68" t="inlineStr">
        <is>
          <t>spring-bent-hprime</t>
        </is>
      </c>
      <c r="C35" s="68" t="inlineStr">
        <is>
          <t>Shannon diversity (H')</t>
        </is>
      </c>
      <c r="D35" s="68" t="inlineStr"/>
      <c r="E35" s="68" t="n">
        <v>5</v>
      </c>
      <c r="F35" s="68" t="inlineStr">
        <is>
          <t>13 least-disturbed stations of this ecoregion</t>
        </is>
      </c>
      <c r="G35" s="68" t="n">
        <v>0</v>
      </c>
      <c r="H35" s="68" t="n">
        <v>1.234285763331822</v>
      </c>
      <c r="I35" s="68" t="n">
        <v>2.880000114440918</v>
      </c>
      <c r="J35" s="68" t="n">
        <v>3.25</v>
      </c>
      <c r="K35" s="68" t="n">
        <v>3.434999942779541</v>
      </c>
      <c r="L35" s="68" t="n">
        <v>3.434999942779541</v>
      </c>
      <c r="M35" s="68" t="n">
        <v>3.434999942779541</v>
      </c>
      <c r="N35" s="68" t="n">
        <v>3.434999942779541</v>
      </c>
      <c r="O35" s="68" t="n">
        <v>0</v>
      </c>
      <c r="P35" s="68" t="n">
        <v>0.3</v>
      </c>
      <c r="Q35" s="68" t="n">
        <v>0.7</v>
      </c>
      <c r="R35" s="68" t="n">
        <v>1</v>
      </c>
      <c r="S35" s="68" t="n">
        <v>1</v>
      </c>
      <c r="T35" s="68" t="n">
        <v>1</v>
      </c>
      <c r="U35" s="68" t="n">
        <v>1</v>
      </c>
      <c r="V35" s="68" t="n">
        <v>1</v>
      </c>
    </row>
    <row r="36">
      <c r="A36" s="68" t="inlineStr">
        <is>
          <t>spring_bent_tolrpind|</t>
        </is>
      </c>
      <c r="B36" s="68" t="inlineStr">
        <is>
          <t>spring-bent-tolrpind</t>
        </is>
      </c>
      <c r="C36" s="68" t="inlineStr">
        <is>
          <t>Tolerant individuals (%) ~ HBI</t>
        </is>
      </c>
      <c r="D36" s="68" t="inlineStr"/>
      <c r="E36" s="68" t="n">
        <v>5</v>
      </c>
      <c r="F36" s="68" t="inlineStr">
        <is>
          <t>13 least-disturbed stations of this ecoregion</t>
        </is>
      </c>
      <c r="G36" s="68" t="n">
        <v>1.664999961853027</v>
      </c>
      <c r="H36" s="68" t="n">
        <v>4</v>
      </c>
      <c r="I36" s="68" t="n">
        <v>8.670000076293945</v>
      </c>
      <c r="J36" s="68" t="n">
        <v>15.67500019073486</v>
      </c>
      <c r="K36" s="68" t="n">
        <v>20.34500026702881</v>
      </c>
      <c r="L36" s="68" t="n">
        <v>20.34500026702881</v>
      </c>
      <c r="M36" s="68" t="n">
        <v>20.34500026702881</v>
      </c>
      <c r="N36" s="68" t="n">
        <v>20.34500026702881</v>
      </c>
      <c r="O36" s="68" t="n">
        <v>1</v>
      </c>
      <c r="P36" s="68" t="n">
        <v>1</v>
      </c>
      <c r="Q36" s="68" t="n">
        <v>0.7</v>
      </c>
      <c r="R36" s="68" t="n">
        <v>0.3</v>
      </c>
      <c r="S36" s="68" t="n">
        <v>0</v>
      </c>
      <c r="T36" s="68" t="n">
        <v>0</v>
      </c>
      <c r="U36" s="68" t="n">
        <v>0</v>
      </c>
      <c r="V36" s="68" t="n">
        <v>0</v>
      </c>
    </row>
    <row r="37">
      <c r="A37" s="68" t="inlineStr">
        <is>
          <t>spring_nid_dams_1mi|</t>
        </is>
      </c>
      <c r="B37" s="68" t="inlineStr">
        <is>
          <t>spring-nid-dams-1mi</t>
        </is>
      </c>
      <c r="C37" s="68" t="inlineStr">
        <is>
          <t>Mapped dams within one mile</t>
        </is>
      </c>
      <c r="D37" s="68" t="inlineStr"/>
      <c r="E37" s="68" t="n">
        <v>4</v>
      </c>
      <c r="F37" s="68" t="inlineStr">
        <is>
          <t>Fixed criteria, the same in every region</t>
        </is>
      </c>
      <c r="G37" s="68" t="n">
        <v>0</v>
      </c>
      <c r="H37" s="68" t="n">
        <v>1</v>
      </c>
      <c r="I37" s="68" t="n">
        <v>2</v>
      </c>
      <c r="J37" s="68" t="n">
        <v>3</v>
      </c>
      <c r="K37" s="68" t="n">
        <v>3</v>
      </c>
      <c r="L37" s="68" t="n">
        <v>3</v>
      </c>
      <c r="M37" s="68" t="n">
        <v>3</v>
      </c>
      <c r="N37" s="68" t="n">
        <v>3</v>
      </c>
      <c r="O37" s="68" t="n">
        <v>1</v>
      </c>
      <c r="P37" s="68" t="n">
        <v>0.545</v>
      </c>
      <c r="Q37" s="68" t="n">
        <v>0.195</v>
      </c>
      <c r="R37" s="68" t="n">
        <v>0</v>
      </c>
      <c r="S37" s="68" t="n">
        <v>0</v>
      </c>
      <c r="T37" s="68" t="n">
        <v>0</v>
      </c>
      <c r="U37" s="68" t="n">
        <v>0</v>
      </c>
      <c r="V37" s="68" t="n">
        <v>0</v>
      </c>
    </row>
    <row r="40">
      <c r="A40" s="57" t="inlineStr">
        <is>
          <t>Curve sets by metric</t>
        </is>
      </c>
    </row>
    <row r="41">
      <c r="A41" s="68" t="inlineStr">
        <is>
          <t>All streams (pooled)</t>
        </is>
      </c>
      <c r="B41" s="5" t="inlineStr">
        <is>
          <t>Bankfull height above channel</t>
        </is>
      </c>
    </row>
    <row r="42">
      <c r="A42" s="68" t="inlineStr">
        <is>
          <t>Headwater (10 km2 and under)</t>
        </is>
      </c>
      <c r="B42" s="5" t="inlineStr">
        <is>
          <t>Bankfull height above channel</t>
        </is>
      </c>
    </row>
    <row r="43">
      <c r="A43" s="68" t="inlineStr">
        <is>
          <t>Small stream (10 to 100 km2)</t>
        </is>
      </c>
      <c r="B43" s="5" t="inlineStr">
        <is>
          <t>Bankfull height above channel</t>
        </is>
      </c>
    </row>
    <row r="44">
      <c r="A44" s="68" t="inlineStr">
        <is>
          <t>Large stream (over 100 km2)</t>
        </is>
      </c>
      <c r="B44" s="5" t="inlineStr">
        <is>
          <t>Bankfull height above channel</t>
        </is>
      </c>
    </row>
    <row r="45">
      <c r="A45" s="68" t="inlineStr">
        <is>
          <t>All streams (pooled)</t>
        </is>
      </c>
      <c r="B45" s="5" t="inlineStr">
        <is>
          <t>Canopy density, mid-channel</t>
        </is>
      </c>
    </row>
    <row r="46">
      <c r="A46" s="68" t="inlineStr">
        <is>
          <t>Headwater (10 km2 and under)</t>
        </is>
      </c>
      <c r="B46" s="5" t="inlineStr">
        <is>
          <t>Canopy density, mid-channel</t>
        </is>
      </c>
    </row>
    <row r="47">
      <c r="A47" s="68" t="inlineStr">
        <is>
          <t>Small stream (10 to 100 km2)</t>
        </is>
      </c>
      <c r="B47" s="5" t="inlineStr">
        <is>
          <t>Canopy density, mid-channel</t>
        </is>
      </c>
    </row>
    <row r="48">
      <c r="A48" s="68" t="inlineStr">
        <is>
          <t>Large stream (over 100 km2)</t>
        </is>
      </c>
      <c r="B48" s="5" t="inlineStr">
        <is>
          <t>Canopy density, mid-channel</t>
        </is>
      </c>
    </row>
    <row r="51">
      <c r="A51" s="57" t="inlineStr">
        <is>
          <t>Condition classes</t>
        </is>
      </c>
    </row>
    <row r="52">
      <c r="A52" t="inlineStr">
        <is>
          <t>Metric index: at or below 0.39 Non-Functioning, at or below 0.69 Functioning At-Risk, above Functioning.</t>
        </is>
      </c>
    </row>
    <row r="53">
      <c r="A53" t="inlineStr">
        <is>
          <t>Function score (0 to 15): at or below 5 Non-Functioning, at or below 10 Functioning At-Risk, above Functioning.</t>
        </is>
      </c>
    </row>
    <row r="54">
      <c r="A5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8" t="inlineStr">
        <is>
          <t>Assessment id</t>
        </is>
      </c>
      <c r="B4" s="68" t="inlineStr">
        <is>
          <t>north-central-appalachians</t>
        </is>
      </c>
    </row>
    <row r="5">
      <c r="A5" s="68" t="inlineStr">
        <is>
          <t>Assessment name</t>
        </is>
      </c>
      <c r="B5" s="68" t="inlineStr">
        <is>
          <t>North Central Appalachians reference assessment</t>
        </is>
      </c>
    </row>
    <row r="6">
      <c r="A6" s="68" t="inlineStr">
        <is>
          <t>Version</t>
        </is>
      </c>
      <c r="B6" s="68" t="n">
        <v>1</v>
      </c>
    </row>
    <row r="7">
      <c r="A7" s="68" t="inlineStr">
        <is>
          <t>Lifecycle status</t>
        </is>
      </c>
      <c r="B7" s="68" t="inlineStr">
        <is>
          <t>Draft</t>
        </is>
      </c>
    </row>
    <row r="8">
      <c r="A8" s="68" t="inlineStr">
        <is>
          <t>Content digest</t>
        </is>
      </c>
      <c r="B8" s="68" t="inlineStr">
        <is>
          <t>sha256:4b78e8a7e1dd9ab8d95886e4543651a204b2641b3dbf7905b314b0638b63fae3</t>
        </is>
      </c>
    </row>
    <row r="9">
      <c r="A9" s="68" t="inlineStr">
        <is>
          <t>Region</t>
        </is>
      </c>
      <c r="B9" s="68" t="inlineStr">
        <is>
          <t>ecoregion 62 North Central Appalachians</t>
        </is>
      </c>
    </row>
    <row r="10">
      <c r="A10" s="68" t="inlineStr">
        <is>
          <t>Source</t>
        </is>
      </c>
      <c r="B10" s="68" t="inlineStr">
        <is>
          <t>USEPA NRSA 2013-24 (L3 ecoregion 62),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27</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1.1</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2026-09-30T07:04:37Z</dcterms:created>
  <dcterms:modified xmlns:dcterms="http://purl.org/dc/terms/" xmlns:xsi="http://www.w3.org/2001/XMLSchema-instance" xsi:type="dcterms:W3CDTF">2026-09-30T07:04:37Z</dcterms:modified>
  <cp:lastModifiedBy>DEEP</cp:lastModifiedBy>
  <cp:contentStatus>Draft</cp:contentStatus>
</cp:coreProperties>
</file>