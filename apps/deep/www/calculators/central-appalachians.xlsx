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'Reference'!$A$5:$A$47</definedName>
    <definedName name="curve_x1">'Reference'!$G$5:$G$47</definedName>
    <definedName name="curve_y1">'Reference'!$O$5:$O$47</definedName>
    <definedName name="curve_x2">'Reference'!$H$5:$H$47</definedName>
    <definedName name="curve_y2">'Reference'!$P$5:$P$47</definedName>
    <definedName name="curve_x3">'Reference'!$I$5:$I$47</definedName>
    <definedName name="curve_y3">'Reference'!$Q$5:$Q$47</definedName>
    <definedName name="curve_x4">'Reference'!$J$5:$J$47</definedName>
    <definedName name="curve_y4">'Reference'!$R$5:$R$47</definedName>
    <definedName name="curve_x5">'Reference'!$K$5:$K$47</definedName>
    <definedName name="curve_y5">'Reference'!$S$5:$S$47</definedName>
    <definedName name="curve_x6">'Reference'!$L$5:$L$47</definedName>
    <definedName name="curve_y6">'Reference'!$T$5:$T$47</definedName>
    <definedName name="curve_x7">'Reference'!$M$5:$M$47</definedName>
    <definedName name="curve_y7">'Reference'!$U$5:$U$47</definedName>
    <definedName name="curve_x8">'Reference'!$N$5:$N$47</definedName>
    <definedName name="curve_y8">'Reference'!$V$5:$V$47</definedName>
    <definedName name="strata_spring_phab_bfwd_rat">'Reference'!$A$51:$A$53</definedName>
    <definedName name="strata_spring_phab_xbkf_h">'Reference'!$A$54:$A$56</definedName>
    <definedName name="strata_spring_phab_lrbs_use">'Reference'!$A$57:$A$60</definedName>
    <definedName name="strata_spring_phab_xcdenmid">'Reference'!$A$61:$A$64</definedName>
    <definedName name="strata_spring_phab_pct_fast">'Reference'!$A$65:$A$68</definedName>
    <definedName name="strata_spring_phab_xfc_nat">'Reference'!$A$69:$A$72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Appalachians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18 borrow comparable least-disturbed stations from a wider region, stating the region and the transfer risk. 6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Appalachians reference assessment</t>
        </is>
      </c>
    </row>
    <row r="3">
      <c r="A3" s="5" t="inlineStr">
        <is>
          <t>Version 1 | Draft | USEPA NRSA 2013-24 (L3 ecoregion 69),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1"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50"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IF('Metrics'!$V$30="","",'Metrics'!$V$30)</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Native fish taxa richness</t>
        </is>
      </c>
      <c r="C57" s="5" t="inlineStr">
        <is>
          <t>Population support</t>
        </is>
      </c>
    </row>
    <row r="59">
      <c r="A59" s="6"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Specific conductivity</t>
        </is>
      </c>
      <c r="B24" s="70">
        <f>IF('DEEP Score'!$E$38="","",'DEEP Score'!$E$38)</f>
        <v/>
      </c>
      <c r="C24" s="70">
        <f>""</f>
        <v/>
      </c>
      <c r="D24" s="70">
        <f>"spring_chem_cond|"&amp;'Metrics'!$C$24</f>
        <v/>
      </c>
      <c r="E24" s="70">
        <f>IFERROR(MATCH('Metrics'!$D$24,curve_key,0),MATCH("spring_chem_cond|",curve_key,0))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EPT taxa richness</t>
        </is>
      </c>
      <c r="B29" s="70">
        <f>IF('DEEP Score'!$E$43="","",'DEEP Score'!$E$43)</f>
        <v/>
      </c>
      <c r="C29" s="70">
        <f>""</f>
        <v/>
      </c>
      <c r="D29" s="70">
        <f>"spring_bent_ept_ntax|"&amp;'Metrics'!$C$29</f>
        <v/>
      </c>
      <c r="E29" s="70">
        <f>IFERROR(MATCH('Metrics'!$D$29,curve_key,0),MATCH("spring_bent_ept_ntax|",curve_key,0))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8"/>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56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12.75</v>
      </c>
      <c r="I9" s="69" t="n">
        <v>29.75</v>
      </c>
      <c r="J9" s="69" t="n">
        <v>46.624825</v>
      </c>
      <c r="K9" s="69" t="n">
        <v>55.0622375</v>
      </c>
      <c r="L9" s="69" t="n">
        <v>55.0622375</v>
      </c>
      <c r="M9" s="69" t="n">
        <v>55.0622375</v>
      </c>
      <c r="N9" s="69" t="n">
        <v>55.0622375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4.792320883274079</v>
      </c>
      <c r="I11" s="69" t="n">
        <v>9.7989342212677</v>
      </c>
      <c r="J11" s="69" t="n">
        <v>24.10354375839233</v>
      </c>
      <c r="K11" s="69" t="n">
        <v>29.11015709638595</v>
      </c>
      <c r="L11" s="69" t="n">
        <v>38.40815329551697</v>
      </c>
      <c r="M11" s="69" t="n">
        <v>52.7127628326416</v>
      </c>
      <c r="N11" s="69" t="n">
        <v>52.7127628326416</v>
      </c>
      <c r="O11" s="69" t="n">
        <v>0</v>
      </c>
      <c r="P11" s="69" t="n">
        <v>0.7</v>
      </c>
      <c r="Q11" s="69" t="n">
        <v>1</v>
      </c>
      <c r="R11" s="69" t="n">
        <v>1</v>
      </c>
      <c r="S11" s="69" t="n">
        <v>0.7</v>
      </c>
      <c r="T11" s="69" t="n">
        <v>0.3</v>
      </c>
      <c r="U11" s="69" t="n">
        <v>0</v>
      </c>
      <c r="V11" s="69" t="n">
        <v>0</v>
      </c>
    </row>
    <row r="12">
      <c r="A12" s="69" t="inlineStr">
        <is>
          <t>spring_phab_bfwd_rat|Headwater (10 km2 and under)</t>
        </is>
      </c>
      <c r="B12" s="69" t="inlineStr">
        <is>
          <t>spring-phab-bfwd-rat</t>
        </is>
      </c>
      <c r="C12" s="69" t="inlineStr">
        <is>
          <t>Bankfull width:depth ratio</t>
        </is>
      </c>
      <c r="D12" s="69" t="inlineStr">
        <is>
          <t>Headwater (10 km2 and under)</t>
        </is>
      </c>
      <c r="E12" s="69" t="n">
        <v>8</v>
      </c>
      <c r="F12"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0.3914368152618408</v>
      </c>
      <c r="H12" s="69" t="n">
        <v>4.236860275268555</v>
      </c>
      <c r="I12" s="69" t="n">
        <v>6.736385524272919</v>
      </c>
      <c r="J12" s="69" t="n">
        <v>8.082283735275269</v>
      </c>
      <c r="K12" s="69" t="n">
        <v>11.92770719528198</v>
      </c>
      <c r="L12" s="69" t="n">
        <v>13.27360540628433</v>
      </c>
      <c r="M12" s="69" t="n">
        <v>15.7731306552887</v>
      </c>
      <c r="N12" s="69" t="n">
        <v>19.61855411529541</v>
      </c>
      <c r="O12" s="69" t="n">
        <v>0</v>
      </c>
      <c r="P12" s="69" t="n">
        <v>0.3</v>
      </c>
      <c r="Q12" s="69" t="n">
        <v>0.7</v>
      </c>
      <c r="R12" s="69" t="n">
        <v>1</v>
      </c>
      <c r="S12" s="69" t="n">
        <v>1</v>
      </c>
      <c r="T12" s="69" t="n">
        <v>0.7</v>
      </c>
      <c r="U12" s="69" t="n">
        <v>0.3</v>
      </c>
      <c r="V12" s="69" t="n">
        <v>0</v>
      </c>
    </row>
    <row r="13">
      <c r="A13" s="69" t="inlineStr">
        <is>
          <t>spring_phab_bfwd_rat|Large stream (over 100 km2)</t>
        </is>
      </c>
      <c r="B13" s="69" t="inlineStr">
        <is>
          <t>spring-phab-bfwd-rat</t>
        </is>
      </c>
      <c r="C13" s="69" t="inlineStr">
        <is>
          <t>Bankfull width:depth ratio</t>
        </is>
      </c>
      <c r="D13" s="69" t="inlineStr">
        <is>
          <t>Large stream (over 100 km2)</t>
        </is>
      </c>
      <c r="E13" s="69" t="n">
        <v>8</v>
      </c>
      <c r="F13"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1.518353462219238</v>
      </c>
      <c r="H13" s="69" t="n">
        <v>10.61223220825195</v>
      </c>
      <c r="I13" s="69" t="n">
        <v>16.52325339317322</v>
      </c>
      <c r="J13" s="69" t="n">
        <v>19.70611095428467</v>
      </c>
      <c r="K13" s="69" t="n">
        <v>28.79998970031738</v>
      </c>
      <c r="L13" s="69" t="n">
        <v>31.98284726142883</v>
      </c>
      <c r="M13" s="69" t="n">
        <v>37.8938684463501</v>
      </c>
      <c r="N13" s="69" t="n">
        <v>46.98774719238281</v>
      </c>
      <c r="O13" s="69" t="n">
        <v>0</v>
      </c>
      <c r="P13" s="69" t="n">
        <v>0.3</v>
      </c>
      <c r="Q13" s="69" t="n">
        <v>0.7</v>
      </c>
      <c r="R13" s="69" t="n">
        <v>1</v>
      </c>
      <c r="S13" s="69" t="n">
        <v>1</v>
      </c>
      <c r="T13" s="69" t="n">
        <v>0.7</v>
      </c>
      <c r="U13" s="69" t="n">
        <v>0.3</v>
      </c>
      <c r="V13" s="69" t="n">
        <v>0</v>
      </c>
    </row>
    <row r="14">
      <c r="A14" s="69" t="inlineStr">
        <is>
          <t>spring_phab_xbkf_h|All streams (pooled)</t>
        </is>
      </c>
      <c r="B14" s="69" t="inlineStr">
        <is>
          <t>spring-phab-xbkf-h</t>
        </is>
      </c>
      <c r="C14" s="69" t="inlineStr">
        <is>
          <t>Bankfull height above channel</t>
        </is>
      </c>
      <c r="D14" s="69" t="inlineStr">
        <is>
          <t>All streams (pooled)</t>
        </is>
      </c>
      <c r="E14" s="69" t="n">
        <v>7</v>
      </c>
      <c r="F14"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0.1739545367658138</v>
      </c>
      <c r="I14" s="69" t="n">
        <v>0.3168181777000427</v>
      </c>
      <c r="J14" s="69" t="n">
        <v>0.7250000089406967</v>
      </c>
      <c r="K14" s="69" t="n">
        <v>0.8678636498749256</v>
      </c>
      <c r="L14" s="69" t="n">
        <v>1.133181840181351</v>
      </c>
      <c r="M14" s="69" t="n">
        <v>1.541363671422005</v>
      </c>
      <c r="N14" s="69" t="n">
        <v>1.541363671422005</v>
      </c>
      <c r="O14" s="69" t="n">
        <v>0</v>
      </c>
      <c r="P14" s="69" t="n">
        <v>0.7</v>
      </c>
      <c r="Q14" s="69" t="n">
        <v>1</v>
      </c>
      <c r="R14" s="69" t="n">
        <v>1</v>
      </c>
      <c r="S14" s="69" t="n">
        <v>0.7</v>
      </c>
      <c r="T14" s="69" t="n">
        <v>0.3</v>
      </c>
      <c r="U14" s="69" t="n">
        <v>0</v>
      </c>
      <c r="V14" s="69" t="n">
        <v>0</v>
      </c>
    </row>
    <row r="15">
      <c r="A15" s="69" t="inlineStr">
        <is>
          <t>spring_phab_xbkf_h|Headwater (10 km2 and under)</t>
        </is>
      </c>
      <c r="B15" s="69" t="inlineStr">
        <is>
          <t>spring-phab-xbkf-h</t>
        </is>
      </c>
      <c r="C15" s="69" t="inlineStr">
        <is>
          <t>Bankfull height above channel</t>
        </is>
      </c>
      <c r="D15" s="69" t="inlineStr">
        <is>
          <t>Headwater (10 km2 and under)</t>
        </is>
      </c>
      <c r="E15" s="69" t="n">
        <v>8</v>
      </c>
      <c r="F15"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0.1217045336961746</v>
      </c>
      <c r="I15" s="69" t="n">
        <v>0.2272556759417057</v>
      </c>
      <c r="J15" s="69" t="n">
        <v>0.2840909063816071</v>
      </c>
      <c r="K15" s="69" t="n">
        <v>0.4464772790670395</v>
      </c>
      <c r="L15" s="69" t="n">
        <v>0.5033125095069408</v>
      </c>
      <c r="M15" s="69" t="n">
        <v>0.6088636517524719</v>
      </c>
      <c r="N15" s="69" t="n">
        <v>0.7712500244379044</v>
      </c>
      <c r="O15" s="69" t="n">
        <v>0</v>
      </c>
      <c r="P15" s="69" t="n">
        <v>0.3</v>
      </c>
      <c r="Q15" s="69" t="n">
        <v>0.7</v>
      </c>
      <c r="R15" s="69" t="n">
        <v>1</v>
      </c>
      <c r="S15" s="69" t="n">
        <v>1</v>
      </c>
      <c r="T15" s="69" t="n">
        <v>0.7</v>
      </c>
      <c r="U15" s="69" t="n">
        <v>0.3</v>
      </c>
      <c r="V15" s="69" t="n">
        <v>0</v>
      </c>
    </row>
    <row r="16">
      <c r="A16" s="69" t="inlineStr">
        <is>
          <t>spring_phab_xbkf_h|Large stream (over 100 km2)</t>
        </is>
      </c>
      <c r="B16" s="69" t="inlineStr">
        <is>
          <t>spring-phab-xbkf-h</t>
        </is>
      </c>
      <c r="C16" s="69" t="inlineStr">
        <is>
          <t>Bankfull height above channel</t>
        </is>
      </c>
      <c r="D16" s="69" t="inlineStr">
        <is>
          <t>Large stream (over 100 km2)</t>
        </is>
      </c>
      <c r="E16" s="69" t="n">
        <v>7</v>
      </c>
      <c r="F16"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0.2397727198898792</v>
      </c>
      <c r="I16" s="69" t="n">
        <v>0.3909090906381607</v>
      </c>
      <c r="J16" s="69" t="n">
        <v>0.8227272927761078</v>
      </c>
      <c r="K16" s="69" t="n">
        <v>0.9738636635243892</v>
      </c>
      <c r="L16" s="69" t="n">
        <v>1.254545494914055</v>
      </c>
      <c r="M16" s="69" t="n">
        <v>1.686363697052002</v>
      </c>
      <c r="N16" s="69" t="n">
        <v>1.686363697052002</v>
      </c>
      <c r="O16" s="69" t="n">
        <v>0</v>
      </c>
      <c r="P16" s="69" t="n">
        <v>0.7</v>
      </c>
      <c r="Q16" s="69" t="n">
        <v>1</v>
      </c>
      <c r="R16" s="69" t="n">
        <v>1</v>
      </c>
      <c r="S16" s="69" t="n">
        <v>0.7</v>
      </c>
      <c r="T16" s="69" t="n">
        <v>0.3</v>
      </c>
      <c r="U16" s="69" t="n">
        <v>0</v>
      </c>
      <c r="V16" s="69" t="n">
        <v>0</v>
      </c>
    </row>
    <row r="17">
      <c r="A17" s="69" t="inlineStr">
        <is>
          <t>spring_phab_pct_safn|</t>
        </is>
      </c>
      <c r="B17" s="69" t="inlineStr">
        <is>
          <t>spring-phab-pct-safn</t>
        </is>
      </c>
      <c r="C17" s="69" t="inlineStr">
        <is>
          <t>Sand + fines</t>
        </is>
      </c>
      <c r="D17" s="69" t="inlineStr"/>
      <c r="E17" s="69" t="n">
        <v>5</v>
      </c>
      <c r="F17" s="69" t="inlineStr">
        <is>
          <t>66 least-disturbed stations borrowed from Level II ecoregion 8.4 (Ozark/Ouachita-Appalachian Forests) under the regional screen (agriculture at most 37.8 percent), transfer risk low</t>
        </is>
      </c>
      <c r="G17" s="69" t="n">
        <v>0</v>
      </c>
      <c r="H17" s="69" t="n">
        <v>1</v>
      </c>
      <c r="I17" s="69" t="n">
        <v>20</v>
      </c>
      <c r="J17" s="69" t="n">
        <v>48.5</v>
      </c>
      <c r="K17" s="69" t="n">
        <v>67.5</v>
      </c>
      <c r="L17" s="69" t="n">
        <v>67.5</v>
      </c>
      <c r="M17" s="69" t="n">
        <v>67.5</v>
      </c>
      <c r="N17" s="69" t="n">
        <v>67.5</v>
      </c>
      <c r="O17" s="69" t="n">
        <v>1</v>
      </c>
      <c r="P17" s="69" t="n">
        <v>1</v>
      </c>
      <c r="Q17" s="69" t="n">
        <v>0.7</v>
      </c>
      <c r="R17" s="69" t="n">
        <v>0.3</v>
      </c>
      <c r="S17" s="69" t="n">
        <v>0</v>
      </c>
      <c r="T17" s="69" t="n">
        <v>0</v>
      </c>
      <c r="U17" s="69" t="n">
        <v>0</v>
      </c>
      <c r="V17" s="69" t="n">
        <v>0</v>
      </c>
    </row>
    <row r="18">
      <c r="A18" s="69" t="inlineStr">
        <is>
          <t>spring_phab_xembed|</t>
        </is>
      </c>
      <c r="B18" s="69" t="inlineStr">
        <is>
          <t>spring-phab-xembed</t>
        </is>
      </c>
      <c r="C18" s="69" t="inlineStr">
        <is>
          <t>Embeddedness</t>
        </is>
      </c>
      <c r="D18" s="69" t="inlineStr"/>
      <c r="E18" s="69" t="n">
        <v>5</v>
      </c>
      <c r="F18" s="69" t="inlineStr">
        <is>
          <t>52 least-disturbed stations borrowed from Level II ecoregion 8.4 (Ozark/Ouachita-Appalachian Forests) under the regional screen (agriculture at most 37.8 percent), transfer risk low</t>
        </is>
      </c>
      <c r="G18" s="69" t="n">
        <v>11.80882453918457</v>
      </c>
      <c r="H18" s="69" t="n">
        <v>24.10171604156494</v>
      </c>
      <c r="I18" s="69" t="n">
        <v>48.68749904632568</v>
      </c>
      <c r="J18" s="69" t="n">
        <v>85.5661735534668</v>
      </c>
      <c r="K18" s="69" t="n">
        <v>100</v>
      </c>
      <c r="L18" s="69" t="n">
        <v>100</v>
      </c>
      <c r="M18" s="69" t="n">
        <v>100</v>
      </c>
      <c r="N18" s="69" t="n">
        <v>100</v>
      </c>
      <c r="O18" s="69" t="n">
        <v>1</v>
      </c>
      <c r="P18" s="69" t="n">
        <v>1</v>
      </c>
      <c r="Q18" s="69" t="n">
        <v>0.7</v>
      </c>
      <c r="R18" s="69" t="n">
        <v>0.3</v>
      </c>
      <c r="S18" s="69" t="n">
        <v>0</v>
      </c>
      <c r="T18" s="69" t="n">
        <v>0</v>
      </c>
      <c r="U18" s="69" t="n">
        <v>0</v>
      </c>
      <c r="V18" s="69" t="n">
        <v>0</v>
      </c>
    </row>
    <row r="19">
      <c r="A19" s="69" t="inlineStr">
        <is>
          <t>spring_phab_sinu|</t>
        </is>
      </c>
      <c r="B19" s="69" t="inlineStr">
        <is>
          <t>spring-phab-sinu</t>
        </is>
      </c>
      <c r="C19" s="69" t="inlineStr">
        <is>
          <t>Sinuosity</t>
        </is>
      </c>
      <c r="D19" s="69" t="inlineStr"/>
      <c r="E19" s="69" t="n">
        <v>4</v>
      </c>
      <c r="F19" s="69" t="inlineStr">
        <is>
          <t>51 least-disturbed stations borrowed from Level II ecoregion 8.4 (Ozark/Ouachita-Appalachian Forests) under the regional screen (agriculture at most 37.8 percent), transfer risk moderate</t>
        </is>
      </c>
      <c r="G19" s="69" t="n">
        <v>1</v>
      </c>
      <c r="H19" s="69" t="n">
        <v>1.054197192192078</v>
      </c>
      <c r="I19" s="69" t="n">
        <v>1.173188745975494</v>
      </c>
      <c r="J19" s="69" t="n">
        <v>1.232684522867203</v>
      </c>
      <c r="K19" s="69" t="n">
        <v>1.232684522867203</v>
      </c>
      <c r="L19" s="69" t="n">
        <v>1.232684522867203</v>
      </c>
      <c r="M19" s="69" t="n">
        <v>1.232684522867203</v>
      </c>
      <c r="N19" s="69" t="n">
        <v>1.232684522867203</v>
      </c>
      <c r="O19" s="69" t="n">
        <v>0</v>
      </c>
      <c r="P19" s="69" t="n">
        <v>0.7</v>
      </c>
      <c r="Q19" s="69" t="n">
        <v>1</v>
      </c>
      <c r="R19" s="69" t="n">
        <v>1</v>
      </c>
      <c r="S19" s="69" t="n">
        <v>1</v>
      </c>
      <c r="T19" s="69" t="n">
        <v>1</v>
      </c>
      <c r="U19" s="69" t="n">
        <v>1</v>
      </c>
      <c r="V19" s="69" t="n">
        <v>1</v>
      </c>
    </row>
    <row r="20">
      <c r="A20" s="69" t="inlineStr">
        <is>
          <t>spring_phab_xbka|</t>
        </is>
      </c>
      <c r="B20" s="69" t="inlineStr">
        <is>
          <t>spring-phab-xbka</t>
        </is>
      </c>
      <c r="C20" s="69" t="inlineStr">
        <is>
          <t>Bank angle</t>
        </is>
      </c>
      <c r="D20" s="69" t="inlineStr"/>
      <c r="E20" s="69" t="n">
        <v>7</v>
      </c>
      <c r="F20" s="69" t="inlineStr">
        <is>
          <t>75 least-disturbed stations borrowed from Level I ecoregion 8 (Eastern Temperate Forests) under the regional screen (agriculture at most 37.8 percent), transfer risk moderate</t>
        </is>
      </c>
      <c r="G20" s="69" t="n">
        <v>0</v>
      </c>
      <c r="H20" s="69" t="n">
        <v>16.94999952316284</v>
      </c>
      <c r="I20" s="69" t="n">
        <v>22.93181800842285</v>
      </c>
      <c r="J20" s="69" t="n">
        <v>40.02272796630859</v>
      </c>
      <c r="K20" s="69" t="n">
        <v>46.0045464515686</v>
      </c>
      <c r="L20" s="69" t="n">
        <v>57.11363792419434</v>
      </c>
      <c r="M20" s="69" t="n">
        <v>74.20454788208008</v>
      </c>
      <c r="N20" s="69" t="n">
        <v>74.20454788208008</v>
      </c>
      <c r="O20" s="69" t="n">
        <v>0.7</v>
      </c>
      <c r="P20" s="69" t="n">
        <v>0.7</v>
      </c>
      <c r="Q20" s="69" t="n">
        <v>1</v>
      </c>
      <c r="R20" s="69" t="n">
        <v>1</v>
      </c>
      <c r="S20" s="69" t="n">
        <v>0.7</v>
      </c>
      <c r="T20" s="69" t="n">
        <v>0.3</v>
      </c>
      <c r="U20" s="69" t="n">
        <v>0</v>
      </c>
      <c r="V20" s="69" t="n">
        <v>0</v>
      </c>
    </row>
    <row r="21">
      <c r="A21" s="69" t="inlineStr">
        <is>
          <t>spring_phab_lrbs_use|All streams (pooled)</t>
        </is>
      </c>
      <c r="B21" s="69" t="inlineStr">
        <is>
          <t>spring-phab-lrbs-use</t>
        </is>
      </c>
      <c r="C21" s="69" t="inlineStr">
        <is>
          <t>Relative bed stability</t>
        </is>
      </c>
      <c r="D21" s="69" t="inlineStr">
        <is>
          <t>All streams (pooled)</t>
        </is>
      </c>
      <c r="E21" s="69" t="n">
        <v>8</v>
      </c>
      <c r="F21" s="69" t="inlineStr">
        <is>
          <t>92 least-disturbed stations borrowed from Level I ecoregion 8 (Eastern Temperate Forests) under the regional screen (agriculture at most 37.8 percent), transfer risk high</t>
        </is>
      </c>
      <c r="G21" s="69" t="n">
        <v>-3.526054844260216</v>
      </c>
      <c r="H21" s="69" t="n">
        <v>-2.177244290709496</v>
      </c>
      <c r="I21" s="69" t="n">
        <v>-1.300517430901527</v>
      </c>
      <c r="J21" s="69" t="n">
        <v>-0.8284337371587753</v>
      </c>
      <c r="K21" s="69" t="n">
        <v>0.5203768163919449</v>
      </c>
      <c r="L21" s="69" t="n">
        <v>0.9924605101346969</v>
      </c>
      <c r="M21" s="69" t="n">
        <v>1.869187369942665</v>
      </c>
      <c r="N21" s="69" t="n">
        <v>3.217997923493385</v>
      </c>
      <c r="O21" s="69" t="n">
        <v>0</v>
      </c>
      <c r="P21" s="69" t="n">
        <v>0.3</v>
      </c>
      <c r="Q21" s="69" t="n">
        <v>0.7</v>
      </c>
      <c r="R21" s="69" t="n">
        <v>1</v>
      </c>
      <c r="S21" s="69" t="n">
        <v>1</v>
      </c>
      <c r="T21" s="69" t="n">
        <v>0.7</v>
      </c>
      <c r="U21" s="69" t="n">
        <v>0.3</v>
      </c>
      <c r="V21" s="69" t="n">
        <v>0</v>
      </c>
    </row>
    <row r="22">
      <c r="A22" s="69" t="inlineStr">
        <is>
          <t>spring_phab_lrbs_use|Headwater (10 km2 and under)</t>
        </is>
      </c>
      <c r="B22" s="69" t="inlineStr">
        <is>
          <t>spring-phab-lrbs-use</t>
        </is>
      </c>
      <c r="C22" s="69" t="inlineStr">
        <is>
          <t>Relative bed stability</t>
        </is>
      </c>
      <c r="D22" s="69" t="inlineStr">
        <is>
          <t>Headwater (10 km2 and under)</t>
        </is>
      </c>
      <c r="E22" s="69" t="n">
        <v>8</v>
      </c>
      <c r="F22" s="69" t="inlineStr">
        <is>
          <t>92 least-disturbed stations borrowed from Level I ecoregion 8 (Eastern Temperate Forests) under the regional screen (agriculture at most 37.8 percent), transfer risk high</t>
        </is>
      </c>
      <c r="G22" s="69" t="n">
        <v>-3.20336379679793</v>
      </c>
      <c r="H22" s="69" t="n">
        <v>-2.144373889132112</v>
      </c>
      <c r="I22" s="69" t="n">
        <v>-1.45603044914933</v>
      </c>
      <c r="J22" s="69" t="n">
        <v>-1.085383981466293</v>
      </c>
      <c r="K22" s="69" t="n">
        <v>-0.02639407380047487</v>
      </c>
      <c r="L22" s="69" t="n">
        <v>0.3442523938825616</v>
      </c>
      <c r="M22" s="69" t="n">
        <v>1.032595833865344</v>
      </c>
      <c r="N22" s="69" t="n">
        <v>2.091585741531162</v>
      </c>
      <c r="O22" s="69" t="n">
        <v>0</v>
      </c>
      <c r="P22" s="69" t="n">
        <v>0.3</v>
      </c>
      <c r="Q22" s="69" t="n">
        <v>0.7</v>
      </c>
      <c r="R22" s="69" t="n">
        <v>1</v>
      </c>
      <c r="S22" s="69" t="n">
        <v>1</v>
      </c>
      <c r="T22" s="69" t="n">
        <v>0.7</v>
      </c>
      <c r="U22" s="69" t="n">
        <v>0.3</v>
      </c>
      <c r="V22" s="69" t="n">
        <v>0</v>
      </c>
    </row>
    <row r="23">
      <c r="A23" s="69" t="inlineStr">
        <is>
          <t>spring_phab_lrbs_use|Small stream (10 to 100 km2)</t>
        </is>
      </c>
      <c r="B23" s="69" t="inlineStr">
        <is>
          <t>spring-phab-lrbs-use</t>
        </is>
      </c>
      <c r="C23" s="69" t="inlineStr">
        <is>
          <t>Relative bed stability</t>
        </is>
      </c>
      <c r="D23" s="69" t="inlineStr">
        <is>
          <t>Small stream (10 to 100 km2)</t>
        </is>
      </c>
      <c r="E23" s="69" t="n">
        <v>8</v>
      </c>
      <c r="F23" s="69" t="inlineStr">
        <is>
          <t>92 least-disturbed stations borrowed from Level I ecoregion 8 (Eastern Temperate Forests) under the regional screen (agriculture at most 37.8 percent), transfer risk high</t>
        </is>
      </c>
      <c r="G23" s="69" t="n">
        <v>-2.361526678316295</v>
      </c>
      <c r="H23" s="69" t="n">
        <v>-1.598927264567465</v>
      </c>
      <c r="I23" s="69" t="n">
        <v>-1.103237645630725</v>
      </c>
      <c r="J23" s="69" t="n">
        <v>-0.836327850818634</v>
      </c>
      <c r="K23" s="69" t="n">
        <v>-0.07372843706980348</v>
      </c>
      <c r="L23" s="69" t="n">
        <v>0.1931813577422872</v>
      </c>
      <c r="M23" s="69" t="n">
        <v>0.6888709766790271</v>
      </c>
      <c r="N23" s="69" t="n">
        <v>1.451470390427858</v>
      </c>
      <c r="O23" s="69" t="n">
        <v>0</v>
      </c>
      <c r="P23" s="69" t="n">
        <v>0.3</v>
      </c>
      <c r="Q23" s="69" t="n">
        <v>0.7</v>
      </c>
      <c r="R23" s="69" t="n">
        <v>1</v>
      </c>
      <c r="S23" s="69" t="n">
        <v>1</v>
      </c>
      <c r="T23" s="69" t="n">
        <v>0.7</v>
      </c>
      <c r="U23" s="69" t="n">
        <v>0.3</v>
      </c>
      <c r="V23" s="69" t="n">
        <v>0</v>
      </c>
    </row>
    <row r="24">
      <c r="A24" s="69" t="inlineStr">
        <is>
          <t>spring_phab_lrbs_use|Large stream (over 100 km2)</t>
        </is>
      </c>
      <c r="B24" s="69" t="inlineStr">
        <is>
          <t>spring-phab-lrbs-use</t>
        </is>
      </c>
      <c r="C24" s="69" t="inlineStr">
        <is>
          <t>Relative bed stability</t>
        </is>
      </c>
      <c r="D24" s="69" t="inlineStr">
        <is>
          <t>Large stream (over 100 km2)</t>
        </is>
      </c>
      <c r="E24" s="69" t="n">
        <v>8</v>
      </c>
      <c r="F24" s="69" t="inlineStr">
        <is>
          <t>92 least-disturbed stations borrowed from Level I ecoregion 8 (Eastern Temperate Forests) under the regional screen (agriculture at most 37.8 percent), transfer risk high</t>
        </is>
      </c>
      <c r="G24" s="69" t="n">
        <v>-1.443604458123446</v>
      </c>
      <c r="H24" s="69" t="n">
        <v>-0.6486338898539543</v>
      </c>
      <c r="I24" s="69" t="n">
        <v>-0.131903020478785</v>
      </c>
      <c r="J24" s="69" t="n">
        <v>0.1463366784155369</v>
      </c>
      <c r="K24" s="69" t="n">
        <v>0.9413072466850281</v>
      </c>
      <c r="L24" s="69" t="n">
        <v>1.21954694557935</v>
      </c>
      <c r="M24" s="69" t="n">
        <v>1.736277814954519</v>
      </c>
      <c r="N24" s="69" t="n">
        <v>2.53124838322401</v>
      </c>
      <c r="O24" s="69" t="n">
        <v>0</v>
      </c>
      <c r="P24" s="69" t="n">
        <v>0.3</v>
      </c>
      <c r="Q24" s="69" t="n">
        <v>0.7</v>
      </c>
      <c r="R24" s="69" t="n">
        <v>1</v>
      </c>
      <c r="S24" s="69" t="n">
        <v>1</v>
      </c>
      <c r="T24" s="69" t="n">
        <v>0.7</v>
      </c>
      <c r="U24" s="69" t="n">
        <v>0.3</v>
      </c>
      <c r="V24" s="69" t="n">
        <v>0</v>
      </c>
    </row>
    <row r="25">
      <c r="A25" s="69" t="inlineStr">
        <is>
          <t>spring_phab_lwdeqvolm100|</t>
        </is>
      </c>
      <c r="B25" s="69" t="inlineStr">
        <is>
          <t>spring-phab-lwdeqvolm100</t>
        </is>
      </c>
      <c r="C25" s="69" t="inlineStr">
        <is>
          <t>Large wood volume</t>
        </is>
      </c>
      <c r="D25" s="69" t="inlineStr"/>
      <c r="E25" s="69" t="n">
        <v>5</v>
      </c>
      <c r="F25" s="69" t="inlineStr">
        <is>
          <t>Reference curve fitted to comparable least-disturbed stations drawn from the national pool, because this ecoregion and its parents hold too few of their own.</t>
        </is>
      </c>
      <c r="G25" s="69" t="n">
        <v>0</v>
      </c>
      <c r="H25" s="69" t="n">
        <v>0.2357142908232553</v>
      </c>
      <c r="I25" s="69" t="n">
        <v>0.550000011920929</v>
      </c>
      <c r="J25" s="69" t="n">
        <v>6.846000194549561</v>
      </c>
      <c r="K25" s="69" t="n">
        <v>9.994000285863876</v>
      </c>
      <c r="L25" s="69" t="n">
        <v>9.994000285863876</v>
      </c>
      <c r="M25" s="69" t="n">
        <v>9.994000285863876</v>
      </c>
      <c r="N25" s="69" t="n">
        <v>9.994000285863876</v>
      </c>
      <c r="O25" s="69" t="n">
        <v>0</v>
      </c>
      <c r="P25" s="69" t="n">
        <v>0.3</v>
      </c>
      <c r="Q25" s="69" t="n">
        <v>0.7</v>
      </c>
      <c r="R25" s="69" t="n">
        <v>1</v>
      </c>
      <c r="S25" s="69" t="n">
        <v>1</v>
      </c>
      <c r="T25" s="69" t="n">
        <v>1</v>
      </c>
      <c r="U25" s="69" t="n">
        <v>1</v>
      </c>
      <c r="V25" s="69" t="n">
        <v>1</v>
      </c>
    </row>
    <row r="26">
      <c r="A26" s="69" t="inlineStr">
        <is>
          <t>spring_chem_chla|</t>
        </is>
      </c>
      <c r="B26" s="69" t="inlineStr">
        <is>
          <t>spring-chem-chla</t>
        </is>
      </c>
      <c r="C26" s="69" t="inlineStr">
        <is>
          <t>Chlorophyll a</t>
        </is>
      </c>
      <c r="D26" s="69" t="inlineStr"/>
      <c r="E26" s="69" t="n">
        <v>5</v>
      </c>
      <c r="F26" s="69" t="inlineStr">
        <is>
          <t>32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6" s="69" t="n">
        <v>0</v>
      </c>
      <c r="H26" s="69" t="n">
        <v>0.3370000123977661</v>
      </c>
      <c r="I26" s="69" t="n">
        <v>1.041500002145767</v>
      </c>
      <c r="J26" s="69" t="n">
        <v>2.098249986767769</v>
      </c>
      <c r="K26" s="69" t="n">
        <v>2.80274997651577</v>
      </c>
      <c r="L26" s="69" t="n">
        <v>2.80274997651577</v>
      </c>
      <c r="M26" s="69" t="n">
        <v>2.80274997651577</v>
      </c>
      <c r="N26" s="69" t="n">
        <v>2.80274997651577</v>
      </c>
      <c r="O26" s="69" t="n">
        <v>1</v>
      </c>
      <c r="P26" s="69" t="n">
        <v>1</v>
      </c>
      <c r="Q26" s="69" t="n">
        <v>0.7</v>
      </c>
      <c r="R26" s="69" t="n">
        <v>0.3</v>
      </c>
      <c r="S26" s="69" t="n">
        <v>0</v>
      </c>
      <c r="T26" s="69" t="n">
        <v>0</v>
      </c>
      <c r="U26" s="69" t="n">
        <v>0</v>
      </c>
      <c r="V26" s="69" t="n">
        <v>0</v>
      </c>
    </row>
    <row r="27">
      <c r="A27" s="69" t="inlineStr">
        <is>
          <t>spring_phab_xcdenmid|All streams (pooled)</t>
        </is>
      </c>
      <c r="B27" s="69" t="inlineStr">
        <is>
          <t>spring-phab-xcdenmid</t>
        </is>
      </c>
      <c r="C27" s="69" t="inlineStr">
        <is>
          <t>Canopy density, mid-channel</t>
        </is>
      </c>
      <c r="D27" s="69" t="inlineStr">
        <is>
          <t>All streams (pooled)</t>
        </is>
      </c>
      <c r="E27" s="69" t="n">
        <v>5</v>
      </c>
      <c r="F27"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9" t="n">
        <v>0</v>
      </c>
      <c r="H27" s="69" t="n">
        <v>23.89295033046178</v>
      </c>
      <c r="I27" s="69" t="n">
        <v>55.75021743774414</v>
      </c>
      <c r="J27" s="69" t="n">
        <v>93.34892845153809</v>
      </c>
      <c r="K27" s="69" t="n">
        <v>100</v>
      </c>
      <c r="L27" s="69" t="n">
        <v>100</v>
      </c>
      <c r="M27" s="69" t="n">
        <v>100</v>
      </c>
      <c r="N27" s="69" t="n">
        <v>100</v>
      </c>
      <c r="O27" s="69" t="n">
        <v>0</v>
      </c>
      <c r="P27" s="69" t="n">
        <v>0.3</v>
      </c>
      <c r="Q27" s="69" t="n">
        <v>0.7</v>
      </c>
      <c r="R27" s="69" t="n">
        <v>1</v>
      </c>
      <c r="S27" s="69" t="n">
        <v>1</v>
      </c>
      <c r="T27" s="69" t="n">
        <v>1</v>
      </c>
      <c r="U27" s="69" t="n">
        <v>1</v>
      </c>
      <c r="V27" s="69" t="n">
        <v>1</v>
      </c>
    </row>
    <row r="28">
      <c r="A28" s="69" t="inlineStr">
        <is>
          <t>spring_phab_xcdenmid|Headwater (10 km2 and under)</t>
        </is>
      </c>
      <c r="B28" s="69" t="inlineStr">
        <is>
          <t>spring-phab-xcdenmid</t>
        </is>
      </c>
      <c r="C28" s="69" t="inlineStr">
        <is>
          <t>Canopy density, mid-channel</t>
        </is>
      </c>
      <c r="D28" s="69" t="inlineStr">
        <is>
          <t>Headwater (10 km2 and under)</t>
        </is>
      </c>
      <c r="E28" s="69" t="n">
        <v>5</v>
      </c>
      <c r="F28"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9" t="n">
        <v>0</v>
      </c>
      <c r="H28" s="69" t="n">
        <v>33.77578353881836</v>
      </c>
      <c r="I28" s="69" t="n">
        <v>78.81016159057617</v>
      </c>
      <c r="J28" s="69" t="n">
        <v>97.15909004211426</v>
      </c>
      <c r="K28" s="69" t="n">
        <v>100</v>
      </c>
      <c r="L28" s="69" t="n">
        <v>100</v>
      </c>
      <c r="M28" s="69" t="n">
        <v>100</v>
      </c>
      <c r="N28" s="69" t="n">
        <v>100</v>
      </c>
      <c r="O28" s="69" t="n">
        <v>0</v>
      </c>
      <c r="P28" s="69" t="n">
        <v>0.3</v>
      </c>
      <c r="Q28" s="69" t="n">
        <v>0.7</v>
      </c>
      <c r="R28" s="69" t="n">
        <v>1</v>
      </c>
      <c r="S28" s="69" t="n">
        <v>1</v>
      </c>
      <c r="T28" s="69" t="n">
        <v>1</v>
      </c>
      <c r="U28" s="69" t="n">
        <v>1</v>
      </c>
      <c r="V28" s="69" t="n">
        <v>1</v>
      </c>
    </row>
    <row r="29">
      <c r="A29" s="69" t="inlineStr">
        <is>
          <t>spring_phab_xcdenmid|Small stream (10 to 100 km2)</t>
        </is>
      </c>
      <c r="B29" s="69" t="inlineStr">
        <is>
          <t>spring-phab-xcdenmid</t>
        </is>
      </c>
      <c r="C29" s="69" t="inlineStr">
        <is>
          <t>Canopy density, mid-channel</t>
        </is>
      </c>
      <c r="D29" s="69" t="inlineStr">
        <is>
          <t>Small stream (10 to 100 km2)</t>
        </is>
      </c>
      <c r="E29" s="69" t="n">
        <v>5</v>
      </c>
      <c r="F29"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29.67914363316127</v>
      </c>
      <c r="I29" s="69" t="n">
        <v>69.25133514404297</v>
      </c>
      <c r="J29" s="69" t="n">
        <v>90.24063873291016</v>
      </c>
      <c r="K29" s="69" t="n">
        <v>100</v>
      </c>
      <c r="L29" s="69" t="n">
        <v>100</v>
      </c>
      <c r="M29" s="69" t="n">
        <v>100</v>
      </c>
      <c r="N29" s="69" t="n">
        <v>100</v>
      </c>
      <c r="O29" s="69" t="n">
        <v>0</v>
      </c>
      <c r="P29" s="69" t="n">
        <v>0.3</v>
      </c>
      <c r="Q29" s="69" t="n">
        <v>0.7</v>
      </c>
      <c r="R29" s="69" t="n">
        <v>1</v>
      </c>
      <c r="S29" s="69" t="n">
        <v>1</v>
      </c>
      <c r="T29" s="69" t="n">
        <v>1</v>
      </c>
      <c r="U29" s="69" t="n">
        <v>1</v>
      </c>
      <c r="V29" s="69" t="n">
        <v>1</v>
      </c>
    </row>
    <row r="30">
      <c r="A30" s="69" t="inlineStr">
        <is>
          <t>spring_phab_xcdenmid|Large stream (over 100 km2)</t>
        </is>
      </c>
      <c r="B30" s="69" t="inlineStr">
        <is>
          <t>spring-phab-xcdenmid</t>
        </is>
      </c>
      <c r="C30" s="69" t="inlineStr">
        <is>
          <t>Canopy density, mid-channel</t>
        </is>
      </c>
      <c r="D30" s="69" t="inlineStr">
        <is>
          <t>Large stream (over 100 km2)</t>
        </is>
      </c>
      <c r="E30" s="69" t="n">
        <v>5</v>
      </c>
      <c r="F30" s="69" t="inlineStr">
        <is>
          <t>66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9" t="n">
        <v>0</v>
      </c>
      <c r="H30" s="69" t="n">
        <v>7.620320728846958</v>
      </c>
      <c r="I30" s="69" t="n">
        <v>17.78074836730957</v>
      </c>
      <c r="J30" s="69" t="n">
        <v>58.02138900756836</v>
      </c>
      <c r="K30" s="69" t="n">
        <v>78.14170932769775</v>
      </c>
      <c r="L30" s="69" t="n">
        <v>78.14170932769775</v>
      </c>
      <c r="M30" s="69" t="n">
        <v>78.14170932769775</v>
      </c>
      <c r="N30" s="69" t="n">
        <v>78.14170932769775</v>
      </c>
      <c r="O30" s="69" t="n">
        <v>0</v>
      </c>
      <c r="P30" s="69" t="n">
        <v>0.3</v>
      </c>
      <c r="Q30" s="69" t="n">
        <v>0.7</v>
      </c>
      <c r="R30" s="69" t="n">
        <v>1</v>
      </c>
      <c r="S30" s="69" t="n">
        <v>1</v>
      </c>
      <c r="T30" s="69" t="n">
        <v>1</v>
      </c>
      <c r="U30" s="69" t="n">
        <v>1</v>
      </c>
      <c r="V30" s="69" t="n">
        <v>1</v>
      </c>
    </row>
    <row r="31">
      <c r="A31" s="69" t="inlineStr">
        <is>
          <t>spring_phab_xcmgw|</t>
        </is>
      </c>
      <c r="B31" s="69" t="inlineStr">
        <is>
          <t>spring-phab-xcmgw</t>
        </is>
      </c>
      <c r="C31" s="69" t="inlineStr">
        <is>
          <t>Riparian veg cover, woody</t>
        </is>
      </c>
      <c r="D31" s="69" t="inlineStr"/>
      <c r="E31" s="69" t="n">
        <v>5</v>
      </c>
      <c r="F31" s="69" t="inlineStr">
        <is>
          <t>84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1" s="69" t="n">
        <v>0</v>
      </c>
      <c r="H31" s="69" t="n">
        <v>0.3282467467444284</v>
      </c>
      <c r="I31" s="69" t="n">
        <v>0.7659090757369995</v>
      </c>
      <c r="J31" s="69" t="n">
        <v>1.45170459151268</v>
      </c>
      <c r="K31" s="69" t="n">
        <v>1.79460234940052</v>
      </c>
      <c r="L31" s="69" t="n">
        <v>1.79460234940052</v>
      </c>
      <c r="M31" s="69" t="n">
        <v>1.79460234940052</v>
      </c>
      <c r="N31" s="69" t="n">
        <v>1.79460234940052</v>
      </c>
      <c r="O31" s="69" t="n">
        <v>0</v>
      </c>
      <c r="P31" s="69" t="n">
        <v>0.3</v>
      </c>
      <c r="Q31" s="69" t="n">
        <v>0.7</v>
      </c>
      <c r="R31" s="69" t="n">
        <v>1</v>
      </c>
      <c r="S31" s="69" t="n">
        <v>1</v>
      </c>
      <c r="T31" s="69" t="n">
        <v>1</v>
      </c>
      <c r="U31" s="69" t="n">
        <v>1</v>
      </c>
      <c r="V31" s="69" t="n">
        <v>1</v>
      </c>
    </row>
    <row r="32">
      <c r="A32" s="69" t="inlineStr">
        <is>
          <t>spring_chem_ntl|</t>
        </is>
      </c>
      <c r="B32" s="69" t="inlineStr">
        <is>
          <t>spring-chem-ntl</t>
        </is>
      </c>
      <c r="C32" s="69" t="inlineStr">
        <is>
          <t>Total nitrogen</t>
        </is>
      </c>
      <c r="D32" s="69" t="inlineStr"/>
      <c r="E32" s="69" t="n">
        <v>4</v>
      </c>
      <c r="F32" s="69" t="inlineStr">
        <is>
          <t>Scored against a published criterion rather than against stations from this ecoregion. The criterion carries its own definition of reference, which need not match this assessment's.</t>
        </is>
      </c>
      <c r="G32" s="69" t="n">
        <v>0</v>
      </c>
      <c r="H32" s="69" t="n">
        <v>0.2405</v>
      </c>
      <c r="I32" s="69" t="n">
        <v>0.456</v>
      </c>
      <c r="J32" s="69" t="n">
        <v>0.73615</v>
      </c>
      <c r="K32" s="69" t="n">
        <v>0.73615</v>
      </c>
      <c r="L32" s="69" t="n">
        <v>0.73615</v>
      </c>
      <c r="M32" s="69" t="n">
        <v>0.73615</v>
      </c>
      <c r="N32" s="69" t="n">
        <v>0.73615</v>
      </c>
      <c r="O32" s="69" t="n">
        <v>1</v>
      </c>
      <c r="P32" s="69" t="n">
        <v>0.6899999999999999</v>
      </c>
      <c r="Q32" s="69" t="n">
        <v>0.39</v>
      </c>
      <c r="R32" s="69" t="n">
        <v>0</v>
      </c>
      <c r="S32" s="69" t="n">
        <v>0</v>
      </c>
      <c r="T32" s="69" t="n">
        <v>0</v>
      </c>
      <c r="U32" s="69" t="n">
        <v>0</v>
      </c>
      <c r="V32" s="69" t="n">
        <v>0</v>
      </c>
    </row>
    <row r="33">
      <c r="A33" s="69" t="inlineStr">
        <is>
          <t>spring_chem_ptl|</t>
        </is>
      </c>
      <c r="B33" s="69" t="inlineStr">
        <is>
          <t>spring-chem-ptl</t>
        </is>
      </c>
      <c r="C33" s="69" t="inlineStr">
        <is>
          <t>Total phosphorus</t>
        </is>
      </c>
      <c r="D33" s="69" t="inlineStr"/>
      <c r="E33" s="69" t="n">
        <v>4</v>
      </c>
      <c r="F33" s="69" t="inlineStr">
        <is>
          <t>Scored against a published criterion rather than against stations from this ecoregion. The criterion carries its own definition of reference, which need not match this assessment's.</t>
        </is>
      </c>
      <c r="G33" s="69" t="n">
        <v>0</v>
      </c>
      <c r="H33" s="69" t="n">
        <v>14.85</v>
      </c>
      <c r="I33" s="69" t="n">
        <v>24.4</v>
      </c>
      <c r="J33" s="69" t="n">
        <v>36.815</v>
      </c>
      <c r="K33" s="69" t="n">
        <v>36.815</v>
      </c>
      <c r="L33" s="69" t="n">
        <v>36.815</v>
      </c>
      <c r="M33" s="69" t="n">
        <v>36.815</v>
      </c>
      <c r="N33" s="69" t="n">
        <v>36.815</v>
      </c>
      <c r="O33" s="69" t="n">
        <v>1</v>
      </c>
      <c r="P33" s="69" t="n">
        <v>0.6899999999999999</v>
      </c>
      <c r="Q33" s="69" t="n">
        <v>0.39</v>
      </c>
      <c r="R33" s="69" t="n">
        <v>0</v>
      </c>
      <c r="S33" s="69" t="n">
        <v>0</v>
      </c>
      <c r="T33" s="69" t="n">
        <v>0</v>
      </c>
      <c r="U33" s="69" t="n">
        <v>0</v>
      </c>
      <c r="V33" s="69" t="n">
        <v>0</v>
      </c>
    </row>
    <row r="34">
      <c r="A34" s="69" t="inlineStr">
        <is>
          <t>spring_chem_cond|</t>
        </is>
      </c>
      <c r="B34" s="69" t="inlineStr">
        <is>
          <t>spring-chem-cond</t>
        </is>
      </c>
      <c r="C34" s="69" t="inlineStr">
        <is>
          <t>Specific conductivity</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500.05</v>
      </c>
      <c r="I34" s="69" t="n">
        <v>1000.05</v>
      </c>
      <c r="J34" s="69" t="n">
        <v>1650.05</v>
      </c>
      <c r="K34" s="69" t="n">
        <v>1650.05</v>
      </c>
      <c r="L34" s="69" t="n">
        <v>1650.05</v>
      </c>
      <c r="M34" s="69" t="n">
        <v>1650.05</v>
      </c>
      <c r="N34" s="69" t="n">
        <v>1650.05</v>
      </c>
      <c r="O34" s="69" t="n">
        <v>1</v>
      </c>
      <c r="P34" s="69" t="n">
        <v>0.6899999999999999</v>
      </c>
      <c r="Q34" s="69" t="n">
        <v>0.39</v>
      </c>
      <c r="R34" s="69" t="n">
        <v>0</v>
      </c>
      <c r="S34" s="69" t="n">
        <v>0</v>
      </c>
      <c r="T34" s="69" t="n">
        <v>0</v>
      </c>
      <c r="U34" s="69" t="n">
        <v>0</v>
      </c>
      <c r="V34" s="69" t="n">
        <v>0</v>
      </c>
    </row>
    <row r="35">
      <c r="A35" s="69" t="inlineStr">
        <is>
          <t>spring_chem_turb|</t>
        </is>
      </c>
      <c r="B35" s="69" t="inlineStr">
        <is>
          <t>spring-chem-turb</t>
        </is>
      </c>
      <c r="C35" s="69" t="inlineStr">
        <is>
          <t>Turbidity</t>
        </is>
      </c>
      <c r="D35" s="69" t="inlineStr"/>
      <c r="E35" s="69" t="n">
        <v>5</v>
      </c>
      <c r="F35" s="69" t="inlineStr">
        <is>
          <t>Reference curve from a modeled expectation. The response to landscape pressure is estimated nationally and this ecoregion's own level is added, because the ecoregion holds too few streams clean enough to observe reference condition directly.</t>
        </is>
      </c>
      <c r="G35" s="69" t="n">
        <v>0</v>
      </c>
      <c r="H35" s="69" t="n">
        <v>0.6914526034122135</v>
      </c>
      <c r="I35" s="69" t="n">
        <v>2.722962653023852</v>
      </c>
      <c r="J35" s="69" t="n">
        <v>5.770227727441311</v>
      </c>
      <c r="K35" s="69" t="n">
        <v>7.801737777052949</v>
      </c>
      <c r="L35" s="69" t="n">
        <v>7.801737777052949</v>
      </c>
      <c r="M35" s="69" t="n">
        <v>7.801737777052949</v>
      </c>
      <c r="N35" s="69" t="n">
        <v>7.801737777052949</v>
      </c>
      <c r="O35" s="69" t="n">
        <v>1</v>
      </c>
      <c r="P35" s="69" t="n">
        <v>1</v>
      </c>
      <c r="Q35" s="69" t="n">
        <v>0.7</v>
      </c>
      <c r="R35" s="69" t="n">
        <v>0.3</v>
      </c>
      <c r="S35" s="69" t="n">
        <v>0</v>
      </c>
      <c r="T35" s="69" t="n">
        <v>0</v>
      </c>
      <c r="U35" s="69" t="n">
        <v>0</v>
      </c>
      <c r="V35" s="69" t="n">
        <v>0</v>
      </c>
    </row>
    <row r="36">
      <c r="A36" s="69" t="inlineStr">
        <is>
          <t>spring_phab_pct_fast|All streams (pooled)</t>
        </is>
      </c>
      <c r="B36" s="69" t="inlineStr">
        <is>
          <t>spring-phab-pct-fast</t>
        </is>
      </c>
      <c r="C36" s="69" t="inlineStr">
        <is>
          <t>Fast-water / riffle habitat</t>
        </is>
      </c>
      <c r="D36" s="69" t="inlineStr">
        <is>
          <t>All streams (pooled)</t>
        </is>
      </c>
      <c r="E36" s="69" t="n">
        <v>5</v>
      </c>
      <c r="F36" s="69" t="inlineStr">
        <is>
          <t>66 least-disturbed stations borrowed from Level II ecoregion 8.4 (Ozark/Ouachita-Appalachian Forests) under the regional screen (agriculture at most 37.8 percent), transfer risk low</t>
        </is>
      </c>
      <c r="G36" s="69" t="n">
        <v>0</v>
      </c>
      <c r="H36" s="69" t="n">
        <v>6.325360332216535</v>
      </c>
      <c r="I36" s="69" t="n">
        <v>14.75917410850525</v>
      </c>
      <c r="J36" s="69" t="n">
        <v>52</v>
      </c>
      <c r="K36" s="69" t="n">
        <v>70.62041294574738</v>
      </c>
      <c r="L36" s="69" t="n">
        <v>70.62041294574738</v>
      </c>
      <c r="M36" s="69" t="n">
        <v>70.62041294574738</v>
      </c>
      <c r="N36" s="69" t="n">
        <v>70.62041294574738</v>
      </c>
      <c r="O36" s="69" t="n">
        <v>0</v>
      </c>
      <c r="P36" s="69" t="n">
        <v>0.3</v>
      </c>
      <c r="Q36" s="69" t="n">
        <v>0.7</v>
      </c>
      <c r="R36" s="69" t="n">
        <v>1</v>
      </c>
      <c r="S36" s="69" t="n">
        <v>1</v>
      </c>
      <c r="T36" s="69" t="n">
        <v>1</v>
      </c>
      <c r="U36" s="69" t="n">
        <v>1</v>
      </c>
      <c r="V36" s="69" t="n">
        <v>1</v>
      </c>
    </row>
    <row r="37">
      <c r="A37" s="69" t="inlineStr">
        <is>
          <t>spring_phab_pct_fast|Low gradient (under 0.5 percent)</t>
        </is>
      </c>
      <c r="B37" s="69" t="inlineStr">
        <is>
          <t>spring-phab-pct-fast</t>
        </is>
      </c>
      <c r="C37" s="69" t="inlineStr">
        <is>
          <t>Fast-water / riffle habitat</t>
        </is>
      </c>
      <c r="D37" s="69" t="inlineStr">
        <is>
          <t>Low gradient (under 0.5 percent)</t>
        </is>
      </c>
      <c r="E37" s="69" t="n">
        <v>5</v>
      </c>
      <c r="F37" s="69" t="inlineStr">
        <is>
          <t>66 least-disturbed stations borrowed from Level II ecoregion 8.4 (Ozark/Ouachita-Appalachian Forests) under the regional screen (agriculture at most 37.8 percent), transfer risk low</t>
        </is>
      </c>
      <c r="G37" s="69" t="n">
        <v>0</v>
      </c>
      <c r="H37" s="69" t="n">
        <v>4.699434246335711</v>
      </c>
      <c r="I37" s="69" t="n">
        <v>10.96534657478333</v>
      </c>
      <c r="J37" s="69" t="n">
        <v>27.81818199157715</v>
      </c>
      <c r="K37" s="69" t="n">
        <v>36.24459969997406</v>
      </c>
      <c r="L37" s="69" t="n">
        <v>36.24459969997406</v>
      </c>
      <c r="M37" s="69" t="n">
        <v>36.24459969997406</v>
      </c>
      <c r="N37" s="69" t="n">
        <v>36.24459969997406</v>
      </c>
      <c r="O37" s="69" t="n">
        <v>0</v>
      </c>
      <c r="P37" s="69" t="n">
        <v>0.3</v>
      </c>
      <c r="Q37" s="69" t="n">
        <v>0.7</v>
      </c>
      <c r="R37" s="69" t="n">
        <v>1</v>
      </c>
      <c r="S37" s="69" t="n">
        <v>1</v>
      </c>
      <c r="T37" s="69" t="n">
        <v>1</v>
      </c>
      <c r="U37" s="69" t="n">
        <v>1</v>
      </c>
      <c r="V37" s="69" t="n">
        <v>1</v>
      </c>
    </row>
    <row r="38">
      <c r="A38" s="69" t="inlineStr">
        <is>
          <t>spring_phab_pct_fast|Moderate gradient (0.5 to 2 percent)</t>
        </is>
      </c>
      <c r="B38" s="69" t="inlineStr">
        <is>
          <t>spring-phab-pct-fast</t>
        </is>
      </c>
      <c r="C38" s="69" t="inlineStr">
        <is>
          <t>Fast-water / riffle habitat</t>
        </is>
      </c>
      <c r="D38" s="69" t="inlineStr">
        <is>
          <t>Moderate gradient (0.5 to 2 percent)</t>
        </is>
      </c>
      <c r="E38" s="69" t="n">
        <v>5</v>
      </c>
      <c r="F38" s="69" t="inlineStr">
        <is>
          <t>66 least-disturbed stations borrowed from Level II ecoregion 8.4 (Ozark/Ouachita-Appalachian Forests) under the regional screen (agriculture at most 37.8 percent), transfer risk low</t>
        </is>
      </c>
      <c r="G38" s="69" t="n">
        <v>0</v>
      </c>
      <c r="H38" s="69" t="n">
        <v>6.75</v>
      </c>
      <c r="I38" s="69" t="n">
        <v>15.75</v>
      </c>
      <c r="J38" s="69" t="n">
        <v>60</v>
      </c>
      <c r="K38" s="69" t="n">
        <v>82.125</v>
      </c>
      <c r="L38" s="69" t="n">
        <v>82.125</v>
      </c>
      <c r="M38" s="69" t="n">
        <v>82.125</v>
      </c>
      <c r="N38" s="69" t="n">
        <v>82.125</v>
      </c>
      <c r="O38" s="69" t="n">
        <v>0</v>
      </c>
      <c r="P38" s="69" t="n">
        <v>0.3</v>
      </c>
      <c r="Q38" s="69" t="n">
        <v>0.7</v>
      </c>
      <c r="R38" s="69" t="n">
        <v>1</v>
      </c>
      <c r="S38" s="69" t="n">
        <v>1</v>
      </c>
      <c r="T38" s="69" t="n">
        <v>1</v>
      </c>
      <c r="U38" s="69" t="n">
        <v>1</v>
      </c>
      <c r="V38" s="69" t="n">
        <v>1</v>
      </c>
    </row>
    <row r="39">
      <c r="A39" s="69" t="inlineStr">
        <is>
          <t>spring_phab_pct_fast|Steep (2 percent and above)</t>
        </is>
      </c>
      <c r="B39" s="69" t="inlineStr">
        <is>
          <t>spring-phab-pct-fast</t>
        </is>
      </c>
      <c r="C39" s="69" t="inlineStr">
        <is>
          <t>Fast-water / riffle habitat</t>
        </is>
      </c>
      <c r="D39" s="69" t="inlineStr">
        <is>
          <t>Steep (2 percent and above)</t>
        </is>
      </c>
      <c r="E39" s="69" t="n">
        <v>5</v>
      </c>
      <c r="F39" s="69" t="inlineStr">
        <is>
          <t>66 least-disturbed stations borrowed from Level II ecoregion 8.4 (Ozark/Ouachita-Appalachian Forests) under the regional screen (agriculture at most 37.8 percent), transfer risk low</t>
        </is>
      </c>
      <c r="G39" s="69" t="n">
        <v>0</v>
      </c>
      <c r="H39" s="69" t="n">
        <v>12.71428564616612</v>
      </c>
      <c r="I39" s="69" t="n">
        <v>29.66666650772095</v>
      </c>
      <c r="J39" s="69" t="n">
        <v>70.5</v>
      </c>
      <c r="K39" s="69" t="n">
        <v>90.91666674613953</v>
      </c>
      <c r="L39" s="69" t="n">
        <v>90.91666674613953</v>
      </c>
      <c r="M39" s="69" t="n">
        <v>90.91666674613953</v>
      </c>
      <c r="N39" s="69" t="n">
        <v>90.91666674613953</v>
      </c>
      <c r="O39" s="69" t="n">
        <v>0</v>
      </c>
      <c r="P39" s="69" t="n">
        <v>0.3</v>
      </c>
      <c r="Q39" s="69" t="n">
        <v>0.7</v>
      </c>
      <c r="R39" s="69" t="n">
        <v>1</v>
      </c>
      <c r="S39" s="69" t="n">
        <v>1</v>
      </c>
      <c r="T39" s="69" t="n">
        <v>1</v>
      </c>
      <c r="U39" s="69" t="n">
        <v>1</v>
      </c>
      <c r="V39" s="69" t="n">
        <v>1</v>
      </c>
    </row>
    <row r="40">
      <c r="A40" s="69" t="inlineStr">
        <is>
          <t>spring_phab_xfc_nat|All streams (pooled)</t>
        </is>
      </c>
      <c r="B40" s="69" t="inlineStr">
        <is>
          <t>spring-phab-xfc-nat</t>
        </is>
      </c>
      <c r="C40" s="69" t="inlineStr">
        <is>
          <t>Natural fish cover</t>
        </is>
      </c>
      <c r="D40" s="69" t="inlineStr">
        <is>
          <t>All streams (pooled)</t>
        </is>
      </c>
      <c r="E40" s="69" t="n">
        <v>5</v>
      </c>
      <c r="F40" s="69" t="inlineStr">
        <is>
          <t>84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9" t="n">
        <v>0</v>
      </c>
      <c r="H40" s="69" t="n">
        <v>0.08741882922393936</v>
      </c>
      <c r="I40" s="69" t="n">
        <v>0.2039772681891918</v>
      </c>
      <c r="J40" s="69" t="n">
        <v>0.4528409019112587</v>
      </c>
      <c r="K40" s="69" t="n">
        <v>0.5772727187722921</v>
      </c>
      <c r="L40" s="69" t="n">
        <v>0.5772727187722921</v>
      </c>
      <c r="M40" s="69" t="n">
        <v>0.5772727187722921</v>
      </c>
      <c r="N40" s="69" t="n">
        <v>0.5772727187722921</v>
      </c>
      <c r="O40" s="69" t="n">
        <v>0</v>
      </c>
      <c r="P40" s="69" t="n">
        <v>0.3</v>
      </c>
      <c r="Q40" s="69" t="n">
        <v>0.7</v>
      </c>
      <c r="R40" s="69" t="n">
        <v>1</v>
      </c>
      <c r="S40" s="69" t="n">
        <v>1</v>
      </c>
      <c r="T40" s="69" t="n">
        <v>1</v>
      </c>
      <c r="U40" s="69" t="n">
        <v>1</v>
      </c>
      <c r="V40" s="69" t="n">
        <v>1</v>
      </c>
    </row>
    <row r="41">
      <c r="A41" s="69" t="inlineStr">
        <is>
          <t>spring_phab_xfc_nat|Headwater (10 km2 and under)</t>
        </is>
      </c>
      <c r="B41" s="69" t="inlineStr">
        <is>
          <t>spring-phab-xfc-nat</t>
        </is>
      </c>
      <c r="C41" s="69" t="inlineStr">
        <is>
          <t>Natural fish cover</t>
        </is>
      </c>
      <c r="D41" s="69" t="inlineStr">
        <is>
          <t>Headwater (10 km2 and under)</t>
        </is>
      </c>
      <c r="E41" s="69" t="n">
        <v>5</v>
      </c>
      <c r="F41" s="69" t="inlineStr">
        <is>
          <t>84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9" t="n">
        <v>0</v>
      </c>
      <c r="H41" s="69" t="n">
        <v>0.09301948121615819</v>
      </c>
      <c r="I41" s="69" t="n">
        <v>0.2170454561710358</v>
      </c>
      <c r="J41" s="69" t="n">
        <v>0.4171022698283195</v>
      </c>
      <c r="K41" s="69" t="n">
        <v>0.5171306766569614</v>
      </c>
      <c r="L41" s="69" t="n">
        <v>0.5171306766569614</v>
      </c>
      <c r="M41" s="69" t="n">
        <v>0.5171306766569614</v>
      </c>
      <c r="N41" s="69" t="n">
        <v>0.5171306766569614</v>
      </c>
      <c r="O41" s="69" t="n">
        <v>0</v>
      </c>
      <c r="P41" s="69" t="n">
        <v>0.3</v>
      </c>
      <c r="Q41" s="69" t="n">
        <v>0.7</v>
      </c>
      <c r="R41" s="69" t="n">
        <v>1</v>
      </c>
      <c r="S41" s="69" t="n">
        <v>1</v>
      </c>
      <c r="T41" s="69" t="n">
        <v>1</v>
      </c>
      <c r="U41" s="69" t="n">
        <v>1</v>
      </c>
      <c r="V41" s="69" t="n">
        <v>1</v>
      </c>
    </row>
    <row r="42">
      <c r="A42" s="69" t="inlineStr">
        <is>
          <t>spring_phab_xfc_nat|Small stream (10 to 100 km2)</t>
        </is>
      </c>
      <c r="B42" s="69" t="inlineStr">
        <is>
          <t>spring-phab-xfc-nat</t>
        </is>
      </c>
      <c r="C42" s="69" t="inlineStr">
        <is>
          <t>Natural fish cover</t>
        </is>
      </c>
      <c r="D42" s="69" t="inlineStr">
        <is>
          <t>Small stream (10 to 100 km2)</t>
        </is>
      </c>
      <c r="E42" s="69" t="n">
        <v>5</v>
      </c>
      <c r="F42" s="69" t="inlineStr">
        <is>
          <t>84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9" t="n">
        <v>0</v>
      </c>
      <c r="H42" s="69" t="n">
        <v>0.08961038717201777</v>
      </c>
      <c r="I42" s="69" t="n">
        <v>0.2090909034013748</v>
      </c>
      <c r="J42" s="69" t="n">
        <v>0.7772727012634277</v>
      </c>
      <c r="K42" s="69" t="n">
        <v>1.061363600194454</v>
      </c>
      <c r="L42" s="69" t="n">
        <v>1.061363600194454</v>
      </c>
      <c r="M42" s="69" t="n">
        <v>1.061363600194454</v>
      </c>
      <c r="N42" s="69" t="n">
        <v>1.061363600194454</v>
      </c>
      <c r="O42" s="69" t="n">
        <v>0</v>
      </c>
      <c r="P42" s="69" t="n">
        <v>0.3</v>
      </c>
      <c r="Q42" s="69" t="n">
        <v>0.7</v>
      </c>
      <c r="R42" s="69" t="n">
        <v>1</v>
      </c>
      <c r="S42" s="69" t="n">
        <v>1</v>
      </c>
      <c r="T42" s="69" t="n">
        <v>1</v>
      </c>
      <c r="U42" s="69" t="n">
        <v>1</v>
      </c>
      <c r="V42" s="69" t="n">
        <v>1</v>
      </c>
    </row>
    <row r="43">
      <c r="A43" s="69" t="inlineStr">
        <is>
          <t>spring_phab_xfc_nat|Large stream (over 100 km2)</t>
        </is>
      </c>
      <c r="B43" s="69" t="inlineStr">
        <is>
          <t>spring-phab-xfc-nat</t>
        </is>
      </c>
      <c r="C43" s="69" t="inlineStr">
        <is>
          <t>Natural fish cover</t>
        </is>
      </c>
      <c r="D43" s="69" t="inlineStr">
        <is>
          <t>Large stream (over 100 km2)</t>
        </is>
      </c>
      <c r="E43" s="69" t="n">
        <v>5</v>
      </c>
      <c r="F43" s="69" t="inlineStr">
        <is>
          <t>84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69" t="n">
        <v>0</v>
      </c>
      <c r="H43" s="69" t="n">
        <v>0.06769480449812752</v>
      </c>
      <c r="I43" s="69" t="n">
        <v>0.1579545438289642</v>
      </c>
      <c r="J43" s="69" t="n">
        <v>0.3988636285066605</v>
      </c>
      <c r="K43" s="69" t="n">
        <v>0.5193181708455086</v>
      </c>
      <c r="L43" s="69" t="n">
        <v>0.5193181708455086</v>
      </c>
      <c r="M43" s="69" t="n">
        <v>0.5193181708455086</v>
      </c>
      <c r="N43" s="69" t="n">
        <v>0.5193181708455086</v>
      </c>
      <c r="O43" s="69" t="n">
        <v>0</v>
      </c>
      <c r="P43" s="69" t="n">
        <v>0.3</v>
      </c>
      <c r="Q43" s="69" t="n">
        <v>0.7</v>
      </c>
      <c r="R43" s="69" t="n">
        <v>1</v>
      </c>
      <c r="S43" s="69" t="n">
        <v>1</v>
      </c>
      <c r="T43" s="69" t="n">
        <v>1</v>
      </c>
      <c r="U43" s="69" t="n">
        <v>1</v>
      </c>
      <c r="V43" s="69" t="n">
        <v>1</v>
      </c>
    </row>
    <row r="44">
      <c r="A44" s="69" t="inlineStr">
        <is>
          <t>spring_bent_totlntax|</t>
        </is>
      </c>
      <c r="B44" s="69" t="inlineStr">
        <is>
          <t>spring-bent-totlntax</t>
        </is>
      </c>
      <c r="C44" s="69" t="inlineStr">
        <is>
          <t>Benthic total taxa richness</t>
        </is>
      </c>
      <c r="D44" s="69" t="inlineStr"/>
      <c r="E44" s="69" t="n">
        <v>5</v>
      </c>
      <c r="F44" s="69" t="inlineStr">
        <is>
          <t>Reference curve fitted to comparable least-disturbed stations drawn from the national pool, because this ecoregion and its parents hold too few of their own.</t>
        </is>
      </c>
      <c r="G44" s="69" t="n">
        <v>0</v>
      </c>
      <c r="H44" s="69" t="n">
        <v>14.57142857142857</v>
      </c>
      <c r="I44" s="69" t="n">
        <v>34</v>
      </c>
      <c r="J44" s="69" t="n">
        <v>50</v>
      </c>
      <c r="K44" s="69" t="n">
        <v>58</v>
      </c>
      <c r="L44" s="69" t="n">
        <v>58</v>
      </c>
      <c r="M44" s="69" t="n">
        <v>58</v>
      </c>
      <c r="N44" s="69" t="n">
        <v>58</v>
      </c>
      <c r="O44" s="69" t="n">
        <v>0</v>
      </c>
      <c r="P44" s="69" t="n">
        <v>0.3</v>
      </c>
      <c r="Q44" s="69" t="n">
        <v>0.7</v>
      </c>
      <c r="R44" s="69" t="n">
        <v>1</v>
      </c>
      <c r="S44" s="69" t="n">
        <v>1</v>
      </c>
      <c r="T44" s="69" t="n">
        <v>1</v>
      </c>
      <c r="U44" s="69" t="n">
        <v>1</v>
      </c>
      <c r="V44" s="69" t="n">
        <v>1</v>
      </c>
    </row>
    <row r="45">
      <c r="A45" s="69" t="inlineStr">
        <is>
          <t>spring_bent_ept_ntax|</t>
        </is>
      </c>
      <c r="B45" s="69" t="inlineStr">
        <is>
          <t>spring-bent-ept-ntax</t>
        </is>
      </c>
      <c r="C45" s="69" t="inlineStr">
        <is>
          <t>EPT taxa richness</t>
        </is>
      </c>
      <c r="D45" s="69" t="inlineStr"/>
      <c r="E45" s="69" t="n">
        <v>5</v>
      </c>
      <c r="F45" s="69" t="inlineStr">
        <is>
          <t>55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45" s="69" t="n">
        <v>0</v>
      </c>
      <c r="H45" s="69" t="n">
        <v>6</v>
      </c>
      <c r="I45" s="69" t="n">
        <v>14</v>
      </c>
      <c r="J45" s="69" t="n">
        <v>22.5</v>
      </c>
      <c r="K45" s="69" t="n">
        <v>26.75</v>
      </c>
      <c r="L45" s="69" t="n">
        <v>26.75</v>
      </c>
      <c r="M45" s="69" t="n">
        <v>26.75</v>
      </c>
      <c r="N45" s="69" t="n">
        <v>26.75</v>
      </c>
      <c r="O45" s="69" t="n">
        <v>0</v>
      </c>
      <c r="P45" s="69" t="n">
        <v>0.3</v>
      </c>
      <c r="Q45" s="69" t="n">
        <v>0.7</v>
      </c>
      <c r="R45" s="69" t="n">
        <v>1</v>
      </c>
      <c r="S45" s="69" t="n">
        <v>1</v>
      </c>
      <c r="T45" s="69" t="n">
        <v>1</v>
      </c>
      <c r="U45" s="69" t="n">
        <v>1</v>
      </c>
      <c r="V45" s="69" t="n">
        <v>1</v>
      </c>
    </row>
    <row r="46">
      <c r="A46" s="69" t="inlineStr">
        <is>
          <t>spring_bent_hprime|</t>
        </is>
      </c>
      <c r="B46" s="69" t="inlineStr">
        <is>
          <t>spring-bent-hprime</t>
        </is>
      </c>
      <c r="C46" s="69" t="inlineStr">
        <is>
          <t>Shannon diversity (H')</t>
        </is>
      </c>
      <c r="D46" s="69" t="inlineStr"/>
      <c r="E46" s="69" t="n">
        <v>5</v>
      </c>
      <c r="F46" s="69" t="inlineStr">
        <is>
          <t>Reference curve fitted to comparable least-disturbed stations drawn from the national pool, because this ecoregion and its parents hold too few of their own.</t>
        </is>
      </c>
      <c r="G46" s="69" t="n">
        <v>0</v>
      </c>
      <c r="H46" s="69" t="n">
        <v>1.148571457181658</v>
      </c>
      <c r="I46" s="69" t="n">
        <v>2.680000066757202</v>
      </c>
      <c r="J46" s="69" t="n">
        <v>3.279999971389771</v>
      </c>
      <c r="K46" s="69" t="n">
        <v>3.579999923706055</v>
      </c>
      <c r="L46" s="69" t="n">
        <v>3.579999923706055</v>
      </c>
      <c r="M46" s="69" t="n">
        <v>3.579999923706055</v>
      </c>
      <c r="N46" s="69" t="n">
        <v>3.579999923706055</v>
      </c>
      <c r="O46" s="69" t="n">
        <v>0</v>
      </c>
      <c r="P46" s="69" t="n">
        <v>0.3</v>
      </c>
      <c r="Q46" s="69" t="n">
        <v>0.7</v>
      </c>
      <c r="R46" s="69" t="n">
        <v>1</v>
      </c>
      <c r="S46" s="69" t="n">
        <v>1</v>
      </c>
      <c r="T46" s="69" t="n">
        <v>1</v>
      </c>
      <c r="U46" s="69" t="n">
        <v>1</v>
      </c>
      <c r="V46" s="69" t="n">
        <v>1</v>
      </c>
    </row>
    <row r="47">
      <c r="A47" s="69" t="inlineStr">
        <is>
          <t>spring_nid_dams_1mi|</t>
        </is>
      </c>
      <c r="B47" s="69" t="inlineStr">
        <is>
          <t>spring-nid-dams-1mi</t>
        </is>
      </c>
      <c r="C47" s="69" t="inlineStr">
        <is>
          <t>Mapped dams within one mile</t>
        </is>
      </c>
      <c r="D47" s="69" t="inlineStr"/>
      <c r="E47" s="69" t="n">
        <v>4</v>
      </c>
      <c r="F47" s="69" t="inlineStr">
        <is>
          <t>Fixed criteria, the same in every region</t>
        </is>
      </c>
      <c r="G47" s="69" t="n">
        <v>0</v>
      </c>
      <c r="H47" s="69" t="n">
        <v>1</v>
      </c>
      <c r="I47" s="69" t="n">
        <v>2</v>
      </c>
      <c r="J47" s="69" t="n">
        <v>3</v>
      </c>
      <c r="K47" s="69" t="n">
        <v>3</v>
      </c>
      <c r="L47" s="69" t="n">
        <v>3</v>
      </c>
      <c r="M47" s="69" t="n">
        <v>3</v>
      </c>
      <c r="N47" s="69" t="n">
        <v>3</v>
      </c>
      <c r="O47" s="69" t="n">
        <v>1</v>
      </c>
      <c r="P47" s="69" t="n">
        <v>0.545</v>
      </c>
      <c r="Q47" s="69" t="n">
        <v>0.195</v>
      </c>
      <c r="R47" s="69" t="n">
        <v>0</v>
      </c>
      <c r="S47" s="69" t="n">
        <v>0</v>
      </c>
      <c r="T47" s="69" t="n">
        <v>0</v>
      </c>
      <c r="U47" s="69" t="n">
        <v>0</v>
      </c>
      <c r="V47" s="69" t="n">
        <v>0</v>
      </c>
    </row>
    <row r="50">
      <c r="A50" s="58" t="inlineStr">
        <is>
          <t>Curve sets by metric</t>
        </is>
      </c>
    </row>
    <row r="51">
      <c r="A51" s="69" t="inlineStr">
        <is>
          <t>All streams (pooled)</t>
        </is>
      </c>
      <c r="B51" s="5" t="inlineStr">
        <is>
          <t>Bankfull width:depth ratio</t>
        </is>
      </c>
    </row>
    <row r="52">
      <c r="A52" s="69" t="inlineStr">
        <is>
          <t>Headwater (10 km2 and under)</t>
        </is>
      </c>
      <c r="B52" s="5" t="inlineStr">
        <is>
          <t>Bankfull width:depth ratio</t>
        </is>
      </c>
    </row>
    <row r="53">
      <c r="A53" s="69" t="inlineStr">
        <is>
          <t>Large stream (over 100 km2)</t>
        </is>
      </c>
      <c r="B53" s="5" t="inlineStr">
        <is>
          <t>Bankfull width:depth ratio</t>
        </is>
      </c>
    </row>
    <row r="54">
      <c r="A54" s="69" t="inlineStr">
        <is>
          <t>All streams (pooled)</t>
        </is>
      </c>
      <c r="B54" s="5" t="inlineStr">
        <is>
          <t>Bankfull height above channel</t>
        </is>
      </c>
    </row>
    <row r="55">
      <c r="A55" s="69" t="inlineStr">
        <is>
          <t>Headwater (10 km2 and under)</t>
        </is>
      </c>
      <c r="B55" s="5" t="inlineStr">
        <is>
          <t>Bankfull height above channel</t>
        </is>
      </c>
    </row>
    <row r="56">
      <c r="A56" s="69" t="inlineStr">
        <is>
          <t>Large stream (over 100 km2)</t>
        </is>
      </c>
      <c r="B56" s="5" t="inlineStr">
        <is>
          <t>Bankfull height above channel</t>
        </is>
      </c>
    </row>
    <row r="57">
      <c r="A57" s="69" t="inlineStr">
        <is>
          <t>All streams (pooled)</t>
        </is>
      </c>
      <c r="B57" s="5" t="inlineStr">
        <is>
          <t>Relative bed stability</t>
        </is>
      </c>
    </row>
    <row r="58">
      <c r="A58" s="69" t="inlineStr">
        <is>
          <t>Headwater (10 km2 and under)</t>
        </is>
      </c>
      <c r="B58" s="5" t="inlineStr">
        <is>
          <t>Relative bed stability</t>
        </is>
      </c>
    </row>
    <row r="59">
      <c r="A59" s="69" t="inlineStr">
        <is>
          <t>Small stream (10 to 100 km2)</t>
        </is>
      </c>
      <c r="B59" s="5" t="inlineStr">
        <is>
          <t>Relative bed stability</t>
        </is>
      </c>
    </row>
    <row r="60">
      <c r="A60" s="69" t="inlineStr">
        <is>
          <t>Large stream (over 100 km2)</t>
        </is>
      </c>
      <c r="B60" s="5" t="inlineStr">
        <is>
          <t>Relative bed stability</t>
        </is>
      </c>
    </row>
    <row r="61">
      <c r="A61" s="69" t="inlineStr">
        <is>
          <t>All streams (pooled)</t>
        </is>
      </c>
      <c r="B61" s="5" t="inlineStr">
        <is>
          <t>Canopy density, mid-channel</t>
        </is>
      </c>
    </row>
    <row r="62">
      <c r="A62" s="69" t="inlineStr">
        <is>
          <t>Headwater (10 km2 and under)</t>
        </is>
      </c>
      <c r="B62" s="5" t="inlineStr">
        <is>
          <t>Canopy density, mid-channel</t>
        </is>
      </c>
    </row>
    <row r="63">
      <c r="A63" s="69" t="inlineStr">
        <is>
          <t>Small stream (10 to 100 km2)</t>
        </is>
      </c>
      <c r="B63" s="5" t="inlineStr">
        <is>
          <t>Canopy density, mid-channel</t>
        </is>
      </c>
    </row>
    <row r="64">
      <c r="A64" s="69" t="inlineStr">
        <is>
          <t>Large stream (over 100 km2)</t>
        </is>
      </c>
      <c r="B64" s="5" t="inlineStr">
        <is>
          <t>Canopy density, mid-channel</t>
        </is>
      </c>
    </row>
    <row r="65">
      <c r="A65" s="69" t="inlineStr">
        <is>
          <t>All streams (pooled)</t>
        </is>
      </c>
      <c r="B65" s="5" t="inlineStr">
        <is>
          <t>Fast-water / riffle habitat</t>
        </is>
      </c>
    </row>
    <row r="66">
      <c r="A66" s="69" t="inlineStr">
        <is>
          <t>Low gradient (under 0.5 percent)</t>
        </is>
      </c>
      <c r="B66" s="5" t="inlineStr">
        <is>
          <t>Fast-water / riffle habitat</t>
        </is>
      </c>
    </row>
    <row r="67">
      <c r="A67" s="69" t="inlineStr">
        <is>
          <t>Moderate gradient (0.5 to 2 percent)</t>
        </is>
      </c>
      <c r="B67" s="5" t="inlineStr">
        <is>
          <t>Fast-water / riffle habitat</t>
        </is>
      </c>
    </row>
    <row r="68">
      <c r="A68" s="69" t="inlineStr">
        <is>
          <t>Steep (2 percent and above)</t>
        </is>
      </c>
      <c r="B68" s="5" t="inlineStr">
        <is>
          <t>Fast-water / riffle habitat</t>
        </is>
      </c>
    </row>
    <row r="69">
      <c r="A69" s="69" t="inlineStr">
        <is>
          <t>All streams (pooled)</t>
        </is>
      </c>
      <c r="B69" s="5" t="inlineStr">
        <is>
          <t>Natural fish cover</t>
        </is>
      </c>
    </row>
    <row r="70">
      <c r="A70" s="69" t="inlineStr">
        <is>
          <t>Headwater (10 km2 and under)</t>
        </is>
      </c>
      <c r="B70" s="5" t="inlineStr">
        <is>
          <t>Natural fish cover</t>
        </is>
      </c>
    </row>
    <row r="71">
      <c r="A71" s="69" t="inlineStr">
        <is>
          <t>Small stream (10 to 100 km2)</t>
        </is>
      </c>
      <c r="B71" s="5" t="inlineStr">
        <is>
          <t>Natural fish cover</t>
        </is>
      </c>
    </row>
    <row r="72">
      <c r="A72" s="69" t="inlineStr">
        <is>
          <t>Large stream (over 100 km2)</t>
        </is>
      </c>
      <c r="B72" s="5" t="inlineStr">
        <is>
          <t>Natural fish cover</t>
        </is>
      </c>
    </row>
    <row r="75">
      <c r="A75" s="58" t="inlineStr">
        <is>
          <t>Condition classes</t>
        </is>
      </c>
    </row>
    <row r="76">
      <c r="A76" t="inlineStr">
        <is>
          <t>Metric index: at or below 0.39 Non-Functioning, at or below 0.69 Functioning At-Risk, above Functioning.</t>
        </is>
      </c>
    </row>
    <row r="77">
      <c r="A77" t="inlineStr">
        <is>
          <t>Function score (0 to 15): at or below 5 Non-Functioning, at or below 10 Functioning At-Risk, above Functioning.</t>
        </is>
      </c>
    </row>
    <row r="78">
      <c r="A78"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central-appalachians</t>
        </is>
      </c>
    </row>
    <row r="5">
      <c r="A5" s="69" t="inlineStr">
        <is>
          <t>Assessment name</t>
        </is>
      </c>
      <c r="B5" s="69" t="inlineStr">
        <is>
          <t>Central Appalachians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sha256:bde3f4beb2e0c2b766df7c9d09afb029919152992a2d7fca92d93a64a629593b</t>
        </is>
      </c>
    </row>
    <row r="9">
      <c r="A9" s="69" t="inlineStr">
        <is>
          <t>Region</t>
        </is>
      </c>
      <c r="B9" s="69" t="inlineStr">
        <is>
          <t>ecoregion 69 Central Appalachians</t>
        </is>
      </c>
    </row>
    <row r="10">
      <c r="A10" s="69" t="inlineStr">
        <is>
          <t>Source</t>
        </is>
      </c>
      <c r="B10" s="69" t="inlineStr">
        <is>
          <t>USEPA NRSA 2013-24 (L3 ecoregion 69),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2026-09-30T07:05:03Z</dcterms:created>
  <dcterms:modified xmlns:dcterms="http://purl.org/dc/terms/" xmlns:xsi="http://www.w3.org/2001/XMLSchema-instance" xsi:type="dcterms:W3CDTF">2026-09-30T07:05:03Z</dcterms:modified>
  <cp:lastModifiedBy>DEEP</cp:lastModifiedBy>
  <cp:contentStatus>Draft</cp:contentStatus>
</cp:coreProperties>
</file>