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bfwd_rat">'Reference'!$A$46:$A$49</definedName>
    <definedName name="strata_spring_phab_xcdenmid">'Reference'!$A$50:$A$53</definedName>
    <definedName name="strata_spring_phab_pct_fast">'Reference'!$A$54:$A$56</definedName>
    <definedName name="strata_spring_phab_xfc_nat">'Reference'!$A$57:$A$60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ptl">'Metrics'!$V$22</definedName>
    <definedName name="idx_spring_chem_ntl">'Metrics'!$V$23</definedName>
    <definedName name="idx_spring_chem_cond">'Metrics'!$V$24</definedName>
    <definedName name="idx_spring_chem_ph">'Metrics'!$V$25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ptl">'DEEP Score'!$E$36</definedName>
    <definedName name="in_spring_chem_ntl">'DEEP Score'!$E$37</definedName>
    <definedName name="in_spring_chem_cond">'DEEP Score'!$E$38</definedName>
    <definedName name="in_spring_chem_ph">'DEEP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Canadian Rockies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8 curves are fitted to least-disturbed stations of this ecoregion. 14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9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Canadian Rockies reference assessment</t>
        </is>
      </c>
    </row>
    <row r="3">
      <c r="A3" s="5" t="inlineStr">
        <is>
          <t>Version 1 | Draft | USEPA NRSA 2013-24 (L3 ecoregion 41),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t="inlineStr"/>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phosphorus</t>
        </is>
      </c>
      <c r="D36" s="14" t="inlineStr">
        <is>
          <t>ug/L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nitrogen</t>
        </is>
      </c>
      <c r="D37" s="23" t="inlineStr">
        <is>
          <t>mg N/L</t>
        </is>
      </c>
      <c r="E37" s="24" t="n"/>
      <c r="F37" s="25" t="inlineStr"/>
      <c r="G37" s="26">
        <f>IF('Metrics'!$V$23="","",'Metrics'!$V$23)</f>
        <v/>
      </c>
      <c r="H37" s="21" t="n"/>
      <c r="I37" s="27" t="n"/>
    </row>
    <row r="38">
      <c r="A38" s="47"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pH</t>
        </is>
      </c>
      <c r="D39" s="23" t="inlineStr">
        <is>
          <t>Std. Units</t>
        </is>
      </c>
      <c r="E39" s="24" t="n"/>
      <c r="F39" s="25" t="inlineStr"/>
      <c r="G39" s="26">
        <f>IF('Metrics'!$V$25="","",'Metrics'!$V$25)</f>
        <v/>
      </c>
      <c r="H39" s="21" t="n"/>
      <c r="I39" s="27" t="n"/>
    </row>
    <row r="40">
      <c r="A40" s="49" t="inlineStr">
        <is>
          <t>Biology</t>
        </is>
      </c>
      <c r="B40" s="12" t="inlineStr">
        <is>
          <t>Habitat provision</t>
        </is>
      </c>
      <c r="C40" s="13" t="inlineStr">
        <is>
          <t>Fast-water / riffle habitat</t>
        </is>
      </c>
      <c r="D40" s="14" t="inlineStr">
        <is>
          <t>%</t>
        </is>
      </c>
      <c r="E40" s="15" t="n"/>
      <c r="F40" s="50"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9" t="inlineStr">
        <is>
          <t>Biology</t>
        </is>
      </c>
      <c r="B43" s="12" t="inlineStr">
        <is>
          <t>Community dynamics</t>
        </is>
      </c>
      <c r="C43" s="13" t="inlineStr">
        <is>
          <t>Shannon diversity (H')</t>
        </is>
      </c>
      <c r="D43" s="14" t="inlineStr">
        <is>
          <t>H'</t>
        </is>
      </c>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19" showDropDown="0" showInputMessage="0" showErrorMessage="1" allowBlank="1" errorTitle="Curve set" error="Choose a curve set from the list." type="list">
      <formula1>=strata_spring_phab_bfwd_rat</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f>
        <v/>
      </c>
      <c r="D12" s="70">
        <f>"spring_phab_xbkf_h|"&amp;'Metrics'!$C$12</f>
        <v/>
      </c>
      <c r="E12" s="70">
        <f>IFERROR(MATCH('Metrics'!$D$12,curve_key,0),MATCH("spring_phab_xbkf_h|",curve_key,0))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f>
        <v/>
      </c>
      <c r="D17" s="70">
        <f>"spring_phab_lrbs_use|"&amp;'Metrics'!$C$17</f>
        <v/>
      </c>
      <c r="E17" s="70">
        <f>IFERROR(MATCH('Metrics'!$D$17,curve_key,0),MATCH("spring_phab_lrbs_use|",curve_key,0))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phosphorus</t>
        </is>
      </c>
      <c r="B22" s="70">
        <f>IF('DEEP Score'!$E$36="","",'DEEP Score'!$E$36)</f>
        <v/>
      </c>
      <c r="C22" s="70">
        <f>""</f>
        <v/>
      </c>
      <c r="D22" s="70">
        <f>"spring_chem_ptl|"&amp;'Metrics'!$C$22</f>
        <v/>
      </c>
      <c r="E22" s="70">
        <f>IFERROR(MATCH('Metrics'!$D$22,curve_key,0),MATCH("spring_chem_ptl|",curve_key,0))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Score'!$E$37="","",'DEEP Score'!$E$37)</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Score'!$E$38="","",'DEEP Score'!$E$38)</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pH</t>
        </is>
      </c>
      <c r="B25" s="70">
        <f>IF('DEEP Score'!$E$39="","",'DEEP Score'!$E$39)</f>
        <v/>
      </c>
      <c r="C25" s="70">
        <f>""</f>
        <v/>
      </c>
      <c r="D25" s="70">
        <f>"spring_chem_ph|"&amp;'Metrics'!$C$25</f>
        <v/>
      </c>
      <c r="E25" s="70">
        <f>IFERROR(MATCH('Metrics'!$D$25,curve_key,0),MATCH("spring_chem_ph|",curve_key,0))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Shannon diversity (H')</t>
        </is>
      </c>
      <c r="B29" s="70">
        <f>IF('DEEP Score'!$E$43="","",'DEEP Score'!$E$43)</f>
        <v/>
      </c>
      <c r="C29" s="70">
        <f>""</f>
        <v/>
      </c>
      <c r="D29" s="70">
        <f>"spring_bent_hprime|"&amp;'Metrics'!$C$29</f>
        <v/>
      </c>
      <c r="E29" s="70">
        <f>IFERROR(MATCH('Metrics'!$D$29,curve_key,0),MATCH("spring_bent_hprime|",curve_key,0))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Tolerant individuals (%) ~ HBI</t>
        </is>
      </c>
      <c r="B30" s="70">
        <f>IF('DEEP Score'!$E$44="","",'DEEP Score'!$E$44)</f>
        <v/>
      </c>
      <c r="C30" s="70">
        <f>""</f>
        <v/>
      </c>
      <c r="D30" s="70">
        <f>"spring_bent_tolrpind|"&amp;'Metrics'!$C$30</f>
        <v/>
      </c>
      <c r="E30" s="70">
        <f>IFERROR(MATCH('Metrics'!$D$30,curve_key,0),MATCH("spring_bent_tolrpind|",curve_key,0))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13 least-disturbed stations of this ecoregion</t>
        </is>
      </c>
      <c r="G9" s="69" t="n">
        <v>0</v>
      </c>
      <c r="H9" s="69" t="n">
        <v>29.39537142857143</v>
      </c>
      <c r="I9" s="69" t="n">
        <v>68.58920000000001</v>
      </c>
      <c r="J9" s="69" t="n">
        <v>71.6506</v>
      </c>
      <c r="K9" s="69" t="n">
        <v>73.18129999999999</v>
      </c>
      <c r="L9" s="69" t="n">
        <v>73.18129999999999</v>
      </c>
      <c r="M9" s="69" t="n">
        <v>73.18129999999999</v>
      </c>
      <c r="N9" s="69" t="n">
        <v>73.18129999999999</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105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3.964504408836365</v>
      </c>
      <c r="I11" s="69" t="n">
        <v>7.005638599395752</v>
      </c>
      <c r="J11" s="69" t="n">
        <v>15.69459342956543</v>
      </c>
      <c r="K11" s="69" t="n">
        <v>18.73572762012482</v>
      </c>
      <c r="L11" s="69" t="n">
        <v>24.38354825973511</v>
      </c>
      <c r="M11" s="69" t="n">
        <v>33.07250308990479</v>
      </c>
      <c r="N11" s="69" t="n">
        <v>33.07250308990479</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8</v>
      </c>
      <c r="F12" s="69" t="inlineStr">
        <is>
          <t>105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1.544580459594727</v>
      </c>
      <c r="I12" s="69" t="n">
        <v>3.907541990280151</v>
      </c>
      <c r="J12" s="69" t="n">
        <v>5.179905891418457</v>
      </c>
      <c r="K12" s="69" t="n">
        <v>8.815231323242188</v>
      </c>
      <c r="L12" s="69" t="n">
        <v>10.08759522438049</v>
      </c>
      <c r="M12" s="69" t="n">
        <v>12.45055675506592</v>
      </c>
      <c r="N12" s="69" t="n">
        <v>16.08588218688965</v>
      </c>
      <c r="O12" s="69" t="n">
        <v>0</v>
      </c>
      <c r="P12" s="69" t="n">
        <v>0.3</v>
      </c>
      <c r="Q12" s="69" t="n">
        <v>0.7</v>
      </c>
      <c r="R12" s="69" t="n">
        <v>1</v>
      </c>
      <c r="S12" s="69" t="n">
        <v>1</v>
      </c>
      <c r="T12" s="69" t="n">
        <v>0.7</v>
      </c>
      <c r="U12" s="69" t="n">
        <v>0.3</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105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1.03646183013916</v>
      </c>
      <c r="I13" s="69" t="n">
        <v>4.65867492556572</v>
      </c>
      <c r="J13" s="69" t="n">
        <v>6.609097361564636</v>
      </c>
      <c r="K13" s="69" t="n">
        <v>12.18173289299011</v>
      </c>
      <c r="L13" s="69" t="n">
        <v>14.13215532898903</v>
      </c>
      <c r="M13" s="69" t="n">
        <v>17.75436842441559</v>
      </c>
      <c r="N13" s="69" t="n">
        <v>23.32700395584106</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8</v>
      </c>
      <c r="F14" s="69" t="inlineStr">
        <is>
          <t>105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2.791712760925293</v>
      </c>
      <c r="I14" s="69" t="n">
        <v>8.594964659214019</v>
      </c>
      <c r="J14" s="69" t="n">
        <v>11.71979260444641</v>
      </c>
      <c r="K14" s="69" t="n">
        <v>20.64787244796753</v>
      </c>
      <c r="L14" s="69" t="n">
        <v>23.77270039319992</v>
      </c>
      <c r="M14" s="69" t="n">
        <v>29.57595229148865</v>
      </c>
      <c r="N14" s="69" t="n">
        <v>38.50403213500977</v>
      </c>
      <c r="O14" s="69" t="n">
        <v>0</v>
      </c>
      <c r="P14" s="69" t="n">
        <v>0.3</v>
      </c>
      <c r="Q14" s="69" t="n">
        <v>0.7</v>
      </c>
      <c r="R14" s="69" t="n">
        <v>1</v>
      </c>
      <c r="S14" s="69" t="n">
        <v>1</v>
      </c>
      <c r="T14" s="69" t="n">
        <v>0.7</v>
      </c>
      <c r="U14" s="69" t="n">
        <v>0.3</v>
      </c>
      <c r="V14" s="69" t="n">
        <v>0</v>
      </c>
    </row>
    <row r="15">
      <c r="A15" s="69" t="inlineStr">
        <is>
          <t>spring_phab_xbkf_h|</t>
        </is>
      </c>
      <c r="B15" s="69" t="inlineStr">
        <is>
          <t>spring-phab-xbkf-h</t>
        </is>
      </c>
      <c r="C15" s="69" t="inlineStr">
        <is>
          <t>Bankfull height above channel</t>
        </is>
      </c>
      <c r="D15" s="69" t="inlineStr"/>
      <c r="E15" s="69" t="n">
        <v>7</v>
      </c>
      <c r="F15" s="69" t="inlineStr">
        <is>
          <t>13 least-disturbed stations of this ecoregion</t>
        </is>
      </c>
      <c r="G15" s="69" t="n">
        <v>0</v>
      </c>
      <c r="H15" s="69" t="n">
        <v>0.2018181622028351</v>
      </c>
      <c r="I15" s="69" t="n">
        <v>0.3227272629737854</v>
      </c>
      <c r="J15" s="69" t="n">
        <v>0.668181836605072</v>
      </c>
      <c r="K15" s="69" t="n">
        <v>0.7890909373760223</v>
      </c>
      <c r="L15" s="69" t="n">
        <v>1.013636410236359</v>
      </c>
      <c r="M15" s="69" t="n">
        <v>1.359090983867645</v>
      </c>
      <c r="N15" s="69" t="n">
        <v>1.359090983867645</v>
      </c>
      <c r="O15" s="69" t="n">
        <v>0</v>
      </c>
      <c r="P15" s="69" t="n">
        <v>0.7</v>
      </c>
      <c r="Q15" s="69" t="n">
        <v>1</v>
      </c>
      <c r="R15" s="69" t="n">
        <v>1</v>
      </c>
      <c r="S15" s="69" t="n">
        <v>0.7</v>
      </c>
      <c r="T15" s="69" t="n">
        <v>0.3</v>
      </c>
      <c r="U15" s="69" t="n">
        <v>0</v>
      </c>
      <c r="V15" s="69" t="n">
        <v>0</v>
      </c>
    </row>
    <row r="16">
      <c r="A16" s="69" t="inlineStr">
        <is>
          <t>spring_phab_pct_safn|</t>
        </is>
      </c>
      <c r="B16" s="69" t="inlineStr">
        <is>
          <t>spring-phab-pct-safn</t>
        </is>
      </c>
      <c r="C16" s="69" t="inlineStr">
        <is>
          <t>Sand + fines</t>
        </is>
      </c>
      <c r="D16" s="69" t="inlineStr"/>
      <c r="E16" s="69" t="n">
        <v>5</v>
      </c>
      <c r="F16" s="69" t="inlineStr">
        <is>
          <t>105 least-disturbed stations borrowed from Level II ecoregion 6.2 (Western Cordillera) under the regional screen (agriculture at most 25 percent), transfer risk low</t>
        </is>
      </c>
      <c r="G16" s="69" t="n">
        <v>0</v>
      </c>
      <c r="H16" s="69" t="n">
        <v>3.809523820877075</v>
      </c>
      <c r="I16" s="69" t="n">
        <v>28.5714282989502</v>
      </c>
      <c r="J16" s="69" t="n">
        <v>65.71428501605988</v>
      </c>
      <c r="K16" s="69" t="n">
        <v>90.476189494133</v>
      </c>
      <c r="L16" s="69" t="n">
        <v>90.476189494133</v>
      </c>
      <c r="M16" s="69" t="n">
        <v>90.476189494133</v>
      </c>
      <c r="N16" s="69" t="n">
        <v>90.476189494133</v>
      </c>
      <c r="O16" s="69" t="n">
        <v>1</v>
      </c>
      <c r="P16" s="69" t="n">
        <v>1</v>
      </c>
      <c r="Q16" s="69" t="n">
        <v>0.7</v>
      </c>
      <c r="R16" s="69" t="n">
        <v>0.3</v>
      </c>
      <c r="S16" s="69" t="n">
        <v>0</v>
      </c>
      <c r="T16" s="69" t="n">
        <v>0</v>
      </c>
      <c r="U16" s="69" t="n">
        <v>0</v>
      </c>
      <c r="V16" s="69" t="n">
        <v>0</v>
      </c>
    </row>
    <row r="17">
      <c r="A17" s="69" t="inlineStr">
        <is>
          <t>spring_phab_xembed|</t>
        </is>
      </c>
      <c r="B17" s="69" t="inlineStr">
        <is>
          <t>spring-phab-xembed</t>
        </is>
      </c>
      <c r="C17" s="69" t="inlineStr">
        <is>
          <t>Embeddedness</t>
        </is>
      </c>
      <c r="D17" s="69" t="inlineStr"/>
      <c r="E17" s="69" t="n">
        <v>4</v>
      </c>
      <c r="F17" s="69" t="inlineStr">
        <is>
          <t>92 least-disturbed stations borrowed from Level II ecoregion 6.2 (Western Cordillera) under the regional screen (agriculture at most 25 percent), transfer risk low</t>
        </is>
      </c>
      <c r="G17" s="69" t="n">
        <v>5.896105051040649</v>
      </c>
      <c r="H17" s="69" t="n">
        <v>23.81818246841431</v>
      </c>
      <c r="I17" s="69" t="n">
        <v>59.66233730316162</v>
      </c>
      <c r="J17" s="69" t="n">
        <v>100</v>
      </c>
      <c r="K17" s="69" t="n">
        <v>100</v>
      </c>
      <c r="L17" s="69" t="n">
        <v>100</v>
      </c>
      <c r="M17" s="69" t="n">
        <v>100</v>
      </c>
      <c r="N17" s="69" t="n">
        <v>100</v>
      </c>
      <c r="O17" s="69" t="n">
        <v>1</v>
      </c>
      <c r="P17" s="69" t="n">
        <v>1</v>
      </c>
      <c r="Q17" s="69" t="n">
        <v>0.7</v>
      </c>
      <c r="R17" s="69" t="n">
        <v>0</v>
      </c>
      <c r="S17" s="69" t="n">
        <v>0</v>
      </c>
      <c r="T17" s="69" t="n">
        <v>0</v>
      </c>
      <c r="U17" s="69" t="n">
        <v>0</v>
      </c>
      <c r="V17" s="69" t="n">
        <v>0</v>
      </c>
    </row>
    <row r="18">
      <c r="A18" s="69" t="inlineStr">
        <is>
          <t>spring_phab_sinu|</t>
        </is>
      </c>
      <c r="B18" s="69" t="inlineStr">
        <is>
          <t>spring-phab-sinu</t>
        </is>
      </c>
      <c r="C18" s="69" t="inlineStr">
        <is>
          <t>Sinuosity</t>
        </is>
      </c>
      <c r="D18" s="69" t="inlineStr"/>
      <c r="E18" s="69" t="n">
        <v>4</v>
      </c>
      <c r="F18" s="69" t="inlineStr">
        <is>
          <t>92 least-disturbed stations borrowed from Level II ecoregion 6.2 (Western Cordillera) under the regional screen (agriculture at most 25 percent), transfer risk moderate</t>
        </is>
      </c>
      <c r="G18" s="69" t="n">
        <v>1</v>
      </c>
      <c r="H18" s="69" t="n">
        <v>1.083995699882507</v>
      </c>
      <c r="I18" s="69" t="n">
        <v>1.334743857383728</v>
      </c>
      <c r="J18" s="69" t="n">
        <v>1.460117936134338</v>
      </c>
      <c r="K18" s="69" t="n">
        <v>1.460117936134338</v>
      </c>
      <c r="L18" s="69" t="n">
        <v>1.460117936134338</v>
      </c>
      <c r="M18" s="69" t="n">
        <v>1.460117936134338</v>
      </c>
      <c r="N18" s="69" t="n">
        <v>1.460117936134338</v>
      </c>
      <c r="O18" s="69" t="n">
        <v>0</v>
      </c>
      <c r="P18" s="69" t="n">
        <v>0.7</v>
      </c>
      <c r="Q18" s="69" t="n">
        <v>1</v>
      </c>
      <c r="R18" s="69" t="n">
        <v>1</v>
      </c>
      <c r="S18" s="69" t="n">
        <v>1</v>
      </c>
      <c r="T18" s="69" t="n">
        <v>1</v>
      </c>
      <c r="U18" s="69" t="n">
        <v>1</v>
      </c>
      <c r="V18" s="69" t="n">
        <v>1</v>
      </c>
    </row>
    <row r="19">
      <c r="A19" s="69" t="inlineStr">
        <is>
          <t>spring_phab_xbka|</t>
        </is>
      </c>
      <c r="B19" s="69" t="inlineStr">
        <is>
          <t>spring-phab-xbka</t>
        </is>
      </c>
      <c r="C19" s="69" t="inlineStr">
        <is>
          <t>Bank angle</t>
        </is>
      </c>
      <c r="D19" s="69" t="inlineStr"/>
      <c r="E19" s="69" t="n">
        <v>7</v>
      </c>
      <c r="F19" s="69" t="inlineStr">
        <is>
          <t>112 least-disturbed stations borrowed from NARS-9 region WMT under the regional screen (agriculture at most 25 percent), transfer risk moderate</t>
        </is>
      </c>
      <c r="G19" s="69" t="n">
        <v>0</v>
      </c>
      <c r="H19" s="69" t="n">
        <v>17.50053520202637</v>
      </c>
      <c r="I19" s="69" t="n">
        <v>22.82954502105713</v>
      </c>
      <c r="J19" s="69" t="n">
        <v>38.05528736114502</v>
      </c>
      <c r="K19" s="69" t="n">
        <v>43.38429718017578</v>
      </c>
      <c r="L19" s="69" t="n">
        <v>53.28102970123291</v>
      </c>
      <c r="M19" s="69" t="n">
        <v>68.5067720413208</v>
      </c>
      <c r="N19" s="69" t="n">
        <v>68.5067720413208</v>
      </c>
      <c r="O19" s="69" t="n">
        <v>0.7</v>
      </c>
      <c r="P19" s="69" t="n">
        <v>0.7</v>
      </c>
      <c r="Q19" s="69" t="n">
        <v>1</v>
      </c>
      <c r="R19" s="69" t="n">
        <v>1</v>
      </c>
      <c r="S19" s="69" t="n">
        <v>0.7</v>
      </c>
      <c r="T19" s="69" t="n">
        <v>0.3</v>
      </c>
      <c r="U19" s="69" t="n">
        <v>0</v>
      </c>
      <c r="V19" s="69" t="n">
        <v>0</v>
      </c>
    </row>
    <row r="20">
      <c r="A20" s="69" t="inlineStr">
        <is>
          <t>spring_phab_lrbs_use|</t>
        </is>
      </c>
      <c r="B20" s="69" t="inlineStr">
        <is>
          <t>spring-phab-lrbs-use</t>
        </is>
      </c>
      <c r="C20" s="69" t="inlineStr">
        <is>
          <t>Relative bed stability</t>
        </is>
      </c>
      <c r="D20" s="69" t="inlineStr"/>
      <c r="E20" s="69" t="n">
        <v>8</v>
      </c>
      <c r="F20" s="69" t="inlineStr">
        <is>
          <t>13 least-disturbed stations of this ecoregion</t>
        </is>
      </c>
      <c r="G20" s="69" t="n">
        <v>-3.433375120162964</v>
      </c>
      <c r="H20" s="69" t="n">
        <v>-2.181511968374252</v>
      </c>
      <c r="I20" s="69" t="n">
        <v>-1.36780091971159</v>
      </c>
      <c r="J20" s="69" t="n">
        <v>-0.9296488165855408</v>
      </c>
      <c r="K20" s="69" t="n">
        <v>0.3222143352031708</v>
      </c>
      <c r="L20" s="69" t="n">
        <v>0.7603664383292198</v>
      </c>
      <c r="M20" s="69" t="n">
        <v>1.574077486991882</v>
      </c>
      <c r="N20" s="69" t="n">
        <v>2.825940638780594</v>
      </c>
      <c r="O20" s="69" t="n">
        <v>0</v>
      </c>
      <c r="P20" s="69" t="n">
        <v>0.3</v>
      </c>
      <c r="Q20" s="69" t="n">
        <v>0.7</v>
      </c>
      <c r="R20" s="69" t="n">
        <v>1</v>
      </c>
      <c r="S20" s="69" t="n">
        <v>1</v>
      </c>
      <c r="T20" s="69" t="n">
        <v>0.7</v>
      </c>
      <c r="U20" s="69" t="n">
        <v>0.3</v>
      </c>
      <c r="V20" s="69" t="n">
        <v>0</v>
      </c>
    </row>
    <row r="21">
      <c r="A21" s="69" t="inlineStr">
        <is>
          <t>spring_phab_lwdeqvolm100|</t>
        </is>
      </c>
      <c r="B21" s="69" t="inlineStr">
        <is>
          <t>spring-phab-lwdeqvolm100</t>
        </is>
      </c>
      <c r="C21" s="69" t="inlineStr">
        <is>
          <t>Large wood volume</t>
        </is>
      </c>
      <c r="D21" s="69" t="inlineStr"/>
      <c r="E21" s="69" t="n">
        <v>5</v>
      </c>
      <c r="F21" s="69" t="inlineStr">
        <is>
          <t>Reference curve fitted to comparable least-disturbed stations drawn from the national pool, because this ecoregion and its parents hold too few of their own.</t>
        </is>
      </c>
      <c r="G21" s="69" t="n">
        <v>0</v>
      </c>
      <c r="H21" s="69" t="n">
        <v>0.1189285729612623</v>
      </c>
      <c r="I21" s="69" t="n">
        <v>0.2775000035762787</v>
      </c>
      <c r="J21" s="69" t="n">
        <v>14.43159103393555</v>
      </c>
      <c r="K21" s="69" t="n">
        <v>21.50863654911518</v>
      </c>
      <c r="L21" s="69" t="n">
        <v>21.50863654911518</v>
      </c>
      <c r="M21" s="69" t="n">
        <v>21.50863654911518</v>
      </c>
      <c r="N21" s="69" t="n">
        <v>21.50863654911518</v>
      </c>
      <c r="O21" s="69" t="n">
        <v>0</v>
      </c>
      <c r="P21" s="69" t="n">
        <v>0.3</v>
      </c>
      <c r="Q21" s="69" t="n">
        <v>0.7</v>
      </c>
      <c r="R21" s="69" t="n">
        <v>1</v>
      </c>
      <c r="S21" s="69" t="n">
        <v>1</v>
      </c>
      <c r="T21" s="69" t="n">
        <v>1</v>
      </c>
      <c r="U21" s="69" t="n">
        <v>1</v>
      </c>
      <c r="V21" s="69" t="n">
        <v>1</v>
      </c>
    </row>
    <row r="22">
      <c r="A22" s="69" t="inlineStr">
        <is>
          <t>spring_chem_chla|</t>
        </is>
      </c>
      <c r="B22" s="69" t="inlineStr">
        <is>
          <t>spring-chem-chla</t>
        </is>
      </c>
      <c r="C22" s="69" t="inlineStr">
        <is>
          <t>Chlorophyll a</t>
        </is>
      </c>
      <c r="D22" s="69" t="inlineStr"/>
      <c r="E22" s="69" t="n">
        <v>5</v>
      </c>
      <c r="F22" s="69" t="inlineStr">
        <is>
          <t>48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9" t="n">
        <v>0</v>
      </c>
      <c r="H22" s="69" t="n">
        <v>0.1775000058114529</v>
      </c>
      <c r="I22" s="69" t="n">
        <v>0.6695000231266022</v>
      </c>
      <c r="J22" s="69" t="n">
        <v>1.407500049099326</v>
      </c>
      <c r="K22" s="69" t="n">
        <v>1.899500066414475</v>
      </c>
      <c r="L22" s="69" t="n">
        <v>1.899500066414475</v>
      </c>
      <c r="M22" s="69" t="n">
        <v>1.899500066414475</v>
      </c>
      <c r="N22" s="69" t="n">
        <v>1.899500066414475</v>
      </c>
      <c r="O22" s="69" t="n">
        <v>1</v>
      </c>
      <c r="P22" s="69" t="n">
        <v>1</v>
      </c>
      <c r="Q22" s="69" t="n">
        <v>0.7</v>
      </c>
      <c r="R22" s="69" t="n">
        <v>0.3</v>
      </c>
      <c r="S22" s="69" t="n">
        <v>0</v>
      </c>
      <c r="T22" s="69" t="n">
        <v>0</v>
      </c>
      <c r="U22" s="69" t="n">
        <v>0</v>
      </c>
      <c r="V22" s="69" t="n">
        <v>0</v>
      </c>
    </row>
    <row r="23">
      <c r="A23" s="69" t="inlineStr">
        <is>
          <t>spring_phab_xcdenmid|All streams (pooled)</t>
        </is>
      </c>
      <c r="B23" s="69" t="inlineStr">
        <is>
          <t>spring-phab-xcdenmid</t>
        </is>
      </c>
      <c r="C23" s="69" t="inlineStr">
        <is>
          <t>Canopy density, mid-channel</t>
        </is>
      </c>
      <c r="D23" s="69" t="inlineStr">
        <is>
          <t>All streams (pooled)</t>
        </is>
      </c>
      <c r="E23" s="69" t="n">
        <v>5</v>
      </c>
      <c r="F23" s="69" t="inlineStr">
        <is>
          <t>184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9" t="n">
        <v>0</v>
      </c>
      <c r="H23" s="69" t="n">
        <v>11.81006526947021</v>
      </c>
      <c r="I23" s="69" t="n">
        <v>27.55681896209717</v>
      </c>
      <c r="J23" s="69" t="n">
        <v>81.08288955688477</v>
      </c>
      <c r="K23" s="69" t="n">
        <v>100</v>
      </c>
      <c r="L23" s="69" t="n">
        <v>100</v>
      </c>
      <c r="M23" s="69" t="n">
        <v>100</v>
      </c>
      <c r="N23" s="69" t="n">
        <v>100</v>
      </c>
      <c r="O23" s="69" t="n">
        <v>0</v>
      </c>
      <c r="P23" s="69" t="n">
        <v>0.3</v>
      </c>
      <c r="Q23" s="69" t="n">
        <v>0.7</v>
      </c>
      <c r="R23" s="69" t="n">
        <v>1</v>
      </c>
      <c r="S23" s="69" t="n">
        <v>1</v>
      </c>
      <c r="T23" s="69" t="n">
        <v>1</v>
      </c>
      <c r="U23" s="69" t="n">
        <v>1</v>
      </c>
      <c r="V23" s="69" t="n">
        <v>1</v>
      </c>
    </row>
    <row r="24">
      <c r="A24" s="69" t="inlineStr">
        <is>
          <t>spring_phab_xcdenmid|Headwater (10 km2 and under)</t>
        </is>
      </c>
      <c r="B24" s="69" t="inlineStr">
        <is>
          <t>spring-phab-xcdenmid</t>
        </is>
      </c>
      <c r="C24" s="69" t="inlineStr">
        <is>
          <t>Canopy density, mid-channel</t>
        </is>
      </c>
      <c r="D24" s="69" t="inlineStr">
        <is>
          <t>Headwater (10 km2 and under)</t>
        </is>
      </c>
      <c r="E24" s="69" t="n">
        <v>5</v>
      </c>
      <c r="F24" s="69" t="inlineStr">
        <is>
          <t>184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9" t="n">
        <v>0</v>
      </c>
      <c r="H24" s="69" t="n">
        <v>24.10714326586042</v>
      </c>
      <c r="I24" s="69" t="n">
        <v>56.25000095367432</v>
      </c>
      <c r="J24" s="69" t="n">
        <v>87.46657562255859</v>
      </c>
      <c r="K24" s="69" t="n">
        <v>100</v>
      </c>
      <c r="L24" s="69" t="n">
        <v>100</v>
      </c>
      <c r="M24" s="69" t="n">
        <v>100</v>
      </c>
      <c r="N24" s="69" t="n">
        <v>100</v>
      </c>
      <c r="O24" s="69" t="n">
        <v>0</v>
      </c>
      <c r="P24" s="69" t="n">
        <v>0.3</v>
      </c>
      <c r="Q24" s="69" t="n">
        <v>0.7</v>
      </c>
      <c r="R24" s="69" t="n">
        <v>1</v>
      </c>
      <c r="S24" s="69" t="n">
        <v>1</v>
      </c>
      <c r="T24" s="69" t="n">
        <v>1</v>
      </c>
      <c r="U24" s="69" t="n">
        <v>1</v>
      </c>
      <c r="V24" s="69" t="n">
        <v>1</v>
      </c>
    </row>
    <row r="25">
      <c r="A25" s="69" t="inlineStr">
        <is>
          <t>spring_phab_xcdenmid|Small stream (10 to 100 km2)</t>
        </is>
      </c>
      <c r="B25" s="69" t="inlineStr">
        <is>
          <t>spring-phab-xcdenmid</t>
        </is>
      </c>
      <c r="C25" s="69" t="inlineStr">
        <is>
          <t>Canopy density, mid-channel</t>
        </is>
      </c>
      <c r="D25" s="69" t="inlineStr">
        <is>
          <t>Small stream (10 to 100 km2)</t>
        </is>
      </c>
      <c r="E25" s="69" t="n">
        <v>5</v>
      </c>
      <c r="F25" s="69" t="inlineStr">
        <is>
          <t>184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9" t="n">
        <v>0</v>
      </c>
      <c r="H25" s="69" t="n">
        <v>13.36420931134905</v>
      </c>
      <c r="I25" s="69" t="n">
        <v>31.18315505981445</v>
      </c>
      <c r="J25" s="69" t="n">
        <v>81.81818389892578</v>
      </c>
      <c r="K25" s="69" t="n">
        <v>100</v>
      </c>
      <c r="L25" s="69" t="n">
        <v>100</v>
      </c>
      <c r="M25" s="69" t="n">
        <v>100</v>
      </c>
      <c r="N25" s="69" t="n">
        <v>100</v>
      </c>
      <c r="O25" s="69" t="n">
        <v>0</v>
      </c>
      <c r="P25" s="69" t="n">
        <v>0.3</v>
      </c>
      <c r="Q25" s="69" t="n">
        <v>0.7</v>
      </c>
      <c r="R25" s="69" t="n">
        <v>1</v>
      </c>
      <c r="S25" s="69" t="n">
        <v>1</v>
      </c>
      <c r="T25" s="69" t="n">
        <v>1</v>
      </c>
      <c r="U25" s="69" t="n">
        <v>1</v>
      </c>
      <c r="V25" s="69" t="n">
        <v>1</v>
      </c>
    </row>
    <row r="26">
      <c r="A26" s="69" t="inlineStr">
        <is>
          <t>spring_phab_xcdenmid|Large stream (over 100 km2)</t>
        </is>
      </c>
      <c r="B26" s="69" t="inlineStr">
        <is>
          <t>spring-phab-xcdenmid</t>
        </is>
      </c>
      <c r="C26" s="69" t="inlineStr">
        <is>
          <t>Canopy density, mid-channel</t>
        </is>
      </c>
      <c r="D26" s="69" t="inlineStr">
        <is>
          <t>Large stream (over 100 km2)</t>
        </is>
      </c>
      <c r="E26" s="69" t="n">
        <v>5</v>
      </c>
      <c r="F26" s="69" t="inlineStr">
        <is>
          <t>184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1.933728013719831</v>
      </c>
      <c r="I26" s="69" t="n">
        <v>4.512032032012939</v>
      </c>
      <c r="J26" s="69" t="n">
        <v>34.3582878112793</v>
      </c>
      <c r="K26" s="69" t="n">
        <v>49.28141570091248</v>
      </c>
      <c r="L26" s="69" t="n">
        <v>49.28141570091248</v>
      </c>
      <c r="M26" s="69" t="n">
        <v>49.28141570091248</v>
      </c>
      <c r="N26" s="69" t="n">
        <v>49.28141570091248</v>
      </c>
      <c r="O26" s="69" t="n">
        <v>0</v>
      </c>
      <c r="P26" s="69" t="n">
        <v>0.3</v>
      </c>
      <c r="Q26" s="69" t="n">
        <v>0.7</v>
      </c>
      <c r="R26" s="69" t="n">
        <v>1</v>
      </c>
      <c r="S26" s="69" t="n">
        <v>1</v>
      </c>
      <c r="T26" s="69" t="n">
        <v>1</v>
      </c>
      <c r="U26" s="69" t="n">
        <v>1</v>
      </c>
      <c r="V26" s="69" t="n">
        <v>1</v>
      </c>
    </row>
    <row r="27">
      <c r="A27" s="69" t="inlineStr">
        <is>
          <t>spring_phab_xcmgw|</t>
        </is>
      </c>
      <c r="B27" s="69" t="inlineStr">
        <is>
          <t>spring-phab-xcmgw</t>
        </is>
      </c>
      <c r="C27" s="69" t="inlineStr">
        <is>
          <t>Riparian veg cover, woody</t>
        </is>
      </c>
      <c r="D27" s="69" t="inlineStr"/>
      <c r="E27" s="69" t="n">
        <v>5</v>
      </c>
      <c r="F27" s="69" t="inlineStr">
        <is>
          <t>218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9" t="n">
        <v>0</v>
      </c>
      <c r="H27" s="69" t="n">
        <v>0.2755275900874819</v>
      </c>
      <c r="I27" s="69" t="n">
        <v>0.6428977102041245</v>
      </c>
      <c r="J27" s="69" t="n">
        <v>1.115624994039536</v>
      </c>
      <c r="K27" s="69" t="n">
        <v>1.351988635957241</v>
      </c>
      <c r="L27" s="69" t="n">
        <v>1.351988635957241</v>
      </c>
      <c r="M27" s="69" t="n">
        <v>1.351988635957241</v>
      </c>
      <c r="N27" s="69" t="n">
        <v>1.351988635957241</v>
      </c>
      <c r="O27" s="69" t="n">
        <v>0</v>
      </c>
      <c r="P27" s="69" t="n">
        <v>0.3</v>
      </c>
      <c r="Q27" s="69" t="n">
        <v>0.7</v>
      </c>
      <c r="R27" s="69" t="n">
        <v>1</v>
      </c>
      <c r="S27" s="69" t="n">
        <v>1</v>
      </c>
      <c r="T27" s="69" t="n">
        <v>1</v>
      </c>
      <c r="U27" s="69" t="n">
        <v>1</v>
      </c>
      <c r="V27" s="69" t="n">
        <v>1</v>
      </c>
    </row>
    <row r="28">
      <c r="A28" s="69" t="inlineStr">
        <is>
          <t>spring_chem_ptl|</t>
        </is>
      </c>
      <c r="B28" s="69" t="inlineStr">
        <is>
          <t>spring-chem-ptl</t>
        </is>
      </c>
      <c r="C28" s="69" t="inlineStr">
        <is>
          <t>Total phosphorus</t>
        </is>
      </c>
      <c r="D28" s="69" t="inlineStr"/>
      <c r="E28" s="69" t="n">
        <v>5</v>
      </c>
      <c r="F28" s="69" t="inlineStr">
        <is>
          <t>13 least-disturbed stations of this ecoregion</t>
        </is>
      </c>
      <c r="G28" s="69" t="n">
        <v>0</v>
      </c>
      <c r="H28" s="69" t="n">
        <v>2.714999914169312</v>
      </c>
      <c r="I28" s="69" t="n">
        <v>10</v>
      </c>
      <c r="J28" s="69" t="n">
        <v>20.92750012874603</v>
      </c>
      <c r="K28" s="69" t="n">
        <v>28.21250021457672</v>
      </c>
      <c r="L28" s="69" t="n">
        <v>28.21250021457672</v>
      </c>
      <c r="M28" s="69" t="n">
        <v>28.21250021457672</v>
      </c>
      <c r="N28" s="69" t="n">
        <v>28.21250021457672</v>
      </c>
      <c r="O28" s="69" t="n">
        <v>1</v>
      </c>
      <c r="P28" s="69" t="n">
        <v>1</v>
      </c>
      <c r="Q28" s="69" t="n">
        <v>0.7</v>
      </c>
      <c r="R28" s="69" t="n">
        <v>0.3</v>
      </c>
      <c r="S28" s="69" t="n">
        <v>0</v>
      </c>
      <c r="T28" s="69" t="n">
        <v>0</v>
      </c>
      <c r="U28" s="69" t="n">
        <v>0</v>
      </c>
      <c r="V28" s="69" t="n">
        <v>0</v>
      </c>
    </row>
    <row r="29">
      <c r="A29" s="69" t="inlineStr">
        <is>
          <t>spring_chem_ntl|</t>
        </is>
      </c>
      <c r="B29" s="69" t="inlineStr">
        <is>
          <t>spring-chem-ntl</t>
        </is>
      </c>
      <c r="C29" s="69" t="inlineStr">
        <is>
          <t>Total nitrogen</t>
        </is>
      </c>
      <c r="D29" s="69" t="inlineStr"/>
      <c r="E29" s="69" t="n">
        <v>4</v>
      </c>
      <c r="F29" s="69" t="inlineStr">
        <is>
          <t>Scored against a published criterion rather than against stations from this ecoregion. The criterion carries its own definition of reference, which need not match this assessment's.</t>
        </is>
      </c>
      <c r="G29" s="69" t="n">
        <v>0</v>
      </c>
      <c r="H29" s="69" t="n">
        <v>0.1395</v>
      </c>
      <c r="I29" s="69" t="n">
        <v>0.249</v>
      </c>
      <c r="J29" s="69" t="n">
        <v>0.39135</v>
      </c>
      <c r="K29" s="69" t="n">
        <v>0.39135</v>
      </c>
      <c r="L29" s="69" t="n">
        <v>0.39135</v>
      </c>
      <c r="M29" s="69" t="n">
        <v>0.39135</v>
      </c>
      <c r="N29" s="69" t="n">
        <v>0.39135</v>
      </c>
      <c r="O29" s="69" t="n">
        <v>1</v>
      </c>
      <c r="P29" s="69" t="n">
        <v>0.6899999999999999</v>
      </c>
      <c r="Q29" s="69" t="n">
        <v>0.39</v>
      </c>
      <c r="R29" s="69" t="n">
        <v>0</v>
      </c>
      <c r="S29" s="69" t="n">
        <v>0</v>
      </c>
      <c r="T29" s="69" t="n">
        <v>0</v>
      </c>
      <c r="U29" s="69" t="n">
        <v>0</v>
      </c>
      <c r="V29" s="69" t="n">
        <v>0</v>
      </c>
    </row>
    <row r="30">
      <c r="A30" s="69" t="inlineStr">
        <is>
          <t>spring_chem_cond|</t>
        </is>
      </c>
      <c r="B30" s="69" t="inlineStr">
        <is>
          <t>spring-chem-cond</t>
        </is>
      </c>
      <c r="C30" s="69" t="inlineStr">
        <is>
          <t>Specific conductivity</t>
        </is>
      </c>
      <c r="D30" s="69" t="inlineStr"/>
      <c r="E30" s="69" t="n">
        <v>5</v>
      </c>
      <c r="F30" s="69" t="inlineStr">
        <is>
          <t>13 least-disturbed stations of this ecoregion</t>
        </is>
      </c>
      <c r="G30" s="69" t="n">
        <v>0</v>
      </c>
      <c r="H30" s="69" t="n">
        <v>59.5</v>
      </c>
      <c r="I30" s="69" t="n">
        <v>219</v>
      </c>
      <c r="J30" s="69" t="n">
        <v>458.25</v>
      </c>
      <c r="K30" s="69" t="n">
        <v>617.75</v>
      </c>
      <c r="L30" s="69" t="n">
        <v>617.75</v>
      </c>
      <c r="M30" s="69" t="n">
        <v>617.75</v>
      </c>
      <c r="N30" s="69" t="n">
        <v>617.75</v>
      </c>
      <c r="O30" s="69" t="n">
        <v>1</v>
      </c>
      <c r="P30" s="69" t="n">
        <v>1</v>
      </c>
      <c r="Q30" s="69" t="n">
        <v>0.7</v>
      </c>
      <c r="R30" s="69" t="n">
        <v>0.3</v>
      </c>
      <c r="S30" s="69" t="n">
        <v>0</v>
      </c>
      <c r="T30" s="69" t="n">
        <v>0</v>
      </c>
      <c r="U30" s="69" t="n">
        <v>0</v>
      </c>
      <c r="V30" s="69" t="n">
        <v>0</v>
      </c>
    </row>
    <row r="31">
      <c r="A31" s="69" t="inlineStr">
        <is>
          <t>spring_chem_ph|</t>
        </is>
      </c>
      <c r="B31" s="69" t="inlineStr">
        <is>
          <t>spring-chem-ph</t>
        </is>
      </c>
      <c r="C31" s="69" t="inlineStr">
        <is>
          <t>pH</t>
        </is>
      </c>
      <c r="D31" s="69" t="inlineStr"/>
      <c r="E31" s="69" t="n">
        <v>8</v>
      </c>
      <c r="F31" s="69" t="inlineStr">
        <is>
          <t>48 least-disturbed stations borrowed from Level II ecoregion 6.2 (Western Cordillera) under the regional screen (agriculture at most 25 percent), transfer risk low</t>
        </is>
      </c>
      <c r="G31" s="69" t="n">
        <v>6.244999885559082</v>
      </c>
      <c r="H31" s="69" t="n">
        <v>6.917500019073486</v>
      </c>
      <c r="I31" s="69" t="n">
        <v>7.354625105857849</v>
      </c>
      <c r="J31" s="69" t="n">
        <v>7.590000152587891</v>
      </c>
      <c r="K31" s="69" t="n">
        <v>8.262500286102295</v>
      </c>
      <c r="L31" s="69" t="n">
        <v>8.497875332832336</v>
      </c>
      <c r="M31" s="69" t="n">
        <v>8.935000419616699</v>
      </c>
      <c r="N31" s="69" t="n">
        <v>9.607500553131104</v>
      </c>
      <c r="O31" s="69" t="n">
        <v>0</v>
      </c>
      <c r="P31" s="69" t="n">
        <v>0.3</v>
      </c>
      <c r="Q31" s="69" t="n">
        <v>0.7</v>
      </c>
      <c r="R31" s="69" t="n">
        <v>1</v>
      </c>
      <c r="S31" s="69" t="n">
        <v>1</v>
      </c>
      <c r="T31" s="69" t="n">
        <v>0.7</v>
      </c>
      <c r="U31" s="69" t="n">
        <v>0.3</v>
      </c>
      <c r="V31" s="69" t="n">
        <v>0</v>
      </c>
    </row>
    <row r="32">
      <c r="A32" s="69" t="inlineStr">
        <is>
          <t>spring_phab_pct_fast|All streams (pooled)</t>
        </is>
      </c>
      <c r="B32" s="69" t="inlineStr">
        <is>
          <t>spring-phab-pct-fast</t>
        </is>
      </c>
      <c r="C32" s="69" t="inlineStr">
        <is>
          <t>Fast-water / riffle habitat</t>
        </is>
      </c>
      <c r="D32" s="69" t="inlineStr">
        <is>
          <t>All streams (pooled)</t>
        </is>
      </c>
      <c r="E32" s="69" t="n">
        <v>5</v>
      </c>
      <c r="F32" s="69" t="inlineStr">
        <is>
          <t>105 least-disturbed stations borrowed from Level II ecoregion 6.2 (Western Cordillera) under the regional screen (agriculture at most 25 percent), transfer risk low</t>
        </is>
      </c>
      <c r="G32" s="69" t="n">
        <v>0</v>
      </c>
      <c r="H32" s="69" t="n">
        <v>19.32773045131139</v>
      </c>
      <c r="I32" s="69" t="n">
        <v>45.09803771972656</v>
      </c>
      <c r="J32" s="69" t="n">
        <v>89</v>
      </c>
      <c r="K32" s="69" t="n">
        <v>100</v>
      </c>
      <c r="L32" s="69" t="n">
        <v>100</v>
      </c>
      <c r="M32" s="69" t="n">
        <v>100</v>
      </c>
      <c r="N32" s="69" t="n">
        <v>100</v>
      </c>
      <c r="O32" s="69" t="n">
        <v>0</v>
      </c>
      <c r="P32" s="69" t="n">
        <v>0.3</v>
      </c>
      <c r="Q32" s="69" t="n">
        <v>0.7</v>
      </c>
      <c r="R32" s="69" t="n">
        <v>1</v>
      </c>
      <c r="S32" s="69" t="n">
        <v>1</v>
      </c>
      <c r="T32" s="69" t="n">
        <v>1</v>
      </c>
      <c r="U32" s="69" t="n">
        <v>1</v>
      </c>
      <c r="V32" s="69" t="n">
        <v>1</v>
      </c>
    </row>
    <row r="33">
      <c r="A33" s="69" t="inlineStr">
        <is>
          <t>spring_phab_pct_fast|Moderate gradient (0.5 to 2 percent)</t>
        </is>
      </c>
      <c r="B33" s="69" t="inlineStr">
        <is>
          <t>spring-phab-pct-fast</t>
        </is>
      </c>
      <c r="C33" s="69" t="inlineStr">
        <is>
          <t>Fast-water / riffle habitat</t>
        </is>
      </c>
      <c r="D33" s="69" t="inlineStr">
        <is>
          <t>Moderate gradient (0.5 to 2 percent)</t>
        </is>
      </c>
      <c r="E33" s="69" t="n">
        <v>5</v>
      </c>
      <c r="F33" s="69" t="inlineStr">
        <is>
          <t>105 least-disturbed stations borrowed from Level II ecoregion 6.2 (Western Cordillera) under the regional screen (agriculture at most 25 percent), transfer risk low</t>
        </is>
      </c>
      <c r="G33" s="69" t="n">
        <v>0</v>
      </c>
      <c r="H33" s="69" t="n">
        <v>19.73529379708426</v>
      </c>
      <c r="I33" s="69" t="n">
        <v>46.04901885986328</v>
      </c>
      <c r="J33" s="69" t="n">
        <v>88</v>
      </c>
      <c r="K33" s="69" t="n">
        <v>100</v>
      </c>
      <c r="L33" s="69" t="n">
        <v>100</v>
      </c>
      <c r="M33" s="69" t="n">
        <v>100</v>
      </c>
      <c r="N33" s="69" t="n">
        <v>100</v>
      </c>
      <c r="O33" s="69" t="n">
        <v>0</v>
      </c>
      <c r="P33" s="69" t="n">
        <v>0.3</v>
      </c>
      <c r="Q33" s="69" t="n">
        <v>0.7</v>
      </c>
      <c r="R33" s="69" t="n">
        <v>1</v>
      </c>
      <c r="S33" s="69" t="n">
        <v>1</v>
      </c>
      <c r="T33" s="69" t="n">
        <v>1</v>
      </c>
      <c r="U33" s="69" t="n">
        <v>1</v>
      </c>
      <c r="V33" s="69" t="n">
        <v>1</v>
      </c>
    </row>
    <row r="34">
      <c r="A34" s="69" t="inlineStr">
        <is>
          <t>spring_phab_pct_fast|Steep (2 percent and above)</t>
        </is>
      </c>
      <c r="B34" s="69" t="inlineStr">
        <is>
          <t>spring-phab-pct-fast</t>
        </is>
      </c>
      <c r="C34" s="69" t="inlineStr">
        <is>
          <t>Fast-water / riffle habitat</t>
        </is>
      </c>
      <c r="D34" s="69" t="inlineStr">
        <is>
          <t>Steep (2 percent and above)</t>
        </is>
      </c>
      <c r="E34" s="69" t="n">
        <v>5</v>
      </c>
      <c r="F34" s="69" t="inlineStr">
        <is>
          <t>105 least-disturbed stations borrowed from Level II ecoregion 6.2 (Western Cordillera) under the regional screen (agriculture at most 25 percent), transfer risk low</t>
        </is>
      </c>
      <c r="G34" s="69" t="n">
        <v>0</v>
      </c>
      <c r="H34" s="69" t="n">
        <v>21.0357141494751</v>
      </c>
      <c r="I34" s="69" t="n">
        <v>49.08333301544189</v>
      </c>
      <c r="J34" s="69" t="n">
        <v>89.75</v>
      </c>
      <c r="K34" s="69" t="n">
        <v>100</v>
      </c>
      <c r="L34" s="69" t="n">
        <v>100</v>
      </c>
      <c r="M34" s="69" t="n">
        <v>100</v>
      </c>
      <c r="N34" s="69" t="n">
        <v>100</v>
      </c>
      <c r="O34" s="69" t="n">
        <v>0</v>
      </c>
      <c r="P34" s="69" t="n">
        <v>0.3</v>
      </c>
      <c r="Q34" s="69" t="n">
        <v>0.7</v>
      </c>
      <c r="R34" s="69" t="n">
        <v>1</v>
      </c>
      <c r="S34" s="69" t="n">
        <v>1</v>
      </c>
      <c r="T34" s="69" t="n">
        <v>1</v>
      </c>
      <c r="U34" s="69" t="n">
        <v>1</v>
      </c>
      <c r="V34" s="69" t="n">
        <v>1</v>
      </c>
    </row>
    <row r="35">
      <c r="A35" s="69" t="inlineStr">
        <is>
          <t>spring_phab_xfc_nat|All streams (pooled)</t>
        </is>
      </c>
      <c r="B35" s="69" t="inlineStr">
        <is>
          <t>spring-phab-xfc-nat</t>
        </is>
      </c>
      <c r="C35" s="69" t="inlineStr">
        <is>
          <t>Natural fish cover</t>
        </is>
      </c>
      <c r="D35" s="69" t="inlineStr">
        <is>
          <t>All streams (pooled)</t>
        </is>
      </c>
      <c r="E35" s="69" t="n">
        <v>5</v>
      </c>
      <c r="F35" s="69" t="inlineStr">
        <is>
          <t>218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9" t="n">
        <v>0</v>
      </c>
      <c r="H35" s="69" t="n">
        <v>0.110308438539505</v>
      </c>
      <c r="I35" s="69" t="n">
        <v>0.2573863565921783</v>
      </c>
      <c r="J35" s="69" t="n">
        <v>0.6181818246841431</v>
      </c>
      <c r="K35" s="69" t="n">
        <v>0.7985795587301254</v>
      </c>
      <c r="L35" s="69" t="n">
        <v>0.7985795587301254</v>
      </c>
      <c r="M35" s="69" t="n">
        <v>0.7985795587301254</v>
      </c>
      <c r="N35" s="69" t="n">
        <v>0.7985795587301254</v>
      </c>
      <c r="O35" s="69" t="n">
        <v>0</v>
      </c>
      <c r="P35" s="69" t="n">
        <v>0.3</v>
      </c>
      <c r="Q35" s="69" t="n">
        <v>0.7</v>
      </c>
      <c r="R35" s="69" t="n">
        <v>1</v>
      </c>
      <c r="S35" s="69" t="n">
        <v>1</v>
      </c>
      <c r="T35" s="69" t="n">
        <v>1</v>
      </c>
      <c r="U35" s="69" t="n">
        <v>1</v>
      </c>
      <c r="V35" s="69" t="n">
        <v>1</v>
      </c>
    </row>
    <row r="36">
      <c r="A36" s="69" t="inlineStr">
        <is>
          <t>spring_phab_xfc_nat|Headwater (10 km2 and under)</t>
        </is>
      </c>
      <c r="B36" s="69" t="inlineStr">
        <is>
          <t>spring-phab-xfc-nat</t>
        </is>
      </c>
      <c r="C36" s="69" t="inlineStr">
        <is>
          <t>Natural fish cover</t>
        </is>
      </c>
      <c r="D36" s="69" t="inlineStr">
        <is>
          <t>Headwater (10 km2 and under)</t>
        </is>
      </c>
      <c r="E36" s="69" t="n">
        <v>5</v>
      </c>
      <c r="F36" s="69" t="inlineStr">
        <is>
          <t>218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0.1275974022490638</v>
      </c>
      <c r="I36" s="69" t="n">
        <v>0.2977272719144821</v>
      </c>
      <c r="J36" s="69" t="n">
        <v>0.7093531489372253</v>
      </c>
      <c r="K36" s="69" t="n">
        <v>0.915166087448597</v>
      </c>
      <c r="L36" s="69" t="n">
        <v>0.915166087448597</v>
      </c>
      <c r="M36" s="69" t="n">
        <v>0.915166087448597</v>
      </c>
      <c r="N36" s="69" t="n">
        <v>0.915166087448597</v>
      </c>
      <c r="O36" s="69" t="n">
        <v>0</v>
      </c>
      <c r="P36" s="69" t="n">
        <v>0.3</v>
      </c>
      <c r="Q36" s="69" t="n">
        <v>0.7</v>
      </c>
      <c r="R36" s="69" t="n">
        <v>1</v>
      </c>
      <c r="S36" s="69" t="n">
        <v>1</v>
      </c>
      <c r="T36" s="69" t="n">
        <v>1</v>
      </c>
      <c r="U36" s="69" t="n">
        <v>1</v>
      </c>
      <c r="V36" s="69" t="n">
        <v>1</v>
      </c>
    </row>
    <row r="37">
      <c r="A37" s="69" t="inlineStr">
        <is>
          <t>spring_phab_xfc_nat|Small stream (10 to 100 km2)</t>
        </is>
      </c>
      <c r="B37" s="69" t="inlineStr">
        <is>
          <t>spring-phab-xfc-nat</t>
        </is>
      </c>
      <c r="C37" s="69" t="inlineStr">
        <is>
          <t>Natural fish cover</t>
        </is>
      </c>
      <c r="D37" s="69" t="inlineStr">
        <is>
          <t>Small stream (10 to 100 km2)</t>
        </is>
      </c>
      <c r="E37" s="69" t="n">
        <v>5</v>
      </c>
      <c r="F37" s="69" t="inlineStr">
        <is>
          <t>218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9" t="n">
        <v>0</v>
      </c>
      <c r="H37" s="69" t="n">
        <v>0.1402597342218672</v>
      </c>
      <c r="I37" s="69" t="n">
        <v>0.3272727131843567</v>
      </c>
      <c r="J37" s="69" t="n">
        <v>0.6905032396316528</v>
      </c>
      <c r="K37" s="69" t="n">
        <v>0.8721185028553009</v>
      </c>
      <c r="L37" s="69" t="n">
        <v>0.8721185028553009</v>
      </c>
      <c r="M37" s="69" t="n">
        <v>0.8721185028553009</v>
      </c>
      <c r="N37" s="69" t="n">
        <v>0.8721185028553009</v>
      </c>
      <c r="O37" s="69" t="n">
        <v>0</v>
      </c>
      <c r="P37" s="69" t="n">
        <v>0.3</v>
      </c>
      <c r="Q37" s="69" t="n">
        <v>0.7</v>
      </c>
      <c r="R37" s="69" t="n">
        <v>1</v>
      </c>
      <c r="S37" s="69" t="n">
        <v>1</v>
      </c>
      <c r="T37" s="69" t="n">
        <v>1</v>
      </c>
      <c r="U37" s="69" t="n">
        <v>1</v>
      </c>
      <c r="V37" s="69" t="n">
        <v>1</v>
      </c>
    </row>
    <row r="38">
      <c r="A38" s="69" t="inlineStr">
        <is>
          <t>spring_phab_xfc_nat|Large stream (over 100 km2)</t>
        </is>
      </c>
      <c r="B38" s="69" t="inlineStr">
        <is>
          <t>spring-phab-xfc-nat</t>
        </is>
      </c>
      <c r="C38" s="69" t="inlineStr">
        <is>
          <t>Natural fish cover</t>
        </is>
      </c>
      <c r="D38" s="69" t="inlineStr">
        <is>
          <t>Large stream (over 100 km2)</t>
        </is>
      </c>
      <c r="E38" s="69" t="n">
        <v>5</v>
      </c>
      <c r="F38" s="69" t="inlineStr">
        <is>
          <t>218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9" t="n">
        <v>0</v>
      </c>
      <c r="H38" s="69" t="n">
        <v>0.07402597367763519</v>
      </c>
      <c r="I38" s="69" t="n">
        <v>0.1727272719144821</v>
      </c>
      <c r="J38" s="69" t="n">
        <v>0.3863636255264282</v>
      </c>
      <c r="K38" s="69" t="n">
        <v>0.4931818023324013</v>
      </c>
      <c r="L38" s="69" t="n">
        <v>0.4931818023324013</v>
      </c>
      <c r="M38" s="69" t="n">
        <v>0.4931818023324013</v>
      </c>
      <c r="N38" s="69" t="n">
        <v>0.4931818023324013</v>
      </c>
      <c r="O38" s="69" t="n">
        <v>0</v>
      </c>
      <c r="P38" s="69" t="n">
        <v>0.3</v>
      </c>
      <c r="Q38" s="69" t="n">
        <v>0.7</v>
      </c>
      <c r="R38" s="69" t="n">
        <v>1</v>
      </c>
      <c r="S38" s="69" t="n">
        <v>1</v>
      </c>
      <c r="T38" s="69" t="n">
        <v>1</v>
      </c>
      <c r="U38" s="69" t="n">
        <v>1</v>
      </c>
      <c r="V38" s="69" t="n">
        <v>1</v>
      </c>
    </row>
    <row r="39">
      <c r="A39" s="69" t="inlineStr">
        <is>
          <t>spring_bent_totlntax|</t>
        </is>
      </c>
      <c r="B39" s="69" t="inlineStr">
        <is>
          <t>spring-bent-totlntax</t>
        </is>
      </c>
      <c r="C39" s="69" t="inlineStr">
        <is>
          <t>Benthic total taxa richness</t>
        </is>
      </c>
      <c r="D39" s="69" t="inlineStr"/>
      <c r="E39" s="69" t="n">
        <v>5</v>
      </c>
      <c r="F39" s="69" t="inlineStr">
        <is>
          <t>13 least-disturbed stations of this ecoregion</t>
        </is>
      </c>
      <c r="G39" s="69" t="n">
        <v>0</v>
      </c>
      <c r="H39" s="69" t="n">
        <v>14.14285714285714</v>
      </c>
      <c r="I39" s="69" t="n">
        <v>33</v>
      </c>
      <c r="J39" s="69" t="n">
        <v>38</v>
      </c>
      <c r="K39" s="69" t="n">
        <v>40.5</v>
      </c>
      <c r="L39" s="69" t="n">
        <v>40.5</v>
      </c>
      <c r="M39" s="69" t="n">
        <v>40.5</v>
      </c>
      <c r="N39" s="69" t="n">
        <v>40.5</v>
      </c>
      <c r="O39" s="69" t="n">
        <v>0</v>
      </c>
      <c r="P39" s="69" t="n">
        <v>0.3</v>
      </c>
      <c r="Q39" s="69" t="n">
        <v>0.7</v>
      </c>
      <c r="R39" s="69" t="n">
        <v>1</v>
      </c>
      <c r="S39" s="69" t="n">
        <v>1</v>
      </c>
      <c r="T39" s="69" t="n">
        <v>1</v>
      </c>
      <c r="U39" s="69" t="n">
        <v>1</v>
      </c>
      <c r="V39" s="69" t="n">
        <v>1</v>
      </c>
    </row>
    <row r="40">
      <c r="A40" s="69" t="inlineStr">
        <is>
          <t>spring_bent_hprime|</t>
        </is>
      </c>
      <c r="B40" s="69" t="inlineStr">
        <is>
          <t>spring-bent-hprime</t>
        </is>
      </c>
      <c r="C40" s="69" t="inlineStr">
        <is>
          <t>Shannon diversity (H')</t>
        </is>
      </c>
      <c r="D40" s="69" t="inlineStr"/>
      <c r="E40" s="69" t="n">
        <v>5</v>
      </c>
      <c r="F40" s="69" t="inlineStr">
        <is>
          <t>13 least-disturbed stations of this ecoregion</t>
        </is>
      </c>
      <c r="G40" s="69" t="n">
        <v>0</v>
      </c>
      <c r="H40" s="69" t="n">
        <v>1.140000036784581</v>
      </c>
      <c r="I40" s="69" t="n">
        <v>2.660000085830688</v>
      </c>
      <c r="J40" s="69" t="n">
        <v>2.970000028610229</v>
      </c>
      <c r="K40" s="69" t="n">
        <v>3.125</v>
      </c>
      <c r="L40" s="69" t="n">
        <v>3.125</v>
      </c>
      <c r="M40" s="69" t="n">
        <v>3.125</v>
      </c>
      <c r="N40" s="69" t="n">
        <v>3.125</v>
      </c>
      <c r="O40" s="69" t="n">
        <v>0</v>
      </c>
      <c r="P40" s="69" t="n">
        <v>0.3</v>
      </c>
      <c r="Q40" s="69" t="n">
        <v>0.7</v>
      </c>
      <c r="R40" s="69" t="n">
        <v>1</v>
      </c>
      <c r="S40" s="69" t="n">
        <v>1</v>
      </c>
      <c r="T40" s="69" t="n">
        <v>1</v>
      </c>
      <c r="U40" s="69" t="n">
        <v>1</v>
      </c>
      <c r="V40" s="69" t="n">
        <v>1</v>
      </c>
    </row>
    <row r="41">
      <c r="A41" s="69" t="inlineStr">
        <is>
          <t>spring_bent_tolrpind|</t>
        </is>
      </c>
      <c r="B41" s="69" t="inlineStr">
        <is>
          <t>spring-bent-tolrpind</t>
        </is>
      </c>
      <c r="C41" s="69" t="inlineStr">
        <is>
          <t>Tolerant individuals (%) ~ HBI</t>
        </is>
      </c>
      <c r="D41" s="69" t="inlineStr"/>
      <c r="E41" s="69" t="n">
        <v>5</v>
      </c>
      <c r="F41" s="69" t="inlineStr">
        <is>
          <t>121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41" s="69" t="n">
        <v>0</v>
      </c>
      <c r="H41" s="69" t="n">
        <v>4.329999923706055</v>
      </c>
      <c r="I41" s="69" t="n">
        <v>14.67000007629395</v>
      </c>
      <c r="J41" s="69" t="n">
        <v>30.18000030517578</v>
      </c>
      <c r="K41" s="69" t="n">
        <v>40.52000045776367</v>
      </c>
      <c r="L41" s="69" t="n">
        <v>40.52000045776367</v>
      </c>
      <c r="M41" s="69" t="n">
        <v>40.52000045776367</v>
      </c>
      <c r="N41" s="69" t="n">
        <v>40.52000045776367</v>
      </c>
      <c r="O41" s="69" t="n">
        <v>1</v>
      </c>
      <c r="P41" s="69" t="n">
        <v>1</v>
      </c>
      <c r="Q41" s="69" t="n">
        <v>0.7</v>
      </c>
      <c r="R41" s="69" t="n">
        <v>0.3</v>
      </c>
      <c r="S41" s="69" t="n">
        <v>0</v>
      </c>
      <c r="T41" s="69" t="n">
        <v>0</v>
      </c>
      <c r="U41" s="69" t="n">
        <v>0</v>
      </c>
      <c r="V41" s="69" t="n">
        <v>0</v>
      </c>
    </row>
    <row r="42">
      <c r="A42" s="69" t="inlineStr">
        <is>
          <t>spring_nid_dams_1mi|</t>
        </is>
      </c>
      <c r="B42" s="69" t="inlineStr">
        <is>
          <t>spring-nid-dams-1mi</t>
        </is>
      </c>
      <c r="C42" s="69" t="inlineStr">
        <is>
          <t>Mapped dams within one mile</t>
        </is>
      </c>
      <c r="D42" s="69" t="inlineStr"/>
      <c r="E42" s="69" t="n">
        <v>4</v>
      </c>
      <c r="F42" s="69" t="inlineStr">
        <is>
          <t>Fixed criteria, the same in every region</t>
        </is>
      </c>
      <c r="G42" s="69" t="n">
        <v>0</v>
      </c>
      <c r="H42" s="69" t="n">
        <v>1</v>
      </c>
      <c r="I42" s="69" t="n">
        <v>2</v>
      </c>
      <c r="J42" s="69" t="n">
        <v>3</v>
      </c>
      <c r="K42" s="69" t="n">
        <v>3</v>
      </c>
      <c r="L42" s="69" t="n">
        <v>3</v>
      </c>
      <c r="M42" s="69" t="n">
        <v>3</v>
      </c>
      <c r="N42" s="69" t="n">
        <v>3</v>
      </c>
      <c r="O42" s="69" t="n">
        <v>1</v>
      </c>
      <c r="P42" s="69" t="n">
        <v>0.545</v>
      </c>
      <c r="Q42" s="69" t="n">
        <v>0.195</v>
      </c>
      <c r="R42" s="69" t="n">
        <v>0</v>
      </c>
      <c r="S42" s="69" t="n">
        <v>0</v>
      </c>
      <c r="T42" s="69" t="n">
        <v>0</v>
      </c>
      <c r="U42" s="69" t="n">
        <v>0</v>
      </c>
      <c r="V42" s="69" t="n">
        <v>0</v>
      </c>
    </row>
    <row r="45">
      <c r="A45" s="58" t="inlineStr">
        <is>
          <t>Curve sets by metric</t>
        </is>
      </c>
    </row>
    <row r="46">
      <c r="A46" s="69" t="inlineStr">
        <is>
          <t>All streams (pooled)</t>
        </is>
      </c>
      <c r="B46" s="5" t="inlineStr">
        <is>
          <t>Bankfull width:depth ratio</t>
        </is>
      </c>
    </row>
    <row r="47">
      <c r="A47" s="69" t="inlineStr">
        <is>
          <t>Headwater (10 km2 and under)</t>
        </is>
      </c>
      <c r="B47" s="5" t="inlineStr">
        <is>
          <t>Bankfull width:depth ratio</t>
        </is>
      </c>
    </row>
    <row r="48">
      <c r="A48" s="69" t="inlineStr">
        <is>
          <t>Small stream (10 to 100 km2)</t>
        </is>
      </c>
      <c r="B48" s="5" t="inlineStr">
        <is>
          <t>Bankfull width:depth ratio</t>
        </is>
      </c>
    </row>
    <row r="49">
      <c r="A49" s="69" t="inlineStr">
        <is>
          <t>Large stream (over 100 km2)</t>
        </is>
      </c>
      <c r="B49" s="5" t="inlineStr">
        <is>
          <t>Bankfull width:depth ratio</t>
        </is>
      </c>
    </row>
    <row r="50">
      <c r="A50" s="69" t="inlineStr">
        <is>
          <t>All streams (pooled)</t>
        </is>
      </c>
      <c r="B50" s="5" t="inlineStr">
        <is>
          <t>Canopy density, mid-channel</t>
        </is>
      </c>
    </row>
    <row r="51">
      <c r="A51" s="69" t="inlineStr">
        <is>
          <t>Headwater (10 km2 and under)</t>
        </is>
      </c>
      <c r="B51" s="5" t="inlineStr">
        <is>
          <t>Canopy density, mid-channel</t>
        </is>
      </c>
    </row>
    <row r="52">
      <c r="A52" s="69" t="inlineStr">
        <is>
          <t>Small stream (10 to 100 km2)</t>
        </is>
      </c>
      <c r="B52" s="5" t="inlineStr">
        <is>
          <t>Canopy density, mid-channel</t>
        </is>
      </c>
    </row>
    <row r="53">
      <c r="A53" s="69" t="inlineStr">
        <is>
          <t>Large stream (over 100 km2)</t>
        </is>
      </c>
      <c r="B53" s="5" t="inlineStr">
        <is>
          <t>Canopy density, mid-channel</t>
        </is>
      </c>
    </row>
    <row r="54">
      <c r="A54" s="69" t="inlineStr">
        <is>
          <t>All streams (pooled)</t>
        </is>
      </c>
      <c r="B54" s="5" t="inlineStr">
        <is>
          <t>Fast-water / riffle habitat</t>
        </is>
      </c>
    </row>
    <row r="55">
      <c r="A55" s="69" t="inlineStr">
        <is>
          <t>Moderate gradient (0.5 to 2 percent)</t>
        </is>
      </c>
      <c r="B55" s="5" t="inlineStr">
        <is>
          <t>Fast-water / riffle habitat</t>
        </is>
      </c>
    </row>
    <row r="56">
      <c r="A56" s="69" t="inlineStr">
        <is>
          <t>Steep (2 percent and above)</t>
        </is>
      </c>
      <c r="B56" s="5" t="inlineStr">
        <is>
          <t>Fast-water / riffle habitat</t>
        </is>
      </c>
    </row>
    <row r="57">
      <c r="A57" s="69" t="inlineStr">
        <is>
          <t>All streams (pooled)</t>
        </is>
      </c>
      <c r="B57" s="5" t="inlineStr">
        <is>
          <t>Natural fish cover</t>
        </is>
      </c>
    </row>
    <row r="58">
      <c r="A58" s="69" t="inlineStr">
        <is>
          <t>Headwater (10 km2 and under)</t>
        </is>
      </c>
      <c r="B58" s="5" t="inlineStr">
        <is>
          <t>Natural fish cover</t>
        </is>
      </c>
    </row>
    <row r="59">
      <c r="A59" s="69" t="inlineStr">
        <is>
          <t>Small stream (10 to 100 km2)</t>
        </is>
      </c>
      <c r="B59" s="5" t="inlineStr">
        <is>
          <t>Natural fish cover</t>
        </is>
      </c>
    </row>
    <row r="60">
      <c r="A60" s="69" t="inlineStr">
        <is>
          <t>Large stream (over 100 km2)</t>
        </is>
      </c>
      <c r="B60" s="5" t="inlineStr">
        <is>
          <t>Natural fish cover</t>
        </is>
      </c>
    </row>
    <row r="63">
      <c r="A63" s="58"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canadian-rockies</t>
        </is>
      </c>
    </row>
    <row r="5">
      <c r="A5" s="69" t="inlineStr">
        <is>
          <t>Assessment name</t>
        </is>
      </c>
      <c r="B5" s="69" t="inlineStr">
        <is>
          <t>Canadian Rockies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sha256:7719ed984f8ef2ad6f2371d2c04ed9b694f1442a63356dedef8539f6260b1d33</t>
        </is>
      </c>
    </row>
    <row r="9">
      <c r="A9" s="69" t="inlineStr">
        <is>
          <t>Region</t>
        </is>
      </c>
      <c r="B9" s="69" t="inlineStr">
        <is>
          <t>ecoregion 41 Canadian Rockies</t>
        </is>
      </c>
    </row>
    <row r="10">
      <c r="A10" s="69" t="inlineStr">
        <is>
          <t>Source</t>
        </is>
      </c>
      <c r="B10" s="69" t="inlineStr">
        <is>
          <t>USEPA NRSA 2013-24 (L3 ecoregion 41),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2026-09-30T07:06:42Z</dcterms:created>
  <dcterms:modified xmlns:dcterms="http://purl.org/dc/terms/" xmlns:xsi="http://www.w3.org/2001/XMLSchema-instance" xsi:type="dcterms:W3CDTF">2026-09-30T07:06:42Z</dcterms:modified>
  <cp:lastModifiedBy>DEEP</cp:lastModifiedBy>
  <cp:contentStatus>Draft</cp:contentStatus>
</cp:coreProperties>
</file>