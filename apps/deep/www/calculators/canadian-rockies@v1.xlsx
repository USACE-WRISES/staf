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'Reference'!$A$5:$A$42</definedName>
    <definedName name="curve_x1">'Reference'!$G$5:$G$42</definedName>
    <definedName name="curve_y1">'Reference'!$O$5:$O$42</definedName>
    <definedName name="curve_x2">'Reference'!$H$5:$H$42</definedName>
    <definedName name="curve_y2">'Reference'!$P$5:$P$42</definedName>
    <definedName name="curve_x3">'Reference'!$I$5:$I$42</definedName>
    <definedName name="curve_y3">'Reference'!$Q$5:$Q$42</definedName>
    <definedName name="curve_x4">'Reference'!$J$5:$J$42</definedName>
    <definedName name="curve_y4">'Reference'!$R$5:$R$42</definedName>
    <definedName name="curve_x5">'Reference'!$K$5:$K$42</definedName>
    <definedName name="curve_y5">'Reference'!$S$5:$S$42</definedName>
    <definedName name="curve_x6">'Reference'!$L$5:$L$42</definedName>
    <definedName name="curve_y6">'Reference'!$T$5:$T$42</definedName>
    <definedName name="curve_x7">'Reference'!$M$5:$M$42</definedName>
    <definedName name="curve_y7">'Reference'!$U$5:$U$42</definedName>
    <definedName name="curve_x8">'Reference'!$N$5:$N$42</definedName>
    <definedName name="curve_y8">'Reference'!$V$5:$V$42</definedName>
    <definedName name="strata_spring_phab_bfwd_rat">'Reference'!$A$46:$A$49</definedName>
    <definedName name="strata_spring_phab_xcdenmid">'Reference'!$A$50:$A$53</definedName>
    <definedName name="strata_spring_phab_pct_fast">'Reference'!$A$54:$A$56</definedName>
    <definedName name="strata_spring_phab_xfc_nat">'Reference'!$A$57:$A$60</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bfwd_rat">'Metrics'!$V$11</definedName>
    <definedName name="idx_spring_phab_xbkf_h">'Metrics'!$V$12</definedName>
    <definedName name="idx_spring_phab_pct_safn">'Metrics'!$V$13</definedName>
    <definedName name="idx_spring_phab_xembed">'Metrics'!$V$14</definedName>
    <definedName name="idx_spring_phab_sinu">'Metrics'!$V$15</definedName>
    <definedName name="idx_spring_phab_xbka">'Metrics'!$V$16</definedName>
    <definedName name="idx_spring_phab_lrbs_use">'Metrics'!$V$17</definedName>
    <definedName name="idx_spring_phab_lwdeqvolm100">'Metrics'!$V$18</definedName>
    <definedName name="idx_spring_chem_chla">'Metrics'!$V$19</definedName>
    <definedName name="idx_spring_phab_xcdenmid">'Metrics'!$V$20</definedName>
    <definedName name="idx_spring_phab_xcmgw">'Metrics'!$V$21</definedName>
    <definedName name="idx_spring_chem_ptl">'Metrics'!$V$22</definedName>
    <definedName name="idx_spring_chem_ntl">'Metrics'!$V$23</definedName>
    <definedName name="idx_spring_chem_cond">'Metrics'!$V$24</definedName>
    <definedName name="idx_spring_chem_ph">'Metrics'!$V$25</definedName>
    <definedName name="idx_spring_phab_pct_fast">'Metrics'!$V$26</definedName>
    <definedName name="idx_spring_phab_xfc_nat">'Metrics'!$V$27</definedName>
    <definedName name="idx_spring_bent_totlntax">'Metrics'!$V$28</definedName>
    <definedName name="idx_spring_bent_hprime">'Metrics'!$V$29</definedName>
    <definedName name="idx_spring_bent_tolrpind">'Metrics'!$V$30</definedName>
    <definedName name="idx_spring_nid_dams_1mi">'Metrics'!$V$31</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bfwd_rat">'DEEP Score'!$E$19</definedName>
    <definedName name="st_spring_phab_bfwd_rat">'DEEP Score'!$F$19</definedName>
    <definedName name="in_spring_phab_xbkf_h">'DEEP Score'!$E$22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in_spring_phab_lwdeqvolm100">'DEEP Score'!$E$32</definedName>
    <definedName name="in_spring_chem_chla">'DEEP Score'!$E$33</definedName>
    <definedName name="in_spring_phab_xcdenmid">'DEEP Score'!$E$34</definedName>
    <definedName name="st_spring_phab_xcdenmid">'DEEP Score'!$F$34</definedName>
    <definedName name="in_spring_phab_xcmgw">'DEEP Score'!$E$35</definedName>
    <definedName name="in_spring_chem_ptl">'DEEP Score'!$E$36</definedName>
    <definedName name="in_spring_chem_ntl">'DEEP Score'!$E$37</definedName>
    <definedName name="in_spring_chem_cond">'DEEP Score'!$E$38</definedName>
    <definedName name="in_spring_chem_ph">'DEEP Score'!$E$39</definedName>
    <definedName name="in_spring_phab_pct_fast">'DEEP Score'!$E$40</definedName>
    <definedName name="st_spring_phab_pct_fast">'DEEP Score'!$F$40</definedName>
    <definedName name="in_spring_phab_xfc_nat">'DEEP Score'!$E$41</definedName>
    <definedName name="st_spring_phab_xfc_nat">'DEEP Score'!$F$41</definedName>
    <definedName name="in_spring_bent_totlntax">'DEEP Score'!$E$42</definedName>
    <definedName name="in_spring_bent_hprime">'DEEP Score'!$E$43</definedName>
    <definedName name="in_spring_bent_tolrpind">'DEEP Score'!$E$44</definedName>
    <definedName name="in_spring_nid_dams_1mi">'DEEP Score'!$E$45</definedName>
    <definedName name="site_notes">'DEEP Score'!$A$61</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0" fillId="4" borderId="9" applyAlignment="1" applyProtection="1" pivotButton="0" quotePrefix="0" xfId="0">
      <alignment horizontal="left" vertical="center" wrapText="1"/>
      <protection locked="0" hidden="0"/>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0" fillId="4" borderId="6" applyAlignment="1" applyProtection="1" pivotButton="0" quotePrefix="0" xfId="0">
      <alignment horizontal="left" vertical="center" wrapText="1"/>
      <protection locked="0" hidden="0"/>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3" fillId="0" borderId="0" pivotButton="0" quotePrefix="0" xfId="0"/>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Canadian Rockies reference assessment</t>
        </is>
      </c>
    </row>
    <row r="4" ht="30" customHeight="1">
      <c r="A4" s="3" t="inlineStr">
        <is>
          <t>This workbook scores one detailed assessment. It carries the assessment's metrics and their reference curves, and it scores exactly as the DEEP web application does.</t>
        </is>
      </c>
    </row>
    <row r="5" ht="180" customHeight="1">
      <c r="A5" s="3" t="inlineStr">
        <is>
          <t>Reference condition. Reference condition is set by a fixed landscape-pressure screen, never by a score. 8 curves are fitted to least-disturbed stations of this ecoregion. 14 borrow comparable least-disturbed stations from a wider region, stating the region and the transfer risk. 2 carry the national reference label: reference curve fitted to comparable least-disturbed stations drawn from the national pool, because this ecoregion and its parents hold too few of their own. 2 carry the published benchmark label: scored against a published criterion rather than against stations from this ecoregion. The criterion carries its own definition of reference, which need not match this assessment's. 9 rest on a flagged transfer: a comparable least-disturbed pool the recovery test did not confirm for this ecoregion, used because no validated source supports the metric here, with transfer risk unvalidated and confidence capped. 1 function rests on a method adopted from EASI's national screening method (provisional), because no reference pool, national donor, model, published benchmark or flagged transfer supported the function in this ecoregion.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6"/>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Canadian Rockies reference assessment</t>
        </is>
      </c>
    </row>
    <row r="3">
      <c r="A3" s="4" t="inlineStr">
        <is>
          <t>Version 1 | USEPA NRSA 2013-24 (L3 ecoregion 41),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 cover of the watershed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Bankfull width:depth ratio</t>
        </is>
      </c>
      <c r="D19" s="22" t="inlineStr"/>
      <c r="E19" s="23" t="n"/>
      <c r="F19" s="39" t="inlineStr">
        <is>
          <t>All streams (pooled)</t>
        </is>
      </c>
      <c r="G19" s="25">
        <f>IF('Metrics'!$V$11="","",'Metrics'!$V$11)</f>
        <v/>
      </c>
      <c r="H19" s="20" t="n"/>
      <c r="I19" s="26" t="n"/>
    </row>
    <row r="20">
      <c r="A20" s="40" t="inlineStr">
        <is>
          <t>Hydraulics</t>
        </is>
      </c>
      <c r="B20" s="28" t="inlineStr">
        <is>
          <t>High flow dynamics</t>
        </is>
      </c>
      <c r="C20" s="29" t="inlineStr">
        <is>
          <t>Impervious surface</t>
        </is>
      </c>
      <c r="D20" s="30" t="inlineStr">
        <is>
          <t>%</t>
        </is>
      </c>
      <c r="E20" s="41">
        <f>IF('DEEP Score'!$E$12="","",'DEEP Score'!$E$12)</f>
        <v/>
      </c>
      <c r="F20" s="42"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37">
        <f>IF('DEEP Score'!$E$19="","",'DEEP Score'!$E$19)</f>
        <v/>
      </c>
      <c r="F21" s="38">
        <f>IF('DEEP Score'!$F$19="","",'DEEP Score'!$F$19)</f>
        <v/>
      </c>
      <c r="G21" s="16">
        <f>IF('Metrics'!$V$11="","",'Metrics'!$V$11)</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IF('Metrics'!$V$12="","",'Metrics'!$V$12)</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IF('Metrics'!$V$13="","",'Metrics'!$V$13)</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IF('Metrics'!$V$14="","",'Metrics'!$V$14)</f>
        <v/>
      </c>
      <c r="H24" s="20" t="n"/>
      <c r="I24" s="26" t="n"/>
    </row>
    <row r="25">
      <c r="A25" s="43" t="inlineStr">
        <is>
          <t>Geomorphology</t>
        </is>
      </c>
      <c r="B25" s="11" t="inlineStr">
        <is>
          <t>Channel evolution</t>
        </is>
      </c>
      <c r="C25" s="12" t="inlineStr">
        <is>
          <t>Bankfull width:depth ratio</t>
        </is>
      </c>
      <c r="D25" s="13" t="inlineStr"/>
      <c r="E25" s="37">
        <f>IF('DEEP Score'!$E$19="","",'DEEP Score'!$E$19)</f>
        <v/>
      </c>
      <c r="F25" s="38">
        <f>IF('DEEP Score'!$F$19="","",'DEEP Score'!$F$19)</f>
        <v/>
      </c>
      <c r="G25" s="16">
        <f>IF('Metrics'!$V$11="","",'Metrics'!$V$11)</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4">
        <f>IF('DEEP Score'!$E$22="","",'DEEP Score'!$E$22)</f>
        <v/>
      </c>
      <c r="F26" s="45" t="inlineStr"/>
      <c r="G26" s="25">
        <f>IF('Metrics'!$V$12="","",'Metrics'!$V$12)</f>
        <v/>
      </c>
      <c r="H26" s="20" t="n"/>
      <c r="I26" s="26" t="n"/>
    </row>
    <row r="27">
      <c r="A27" s="43" t="inlineStr">
        <is>
          <t>Geomorphology</t>
        </is>
      </c>
      <c r="B27" s="11" t="inlineStr">
        <is>
          <t>Channel and floodplain dynamics</t>
        </is>
      </c>
      <c r="C27" s="12" t="inlineStr">
        <is>
          <t>Sinuosity</t>
        </is>
      </c>
      <c r="D27" s="13" t="inlineStr"/>
      <c r="E27" s="14" t="n"/>
      <c r="F27" s="15" t="inlineStr"/>
      <c r="G27" s="16">
        <f>IF('Metrics'!$V$15="","",'Metrics'!$V$15)</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IF('Metrics'!$V$16="","",'Metrics'!$V$16)</f>
        <v/>
      </c>
      <c r="H28" s="20" t="n"/>
      <c r="I28" s="26" t="n"/>
    </row>
    <row r="29">
      <c r="A29" s="43" t="inlineStr">
        <is>
          <t>Geomorphology</t>
        </is>
      </c>
      <c r="B29" s="11" t="inlineStr">
        <is>
          <t>Sediment continuity</t>
        </is>
      </c>
      <c r="C29" s="12" t="inlineStr">
        <is>
          <t>Relative bed stability</t>
        </is>
      </c>
      <c r="D29" s="13" t="inlineStr">
        <is>
          <t>log</t>
        </is>
      </c>
      <c r="E29" s="14" t="n"/>
      <c r="F29" s="15" t="inlineStr"/>
      <c r="G29" s="16">
        <f>IF('Metrics'!$V$17="","",'Metrics'!$V$17)</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4">
        <f>IF('DEEP Score'!$E$23="","",'DEEP Score'!$E$23)</f>
        <v/>
      </c>
      <c r="F30" s="45" t="inlineStr"/>
      <c r="G30" s="25">
        <f>IF('Metrics'!$V$13="","",'Metrics'!$V$13)</f>
        <v/>
      </c>
      <c r="H30" s="20" t="n"/>
      <c r="I30" s="26" t="n"/>
    </row>
    <row r="31">
      <c r="A31" s="43" t="inlineStr">
        <is>
          <t>Geomorphology</t>
        </is>
      </c>
      <c r="B31" s="11" t="inlineStr">
        <is>
          <t>Bed composition and bedform dynamics</t>
        </is>
      </c>
      <c r="C31" s="12" t="inlineStr">
        <is>
          <t>Embeddedness</t>
        </is>
      </c>
      <c r="D31" s="13" t="inlineStr">
        <is>
          <t>%</t>
        </is>
      </c>
      <c r="E31" s="37">
        <f>IF('DEEP Score'!$E$24="","",'DEEP Score'!$E$24)</f>
        <v/>
      </c>
      <c r="F31" s="38" t="inlineStr"/>
      <c r="G31" s="16">
        <f>IF('Metrics'!$V$14="","",'Metrics'!$V$14)</f>
        <v/>
      </c>
      <c r="H31" s="17">
        <f>IF('Results'!$B$15="","",'Results'!$B$15)</f>
        <v/>
      </c>
      <c r="I31" s="18">
        <f>IF('DEEP Score'!$H$31="","",IF('DEEP Score'!$H$31&lt;=5,"Non-Functioning",IF('DEEP Score'!$H$31&lt;=10,"Functioning At-Risk","Functioning")))</f>
        <v/>
      </c>
    </row>
    <row r="32">
      <c r="A32" s="19" t="n"/>
      <c r="B32" s="20" t="n"/>
      <c r="C32" s="21" t="inlineStr">
        <is>
          <t>Large wood volume</t>
        </is>
      </c>
      <c r="D32" s="22" t="inlineStr">
        <is>
          <t>m3/100m</t>
        </is>
      </c>
      <c r="E32" s="23" t="n"/>
      <c r="F32" s="24" t="inlineStr"/>
      <c r="G32" s="25">
        <f>IF('Metrics'!$V$18="","",'Metrics'!$V$18)</f>
        <v/>
      </c>
      <c r="H32" s="20" t="n"/>
      <c r="I32" s="26" t="n"/>
    </row>
    <row r="33">
      <c r="A33" s="46" t="inlineStr">
        <is>
          <t>Physicochemistry</t>
        </is>
      </c>
      <c r="B33" s="11" t="inlineStr">
        <is>
          <t>Light &amp; thermal regime</t>
        </is>
      </c>
      <c r="C33" s="12" t="inlineStr">
        <is>
          <t>Chlorophyll a</t>
        </is>
      </c>
      <c r="D33" s="13" t="inlineStr">
        <is>
          <t>ug/L</t>
        </is>
      </c>
      <c r="E33" s="14" t="n"/>
      <c r="F33" s="15" t="inlineStr"/>
      <c r="G33" s="16">
        <f>IF('Metrics'!$V$19="","",'Metrics'!$V$19)</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39" t="inlineStr">
        <is>
          <t>All streams (pooled)</t>
        </is>
      </c>
      <c r="G34" s="25">
        <f>IF('Metrics'!$V$20="","",'Metrics'!$V$20)</f>
        <v/>
      </c>
      <c r="H34" s="20" t="n"/>
      <c r="I34" s="26" t="n"/>
    </row>
    <row r="35">
      <c r="A35" s="47" t="inlineStr">
        <is>
          <t>Physicochemistry</t>
        </is>
      </c>
      <c r="B35" s="28" t="inlineStr">
        <is>
          <t>Carbon processing</t>
        </is>
      </c>
      <c r="C35" s="29" t="inlineStr">
        <is>
          <t>Riparian veg cover, woody</t>
        </is>
      </c>
      <c r="D35" s="30" t="inlineStr">
        <is>
          <t>frac</t>
        </is>
      </c>
      <c r="E35" s="31" t="n"/>
      <c r="F35" s="32" t="inlineStr"/>
      <c r="G35" s="33">
        <f>IF('Metrics'!$V$21="","",'Metrics'!$V$21)</f>
        <v/>
      </c>
      <c r="H35" s="34">
        <f>IF('Results'!$B$17="","",'Results'!$B$17)</f>
        <v/>
      </c>
      <c r="I35" s="35">
        <f>IF('DEEP Score'!$H$35="","",IF('DEEP Score'!$H$35&lt;=5,"Non-Functioning",IF('DEEP Score'!$H$35&lt;=10,"Functioning At-Risk","Functioning")))</f>
        <v/>
      </c>
    </row>
    <row r="36">
      <c r="A36" s="46" t="inlineStr">
        <is>
          <t>Physicochemistry</t>
        </is>
      </c>
      <c r="B36" s="11" t="inlineStr">
        <is>
          <t>Nutrient cycling</t>
        </is>
      </c>
      <c r="C36" s="12" t="inlineStr">
        <is>
          <t>Total phosphorus</t>
        </is>
      </c>
      <c r="D36" s="13" t="inlineStr">
        <is>
          <t>ug/L</t>
        </is>
      </c>
      <c r="E36" s="14" t="n"/>
      <c r="F36" s="15" t="inlineStr"/>
      <c r="G36" s="16">
        <f>IF('Metrics'!$V$22="","",'Metrics'!$V$22)</f>
        <v/>
      </c>
      <c r="H36" s="17">
        <f>IF('Results'!$B$18="","",'Results'!$B$18)</f>
        <v/>
      </c>
      <c r="I36" s="18">
        <f>IF('DEEP Score'!$H$36="","",IF('DEEP Score'!$H$36&lt;=5,"Non-Functioning",IF('DEEP Score'!$H$36&lt;=10,"Functioning At-Risk","Functioning")))</f>
        <v/>
      </c>
    </row>
    <row r="37">
      <c r="A37" s="19" t="n"/>
      <c r="B37" s="20" t="n"/>
      <c r="C37" s="21" t="inlineStr">
        <is>
          <t>Total nitrogen</t>
        </is>
      </c>
      <c r="D37" s="22" t="inlineStr">
        <is>
          <t>mg N/L</t>
        </is>
      </c>
      <c r="E37" s="23" t="n"/>
      <c r="F37" s="24" t="inlineStr"/>
      <c r="G37" s="25">
        <f>IF('Metrics'!$V$23="","",'Metrics'!$V$23)</f>
        <v/>
      </c>
      <c r="H37" s="20" t="n"/>
      <c r="I37" s="26" t="n"/>
    </row>
    <row r="38">
      <c r="A38" s="46" t="inlineStr">
        <is>
          <t>Physicochemistry</t>
        </is>
      </c>
      <c r="B38" s="11" t="inlineStr">
        <is>
          <t>Water &amp; soil quality</t>
        </is>
      </c>
      <c r="C38" s="12" t="inlineStr">
        <is>
          <t>Specific conductivity</t>
        </is>
      </c>
      <c r="D38" s="13" t="inlineStr">
        <is>
          <t>uS/cm</t>
        </is>
      </c>
      <c r="E38" s="14" t="n"/>
      <c r="F38" s="15" t="inlineStr"/>
      <c r="G38" s="16">
        <f>IF('Metrics'!$V$24="","",'Metrics'!$V$24)</f>
        <v/>
      </c>
      <c r="H38" s="17">
        <f>IF('Results'!$B$19="","",'Results'!$B$19)</f>
        <v/>
      </c>
      <c r="I38" s="18">
        <f>IF('DEEP Score'!$H$38="","",IF('DEEP Score'!$H$38&lt;=5,"Non-Functioning",IF('DEEP Score'!$H$38&lt;=10,"Functioning At-Risk","Functioning")))</f>
        <v/>
      </c>
    </row>
    <row r="39">
      <c r="A39" s="19" t="n"/>
      <c r="B39" s="20" t="n"/>
      <c r="C39" s="21" t="inlineStr">
        <is>
          <t>pH</t>
        </is>
      </c>
      <c r="D39" s="22" t="inlineStr">
        <is>
          <t>Std. Units</t>
        </is>
      </c>
      <c r="E39" s="23" t="n"/>
      <c r="F39" s="24" t="inlineStr"/>
      <c r="G39" s="25">
        <f>IF('Metrics'!$V$25="","",'Metrics'!$V$25)</f>
        <v/>
      </c>
      <c r="H39" s="20" t="n"/>
      <c r="I39" s="26" t="n"/>
    </row>
    <row r="40">
      <c r="A40" s="48" t="inlineStr">
        <is>
          <t>Biology</t>
        </is>
      </c>
      <c r="B40" s="11" t="inlineStr">
        <is>
          <t>Habitat provision</t>
        </is>
      </c>
      <c r="C40" s="12" t="inlineStr">
        <is>
          <t>Fast-water / riffle habitat</t>
        </is>
      </c>
      <c r="D40" s="13" t="inlineStr">
        <is>
          <t>%</t>
        </is>
      </c>
      <c r="E40" s="14" t="n"/>
      <c r="F40" s="49" t="inlineStr">
        <is>
          <t>All streams (pooled)</t>
        </is>
      </c>
      <c r="G40" s="16">
        <f>IF('Metrics'!$V$26="","",'Metrics'!$V$26)</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39" t="inlineStr">
        <is>
          <t>All streams (pooled)</t>
        </is>
      </c>
      <c r="G41" s="25">
        <f>IF('Metrics'!$V$27="","",'Metrics'!$V$27)</f>
        <v/>
      </c>
      <c r="H41" s="20" t="n"/>
      <c r="I41" s="26" t="n"/>
    </row>
    <row r="42">
      <c r="A42" s="50" t="inlineStr">
        <is>
          <t>Biology</t>
        </is>
      </c>
      <c r="B42" s="28" t="inlineStr">
        <is>
          <t>Population support</t>
        </is>
      </c>
      <c r="C42" s="29" t="inlineStr">
        <is>
          <t>Benthic total taxa richness</t>
        </is>
      </c>
      <c r="D42" s="30" t="inlineStr"/>
      <c r="E42" s="31" t="n"/>
      <c r="F42" s="32" t="inlineStr"/>
      <c r="G42" s="33">
        <f>IF('Metrics'!$V$28="","",'Metrics'!$V$28)</f>
        <v/>
      </c>
      <c r="H42" s="34">
        <f>IF('Results'!$B$21="","",'Results'!$B$21)</f>
        <v/>
      </c>
      <c r="I42" s="35">
        <f>IF('DEEP Score'!$H$42="","",IF('DEEP Score'!$H$42&lt;=5,"Non-Functioning",IF('DEEP Score'!$H$42&lt;=10,"Functioning At-Risk","Functioning")))</f>
        <v/>
      </c>
    </row>
    <row r="43">
      <c r="A43" s="48" t="inlineStr">
        <is>
          <t>Biology</t>
        </is>
      </c>
      <c r="B43" s="11" t="inlineStr">
        <is>
          <t>Community dynamics</t>
        </is>
      </c>
      <c r="C43" s="12" t="inlineStr">
        <is>
          <t>Shannon diversity (H')</t>
        </is>
      </c>
      <c r="D43" s="13" t="inlineStr">
        <is>
          <t>H'</t>
        </is>
      </c>
      <c r="E43" s="14" t="n"/>
      <c r="F43" s="15" t="inlineStr"/>
      <c r="G43" s="16">
        <f>IF('Metrics'!$V$29="","",'Metrics'!$V$29)</f>
        <v/>
      </c>
      <c r="H43" s="17">
        <f>IF('Results'!$B$22="","",'Results'!$B$22)</f>
        <v/>
      </c>
      <c r="I43" s="18">
        <f>IF('DEEP Score'!$H$43="","",IF('DEEP Score'!$H$43&lt;=5,"Non-Functioning",IF('DEEP Score'!$H$43&lt;=10,"Functioning At-Risk","Functioning")))</f>
        <v/>
      </c>
    </row>
    <row r="44">
      <c r="A44" s="19" t="n"/>
      <c r="B44" s="20" t="n"/>
      <c r="C44" s="21" t="inlineStr">
        <is>
          <t>Tolerant individuals (%) ~ HBI</t>
        </is>
      </c>
      <c r="D44" s="22" t="inlineStr"/>
      <c r="E44" s="23" t="n"/>
      <c r="F44" s="24" t="inlineStr"/>
      <c r="G44" s="25">
        <f>IF('Metrics'!$V$30="","",'Metrics'!$V$30)</f>
        <v/>
      </c>
      <c r="H44" s="20" t="n"/>
      <c r="I44" s="26" t="n"/>
    </row>
    <row r="45">
      <c r="A45" s="50" t="inlineStr">
        <is>
          <t>Biology</t>
        </is>
      </c>
      <c r="B45" s="28" t="inlineStr">
        <is>
          <t>Watershed connectivity</t>
        </is>
      </c>
      <c r="C45" s="29" t="inlineStr">
        <is>
          <t>Mapped dams within one mile</t>
        </is>
      </c>
      <c r="D45" s="30" t="inlineStr">
        <is>
          <t>dams</t>
        </is>
      </c>
      <c r="E45" s="31" t="n"/>
      <c r="F45" s="32" t="inlineStr"/>
      <c r="G45" s="33">
        <f>IF('Metrics'!$V$31="","",'Metrics'!$V$31)</f>
        <v/>
      </c>
      <c r="H45" s="34">
        <f>IF('Results'!$B$23="","",'Results'!$B$23)</f>
        <v/>
      </c>
      <c r="I45" s="35">
        <f>IF('DEEP Score'!$H$45="","",IF('DEEP Score'!$H$45&lt;=5,"Non-Functioning",IF('DEEP Score'!$H$45&lt;=10,"Functioning At-Risk","Functioning")))</f>
        <v/>
      </c>
    </row>
    <row r="47">
      <c r="A47" s="51" t="inlineStr">
        <is>
          <t>Summary</t>
        </is>
      </c>
    </row>
    <row r="48">
      <c r="A48" s="9" t="inlineStr">
        <is>
          <t>Outcome</t>
        </is>
      </c>
      <c r="B48" s="9" t="inlineStr">
        <is>
          <t>Sub-index (0 to 1)</t>
        </is>
      </c>
      <c r="C48" s="9" t="inlineStr">
        <is>
          <t>Condition</t>
        </is>
      </c>
    </row>
    <row r="49">
      <c r="A49" s="52" t="inlineStr">
        <is>
          <t>Physical</t>
        </is>
      </c>
      <c r="B49" s="53">
        <f>'Results'!$B$26</f>
        <v/>
      </c>
      <c r="C49" s="54">
        <f>IF('DEEP Score'!$B$49&lt;=0.39,"Non-Functioning",IF('DEEP Score'!$B$49&lt;=0.69,"Functioning At-Risk","Functioning"))</f>
        <v/>
      </c>
    </row>
    <row r="50">
      <c r="A50" s="52" t="inlineStr">
        <is>
          <t>Chemical</t>
        </is>
      </c>
      <c r="B50" s="53">
        <f>'Results'!$B$27</f>
        <v/>
      </c>
      <c r="C50" s="54">
        <f>IF('DEEP Score'!$B$50&lt;=0.39,"Non-Functioning",IF('DEEP Score'!$B$50&lt;=0.69,"Functioning At-Risk","Functioning"))</f>
        <v/>
      </c>
    </row>
    <row r="51">
      <c r="A51" s="52" t="inlineStr">
        <is>
          <t>Biological</t>
        </is>
      </c>
      <c r="B51" s="53">
        <f>'Results'!$B$28</f>
        <v/>
      </c>
      <c r="C51" s="54">
        <f>IF('DEEP Score'!$B$51&lt;=0.39,"Non-Functioning",IF('DEEP Score'!$B$51&lt;=0.69,"Functioning At-Risk","Functioning"))</f>
        <v/>
      </c>
    </row>
    <row r="52" ht="30" customHeight="1">
      <c r="A52" s="55" t="inlineStr">
        <is>
          <t>Ecosystem Condition Index</t>
        </is>
      </c>
      <c r="B52" s="56">
        <f>'Results'!$B$29</f>
        <v/>
      </c>
      <c r="C52" s="54">
        <f>IF('DEEP Score'!$B$52&lt;=0.39,"Non-Functioning",IF('DEEP Score'!$B$52&lt;=0.69,"Functioning At-Risk","Functioning"))</f>
        <v/>
      </c>
    </row>
    <row r="53">
      <c r="A53" s="4" t="inlineStr">
        <is>
          <t xml:space="preserve">Functions with a score: </t>
        </is>
      </c>
      <c r="B53" s="4">
        <f>COUNT('Results'!$B$4:$B$23)&amp;" of 20"</f>
        <v/>
      </c>
    </row>
    <row r="54">
      <c r="A54" s="4" t="inlineStr">
        <is>
          <t>This assessment covers 20 of 20 STAF functions.</t>
        </is>
      </c>
    </row>
    <row r="56">
      <c r="A56" s="57" t="inlineStr">
        <is>
          <t>Withheld for insufficient reference support (not scored)</t>
        </is>
      </c>
    </row>
    <row r="57">
      <c r="A57" t="inlineStr">
        <is>
          <t>Native fish taxa richness</t>
        </is>
      </c>
      <c r="C57" s="4" t="inlineStr">
        <is>
          <t>Population support</t>
        </is>
      </c>
    </row>
    <row r="58">
      <c r="A58" t="inlineStr">
        <is>
          <t>Residual pool depth</t>
        </is>
      </c>
      <c r="C58" s="4" t="inlineStr">
        <is>
          <t>Low flow and baseflow dynamics</t>
        </is>
      </c>
    </row>
    <row r="60">
      <c r="A60" s="5" t="inlineStr">
        <is>
          <t>Notes</t>
        </is>
      </c>
    </row>
    <row r="61">
      <c r="A61" s="58" t="n"/>
      <c r="B61" s="59" t="n"/>
      <c r="C61" s="59" t="n"/>
      <c r="D61" s="59" t="n"/>
      <c r="E61" s="59" t="n"/>
      <c r="F61" s="59" t="n"/>
      <c r="G61" s="59" t="n"/>
      <c r="H61" s="59" t="n"/>
      <c r="I61" s="60" t="n"/>
    </row>
    <row r="62">
      <c r="A62" s="61" t="n"/>
      <c r="B62" s="62" t="n"/>
      <c r="C62" s="62" t="n"/>
      <c r="D62" s="62" t="n"/>
      <c r="E62" s="62" t="n"/>
      <c r="F62" s="62" t="n"/>
      <c r="G62" s="62" t="n"/>
      <c r="H62" s="62" t="n"/>
      <c r="I62" s="63" t="n"/>
    </row>
    <row r="63">
      <c r="A63" s="61" t="n"/>
      <c r="B63" s="62" t="n"/>
      <c r="C63" s="62" t="n"/>
      <c r="D63" s="62" t="n"/>
      <c r="E63" s="62" t="n"/>
      <c r="F63" s="62" t="n"/>
      <c r="G63" s="62" t="n"/>
      <c r="H63" s="62" t="n"/>
      <c r="I63" s="63" t="n"/>
    </row>
    <row r="64">
      <c r="A64" s="61" t="n"/>
      <c r="B64" s="62" t="n"/>
      <c r="C64" s="62" t="n"/>
      <c r="D64" s="62" t="n"/>
      <c r="E64" s="62" t="n"/>
      <c r="F64" s="62" t="n"/>
      <c r="G64" s="62" t="n"/>
      <c r="H64" s="62" t="n"/>
      <c r="I64" s="63" t="n"/>
    </row>
    <row r="65">
      <c r="A65" s="61" t="n"/>
      <c r="B65" s="62" t="n"/>
      <c r="C65" s="62" t="n"/>
      <c r="D65" s="62" t="n"/>
      <c r="E65" s="62" t="n"/>
      <c r="F65" s="62" t="n"/>
      <c r="G65" s="62" t="n"/>
      <c r="H65" s="62" t="n"/>
      <c r="I65" s="63" t="n"/>
    </row>
    <row r="66">
      <c r="A66" s="64" t="n"/>
      <c r="B66" s="65" t="n"/>
      <c r="C66" s="65" t="n"/>
      <c r="D66" s="65" t="n"/>
      <c r="E66" s="65" t="n"/>
      <c r="F66" s="65" t="n"/>
      <c r="G66" s="65" t="n"/>
      <c r="H66" s="65" t="n"/>
      <c r="I66" s="66" t="n"/>
    </row>
  </sheetData>
  <sheetProtection selectLockedCells="0" selectUnlockedCells="0" sheet="1" objects="0" insertRows="1" insertHyperlinks="1" autoFilter="1" scenarios="0" formatColumns="1" deleteColumns="1" insertColumns="1" pivotTables="1" deleteRows="1" formatCells="1" formatRows="1" sort="1" password="CB3B"/>
  <mergeCells count="62">
    <mergeCell ref="B27:B28"/>
    <mergeCell ref="H29:H30"/>
    <mergeCell ref="B43:B44"/>
    <mergeCell ref="H43:H44"/>
    <mergeCell ref="B12:B13"/>
    <mergeCell ref="B18:B19"/>
    <mergeCell ref="H38:H39"/>
    <mergeCell ref="B8:D8"/>
    <mergeCell ref="I36:I37"/>
    <mergeCell ref="I16:I17"/>
    <mergeCell ref="A36:A37"/>
    <mergeCell ref="A16:A17"/>
    <mergeCell ref="H21:H22"/>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I33:I34"/>
    <mergeCell ref="A18:A19"/>
    <mergeCell ref="B6:D6"/>
    <mergeCell ref="I43:I44"/>
    <mergeCell ref="A21:A22"/>
    <mergeCell ref="B5:D5"/>
    <mergeCell ref="H27:H28"/>
    <mergeCell ref="H16:H17"/>
    <mergeCell ref="B36:B37"/>
    <mergeCell ref="H12:H13"/>
    <mergeCell ref="A33:A34"/>
    <mergeCell ref="A29:A30"/>
    <mergeCell ref="B33:B34"/>
    <mergeCell ref="A23:A24"/>
    <mergeCell ref="I38:I39"/>
    <mergeCell ref="I29:I30"/>
    <mergeCell ref="A61:I66"/>
    <mergeCell ref="I23:I24"/>
    <mergeCell ref="B7:D7"/>
    <mergeCell ref="B40:B41"/>
    <mergeCell ref="H18:H19"/>
    <mergeCell ref="A43:A44"/>
    <mergeCell ref="A38:A39"/>
    <mergeCell ref="I31:I32"/>
    <mergeCell ref="H33:H34"/>
    <mergeCell ref="B25:B26"/>
    <mergeCell ref="B16:B17"/>
    <mergeCell ref="H23:H24"/>
    <mergeCell ref="A31:A32"/>
    <mergeCell ref="A40:A41"/>
    <mergeCell ref="H25:H26"/>
    <mergeCell ref="B21:B22"/>
    <mergeCell ref="I27:I28"/>
    <mergeCell ref="I40:I41"/>
    <mergeCell ref="B31:B32"/>
  </mergeCells>
  <conditionalFormatting sqref="G12:G45">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5">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5">
    <cfRule type="expression" priority="7" dxfId="0">
      <formula>I12="Non-Functioning"</formula>
    </cfRule>
    <cfRule type="expression" priority="8" dxfId="1">
      <formula>I12="Functioning At-Risk"</formula>
    </cfRule>
    <cfRule type="expression" priority="9" dxfId="2">
      <formula>I12="Functioning"</formula>
    </cfRule>
  </conditionalFormatting>
  <dataValidations count="4">
    <dataValidation sqref="F19" showDropDown="0" showInputMessage="0" showErrorMessage="1" allowBlank="1" errorTitle="Curve set" error="Choose a curve set from the list." type="list">
      <formula1>=strata_spring_phab_bfwd_rat</formula1>
    </dataValidation>
    <dataValidation sqref="F34" showDropDown="0" showInputMessage="0" showErrorMessage="1" allowBlank="1" errorTitle="Curve set" error="Choose a curve set from the list." type="list">
      <formula1>=strata_spring_phab_xcdenmid</formula1>
    </dataValidation>
    <dataValidation sqref="F40" showDropDown="0" showInputMessage="0" showErrorMessage="1" allowBlank="1" errorTitle="Curve set" error="Choose a curve set from the list." type="list">
      <formula1>=strata_spring_phab_pct_fast</formula1>
    </dataValidation>
    <dataValidation sqref="F41" showDropDown="0" showInputMessage="0" showErrorMessage="1" allowBlank="1" errorTitle="Curve set" error="Choose a curve set from the list." type="list">
      <formula1>=strata_spring_phab_xfc_nat</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1"/>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7"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8" t="inlineStr">
        <is>
          <t>Impervious surface</t>
        </is>
      </c>
      <c r="B5" s="69">
        <f>IF('DEEP Score'!$E$12="","",'DEEP Score'!$E$12)</f>
        <v/>
      </c>
      <c r="C5" s="69">
        <f>""</f>
        <v/>
      </c>
      <c r="D5" s="69">
        <f>"spring_pctimp2019ws|"&amp;'Metrics'!$C$5</f>
        <v/>
      </c>
      <c r="E5" s="69">
        <f>IFERROR(MATCH('Metrics'!$D$5,curve_key,0),MATCH("spring_pctimp2019ws|",curve_key,0))</f>
        <v/>
      </c>
      <c r="F5" s="69">
        <f>INDEX(curve_x1,'Metrics'!$E$5)</f>
        <v/>
      </c>
      <c r="G5" s="69">
        <f>INDEX(curve_x2,'Metrics'!$E$5)</f>
        <v/>
      </c>
      <c r="H5" s="69">
        <f>INDEX(curve_x3,'Metrics'!$E$5)</f>
        <v/>
      </c>
      <c r="I5" s="69">
        <f>INDEX(curve_x4,'Metrics'!$E$5)</f>
        <v/>
      </c>
      <c r="J5" s="69">
        <f>INDEX(curve_x5,'Metrics'!$E$5)</f>
        <v/>
      </c>
      <c r="K5" s="69">
        <f>INDEX(curve_x6,'Metrics'!$E$5)</f>
        <v/>
      </c>
      <c r="L5" s="69">
        <f>INDEX(curve_x7,'Metrics'!$E$5)</f>
        <v/>
      </c>
      <c r="M5" s="69">
        <f>INDEX(curve_x8,'Metrics'!$E$5)</f>
        <v/>
      </c>
      <c r="N5" s="69">
        <f>INDEX(curve_y1,'Metrics'!$E$5)</f>
        <v/>
      </c>
      <c r="O5" s="69">
        <f>INDEX(curve_y2,'Metrics'!$E$5)</f>
        <v/>
      </c>
      <c r="P5" s="69">
        <f>INDEX(curve_y3,'Metrics'!$E$5)</f>
        <v/>
      </c>
      <c r="Q5" s="69">
        <f>INDEX(curve_y4,'Metrics'!$E$5)</f>
        <v/>
      </c>
      <c r="R5" s="69">
        <f>INDEX(curve_y5,'Metrics'!$E$5)</f>
        <v/>
      </c>
      <c r="S5" s="69">
        <f>INDEX(curve_y6,'Metrics'!$E$5)</f>
        <v/>
      </c>
      <c r="T5" s="69">
        <f>INDEX(curve_y7,'Metrics'!$E$5)</f>
        <v/>
      </c>
      <c r="U5" s="69">
        <f>INDEX(curve_y8,'Metrics'!$E$5)</f>
        <v/>
      </c>
      <c r="V5" s="70">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8" t="inlineStr">
        <is>
          <t>Agriculture, crop and hay</t>
        </is>
      </c>
      <c r="B6" s="69">
        <f>IF('DEEP Score'!$E$13="","",'DEEP Score'!$E$13)</f>
        <v/>
      </c>
      <c r="C6" s="69">
        <f>""</f>
        <v/>
      </c>
      <c r="D6" s="69">
        <f>"spring_pctag2019ws|"&amp;'Metrics'!$C$6</f>
        <v/>
      </c>
      <c r="E6" s="69">
        <f>IFERROR(MATCH('Metrics'!$D$6,curve_key,0),MATCH("spring_pctag2019ws|",curve_key,0))</f>
        <v/>
      </c>
      <c r="F6" s="69">
        <f>INDEX(curve_x1,'Metrics'!$E$6)</f>
        <v/>
      </c>
      <c r="G6" s="69">
        <f>INDEX(curve_x2,'Metrics'!$E$6)</f>
        <v/>
      </c>
      <c r="H6" s="69">
        <f>INDEX(curve_x3,'Metrics'!$E$6)</f>
        <v/>
      </c>
      <c r="I6" s="69">
        <f>INDEX(curve_x4,'Metrics'!$E$6)</f>
        <v/>
      </c>
      <c r="J6" s="69">
        <f>INDEX(curve_x5,'Metrics'!$E$6)</f>
        <v/>
      </c>
      <c r="K6" s="69">
        <f>INDEX(curve_x6,'Metrics'!$E$6)</f>
        <v/>
      </c>
      <c r="L6" s="69">
        <f>INDEX(curve_x7,'Metrics'!$E$6)</f>
        <v/>
      </c>
      <c r="M6" s="69">
        <f>INDEX(curve_x8,'Metrics'!$E$6)</f>
        <v/>
      </c>
      <c r="N6" s="69">
        <f>INDEX(curve_y1,'Metrics'!$E$6)</f>
        <v/>
      </c>
      <c r="O6" s="69">
        <f>INDEX(curve_y2,'Metrics'!$E$6)</f>
        <v/>
      </c>
      <c r="P6" s="69">
        <f>INDEX(curve_y3,'Metrics'!$E$6)</f>
        <v/>
      </c>
      <c r="Q6" s="69">
        <f>INDEX(curve_y4,'Metrics'!$E$6)</f>
        <v/>
      </c>
      <c r="R6" s="69">
        <f>INDEX(curve_y5,'Metrics'!$E$6)</f>
        <v/>
      </c>
      <c r="S6" s="69">
        <f>INDEX(curve_y6,'Metrics'!$E$6)</f>
        <v/>
      </c>
      <c r="T6" s="69">
        <f>INDEX(curve_y7,'Metrics'!$E$6)</f>
        <v/>
      </c>
      <c r="U6" s="69">
        <f>INDEX(curve_y8,'Metrics'!$E$6)</f>
        <v/>
      </c>
      <c r="V6" s="70">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8" t="inlineStr">
        <is>
          <t>Wetland cover of the watershed</t>
        </is>
      </c>
      <c r="B7" s="69">
        <f>IF('DEEP Score'!$E$14="","",'DEEP Score'!$E$14)</f>
        <v/>
      </c>
      <c r="C7" s="69">
        <f>""</f>
        <v/>
      </c>
      <c r="D7" s="69">
        <f>"spring_pctwet2019ws|"&amp;'Metrics'!$C$7</f>
        <v/>
      </c>
      <c r="E7" s="69">
        <f>IFERROR(MATCH('Metrics'!$D$7,curve_key,0),MATCH("spring_pctwet2019ws|",curve_key,0))</f>
        <v/>
      </c>
      <c r="F7" s="69">
        <f>INDEX(curve_x1,'Metrics'!$E$7)</f>
        <v/>
      </c>
      <c r="G7" s="69">
        <f>INDEX(curve_x2,'Metrics'!$E$7)</f>
        <v/>
      </c>
      <c r="H7" s="69">
        <f>INDEX(curve_x3,'Metrics'!$E$7)</f>
        <v/>
      </c>
      <c r="I7" s="69">
        <f>INDEX(curve_x4,'Metrics'!$E$7)</f>
        <v/>
      </c>
      <c r="J7" s="69">
        <f>INDEX(curve_x5,'Metrics'!$E$7)</f>
        <v/>
      </c>
      <c r="K7" s="69">
        <f>INDEX(curve_x6,'Metrics'!$E$7)</f>
        <v/>
      </c>
      <c r="L7" s="69">
        <f>INDEX(curve_x7,'Metrics'!$E$7)</f>
        <v/>
      </c>
      <c r="M7" s="69">
        <f>INDEX(curve_x8,'Metrics'!$E$7)</f>
        <v/>
      </c>
      <c r="N7" s="69">
        <f>INDEX(curve_y1,'Metrics'!$E$7)</f>
        <v/>
      </c>
      <c r="O7" s="69">
        <f>INDEX(curve_y2,'Metrics'!$E$7)</f>
        <v/>
      </c>
      <c r="P7" s="69">
        <f>INDEX(curve_y3,'Metrics'!$E$7)</f>
        <v/>
      </c>
      <c r="Q7" s="69">
        <f>INDEX(curve_y4,'Metrics'!$E$7)</f>
        <v/>
      </c>
      <c r="R7" s="69">
        <f>INDEX(curve_y5,'Metrics'!$E$7)</f>
        <v/>
      </c>
      <c r="S7" s="69">
        <f>INDEX(curve_y6,'Metrics'!$E$7)</f>
        <v/>
      </c>
      <c r="T7" s="69">
        <f>INDEX(curve_y7,'Metrics'!$E$7)</f>
        <v/>
      </c>
      <c r="U7" s="69">
        <f>INDEX(curve_y8,'Metrics'!$E$7)</f>
        <v/>
      </c>
      <c r="V7" s="70">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8" t="inlineStr">
        <is>
          <t>Road density</t>
        </is>
      </c>
      <c r="B8" s="69">
        <f>IF('DEEP Score'!$E$15="","",'DEEP Score'!$E$15)</f>
        <v/>
      </c>
      <c r="C8" s="69">
        <f>""</f>
        <v/>
      </c>
      <c r="D8" s="69">
        <f>"spring_rddensws|"&amp;'Metrics'!$C$8</f>
        <v/>
      </c>
      <c r="E8" s="69">
        <f>IFERROR(MATCH('Metrics'!$D$8,curve_key,0),MATCH("spring_rddensws|",curve_key,0))</f>
        <v/>
      </c>
      <c r="F8" s="69">
        <f>INDEX(curve_x1,'Metrics'!$E$8)</f>
        <v/>
      </c>
      <c r="G8" s="69">
        <f>INDEX(curve_x2,'Metrics'!$E$8)</f>
        <v/>
      </c>
      <c r="H8" s="69">
        <f>INDEX(curve_x3,'Metrics'!$E$8)</f>
        <v/>
      </c>
      <c r="I8" s="69">
        <f>INDEX(curve_x4,'Metrics'!$E$8)</f>
        <v/>
      </c>
      <c r="J8" s="69">
        <f>INDEX(curve_x5,'Metrics'!$E$8)</f>
        <v/>
      </c>
      <c r="K8" s="69">
        <f>INDEX(curve_x6,'Metrics'!$E$8)</f>
        <v/>
      </c>
      <c r="L8" s="69">
        <f>INDEX(curve_x7,'Metrics'!$E$8)</f>
        <v/>
      </c>
      <c r="M8" s="69">
        <f>INDEX(curve_x8,'Metrics'!$E$8)</f>
        <v/>
      </c>
      <c r="N8" s="69">
        <f>INDEX(curve_y1,'Metrics'!$E$8)</f>
        <v/>
      </c>
      <c r="O8" s="69">
        <f>INDEX(curve_y2,'Metrics'!$E$8)</f>
        <v/>
      </c>
      <c r="P8" s="69">
        <f>INDEX(curve_y3,'Metrics'!$E$8)</f>
        <v/>
      </c>
      <c r="Q8" s="69">
        <f>INDEX(curve_y4,'Metrics'!$E$8)</f>
        <v/>
      </c>
      <c r="R8" s="69">
        <f>INDEX(curve_y5,'Metrics'!$E$8)</f>
        <v/>
      </c>
      <c r="S8" s="69">
        <f>INDEX(curve_y6,'Metrics'!$E$8)</f>
        <v/>
      </c>
      <c r="T8" s="69">
        <f>INDEX(curve_y7,'Metrics'!$E$8)</f>
        <v/>
      </c>
      <c r="U8" s="69">
        <f>INDEX(curve_y8,'Metrics'!$E$8)</f>
        <v/>
      </c>
      <c r="V8" s="70">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8" t="inlineStr">
        <is>
          <t>Base flow index</t>
        </is>
      </c>
      <c r="B9" s="69">
        <f>IF('DEEP Score'!$E$16="","",'DEEP Score'!$E$16)</f>
        <v/>
      </c>
      <c r="C9" s="69">
        <f>""</f>
        <v/>
      </c>
      <c r="D9" s="69">
        <f>"spring_bfiws|"&amp;'Metrics'!$C$9</f>
        <v/>
      </c>
      <c r="E9" s="69">
        <f>IFERROR(MATCH('Metrics'!$D$9,curve_key,0),MATCH("spring_bfiws|",curve_key,0))</f>
        <v/>
      </c>
      <c r="F9" s="69">
        <f>INDEX(curve_x1,'Metrics'!$E$9)</f>
        <v/>
      </c>
      <c r="G9" s="69">
        <f>INDEX(curve_x2,'Metrics'!$E$9)</f>
        <v/>
      </c>
      <c r="H9" s="69">
        <f>INDEX(curve_x3,'Metrics'!$E$9)</f>
        <v/>
      </c>
      <c r="I9" s="69">
        <f>INDEX(curve_x4,'Metrics'!$E$9)</f>
        <v/>
      </c>
      <c r="J9" s="69">
        <f>INDEX(curve_x5,'Metrics'!$E$9)</f>
        <v/>
      </c>
      <c r="K9" s="69">
        <f>INDEX(curve_x6,'Metrics'!$E$9)</f>
        <v/>
      </c>
      <c r="L9" s="69">
        <f>INDEX(curve_x7,'Metrics'!$E$9)</f>
        <v/>
      </c>
      <c r="M9" s="69">
        <f>INDEX(curve_x8,'Metrics'!$E$9)</f>
        <v/>
      </c>
      <c r="N9" s="69">
        <f>INDEX(curve_y1,'Metrics'!$E$9)</f>
        <v/>
      </c>
      <c r="O9" s="69">
        <f>INDEX(curve_y2,'Metrics'!$E$9)</f>
        <v/>
      </c>
      <c r="P9" s="69">
        <f>INDEX(curve_y3,'Metrics'!$E$9)</f>
        <v/>
      </c>
      <c r="Q9" s="69">
        <f>INDEX(curve_y4,'Metrics'!$E$9)</f>
        <v/>
      </c>
      <c r="R9" s="69">
        <f>INDEX(curve_y5,'Metrics'!$E$9)</f>
        <v/>
      </c>
      <c r="S9" s="69">
        <f>INDEX(curve_y6,'Metrics'!$E$9)</f>
        <v/>
      </c>
      <c r="T9" s="69">
        <f>INDEX(curve_y7,'Metrics'!$E$9)</f>
        <v/>
      </c>
      <c r="U9" s="69">
        <f>INDEX(curve_y8,'Metrics'!$E$9)</f>
        <v/>
      </c>
      <c r="V9" s="70">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8" t="inlineStr">
        <is>
          <t>Degree of regulation</t>
        </is>
      </c>
      <c r="B10" s="69">
        <f>IF('DEEP Score'!$E$17="","",'DEEP Score'!$E$17)</f>
        <v/>
      </c>
      <c r="C10" s="69">
        <f>""</f>
        <v/>
      </c>
      <c r="D10" s="69">
        <f>"spring_dorws|"&amp;'Metrics'!$C$10</f>
        <v/>
      </c>
      <c r="E10" s="69">
        <f>IFERROR(MATCH('Metrics'!$D$10,curve_key,0),MATCH("spring_dorws|",curve_key,0))</f>
        <v/>
      </c>
      <c r="F10" s="69">
        <f>INDEX(curve_x1,'Metrics'!$E$10)</f>
        <v/>
      </c>
      <c r="G10" s="69">
        <f>INDEX(curve_x2,'Metrics'!$E$10)</f>
        <v/>
      </c>
      <c r="H10" s="69">
        <f>INDEX(curve_x3,'Metrics'!$E$10)</f>
        <v/>
      </c>
      <c r="I10" s="69">
        <f>INDEX(curve_x4,'Metrics'!$E$10)</f>
        <v/>
      </c>
      <c r="J10" s="69">
        <f>INDEX(curve_x5,'Metrics'!$E$10)</f>
        <v/>
      </c>
      <c r="K10" s="69">
        <f>INDEX(curve_x6,'Metrics'!$E$10)</f>
        <v/>
      </c>
      <c r="L10" s="69">
        <f>INDEX(curve_x7,'Metrics'!$E$10)</f>
        <v/>
      </c>
      <c r="M10" s="69">
        <f>INDEX(curve_x8,'Metrics'!$E$10)</f>
        <v/>
      </c>
      <c r="N10" s="69">
        <f>INDEX(curve_y1,'Metrics'!$E$10)</f>
        <v/>
      </c>
      <c r="O10" s="69">
        <f>INDEX(curve_y2,'Metrics'!$E$10)</f>
        <v/>
      </c>
      <c r="P10" s="69">
        <f>INDEX(curve_y3,'Metrics'!$E$10)</f>
        <v/>
      </c>
      <c r="Q10" s="69">
        <f>INDEX(curve_y4,'Metrics'!$E$10)</f>
        <v/>
      </c>
      <c r="R10" s="69">
        <f>INDEX(curve_y5,'Metrics'!$E$10)</f>
        <v/>
      </c>
      <c r="S10" s="69">
        <f>INDEX(curve_y6,'Metrics'!$E$10)</f>
        <v/>
      </c>
      <c r="T10" s="69">
        <f>INDEX(curve_y7,'Metrics'!$E$10)</f>
        <v/>
      </c>
      <c r="U10" s="69">
        <f>INDEX(curve_y8,'Metrics'!$E$10)</f>
        <v/>
      </c>
      <c r="V10" s="70">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8" t="inlineStr">
        <is>
          <t>Bankfull width:depth ratio</t>
        </is>
      </c>
      <c r="B11" s="69">
        <f>IF('DEEP Score'!$E$19="","",'DEEP Score'!$E$19)</f>
        <v/>
      </c>
      <c r="C11" s="69">
        <f>IF('DEEP Score'!$F$19="","All streams (pooled)",'DEEP Score'!$F$19)</f>
        <v/>
      </c>
      <c r="D11" s="69">
        <f>"spring_phab_bfwd_rat|"&amp;'Metrics'!$C$11</f>
        <v/>
      </c>
      <c r="E11" s="69">
        <f>IFERROR(MATCH('Metrics'!$D$11,curve_key,0),MATCH("spring_phab_bfwd_rat|All streams (pooled)",curve_key,0))</f>
        <v/>
      </c>
      <c r="F11" s="69">
        <f>INDEX(curve_x1,'Metrics'!$E$11)</f>
        <v/>
      </c>
      <c r="G11" s="69">
        <f>INDEX(curve_x2,'Metrics'!$E$11)</f>
        <v/>
      </c>
      <c r="H11" s="69">
        <f>INDEX(curve_x3,'Metrics'!$E$11)</f>
        <v/>
      </c>
      <c r="I11" s="69">
        <f>INDEX(curve_x4,'Metrics'!$E$11)</f>
        <v/>
      </c>
      <c r="J11" s="69">
        <f>INDEX(curve_x5,'Metrics'!$E$11)</f>
        <v/>
      </c>
      <c r="K11" s="69">
        <f>INDEX(curve_x6,'Metrics'!$E$11)</f>
        <v/>
      </c>
      <c r="L11" s="69">
        <f>INDEX(curve_x7,'Metrics'!$E$11)</f>
        <v/>
      </c>
      <c r="M11" s="69">
        <f>INDEX(curve_x8,'Metrics'!$E$11)</f>
        <v/>
      </c>
      <c r="N11" s="69">
        <f>INDEX(curve_y1,'Metrics'!$E$11)</f>
        <v/>
      </c>
      <c r="O11" s="69">
        <f>INDEX(curve_y2,'Metrics'!$E$11)</f>
        <v/>
      </c>
      <c r="P11" s="69">
        <f>INDEX(curve_y3,'Metrics'!$E$11)</f>
        <v/>
      </c>
      <c r="Q11" s="69">
        <f>INDEX(curve_y4,'Metrics'!$E$11)</f>
        <v/>
      </c>
      <c r="R11" s="69">
        <f>INDEX(curve_y5,'Metrics'!$E$11)</f>
        <v/>
      </c>
      <c r="S11" s="69">
        <f>INDEX(curve_y6,'Metrics'!$E$11)</f>
        <v/>
      </c>
      <c r="T11" s="69">
        <f>INDEX(curve_y7,'Metrics'!$E$11)</f>
        <v/>
      </c>
      <c r="U11" s="69">
        <f>INDEX(curve_y8,'Metrics'!$E$11)</f>
        <v/>
      </c>
      <c r="V11" s="70">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8" t="inlineStr">
        <is>
          <t>Bankfull height above channel</t>
        </is>
      </c>
      <c r="B12" s="69">
        <f>IF('DEEP Score'!$E$22="","",'DEEP Score'!$E$22)</f>
        <v/>
      </c>
      <c r="C12" s="69">
        <f>""</f>
        <v/>
      </c>
      <c r="D12" s="69">
        <f>"spring_phab_xbkf_h|"&amp;'Metrics'!$C$12</f>
        <v/>
      </c>
      <c r="E12" s="69">
        <f>IFERROR(MATCH('Metrics'!$D$12,curve_key,0),MATCH("spring_phab_xbkf_h|",curve_key,0))</f>
        <v/>
      </c>
      <c r="F12" s="69">
        <f>INDEX(curve_x1,'Metrics'!$E$12)</f>
        <v/>
      </c>
      <c r="G12" s="69">
        <f>INDEX(curve_x2,'Metrics'!$E$12)</f>
        <v/>
      </c>
      <c r="H12" s="69">
        <f>INDEX(curve_x3,'Metrics'!$E$12)</f>
        <v/>
      </c>
      <c r="I12" s="69">
        <f>INDEX(curve_x4,'Metrics'!$E$12)</f>
        <v/>
      </c>
      <c r="J12" s="69">
        <f>INDEX(curve_x5,'Metrics'!$E$12)</f>
        <v/>
      </c>
      <c r="K12" s="69">
        <f>INDEX(curve_x6,'Metrics'!$E$12)</f>
        <v/>
      </c>
      <c r="L12" s="69">
        <f>INDEX(curve_x7,'Metrics'!$E$12)</f>
        <v/>
      </c>
      <c r="M12" s="69">
        <f>INDEX(curve_x8,'Metrics'!$E$12)</f>
        <v/>
      </c>
      <c r="N12" s="69">
        <f>INDEX(curve_y1,'Metrics'!$E$12)</f>
        <v/>
      </c>
      <c r="O12" s="69">
        <f>INDEX(curve_y2,'Metrics'!$E$12)</f>
        <v/>
      </c>
      <c r="P12" s="69">
        <f>INDEX(curve_y3,'Metrics'!$E$12)</f>
        <v/>
      </c>
      <c r="Q12" s="69">
        <f>INDEX(curve_y4,'Metrics'!$E$12)</f>
        <v/>
      </c>
      <c r="R12" s="69">
        <f>INDEX(curve_y5,'Metrics'!$E$12)</f>
        <v/>
      </c>
      <c r="S12" s="69">
        <f>INDEX(curve_y6,'Metrics'!$E$12)</f>
        <v/>
      </c>
      <c r="T12" s="69">
        <f>INDEX(curve_y7,'Metrics'!$E$12)</f>
        <v/>
      </c>
      <c r="U12" s="69">
        <f>INDEX(curve_y8,'Metrics'!$E$12)</f>
        <v/>
      </c>
      <c r="V12" s="70">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8" t="inlineStr">
        <is>
          <t>Sand + fines</t>
        </is>
      </c>
      <c r="B13" s="69">
        <f>IF('DEEP Score'!$E$23="","",'DEEP Score'!$E$23)</f>
        <v/>
      </c>
      <c r="C13" s="69">
        <f>""</f>
        <v/>
      </c>
      <c r="D13" s="69">
        <f>"spring_phab_pct_safn|"&amp;'Metrics'!$C$13</f>
        <v/>
      </c>
      <c r="E13" s="69">
        <f>IFERROR(MATCH('Metrics'!$D$13,curve_key,0),MATCH("spring_phab_pct_safn|",curve_key,0))</f>
        <v/>
      </c>
      <c r="F13" s="69">
        <f>INDEX(curve_x1,'Metrics'!$E$13)</f>
        <v/>
      </c>
      <c r="G13" s="69">
        <f>INDEX(curve_x2,'Metrics'!$E$13)</f>
        <v/>
      </c>
      <c r="H13" s="69">
        <f>INDEX(curve_x3,'Metrics'!$E$13)</f>
        <v/>
      </c>
      <c r="I13" s="69">
        <f>INDEX(curve_x4,'Metrics'!$E$13)</f>
        <v/>
      </c>
      <c r="J13" s="69">
        <f>INDEX(curve_x5,'Metrics'!$E$13)</f>
        <v/>
      </c>
      <c r="K13" s="69">
        <f>INDEX(curve_x6,'Metrics'!$E$13)</f>
        <v/>
      </c>
      <c r="L13" s="69">
        <f>INDEX(curve_x7,'Metrics'!$E$13)</f>
        <v/>
      </c>
      <c r="M13" s="69">
        <f>INDEX(curve_x8,'Metrics'!$E$13)</f>
        <v/>
      </c>
      <c r="N13" s="69">
        <f>INDEX(curve_y1,'Metrics'!$E$13)</f>
        <v/>
      </c>
      <c r="O13" s="69">
        <f>INDEX(curve_y2,'Metrics'!$E$13)</f>
        <v/>
      </c>
      <c r="P13" s="69">
        <f>INDEX(curve_y3,'Metrics'!$E$13)</f>
        <v/>
      </c>
      <c r="Q13" s="69">
        <f>INDEX(curve_y4,'Metrics'!$E$13)</f>
        <v/>
      </c>
      <c r="R13" s="69">
        <f>INDEX(curve_y5,'Metrics'!$E$13)</f>
        <v/>
      </c>
      <c r="S13" s="69">
        <f>INDEX(curve_y6,'Metrics'!$E$13)</f>
        <v/>
      </c>
      <c r="T13" s="69">
        <f>INDEX(curve_y7,'Metrics'!$E$13)</f>
        <v/>
      </c>
      <c r="U13" s="69">
        <f>INDEX(curve_y8,'Metrics'!$E$13)</f>
        <v/>
      </c>
      <c r="V13" s="70">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8" t="inlineStr">
        <is>
          <t>Embeddedness</t>
        </is>
      </c>
      <c r="B14" s="69">
        <f>IF('DEEP Score'!$E$24="","",'DEEP Score'!$E$24)</f>
        <v/>
      </c>
      <c r="C14" s="69">
        <f>""</f>
        <v/>
      </c>
      <c r="D14" s="69">
        <f>"spring_phab_xembed|"&amp;'Metrics'!$C$14</f>
        <v/>
      </c>
      <c r="E14" s="69">
        <f>IFERROR(MATCH('Metrics'!$D$14,curve_key,0),MATCH("spring_phab_xembed|",curve_key,0))</f>
        <v/>
      </c>
      <c r="F14" s="69">
        <f>INDEX(curve_x1,'Metrics'!$E$14)</f>
        <v/>
      </c>
      <c r="G14" s="69">
        <f>INDEX(curve_x2,'Metrics'!$E$14)</f>
        <v/>
      </c>
      <c r="H14" s="69">
        <f>INDEX(curve_x3,'Metrics'!$E$14)</f>
        <v/>
      </c>
      <c r="I14" s="69">
        <f>INDEX(curve_x4,'Metrics'!$E$14)</f>
        <v/>
      </c>
      <c r="J14" s="69">
        <f>INDEX(curve_x5,'Metrics'!$E$14)</f>
        <v/>
      </c>
      <c r="K14" s="69">
        <f>INDEX(curve_x6,'Metrics'!$E$14)</f>
        <v/>
      </c>
      <c r="L14" s="69">
        <f>INDEX(curve_x7,'Metrics'!$E$14)</f>
        <v/>
      </c>
      <c r="M14" s="69">
        <f>INDEX(curve_x8,'Metrics'!$E$14)</f>
        <v/>
      </c>
      <c r="N14" s="69">
        <f>INDEX(curve_y1,'Metrics'!$E$14)</f>
        <v/>
      </c>
      <c r="O14" s="69">
        <f>INDEX(curve_y2,'Metrics'!$E$14)</f>
        <v/>
      </c>
      <c r="P14" s="69">
        <f>INDEX(curve_y3,'Metrics'!$E$14)</f>
        <v/>
      </c>
      <c r="Q14" s="69">
        <f>INDEX(curve_y4,'Metrics'!$E$14)</f>
        <v/>
      </c>
      <c r="R14" s="69">
        <f>INDEX(curve_y5,'Metrics'!$E$14)</f>
        <v/>
      </c>
      <c r="S14" s="69">
        <f>INDEX(curve_y6,'Metrics'!$E$14)</f>
        <v/>
      </c>
      <c r="T14" s="69">
        <f>INDEX(curve_y7,'Metrics'!$E$14)</f>
        <v/>
      </c>
      <c r="U14" s="69">
        <f>INDEX(curve_y8,'Metrics'!$E$14)</f>
        <v/>
      </c>
      <c r="V14" s="70">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8" t="inlineStr">
        <is>
          <t>Sinuosity</t>
        </is>
      </c>
      <c r="B15" s="69">
        <f>IF('DEEP Score'!$E$27="","",'DEEP Score'!$E$27)</f>
        <v/>
      </c>
      <c r="C15" s="69">
        <f>""</f>
        <v/>
      </c>
      <c r="D15" s="69">
        <f>"spring_phab_sinu|"&amp;'Metrics'!$C$15</f>
        <v/>
      </c>
      <c r="E15" s="69">
        <f>IFERROR(MATCH('Metrics'!$D$15,curve_key,0),MATCH("spring_phab_sinu|",curve_key,0))</f>
        <v/>
      </c>
      <c r="F15" s="69">
        <f>INDEX(curve_x1,'Metrics'!$E$15)</f>
        <v/>
      </c>
      <c r="G15" s="69">
        <f>INDEX(curve_x2,'Metrics'!$E$15)</f>
        <v/>
      </c>
      <c r="H15" s="69">
        <f>INDEX(curve_x3,'Metrics'!$E$15)</f>
        <v/>
      </c>
      <c r="I15" s="69">
        <f>INDEX(curve_x4,'Metrics'!$E$15)</f>
        <v/>
      </c>
      <c r="J15" s="69">
        <f>INDEX(curve_x5,'Metrics'!$E$15)</f>
        <v/>
      </c>
      <c r="K15" s="69">
        <f>INDEX(curve_x6,'Metrics'!$E$15)</f>
        <v/>
      </c>
      <c r="L15" s="69">
        <f>INDEX(curve_x7,'Metrics'!$E$15)</f>
        <v/>
      </c>
      <c r="M15" s="69">
        <f>INDEX(curve_x8,'Metrics'!$E$15)</f>
        <v/>
      </c>
      <c r="N15" s="69">
        <f>INDEX(curve_y1,'Metrics'!$E$15)</f>
        <v/>
      </c>
      <c r="O15" s="69">
        <f>INDEX(curve_y2,'Metrics'!$E$15)</f>
        <v/>
      </c>
      <c r="P15" s="69">
        <f>INDEX(curve_y3,'Metrics'!$E$15)</f>
        <v/>
      </c>
      <c r="Q15" s="69">
        <f>INDEX(curve_y4,'Metrics'!$E$15)</f>
        <v/>
      </c>
      <c r="R15" s="69">
        <f>INDEX(curve_y5,'Metrics'!$E$15)</f>
        <v/>
      </c>
      <c r="S15" s="69">
        <f>INDEX(curve_y6,'Metrics'!$E$15)</f>
        <v/>
      </c>
      <c r="T15" s="69">
        <f>INDEX(curve_y7,'Metrics'!$E$15)</f>
        <v/>
      </c>
      <c r="U15" s="69">
        <f>INDEX(curve_y8,'Metrics'!$E$15)</f>
        <v/>
      </c>
      <c r="V15" s="70">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8" t="inlineStr">
        <is>
          <t>Bank angle</t>
        </is>
      </c>
      <c r="B16" s="69">
        <f>IF('DEEP Score'!$E$28="","",'DEEP Score'!$E$28)</f>
        <v/>
      </c>
      <c r="C16" s="69">
        <f>""</f>
        <v/>
      </c>
      <c r="D16" s="69">
        <f>"spring_phab_xbka|"&amp;'Metrics'!$C$16</f>
        <v/>
      </c>
      <c r="E16" s="69">
        <f>IFERROR(MATCH('Metrics'!$D$16,curve_key,0),MATCH("spring_phab_xbka|",curve_key,0))</f>
        <v/>
      </c>
      <c r="F16" s="69">
        <f>INDEX(curve_x1,'Metrics'!$E$16)</f>
        <v/>
      </c>
      <c r="G16" s="69">
        <f>INDEX(curve_x2,'Metrics'!$E$16)</f>
        <v/>
      </c>
      <c r="H16" s="69">
        <f>INDEX(curve_x3,'Metrics'!$E$16)</f>
        <v/>
      </c>
      <c r="I16" s="69">
        <f>INDEX(curve_x4,'Metrics'!$E$16)</f>
        <v/>
      </c>
      <c r="J16" s="69">
        <f>INDEX(curve_x5,'Metrics'!$E$16)</f>
        <v/>
      </c>
      <c r="K16" s="69">
        <f>INDEX(curve_x6,'Metrics'!$E$16)</f>
        <v/>
      </c>
      <c r="L16" s="69">
        <f>INDEX(curve_x7,'Metrics'!$E$16)</f>
        <v/>
      </c>
      <c r="M16" s="69">
        <f>INDEX(curve_x8,'Metrics'!$E$16)</f>
        <v/>
      </c>
      <c r="N16" s="69">
        <f>INDEX(curve_y1,'Metrics'!$E$16)</f>
        <v/>
      </c>
      <c r="O16" s="69">
        <f>INDEX(curve_y2,'Metrics'!$E$16)</f>
        <v/>
      </c>
      <c r="P16" s="69">
        <f>INDEX(curve_y3,'Metrics'!$E$16)</f>
        <v/>
      </c>
      <c r="Q16" s="69">
        <f>INDEX(curve_y4,'Metrics'!$E$16)</f>
        <v/>
      </c>
      <c r="R16" s="69">
        <f>INDEX(curve_y5,'Metrics'!$E$16)</f>
        <v/>
      </c>
      <c r="S16" s="69">
        <f>INDEX(curve_y6,'Metrics'!$E$16)</f>
        <v/>
      </c>
      <c r="T16" s="69">
        <f>INDEX(curve_y7,'Metrics'!$E$16)</f>
        <v/>
      </c>
      <c r="U16" s="69">
        <f>INDEX(curve_y8,'Metrics'!$E$16)</f>
        <v/>
      </c>
      <c r="V16" s="70">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8" t="inlineStr">
        <is>
          <t>Relative bed stability</t>
        </is>
      </c>
      <c r="B17" s="69">
        <f>IF('DEEP Score'!$E$29="","",'DEEP Score'!$E$29)</f>
        <v/>
      </c>
      <c r="C17" s="69">
        <f>""</f>
        <v/>
      </c>
      <c r="D17" s="69">
        <f>"spring_phab_lrbs_use|"&amp;'Metrics'!$C$17</f>
        <v/>
      </c>
      <c r="E17" s="69">
        <f>IFERROR(MATCH('Metrics'!$D$17,curve_key,0),MATCH("spring_phab_lrbs_use|",curve_key,0))</f>
        <v/>
      </c>
      <c r="F17" s="69">
        <f>INDEX(curve_x1,'Metrics'!$E$17)</f>
        <v/>
      </c>
      <c r="G17" s="69">
        <f>INDEX(curve_x2,'Metrics'!$E$17)</f>
        <v/>
      </c>
      <c r="H17" s="69">
        <f>INDEX(curve_x3,'Metrics'!$E$17)</f>
        <v/>
      </c>
      <c r="I17" s="69">
        <f>INDEX(curve_x4,'Metrics'!$E$17)</f>
        <v/>
      </c>
      <c r="J17" s="69">
        <f>INDEX(curve_x5,'Metrics'!$E$17)</f>
        <v/>
      </c>
      <c r="K17" s="69">
        <f>INDEX(curve_x6,'Metrics'!$E$17)</f>
        <v/>
      </c>
      <c r="L17" s="69">
        <f>INDEX(curve_x7,'Metrics'!$E$17)</f>
        <v/>
      </c>
      <c r="M17" s="69">
        <f>INDEX(curve_x8,'Metrics'!$E$17)</f>
        <v/>
      </c>
      <c r="N17" s="69">
        <f>INDEX(curve_y1,'Metrics'!$E$17)</f>
        <v/>
      </c>
      <c r="O17" s="69">
        <f>INDEX(curve_y2,'Metrics'!$E$17)</f>
        <v/>
      </c>
      <c r="P17" s="69">
        <f>INDEX(curve_y3,'Metrics'!$E$17)</f>
        <v/>
      </c>
      <c r="Q17" s="69">
        <f>INDEX(curve_y4,'Metrics'!$E$17)</f>
        <v/>
      </c>
      <c r="R17" s="69">
        <f>INDEX(curve_y5,'Metrics'!$E$17)</f>
        <v/>
      </c>
      <c r="S17" s="69">
        <f>INDEX(curve_y6,'Metrics'!$E$17)</f>
        <v/>
      </c>
      <c r="T17" s="69">
        <f>INDEX(curve_y7,'Metrics'!$E$17)</f>
        <v/>
      </c>
      <c r="U17" s="69">
        <f>INDEX(curve_y8,'Metrics'!$E$17)</f>
        <v/>
      </c>
      <c r="V17" s="70">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8" t="inlineStr">
        <is>
          <t>Large wood volume</t>
        </is>
      </c>
      <c r="B18" s="69">
        <f>IF('DEEP Score'!$E$32="","",'DEEP Score'!$E$32)</f>
        <v/>
      </c>
      <c r="C18" s="69">
        <f>""</f>
        <v/>
      </c>
      <c r="D18" s="69">
        <f>"spring_phab_lwdeqvolm100|"&amp;'Metrics'!$C$18</f>
        <v/>
      </c>
      <c r="E18" s="69">
        <f>IFERROR(MATCH('Metrics'!$D$18,curve_key,0),MATCH("spring_phab_lwdeqvolm100|",curve_key,0))</f>
        <v/>
      </c>
      <c r="F18" s="69">
        <f>INDEX(curve_x1,'Metrics'!$E$18)</f>
        <v/>
      </c>
      <c r="G18" s="69">
        <f>INDEX(curve_x2,'Metrics'!$E$18)</f>
        <v/>
      </c>
      <c r="H18" s="69">
        <f>INDEX(curve_x3,'Metrics'!$E$18)</f>
        <v/>
      </c>
      <c r="I18" s="69">
        <f>INDEX(curve_x4,'Metrics'!$E$18)</f>
        <v/>
      </c>
      <c r="J18" s="69">
        <f>INDEX(curve_x5,'Metrics'!$E$18)</f>
        <v/>
      </c>
      <c r="K18" s="69">
        <f>INDEX(curve_x6,'Metrics'!$E$18)</f>
        <v/>
      </c>
      <c r="L18" s="69">
        <f>INDEX(curve_x7,'Metrics'!$E$18)</f>
        <v/>
      </c>
      <c r="M18" s="69">
        <f>INDEX(curve_x8,'Metrics'!$E$18)</f>
        <v/>
      </c>
      <c r="N18" s="69">
        <f>INDEX(curve_y1,'Metrics'!$E$18)</f>
        <v/>
      </c>
      <c r="O18" s="69">
        <f>INDEX(curve_y2,'Metrics'!$E$18)</f>
        <v/>
      </c>
      <c r="P18" s="69">
        <f>INDEX(curve_y3,'Metrics'!$E$18)</f>
        <v/>
      </c>
      <c r="Q18" s="69">
        <f>INDEX(curve_y4,'Metrics'!$E$18)</f>
        <v/>
      </c>
      <c r="R18" s="69">
        <f>INDEX(curve_y5,'Metrics'!$E$18)</f>
        <v/>
      </c>
      <c r="S18" s="69">
        <f>INDEX(curve_y6,'Metrics'!$E$18)</f>
        <v/>
      </c>
      <c r="T18" s="69">
        <f>INDEX(curve_y7,'Metrics'!$E$18)</f>
        <v/>
      </c>
      <c r="U18" s="69">
        <f>INDEX(curve_y8,'Metrics'!$E$18)</f>
        <v/>
      </c>
      <c r="V18" s="70">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8" t="inlineStr">
        <is>
          <t>Chlorophyll a</t>
        </is>
      </c>
      <c r="B19" s="69">
        <f>IF('DEEP Score'!$E$33="","",'DEEP Score'!$E$33)</f>
        <v/>
      </c>
      <c r="C19" s="69">
        <f>""</f>
        <v/>
      </c>
      <c r="D19" s="69">
        <f>"spring_chem_chla|"&amp;'Metrics'!$C$19</f>
        <v/>
      </c>
      <c r="E19" s="69">
        <f>IFERROR(MATCH('Metrics'!$D$19,curve_key,0),MATCH("spring_chem_chla|",curve_key,0))</f>
        <v/>
      </c>
      <c r="F19" s="69">
        <f>INDEX(curve_x1,'Metrics'!$E$19)</f>
        <v/>
      </c>
      <c r="G19" s="69">
        <f>INDEX(curve_x2,'Metrics'!$E$19)</f>
        <v/>
      </c>
      <c r="H19" s="69">
        <f>INDEX(curve_x3,'Metrics'!$E$19)</f>
        <v/>
      </c>
      <c r="I19" s="69">
        <f>INDEX(curve_x4,'Metrics'!$E$19)</f>
        <v/>
      </c>
      <c r="J19" s="69">
        <f>INDEX(curve_x5,'Metrics'!$E$19)</f>
        <v/>
      </c>
      <c r="K19" s="69">
        <f>INDEX(curve_x6,'Metrics'!$E$19)</f>
        <v/>
      </c>
      <c r="L19" s="69">
        <f>INDEX(curve_x7,'Metrics'!$E$19)</f>
        <v/>
      </c>
      <c r="M19" s="69">
        <f>INDEX(curve_x8,'Metrics'!$E$19)</f>
        <v/>
      </c>
      <c r="N19" s="69">
        <f>INDEX(curve_y1,'Metrics'!$E$19)</f>
        <v/>
      </c>
      <c r="O19" s="69">
        <f>INDEX(curve_y2,'Metrics'!$E$19)</f>
        <v/>
      </c>
      <c r="P19" s="69">
        <f>INDEX(curve_y3,'Metrics'!$E$19)</f>
        <v/>
      </c>
      <c r="Q19" s="69">
        <f>INDEX(curve_y4,'Metrics'!$E$19)</f>
        <v/>
      </c>
      <c r="R19" s="69">
        <f>INDEX(curve_y5,'Metrics'!$E$19)</f>
        <v/>
      </c>
      <c r="S19" s="69">
        <f>INDEX(curve_y6,'Metrics'!$E$19)</f>
        <v/>
      </c>
      <c r="T19" s="69">
        <f>INDEX(curve_y7,'Metrics'!$E$19)</f>
        <v/>
      </c>
      <c r="U19" s="69">
        <f>INDEX(curve_y8,'Metrics'!$E$19)</f>
        <v/>
      </c>
      <c r="V19" s="70">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8" t="inlineStr">
        <is>
          <t>Canopy density, mid-channel</t>
        </is>
      </c>
      <c r="B20" s="69">
        <f>IF('DEEP Score'!$E$34="","",'DEEP Score'!$E$34)</f>
        <v/>
      </c>
      <c r="C20" s="69">
        <f>IF('DEEP Score'!$F$34="","All streams (pooled)",'DEEP Score'!$F$34)</f>
        <v/>
      </c>
      <c r="D20" s="69">
        <f>"spring_phab_xcdenmid|"&amp;'Metrics'!$C$20</f>
        <v/>
      </c>
      <c r="E20" s="69">
        <f>IFERROR(MATCH('Metrics'!$D$20,curve_key,0),MATCH("spring_phab_xcdenmid|All streams (pooled)",curve_key,0))</f>
        <v/>
      </c>
      <c r="F20" s="69">
        <f>INDEX(curve_x1,'Metrics'!$E$20)</f>
        <v/>
      </c>
      <c r="G20" s="69">
        <f>INDEX(curve_x2,'Metrics'!$E$20)</f>
        <v/>
      </c>
      <c r="H20" s="69">
        <f>INDEX(curve_x3,'Metrics'!$E$20)</f>
        <v/>
      </c>
      <c r="I20" s="69">
        <f>INDEX(curve_x4,'Metrics'!$E$20)</f>
        <v/>
      </c>
      <c r="J20" s="69">
        <f>INDEX(curve_x5,'Metrics'!$E$20)</f>
        <v/>
      </c>
      <c r="K20" s="69">
        <f>INDEX(curve_x6,'Metrics'!$E$20)</f>
        <v/>
      </c>
      <c r="L20" s="69">
        <f>INDEX(curve_x7,'Metrics'!$E$20)</f>
        <v/>
      </c>
      <c r="M20" s="69">
        <f>INDEX(curve_x8,'Metrics'!$E$20)</f>
        <v/>
      </c>
      <c r="N20" s="69">
        <f>INDEX(curve_y1,'Metrics'!$E$20)</f>
        <v/>
      </c>
      <c r="O20" s="69">
        <f>INDEX(curve_y2,'Metrics'!$E$20)</f>
        <v/>
      </c>
      <c r="P20" s="69">
        <f>INDEX(curve_y3,'Metrics'!$E$20)</f>
        <v/>
      </c>
      <c r="Q20" s="69">
        <f>INDEX(curve_y4,'Metrics'!$E$20)</f>
        <v/>
      </c>
      <c r="R20" s="69">
        <f>INDEX(curve_y5,'Metrics'!$E$20)</f>
        <v/>
      </c>
      <c r="S20" s="69">
        <f>INDEX(curve_y6,'Metrics'!$E$20)</f>
        <v/>
      </c>
      <c r="T20" s="69">
        <f>INDEX(curve_y7,'Metrics'!$E$20)</f>
        <v/>
      </c>
      <c r="U20" s="69">
        <f>INDEX(curve_y8,'Metrics'!$E$20)</f>
        <v/>
      </c>
      <c r="V20" s="70">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8" t="inlineStr">
        <is>
          <t>Riparian veg cover, woody</t>
        </is>
      </c>
      <c r="B21" s="69">
        <f>IF('DEEP Score'!$E$35="","",'DEEP Score'!$E$35)</f>
        <v/>
      </c>
      <c r="C21" s="69">
        <f>""</f>
        <v/>
      </c>
      <c r="D21" s="69">
        <f>"spring_phab_xcmgw|"&amp;'Metrics'!$C$21</f>
        <v/>
      </c>
      <c r="E21" s="69">
        <f>IFERROR(MATCH('Metrics'!$D$21,curve_key,0),MATCH("spring_phab_xcmgw|",curve_key,0))</f>
        <v/>
      </c>
      <c r="F21" s="69">
        <f>INDEX(curve_x1,'Metrics'!$E$21)</f>
        <v/>
      </c>
      <c r="G21" s="69">
        <f>INDEX(curve_x2,'Metrics'!$E$21)</f>
        <v/>
      </c>
      <c r="H21" s="69">
        <f>INDEX(curve_x3,'Metrics'!$E$21)</f>
        <v/>
      </c>
      <c r="I21" s="69">
        <f>INDEX(curve_x4,'Metrics'!$E$21)</f>
        <v/>
      </c>
      <c r="J21" s="69">
        <f>INDEX(curve_x5,'Metrics'!$E$21)</f>
        <v/>
      </c>
      <c r="K21" s="69">
        <f>INDEX(curve_x6,'Metrics'!$E$21)</f>
        <v/>
      </c>
      <c r="L21" s="69">
        <f>INDEX(curve_x7,'Metrics'!$E$21)</f>
        <v/>
      </c>
      <c r="M21" s="69">
        <f>INDEX(curve_x8,'Metrics'!$E$21)</f>
        <v/>
      </c>
      <c r="N21" s="69">
        <f>INDEX(curve_y1,'Metrics'!$E$21)</f>
        <v/>
      </c>
      <c r="O21" s="69">
        <f>INDEX(curve_y2,'Metrics'!$E$21)</f>
        <v/>
      </c>
      <c r="P21" s="69">
        <f>INDEX(curve_y3,'Metrics'!$E$21)</f>
        <v/>
      </c>
      <c r="Q21" s="69">
        <f>INDEX(curve_y4,'Metrics'!$E$21)</f>
        <v/>
      </c>
      <c r="R21" s="69">
        <f>INDEX(curve_y5,'Metrics'!$E$21)</f>
        <v/>
      </c>
      <c r="S21" s="69">
        <f>INDEX(curve_y6,'Metrics'!$E$21)</f>
        <v/>
      </c>
      <c r="T21" s="69">
        <f>INDEX(curve_y7,'Metrics'!$E$21)</f>
        <v/>
      </c>
      <c r="U21" s="69">
        <f>INDEX(curve_y8,'Metrics'!$E$21)</f>
        <v/>
      </c>
      <c r="V21" s="70">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8" t="inlineStr">
        <is>
          <t>Total phosphorus</t>
        </is>
      </c>
      <c r="B22" s="69">
        <f>IF('DEEP Score'!$E$36="","",'DEEP Score'!$E$36)</f>
        <v/>
      </c>
      <c r="C22" s="69">
        <f>""</f>
        <v/>
      </c>
      <c r="D22" s="69">
        <f>"spring_chem_ptl|"&amp;'Metrics'!$C$22</f>
        <v/>
      </c>
      <c r="E22" s="69">
        <f>IFERROR(MATCH('Metrics'!$D$22,curve_key,0),MATCH("spring_chem_ptl|",curve_key,0))</f>
        <v/>
      </c>
      <c r="F22" s="69">
        <f>INDEX(curve_x1,'Metrics'!$E$22)</f>
        <v/>
      </c>
      <c r="G22" s="69">
        <f>INDEX(curve_x2,'Metrics'!$E$22)</f>
        <v/>
      </c>
      <c r="H22" s="69">
        <f>INDEX(curve_x3,'Metrics'!$E$22)</f>
        <v/>
      </c>
      <c r="I22" s="69">
        <f>INDEX(curve_x4,'Metrics'!$E$22)</f>
        <v/>
      </c>
      <c r="J22" s="69">
        <f>INDEX(curve_x5,'Metrics'!$E$22)</f>
        <v/>
      </c>
      <c r="K22" s="69">
        <f>INDEX(curve_x6,'Metrics'!$E$22)</f>
        <v/>
      </c>
      <c r="L22" s="69">
        <f>INDEX(curve_x7,'Metrics'!$E$22)</f>
        <v/>
      </c>
      <c r="M22" s="69">
        <f>INDEX(curve_x8,'Metrics'!$E$22)</f>
        <v/>
      </c>
      <c r="N22" s="69">
        <f>INDEX(curve_y1,'Metrics'!$E$22)</f>
        <v/>
      </c>
      <c r="O22" s="69">
        <f>INDEX(curve_y2,'Metrics'!$E$22)</f>
        <v/>
      </c>
      <c r="P22" s="69">
        <f>INDEX(curve_y3,'Metrics'!$E$22)</f>
        <v/>
      </c>
      <c r="Q22" s="69">
        <f>INDEX(curve_y4,'Metrics'!$E$22)</f>
        <v/>
      </c>
      <c r="R22" s="69">
        <f>INDEX(curve_y5,'Metrics'!$E$22)</f>
        <v/>
      </c>
      <c r="S22" s="69">
        <f>INDEX(curve_y6,'Metrics'!$E$22)</f>
        <v/>
      </c>
      <c r="T22" s="69">
        <f>INDEX(curve_y7,'Metrics'!$E$22)</f>
        <v/>
      </c>
      <c r="U22" s="69">
        <f>INDEX(curve_y8,'Metrics'!$E$22)</f>
        <v/>
      </c>
      <c r="V22" s="70">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8" t="inlineStr">
        <is>
          <t>Total nitrogen</t>
        </is>
      </c>
      <c r="B23" s="69">
        <f>IF('DEEP Score'!$E$37="","",'DEEP Score'!$E$37)</f>
        <v/>
      </c>
      <c r="C23" s="69">
        <f>""</f>
        <v/>
      </c>
      <c r="D23" s="69">
        <f>"spring_chem_ntl|"&amp;'Metrics'!$C$23</f>
        <v/>
      </c>
      <c r="E23" s="69">
        <f>IFERROR(MATCH('Metrics'!$D$23,curve_key,0),MATCH("spring_chem_ntl|",curve_key,0))</f>
        <v/>
      </c>
      <c r="F23" s="69">
        <f>INDEX(curve_x1,'Metrics'!$E$23)</f>
        <v/>
      </c>
      <c r="G23" s="69">
        <f>INDEX(curve_x2,'Metrics'!$E$23)</f>
        <v/>
      </c>
      <c r="H23" s="69">
        <f>INDEX(curve_x3,'Metrics'!$E$23)</f>
        <v/>
      </c>
      <c r="I23" s="69">
        <f>INDEX(curve_x4,'Metrics'!$E$23)</f>
        <v/>
      </c>
      <c r="J23" s="69">
        <f>INDEX(curve_x5,'Metrics'!$E$23)</f>
        <v/>
      </c>
      <c r="K23" s="69">
        <f>INDEX(curve_x6,'Metrics'!$E$23)</f>
        <v/>
      </c>
      <c r="L23" s="69">
        <f>INDEX(curve_x7,'Metrics'!$E$23)</f>
        <v/>
      </c>
      <c r="M23" s="69">
        <f>INDEX(curve_x8,'Metrics'!$E$23)</f>
        <v/>
      </c>
      <c r="N23" s="69">
        <f>INDEX(curve_y1,'Metrics'!$E$23)</f>
        <v/>
      </c>
      <c r="O23" s="69">
        <f>INDEX(curve_y2,'Metrics'!$E$23)</f>
        <v/>
      </c>
      <c r="P23" s="69">
        <f>INDEX(curve_y3,'Metrics'!$E$23)</f>
        <v/>
      </c>
      <c r="Q23" s="69">
        <f>INDEX(curve_y4,'Metrics'!$E$23)</f>
        <v/>
      </c>
      <c r="R23" s="69">
        <f>INDEX(curve_y5,'Metrics'!$E$23)</f>
        <v/>
      </c>
      <c r="S23" s="69">
        <f>INDEX(curve_y6,'Metrics'!$E$23)</f>
        <v/>
      </c>
      <c r="T23" s="69">
        <f>INDEX(curve_y7,'Metrics'!$E$23)</f>
        <v/>
      </c>
      <c r="U23" s="69">
        <f>INDEX(curve_y8,'Metrics'!$E$23)</f>
        <v/>
      </c>
      <c r="V23" s="70">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8" t="inlineStr">
        <is>
          <t>Specific conductivity</t>
        </is>
      </c>
      <c r="B24" s="69">
        <f>IF('DEEP Score'!$E$38="","",'DEEP Score'!$E$38)</f>
        <v/>
      </c>
      <c r="C24" s="69">
        <f>""</f>
        <v/>
      </c>
      <c r="D24" s="69">
        <f>"spring_chem_cond|"&amp;'Metrics'!$C$24</f>
        <v/>
      </c>
      <c r="E24" s="69">
        <f>IFERROR(MATCH('Metrics'!$D$24,curve_key,0),MATCH("spring_chem_cond|",curve_key,0))</f>
        <v/>
      </c>
      <c r="F24" s="69">
        <f>INDEX(curve_x1,'Metrics'!$E$24)</f>
        <v/>
      </c>
      <c r="G24" s="69">
        <f>INDEX(curve_x2,'Metrics'!$E$24)</f>
        <v/>
      </c>
      <c r="H24" s="69">
        <f>INDEX(curve_x3,'Metrics'!$E$24)</f>
        <v/>
      </c>
      <c r="I24" s="69">
        <f>INDEX(curve_x4,'Metrics'!$E$24)</f>
        <v/>
      </c>
      <c r="J24" s="69">
        <f>INDEX(curve_x5,'Metrics'!$E$24)</f>
        <v/>
      </c>
      <c r="K24" s="69">
        <f>INDEX(curve_x6,'Metrics'!$E$24)</f>
        <v/>
      </c>
      <c r="L24" s="69">
        <f>INDEX(curve_x7,'Metrics'!$E$24)</f>
        <v/>
      </c>
      <c r="M24" s="69">
        <f>INDEX(curve_x8,'Metrics'!$E$24)</f>
        <v/>
      </c>
      <c r="N24" s="69">
        <f>INDEX(curve_y1,'Metrics'!$E$24)</f>
        <v/>
      </c>
      <c r="O24" s="69">
        <f>INDEX(curve_y2,'Metrics'!$E$24)</f>
        <v/>
      </c>
      <c r="P24" s="69">
        <f>INDEX(curve_y3,'Metrics'!$E$24)</f>
        <v/>
      </c>
      <c r="Q24" s="69">
        <f>INDEX(curve_y4,'Metrics'!$E$24)</f>
        <v/>
      </c>
      <c r="R24" s="69">
        <f>INDEX(curve_y5,'Metrics'!$E$24)</f>
        <v/>
      </c>
      <c r="S24" s="69">
        <f>INDEX(curve_y6,'Metrics'!$E$24)</f>
        <v/>
      </c>
      <c r="T24" s="69">
        <f>INDEX(curve_y7,'Metrics'!$E$24)</f>
        <v/>
      </c>
      <c r="U24" s="69">
        <f>INDEX(curve_y8,'Metrics'!$E$24)</f>
        <v/>
      </c>
      <c r="V24" s="70">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8" t="inlineStr">
        <is>
          <t>pH</t>
        </is>
      </c>
      <c r="B25" s="69">
        <f>IF('DEEP Score'!$E$39="","",'DEEP Score'!$E$39)</f>
        <v/>
      </c>
      <c r="C25" s="69">
        <f>""</f>
        <v/>
      </c>
      <c r="D25" s="69">
        <f>"spring_chem_ph|"&amp;'Metrics'!$C$25</f>
        <v/>
      </c>
      <c r="E25" s="69">
        <f>IFERROR(MATCH('Metrics'!$D$25,curve_key,0),MATCH("spring_chem_ph|",curve_key,0))</f>
        <v/>
      </c>
      <c r="F25" s="69">
        <f>INDEX(curve_x1,'Metrics'!$E$25)</f>
        <v/>
      </c>
      <c r="G25" s="69">
        <f>INDEX(curve_x2,'Metrics'!$E$25)</f>
        <v/>
      </c>
      <c r="H25" s="69">
        <f>INDEX(curve_x3,'Metrics'!$E$25)</f>
        <v/>
      </c>
      <c r="I25" s="69">
        <f>INDEX(curve_x4,'Metrics'!$E$25)</f>
        <v/>
      </c>
      <c r="J25" s="69">
        <f>INDEX(curve_x5,'Metrics'!$E$25)</f>
        <v/>
      </c>
      <c r="K25" s="69">
        <f>INDEX(curve_x6,'Metrics'!$E$25)</f>
        <v/>
      </c>
      <c r="L25" s="69">
        <f>INDEX(curve_x7,'Metrics'!$E$25)</f>
        <v/>
      </c>
      <c r="M25" s="69">
        <f>INDEX(curve_x8,'Metrics'!$E$25)</f>
        <v/>
      </c>
      <c r="N25" s="69">
        <f>INDEX(curve_y1,'Metrics'!$E$25)</f>
        <v/>
      </c>
      <c r="O25" s="69">
        <f>INDEX(curve_y2,'Metrics'!$E$25)</f>
        <v/>
      </c>
      <c r="P25" s="69">
        <f>INDEX(curve_y3,'Metrics'!$E$25)</f>
        <v/>
      </c>
      <c r="Q25" s="69">
        <f>INDEX(curve_y4,'Metrics'!$E$25)</f>
        <v/>
      </c>
      <c r="R25" s="69">
        <f>INDEX(curve_y5,'Metrics'!$E$25)</f>
        <v/>
      </c>
      <c r="S25" s="69">
        <f>INDEX(curve_y6,'Metrics'!$E$25)</f>
        <v/>
      </c>
      <c r="T25" s="69">
        <f>INDEX(curve_y7,'Metrics'!$E$25)</f>
        <v/>
      </c>
      <c r="U25" s="69">
        <f>INDEX(curve_y8,'Metrics'!$E$25)</f>
        <v/>
      </c>
      <c r="V25" s="70">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8" t="inlineStr">
        <is>
          <t>Fast-water / riffle habitat</t>
        </is>
      </c>
      <c r="B26" s="69">
        <f>IF('DEEP Score'!$E$40="","",'DEEP Score'!$E$40)</f>
        <v/>
      </c>
      <c r="C26" s="69">
        <f>IF('DEEP Score'!$F$40="","All streams (pooled)",'DEEP Score'!$F$40)</f>
        <v/>
      </c>
      <c r="D26" s="69">
        <f>"spring_phab_pct_fast|"&amp;'Metrics'!$C$26</f>
        <v/>
      </c>
      <c r="E26" s="69">
        <f>IFERROR(MATCH('Metrics'!$D$26,curve_key,0),MATCH("spring_phab_pct_fast|All streams (pooled)",curve_key,0))</f>
        <v/>
      </c>
      <c r="F26" s="69">
        <f>INDEX(curve_x1,'Metrics'!$E$26)</f>
        <v/>
      </c>
      <c r="G26" s="69">
        <f>INDEX(curve_x2,'Metrics'!$E$26)</f>
        <v/>
      </c>
      <c r="H26" s="69">
        <f>INDEX(curve_x3,'Metrics'!$E$26)</f>
        <v/>
      </c>
      <c r="I26" s="69">
        <f>INDEX(curve_x4,'Metrics'!$E$26)</f>
        <v/>
      </c>
      <c r="J26" s="69">
        <f>INDEX(curve_x5,'Metrics'!$E$26)</f>
        <v/>
      </c>
      <c r="K26" s="69">
        <f>INDEX(curve_x6,'Metrics'!$E$26)</f>
        <v/>
      </c>
      <c r="L26" s="69">
        <f>INDEX(curve_x7,'Metrics'!$E$26)</f>
        <v/>
      </c>
      <c r="M26" s="69">
        <f>INDEX(curve_x8,'Metrics'!$E$26)</f>
        <v/>
      </c>
      <c r="N26" s="69">
        <f>INDEX(curve_y1,'Metrics'!$E$26)</f>
        <v/>
      </c>
      <c r="O26" s="69">
        <f>INDEX(curve_y2,'Metrics'!$E$26)</f>
        <v/>
      </c>
      <c r="P26" s="69">
        <f>INDEX(curve_y3,'Metrics'!$E$26)</f>
        <v/>
      </c>
      <c r="Q26" s="69">
        <f>INDEX(curve_y4,'Metrics'!$E$26)</f>
        <v/>
      </c>
      <c r="R26" s="69">
        <f>INDEX(curve_y5,'Metrics'!$E$26)</f>
        <v/>
      </c>
      <c r="S26" s="69">
        <f>INDEX(curve_y6,'Metrics'!$E$26)</f>
        <v/>
      </c>
      <c r="T26" s="69">
        <f>INDEX(curve_y7,'Metrics'!$E$26)</f>
        <v/>
      </c>
      <c r="U26" s="69">
        <f>INDEX(curve_y8,'Metrics'!$E$26)</f>
        <v/>
      </c>
      <c r="V26" s="70">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8" t="inlineStr">
        <is>
          <t>Natural fish cover</t>
        </is>
      </c>
      <c r="B27" s="69">
        <f>IF('DEEP Score'!$E$41="","",'DEEP Score'!$E$41)</f>
        <v/>
      </c>
      <c r="C27" s="69">
        <f>IF('DEEP Score'!$F$41="","All streams (pooled)",'DEEP Score'!$F$41)</f>
        <v/>
      </c>
      <c r="D27" s="69">
        <f>"spring_phab_xfc_nat|"&amp;'Metrics'!$C$27</f>
        <v/>
      </c>
      <c r="E27" s="69">
        <f>IFERROR(MATCH('Metrics'!$D$27,curve_key,0),MATCH("spring_phab_xfc_nat|All streams (pooled)",curve_key,0))</f>
        <v/>
      </c>
      <c r="F27" s="69">
        <f>INDEX(curve_x1,'Metrics'!$E$27)</f>
        <v/>
      </c>
      <c r="G27" s="69">
        <f>INDEX(curve_x2,'Metrics'!$E$27)</f>
        <v/>
      </c>
      <c r="H27" s="69">
        <f>INDEX(curve_x3,'Metrics'!$E$27)</f>
        <v/>
      </c>
      <c r="I27" s="69">
        <f>INDEX(curve_x4,'Metrics'!$E$27)</f>
        <v/>
      </c>
      <c r="J27" s="69">
        <f>INDEX(curve_x5,'Metrics'!$E$27)</f>
        <v/>
      </c>
      <c r="K27" s="69">
        <f>INDEX(curve_x6,'Metrics'!$E$27)</f>
        <v/>
      </c>
      <c r="L27" s="69">
        <f>INDEX(curve_x7,'Metrics'!$E$27)</f>
        <v/>
      </c>
      <c r="M27" s="69">
        <f>INDEX(curve_x8,'Metrics'!$E$27)</f>
        <v/>
      </c>
      <c r="N27" s="69">
        <f>INDEX(curve_y1,'Metrics'!$E$27)</f>
        <v/>
      </c>
      <c r="O27" s="69">
        <f>INDEX(curve_y2,'Metrics'!$E$27)</f>
        <v/>
      </c>
      <c r="P27" s="69">
        <f>INDEX(curve_y3,'Metrics'!$E$27)</f>
        <v/>
      </c>
      <c r="Q27" s="69">
        <f>INDEX(curve_y4,'Metrics'!$E$27)</f>
        <v/>
      </c>
      <c r="R27" s="69">
        <f>INDEX(curve_y5,'Metrics'!$E$27)</f>
        <v/>
      </c>
      <c r="S27" s="69">
        <f>INDEX(curve_y6,'Metrics'!$E$27)</f>
        <v/>
      </c>
      <c r="T27" s="69">
        <f>INDEX(curve_y7,'Metrics'!$E$27)</f>
        <v/>
      </c>
      <c r="U27" s="69">
        <f>INDEX(curve_y8,'Metrics'!$E$27)</f>
        <v/>
      </c>
      <c r="V27" s="70">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8" t="inlineStr">
        <is>
          <t>Benthic total taxa richness</t>
        </is>
      </c>
      <c r="B28" s="69">
        <f>IF('DEEP Score'!$E$42="","",'DEEP Score'!$E$42)</f>
        <v/>
      </c>
      <c r="C28" s="69">
        <f>""</f>
        <v/>
      </c>
      <c r="D28" s="69">
        <f>"spring_bent_totlntax|"&amp;'Metrics'!$C$28</f>
        <v/>
      </c>
      <c r="E28" s="69">
        <f>IFERROR(MATCH('Metrics'!$D$28,curve_key,0),MATCH("spring_bent_totlntax|",curve_key,0))</f>
        <v/>
      </c>
      <c r="F28" s="69">
        <f>INDEX(curve_x1,'Metrics'!$E$28)</f>
        <v/>
      </c>
      <c r="G28" s="69">
        <f>INDEX(curve_x2,'Metrics'!$E$28)</f>
        <v/>
      </c>
      <c r="H28" s="69">
        <f>INDEX(curve_x3,'Metrics'!$E$28)</f>
        <v/>
      </c>
      <c r="I28" s="69">
        <f>INDEX(curve_x4,'Metrics'!$E$28)</f>
        <v/>
      </c>
      <c r="J28" s="69">
        <f>INDEX(curve_x5,'Metrics'!$E$28)</f>
        <v/>
      </c>
      <c r="K28" s="69">
        <f>INDEX(curve_x6,'Metrics'!$E$28)</f>
        <v/>
      </c>
      <c r="L28" s="69">
        <f>INDEX(curve_x7,'Metrics'!$E$28)</f>
        <v/>
      </c>
      <c r="M28" s="69">
        <f>INDEX(curve_x8,'Metrics'!$E$28)</f>
        <v/>
      </c>
      <c r="N28" s="69">
        <f>INDEX(curve_y1,'Metrics'!$E$28)</f>
        <v/>
      </c>
      <c r="O28" s="69">
        <f>INDEX(curve_y2,'Metrics'!$E$28)</f>
        <v/>
      </c>
      <c r="P28" s="69">
        <f>INDEX(curve_y3,'Metrics'!$E$28)</f>
        <v/>
      </c>
      <c r="Q28" s="69">
        <f>INDEX(curve_y4,'Metrics'!$E$28)</f>
        <v/>
      </c>
      <c r="R28" s="69">
        <f>INDEX(curve_y5,'Metrics'!$E$28)</f>
        <v/>
      </c>
      <c r="S28" s="69">
        <f>INDEX(curve_y6,'Metrics'!$E$28)</f>
        <v/>
      </c>
      <c r="T28" s="69">
        <f>INDEX(curve_y7,'Metrics'!$E$28)</f>
        <v/>
      </c>
      <c r="U28" s="69">
        <f>INDEX(curve_y8,'Metrics'!$E$28)</f>
        <v/>
      </c>
      <c r="V28" s="70">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8" t="inlineStr">
        <is>
          <t>Shannon diversity (H')</t>
        </is>
      </c>
      <c r="B29" s="69">
        <f>IF('DEEP Score'!$E$43="","",'DEEP Score'!$E$43)</f>
        <v/>
      </c>
      <c r="C29" s="69">
        <f>""</f>
        <v/>
      </c>
      <c r="D29" s="69">
        <f>"spring_bent_hprime|"&amp;'Metrics'!$C$29</f>
        <v/>
      </c>
      <c r="E29" s="69">
        <f>IFERROR(MATCH('Metrics'!$D$29,curve_key,0),MATCH("spring_bent_hprime|",curve_key,0))</f>
        <v/>
      </c>
      <c r="F29" s="69">
        <f>INDEX(curve_x1,'Metrics'!$E$29)</f>
        <v/>
      </c>
      <c r="G29" s="69">
        <f>INDEX(curve_x2,'Metrics'!$E$29)</f>
        <v/>
      </c>
      <c r="H29" s="69">
        <f>INDEX(curve_x3,'Metrics'!$E$29)</f>
        <v/>
      </c>
      <c r="I29" s="69">
        <f>INDEX(curve_x4,'Metrics'!$E$29)</f>
        <v/>
      </c>
      <c r="J29" s="69">
        <f>INDEX(curve_x5,'Metrics'!$E$29)</f>
        <v/>
      </c>
      <c r="K29" s="69">
        <f>INDEX(curve_x6,'Metrics'!$E$29)</f>
        <v/>
      </c>
      <c r="L29" s="69">
        <f>INDEX(curve_x7,'Metrics'!$E$29)</f>
        <v/>
      </c>
      <c r="M29" s="69">
        <f>INDEX(curve_x8,'Metrics'!$E$29)</f>
        <v/>
      </c>
      <c r="N29" s="69">
        <f>INDEX(curve_y1,'Metrics'!$E$29)</f>
        <v/>
      </c>
      <c r="O29" s="69">
        <f>INDEX(curve_y2,'Metrics'!$E$29)</f>
        <v/>
      </c>
      <c r="P29" s="69">
        <f>INDEX(curve_y3,'Metrics'!$E$29)</f>
        <v/>
      </c>
      <c r="Q29" s="69">
        <f>INDEX(curve_y4,'Metrics'!$E$29)</f>
        <v/>
      </c>
      <c r="R29" s="69">
        <f>INDEX(curve_y5,'Metrics'!$E$29)</f>
        <v/>
      </c>
      <c r="S29" s="69">
        <f>INDEX(curve_y6,'Metrics'!$E$29)</f>
        <v/>
      </c>
      <c r="T29" s="69">
        <f>INDEX(curve_y7,'Metrics'!$E$29)</f>
        <v/>
      </c>
      <c r="U29" s="69">
        <f>INDEX(curve_y8,'Metrics'!$E$29)</f>
        <v/>
      </c>
      <c r="V29" s="70">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8" t="inlineStr">
        <is>
          <t>Tolerant individuals (%) ~ HBI</t>
        </is>
      </c>
      <c r="B30" s="69">
        <f>IF('DEEP Score'!$E$44="","",'DEEP Score'!$E$44)</f>
        <v/>
      </c>
      <c r="C30" s="69">
        <f>""</f>
        <v/>
      </c>
      <c r="D30" s="69">
        <f>"spring_bent_tolrpind|"&amp;'Metrics'!$C$30</f>
        <v/>
      </c>
      <c r="E30" s="69">
        <f>IFERROR(MATCH('Metrics'!$D$30,curve_key,0),MATCH("spring_bent_tolrpind|",curve_key,0))</f>
        <v/>
      </c>
      <c r="F30" s="69">
        <f>INDEX(curve_x1,'Metrics'!$E$30)</f>
        <v/>
      </c>
      <c r="G30" s="69">
        <f>INDEX(curve_x2,'Metrics'!$E$30)</f>
        <v/>
      </c>
      <c r="H30" s="69">
        <f>INDEX(curve_x3,'Metrics'!$E$30)</f>
        <v/>
      </c>
      <c r="I30" s="69">
        <f>INDEX(curve_x4,'Metrics'!$E$30)</f>
        <v/>
      </c>
      <c r="J30" s="69">
        <f>INDEX(curve_x5,'Metrics'!$E$30)</f>
        <v/>
      </c>
      <c r="K30" s="69">
        <f>INDEX(curve_x6,'Metrics'!$E$30)</f>
        <v/>
      </c>
      <c r="L30" s="69">
        <f>INDEX(curve_x7,'Metrics'!$E$30)</f>
        <v/>
      </c>
      <c r="M30" s="69">
        <f>INDEX(curve_x8,'Metrics'!$E$30)</f>
        <v/>
      </c>
      <c r="N30" s="69">
        <f>INDEX(curve_y1,'Metrics'!$E$30)</f>
        <v/>
      </c>
      <c r="O30" s="69">
        <f>INDEX(curve_y2,'Metrics'!$E$30)</f>
        <v/>
      </c>
      <c r="P30" s="69">
        <f>INDEX(curve_y3,'Metrics'!$E$30)</f>
        <v/>
      </c>
      <c r="Q30" s="69">
        <f>INDEX(curve_y4,'Metrics'!$E$30)</f>
        <v/>
      </c>
      <c r="R30" s="69">
        <f>INDEX(curve_y5,'Metrics'!$E$30)</f>
        <v/>
      </c>
      <c r="S30" s="69">
        <f>INDEX(curve_y6,'Metrics'!$E$30)</f>
        <v/>
      </c>
      <c r="T30" s="69">
        <f>INDEX(curve_y7,'Metrics'!$E$30)</f>
        <v/>
      </c>
      <c r="U30" s="69">
        <f>INDEX(curve_y8,'Metrics'!$E$30)</f>
        <v/>
      </c>
      <c r="V30" s="70">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8" t="inlineStr">
        <is>
          <t>Mapped dams within one mile</t>
        </is>
      </c>
      <c r="B31" s="69">
        <f>IF('DEEP Score'!$E$45="","",'DEEP Score'!$E$45)</f>
        <v/>
      </c>
      <c r="C31" s="69">
        <f>""</f>
        <v/>
      </c>
      <c r="D31" s="69">
        <f>"spring_nid_dams_1mi|"&amp;'Metrics'!$C$31</f>
        <v/>
      </c>
      <c r="E31" s="69">
        <f>IFERROR(MATCH('Metrics'!$D$31,curve_key,0),MATCH("spring_nid_dams_1mi|",curve_key,0))</f>
        <v/>
      </c>
      <c r="F31" s="69">
        <f>INDEX(curve_x1,'Metrics'!$E$31)</f>
        <v/>
      </c>
      <c r="G31" s="69">
        <f>INDEX(curve_x2,'Metrics'!$E$31)</f>
        <v/>
      </c>
      <c r="H31" s="69">
        <f>INDEX(curve_x3,'Metrics'!$E$31)</f>
        <v/>
      </c>
      <c r="I31" s="69">
        <f>INDEX(curve_x4,'Metrics'!$E$31)</f>
        <v/>
      </c>
      <c r="J31" s="69">
        <f>INDEX(curve_x5,'Metrics'!$E$31)</f>
        <v/>
      </c>
      <c r="K31" s="69">
        <f>INDEX(curve_x6,'Metrics'!$E$31)</f>
        <v/>
      </c>
      <c r="L31" s="69">
        <f>INDEX(curve_x7,'Metrics'!$E$31)</f>
        <v/>
      </c>
      <c r="M31" s="69">
        <f>INDEX(curve_x8,'Metrics'!$E$31)</f>
        <v/>
      </c>
      <c r="N31" s="69">
        <f>INDEX(curve_y1,'Metrics'!$E$31)</f>
        <v/>
      </c>
      <c r="O31" s="69">
        <f>INDEX(curve_y2,'Metrics'!$E$31)</f>
        <v/>
      </c>
      <c r="P31" s="69">
        <f>INDEX(curve_y3,'Metrics'!$E$31)</f>
        <v/>
      </c>
      <c r="Q31" s="69">
        <f>INDEX(curve_y4,'Metrics'!$E$31)</f>
        <v/>
      </c>
      <c r="R31" s="69">
        <f>INDEX(curve_y5,'Metrics'!$E$31)</f>
        <v/>
      </c>
      <c r="S31" s="69">
        <f>INDEX(curve_y6,'Metrics'!$E$31)</f>
        <v/>
      </c>
      <c r="T31" s="69">
        <f>INDEX(curve_y7,'Metrics'!$E$31)</f>
        <v/>
      </c>
      <c r="U31" s="69">
        <f>INDEX(curve_y8,'Metrics'!$E$31)</f>
        <v/>
      </c>
      <c r="V31" s="70">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7"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8" t="inlineStr">
        <is>
          <t>Catchment hydrology</t>
        </is>
      </c>
      <c r="B4" s="69">
        <f>IF(COUNT('DEEP Score'!G12:G13)=0,"",SUM('DEEP Score'!G12:G13)/COUNT('DEEP Score'!G12:G13)*15)</f>
        <v/>
      </c>
      <c r="C4" s="68" t="n">
        <v>1</v>
      </c>
      <c r="D4" s="68" t="n">
        <v>0.1</v>
      </c>
      <c r="E4" s="68" t="n">
        <v>0.1</v>
      </c>
      <c r="F4" s="69">
        <f>IF(ISNUMBER('Results'!$B$4),'Results'!$B$4*'Results'!$C$4,0)</f>
        <v/>
      </c>
      <c r="G4" s="69">
        <f>IF(ISNUMBER('Results'!$B$4),'Results'!$B$4*'Results'!$D$4,0)</f>
        <v/>
      </c>
      <c r="H4" s="69">
        <f>IF(ISNUMBER('Results'!$B$4),'Results'!$B$4*'Results'!$E$4,0)</f>
        <v/>
      </c>
      <c r="I4" s="69">
        <f>IF(ISNUMBER('Results'!$B$4),15*'Results'!$C$4,0)</f>
        <v/>
      </c>
      <c r="J4" s="69">
        <f>IF(ISNUMBER('Results'!$B$4),15*'Results'!$D$4,0)</f>
        <v/>
      </c>
      <c r="K4" s="69">
        <f>IF(ISNUMBER('Results'!$B$4),15*'Results'!$E$4,0)</f>
        <v/>
      </c>
    </row>
    <row r="5">
      <c r="A5" s="68" t="inlineStr">
        <is>
          <t>Surface water storage</t>
        </is>
      </c>
      <c r="B5" s="69">
        <f>IF(COUNT('DEEP Score'!G14:G14)=0,"",SUM('DEEP Score'!G14:G14)/COUNT('DEEP Score'!G14:G14)*15)</f>
        <v/>
      </c>
      <c r="C5" s="68" t="n">
        <v>1</v>
      </c>
      <c r="D5" s="68" t="n">
        <v>0.1</v>
      </c>
      <c r="E5" s="68" t="n">
        <v>0.1</v>
      </c>
      <c r="F5" s="69">
        <f>IF(ISNUMBER('Results'!$B$5),'Results'!$B$5*'Results'!$C$5,0)</f>
        <v/>
      </c>
      <c r="G5" s="69">
        <f>IF(ISNUMBER('Results'!$B$5),'Results'!$B$5*'Results'!$D$5,0)</f>
        <v/>
      </c>
      <c r="H5" s="69">
        <f>IF(ISNUMBER('Results'!$B$5),'Results'!$B$5*'Results'!$E$5,0)</f>
        <v/>
      </c>
      <c r="I5" s="69">
        <f>IF(ISNUMBER('Results'!$B$5),15*'Results'!$C$5,0)</f>
        <v/>
      </c>
      <c r="J5" s="69">
        <f>IF(ISNUMBER('Results'!$B$5),15*'Results'!$D$5,0)</f>
        <v/>
      </c>
      <c r="K5" s="69">
        <f>IF(ISNUMBER('Results'!$B$5),15*'Results'!$E$5,0)</f>
        <v/>
      </c>
    </row>
    <row r="6">
      <c r="A6" s="68" t="inlineStr">
        <is>
          <t>Reach inflow</t>
        </is>
      </c>
      <c r="B6" s="69">
        <f>IF(COUNT('DEEP Score'!G15:G15)=0,"",SUM('DEEP Score'!G15:G15)/COUNT('DEEP Score'!G15:G15)*15)</f>
        <v/>
      </c>
      <c r="C6" s="68" t="n">
        <v>1</v>
      </c>
      <c r="D6" s="68" t="n">
        <v>0.1</v>
      </c>
      <c r="E6" s="68" t="n">
        <v>0.1</v>
      </c>
      <c r="F6" s="69">
        <f>IF(ISNUMBER('Results'!$B$6),'Results'!$B$6*'Results'!$C$6,0)</f>
        <v/>
      </c>
      <c r="G6" s="69">
        <f>IF(ISNUMBER('Results'!$B$6),'Results'!$B$6*'Results'!$D$6,0)</f>
        <v/>
      </c>
      <c r="H6" s="69">
        <f>IF(ISNUMBER('Results'!$B$6),'Results'!$B$6*'Results'!$E$6,0)</f>
        <v/>
      </c>
      <c r="I6" s="69">
        <f>IF(ISNUMBER('Results'!$B$6),15*'Results'!$C$6,0)</f>
        <v/>
      </c>
      <c r="J6" s="69">
        <f>IF(ISNUMBER('Results'!$B$6),15*'Results'!$D$6,0)</f>
        <v/>
      </c>
      <c r="K6" s="69">
        <f>IF(ISNUMBER('Results'!$B$6),15*'Results'!$E$6,0)</f>
        <v/>
      </c>
    </row>
    <row r="7">
      <c r="A7" s="68" t="inlineStr">
        <is>
          <t>Streamflow regime</t>
        </is>
      </c>
      <c r="B7" s="69">
        <f>IF(COUNT('DEEP Score'!G16:G17)=0,"",SUM('DEEP Score'!G16:G17)/COUNT('DEEP Score'!G16:G17)*15)</f>
        <v/>
      </c>
      <c r="C7" s="68" t="n">
        <v>1</v>
      </c>
      <c r="D7" s="68" t="n">
        <v>0.1</v>
      </c>
      <c r="E7" s="68" t="n">
        <v>0.1</v>
      </c>
      <c r="F7" s="69">
        <f>IF(ISNUMBER('Results'!$B$7),'Results'!$B$7*'Results'!$C$7,0)</f>
        <v/>
      </c>
      <c r="G7" s="69">
        <f>IF(ISNUMBER('Results'!$B$7),'Results'!$B$7*'Results'!$D$7,0)</f>
        <v/>
      </c>
      <c r="H7" s="69">
        <f>IF(ISNUMBER('Results'!$B$7),'Results'!$B$7*'Results'!$E$7,0)</f>
        <v/>
      </c>
      <c r="I7" s="69">
        <f>IF(ISNUMBER('Results'!$B$7),15*'Results'!$C$7,0)</f>
        <v/>
      </c>
      <c r="J7" s="69">
        <f>IF(ISNUMBER('Results'!$B$7),15*'Results'!$D$7,0)</f>
        <v/>
      </c>
      <c r="K7" s="69">
        <f>IF(ISNUMBER('Results'!$B$7),15*'Results'!$E$7,0)</f>
        <v/>
      </c>
    </row>
    <row r="8">
      <c r="A8" s="68" t="inlineStr">
        <is>
          <t>Low flow and baseflow dynamics</t>
        </is>
      </c>
      <c r="B8" s="69">
        <f>IF(COUNT('DEEP Score'!G18:G19)=0,"",SUM('DEEP Score'!G18:G19)/COUNT('DEEP Score'!G18:G19)*15)</f>
        <v/>
      </c>
      <c r="C8" s="68" t="n">
        <v>1</v>
      </c>
      <c r="D8" s="68" t="n">
        <v>0.1</v>
      </c>
      <c r="E8" s="68" t="n">
        <v>0.1</v>
      </c>
      <c r="F8" s="69">
        <f>IF(ISNUMBER('Results'!$B$8),'Results'!$B$8*'Results'!$C$8,0)</f>
        <v/>
      </c>
      <c r="G8" s="69">
        <f>IF(ISNUMBER('Results'!$B$8),'Results'!$B$8*'Results'!$D$8,0)</f>
        <v/>
      </c>
      <c r="H8" s="69">
        <f>IF(ISNUMBER('Results'!$B$8),'Results'!$B$8*'Results'!$E$8,0)</f>
        <v/>
      </c>
      <c r="I8" s="69">
        <f>IF(ISNUMBER('Results'!$B$8),15*'Results'!$C$8,0)</f>
        <v/>
      </c>
      <c r="J8" s="69">
        <f>IF(ISNUMBER('Results'!$B$8),15*'Results'!$D$8,0)</f>
        <v/>
      </c>
      <c r="K8" s="69">
        <f>IF(ISNUMBER('Results'!$B$8),15*'Results'!$E$8,0)</f>
        <v/>
      </c>
    </row>
    <row r="9">
      <c r="A9" s="68" t="inlineStr">
        <is>
          <t>High flow dynamics</t>
        </is>
      </c>
      <c r="B9" s="69">
        <f>IF(COUNT('DEEP Score'!G20:G20)=0,"",SUM('DEEP Score'!G20:G20)/COUNT('DEEP Score'!G20:G20)*15)</f>
        <v/>
      </c>
      <c r="C9" s="68" t="n">
        <v>1</v>
      </c>
      <c r="D9" s="68" t="n">
        <v>0.1</v>
      </c>
      <c r="E9" s="68" t="n">
        <v>0.1</v>
      </c>
      <c r="F9" s="69">
        <f>IF(ISNUMBER('Results'!$B$9),'Results'!$B$9*'Results'!$C$9,0)</f>
        <v/>
      </c>
      <c r="G9" s="69">
        <f>IF(ISNUMBER('Results'!$B$9),'Results'!$B$9*'Results'!$D$9,0)</f>
        <v/>
      </c>
      <c r="H9" s="69">
        <f>IF(ISNUMBER('Results'!$B$9),'Results'!$B$9*'Results'!$E$9,0)</f>
        <v/>
      </c>
      <c r="I9" s="69">
        <f>IF(ISNUMBER('Results'!$B$9),15*'Results'!$C$9,0)</f>
        <v/>
      </c>
      <c r="J9" s="69">
        <f>IF(ISNUMBER('Results'!$B$9),15*'Results'!$D$9,0)</f>
        <v/>
      </c>
      <c r="K9" s="69">
        <f>IF(ISNUMBER('Results'!$B$9),15*'Results'!$E$9,0)</f>
        <v/>
      </c>
    </row>
    <row r="10">
      <c r="A10" s="68" t="inlineStr">
        <is>
          <t>Floodplain connectivity</t>
        </is>
      </c>
      <c r="B10" s="69">
        <f>IF(COUNT('DEEP Score'!G21:G22)=0,"",SUM('DEEP Score'!G21:G22)/COUNT('DEEP Score'!G21:G22)*15)</f>
        <v/>
      </c>
      <c r="C10" s="68" t="n">
        <v>1</v>
      </c>
      <c r="D10" s="68" t="n">
        <v>0.1</v>
      </c>
      <c r="E10" s="68" t="n">
        <v>0.1</v>
      </c>
      <c r="F10" s="69">
        <f>IF(ISNUMBER('Results'!$B$10),'Results'!$B$10*'Results'!$C$10,0)</f>
        <v/>
      </c>
      <c r="G10" s="69">
        <f>IF(ISNUMBER('Results'!$B$10),'Results'!$B$10*'Results'!$D$10,0)</f>
        <v/>
      </c>
      <c r="H10" s="69">
        <f>IF(ISNUMBER('Results'!$B$10),'Results'!$B$10*'Results'!$E$10,0)</f>
        <v/>
      </c>
      <c r="I10" s="69">
        <f>IF(ISNUMBER('Results'!$B$10),15*'Results'!$C$10,0)</f>
        <v/>
      </c>
      <c r="J10" s="69">
        <f>IF(ISNUMBER('Results'!$B$10),15*'Results'!$D$10,0)</f>
        <v/>
      </c>
      <c r="K10" s="69">
        <f>IF(ISNUMBER('Results'!$B$10),15*'Results'!$E$10,0)</f>
        <v/>
      </c>
    </row>
    <row r="11">
      <c r="A11" s="68" t="inlineStr">
        <is>
          <t>Hyporheic connectivity</t>
        </is>
      </c>
      <c r="B11" s="69">
        <f>IF(COUNT('DEEP Score'!G23:G24)=0,"",SUM('DEEP Score'!G23:G24)/COUNT('DEEP Score'!G23:G24)*15)</f>
        <v/>
      </c>
      <c r="C11" s="68" t="n">
        <v>1</v>
      </c>
      <c r="D11" s="68" t="n">
        <v>0.1</v>
      </c>
      <c r="E11" s="68" t="n">
        <v>0.1</v>
      </c>
      <c r="F11" s="69">
        <f>IF(ISNUMBER('Results'!$B$11),'Results'!$B$11*'Results'!$C$11,0)</f>
        <v/>
      </c>
      <c r="G11" s="69">
        <f>IF(ISNUMBER('Results'!$B$11),'Results'!$B$11*'Results'!$D$11,0)</f>
        <v/>
      </c>
      <c r="H11" s="69">
        <f>IF(ISNUMBER('Results'!$B$11),'Results'!$B$11*'Results'!$E$11,0)</f>
        <v/>
      </c>
      <c r="I11" s="69">
        <f>IF(ISNUMBER('Results'!$B$11),15*'Results'!$C$11,0)</f>
        <v/>
      </c>
      <c r="J11" s="69">
        <f>IF(ISNUMBER('Results'!$B$11),15*'Results'!$D$11,0)</f>
        <v/>
      </c>
      <c r="K11" s="69">
        <f>IF(ISNUMBER('Results'!$B$11),15*'Results'!$E$11,0)</f>
        <v/>
      </c>
    </row>
    <row r="12">
      <c r="A12" s="68" t="inlineStr">
        <is>
          <t>Channel evolution</t>
        </is>
      </c>
      <c r="B12" s="69">
        <f>IF(COUNT('DEEP Score'!G25:G26)=0,"",SUM('DEEP Score'!G25:G26)/COUNT('DEEP Score'!G25:G26)*15)</f>
        <v/>
      </c>
      <c r="C12" s="68" t="n">
        <v>1</v>
      </c>
      <c r="D12" s="68" t="n">
        <v>0.1</v>
      </c>
      <c r="E12" s="68" t="n">
        <v>0.1</v>
      </c>
      <c r="F12" s="69">
        <f>IF(ISNUMBER('Results'!$B$12),'Results'!$B$12*'Results'!$C$12,0)</f>
        <v/>
      </c>
      <c r="G12" s="69">
        <f>IF(ISNUMBER('Results'!$B$12),'Results'!$B$12*'Results'!$D$12,0)</f>
        <v/>
      </c>
      <c r="H12" s="69">
        <f>IF(ISNUMBER('Results'!$B$12),'Results'!$B$12*'Results'!$E$12,0)</f>
        <v/>
      </c>
      <c r="I12" s="69">
        <f>IF(ISNUMBER('Results'!$B$12),15*'Results'!$C$12,0)</f>
        <v/>
      </c>
      <c r="J12" s="69">
        <f>IF(ISNUMBER('Results'!$B$12),15*'Results'!$D$12,0)</f>
        <v/>
      </c>
      <c r="K12" s="69">
        <f>IF(ISNUMBER('Results'!$B$12),15*'Results'!$E$12,0)</f>
        <v/>
      </c>
    </row>
    <row r="13">
      <c r="A13" s="68" t="inlineStr">
        <is>
          <t>Channel and floodplain dynamics</t>
        </is>
      </c>
      <c r="B13" s="69">
        <f>IF(COUNT('DEEP Score'!G27:G28)=0,"",SUM('DEEP Score'!G27:G28)/COUNT('DEEP Score'!G27:G28)*15)</f>
        <v/>
      </c>
      <c r="C13" s="68" t="n">
        <v>1</v>
      </c>
      <c r="D13" s="68" t="n">
        <v>0.1</v>
      </c>
      <c r="E13" s="68" t="n">
        <v>0.1</v>
      </c>
      <c r="F13" s="69">
        <f>IF(ISNUMBER('Results'!$B$13),'Results'!$B$13*'Results'!$C$13,0)</f>
        <v/>
      </c>
      <c r="G13" s="69">
        <f>IF(ISNUMBER('Results'!$B$13),'Results'!$B$13*'Results'!$D$13,0)</f>
        <v/>
      </c>
      <c r="H13" s="69">
        <f>IF(ISNUMBER('Results'!$B$13),'Results'!$B$13*'Results'!$E$13,0)</f>
        <v/>
      </c>
      <c r="I13" s="69">
        <f>IF(ISNUMBER('Results'!$B$13),15*'Results'!$C$13,0)</f>
        <v/>
      </c>
      <c r="J13" s="69">
        <f>IF(ISNUMBER('Results'!$B$13),15*'Results'!$D$13,0)</f>
        <v/>
      </c>
      <c r="K13" s="69">
        <f>IF(ISNUMBER('Results'!$B$13),15*'Results'!$E$13,0)</f>
        <v/>
      </c>
    </row>
    <row r="14">
      <c r="A14" s="68" t="inlineStr">
        <is>
          <t>Sediment continuity</t>
        </is>
      </c>
      <c r="B14" s="69">
        <f>IF(COUNT('DEEP Score'!G29:G30)=0,"",SUM('DEEP Score'!G29:G30)/COUNT('DEEP Score'!G29:G30)*15)</f>
        <v/>
      </c>
      <c r="C14" s="68" t="n">
        <v>1</v>
      </c>
      <c r="D14" s="68" t="n">
        <v>0.1</v>
      </c>
      <c r="E14" s="68" t="n">
        <v>0.1</v>
      </c>
      <c r="F14" s="69">
        <f>IF(ISNUMBER('Results'!$B$14),'Results'!$B$14*'Results'!$C$14,0)</f>
        <v/>
      </c>
      <c r="G14" s="69">
        <f>IF(ISNUMBER('Results'!$B$14),'Results'!$B$14*'Results'!$D$14,0)</f>
        <v/>
      </c>
      <c r="H14" s="69">
        <f>IF(ISNUMBER('Results'!$B$14),'Results'!$B$14*'Results'!$E$14,0)</f>
        <v/>
      </c>
      <c r="I14" s="69">
        <f>IF(ISNUMBER('Results'!$B$14),15*'Results'!$C$14,0)</f>
        <v/>
      </c>
      <c r="J14" s="69">
        <f>IF(ISNUMBER('Results'!$B$14),15*'Results'!$D$14,0)</f>
        <v/>
      </c>
      <c r="K14" s="69">
        <f>IF(ISNUMBER('Results'!$B$14),15*'Results'!$E$14,0)</f>
        <v/>
      </c>
    </row>
    <row r="15">
      <c r="A15" s="68" t="inlineStr">
        <is>
          <t>Bed composition and bedform dynamics</t>
        </is>
      </c>
      <c r="B15" s="69">
        <f>IF(COUNT('DEEP Score'!G31:G32)=0,"",SUM('DEEP Score'!G31:G32)/COUNT('DEEP Score'!G31:G32)*15)</f>
        <v/>
      </c>
      <c r="C15" s="68" t="n">
        <v>1</v>
      </c>
      <c r="D15" s="68" t="n">
        <v>0.1</v>
      </c>
      <c r="E15" s="68" t="n">
        <v>0.1</v>
      </c>
      <c r="F15" s="69">
        <f>IF(ISNUMBER('Results'!$B$15),'Results'!$B$15*'Results'!$C$15,0)</f>
        <v/>
      </c>
      <c r="G15" s="69">
        <f>IF(ISNUMBER('Results'!$B$15),'Results'!$B$15*'Results'!$D$15,0)</f>
        <v/>
      </c>
      <c r="H15" s="69">
        <f>IF(ISNUMBER('Results'!$B$15),'Results'!$B$15*'Results'!$E$15,0)</f>
        <v/>
      </c>
      <c r="I15" s="69">
        <f>IF(ISNUMBER('Results'!$B$15),15*'Results'!$C$15,0)</f>
        <v/>
      </c>
      <c r="J15" s="69">
        <f>IF(ISNUMBER('Results'!$B$15),15*'Results'!$D$15,0)</f>
        <v/>
      </c>
      <c r="K15" s="69">
        <f>IF(ISNUMBER('Results'!$B$15),15*'Results'!$E$15,0)</f>
        <v/>
      </c>
    </row>
    <row r="16">
      <c r="A16" s="68" t="inlineStr">
        <is>
          <t>Light &amp; thermal regime</t>
        </is>
      </c>
      <c r="B16" s="69">
        <f>IF(COUNT('DEEP Score'!G33:G34)=0,"",SUM('DEEP Score'!G33:G34)/COUNT('DEEP Score'!G33:G34)*15)</f>
        <v/>
      </c>
      <c r="C16" s="68" t="n">
        <v>0</v>
      </c>
      <c r="D16" s="68" t="n">
        <v>1</v>
      </c>
      <c r="E16" s="68" t="n">
        <v>0.1</v>
      </c>
      <c r="F16" s="69">
        <f>IF(ISNUMBER('Results'!$B$16),'Results'!$B$16*'Results'!$C$16,0)</f>
        <v/>
      </c>
      <c r="G16" s="69">
        <f>IF(ISNUMBER('Results'!$B$16),'Results'!$B$16*'Results'!$D$16,0)</f>
        <v/>
      </c>
      <c r="H16" s="69">
        <f>IF(ISNUMBER('Results'!$B$16),'Results'!$B$16*'Results'!$E$16,0)</f>
        <v/>
      </c>
      <c r="I16" s="69">
        <f>IF(ISNUMBER('Results'!$B$16),15*'Results'!$C$16,0)</f>
        <v/>
      </c>
      <c r="J16" s="69">
        <f>IF(ISNUMBER('Results'!$B$16),15*'Results'!$D$16,0)</f>
        <v/>
      </c>
      <c r="K16" s="69">
        <f>IF(ISNUMBER('Results'!$B$16),15*'Results'!$E$16,0)</f>
        <v/>
      </c>
    </row>
    <row r="17">
      <c r="A17" s="68" t="inlineStr">
        <is>
          <t>Carbon processing</t>
        </is>
      </c>
      <c r="B17" s="69">
        <f>IF(COUNT('DEEP Score'!G35:G35)=0,"",SUM('DEEP Score'!G35:G35)/COUNT('DEEP Score'!G35:G35)*15)</f>
        <v/>
      </c>
      <c r="C17" s="68" t="n">
        <v>0</v>
      </c>
      <c r="D17" s="68" t="n">
        <v>1</v>
      </c>
      <c r="E17" s="68" t="n">
        <v>0.1</v>
      </c>
      <c r="F17" s="69">
        <f>IF(ISNUMBER('Results'!$B$17),'Results'!$B$17*'Results'!$C$17,0)</f>
        <v/>
      </c>
      <c r="G17" s="69">
        <f>IF(ISNUMBER('Results'!$B$17),'Results'!$B$17*'Results'!$D$17,0)</f>
        <v/>
      </c>
      <c r="H17" s="69">
        <f>IF(ISNUMBER('Results'!$B$17),'Results'!$B$17*'Results'!$E$17,0)</f>
        <v/>
      </c>
      <c r="I17" s="69">
        <f>IF(ISNUMBER('Results'!$B$17),15*'Results'!$C$17,0)</f>
        <v/>
      </c>
      <c r="J17" s="69">
        <f>IF(ISNUMBER('Results'!$B$17),15*'Results'!$D$17,0)</f>
        <v/>
      </c>
      <c r="K17" s="69">
        <f>IF(ISNUMBER('Results'!$B$17),15*'Results'!$E$17,0)</f>
        <v/>
      </c>
    </row>
    <row r="18">
      <c r="A18" s="68" t="inlineStr">
        <is>
          <t>Nutrient cycling</t>
        </is>
      </c>
      <c r="B18" s="69">
        <f>IF(COUNT('DEEP Score'!G36:G37)=0,"",SUM('DEEP Score'!G36:G37)/COUNT('DEEP Score'!G36:G37)*15)</f>
        <v/>
      </c>
      <c r="C18" s="68" t="n">
        <v>0.1</v>
      </c>
      <c r="D18" s="68" t="n">
        <v>1</v>
      </c>
      <c r="E18" s="68" t="n">
        <v>0.1</v>
      </c>
      <c r="F18" s="69">
        <f>IF(ISNUMBER('Results'!$B$18),'Results'!$B$18*'Results'!$C$18,0)</f>
        <v/>
      </c>
      <c r="G18" s="69">
        <f>IF(ISNUMBER('Results'!$B$18),'Results'!$B$18*'Results'!$D$18,0)</f>
        <v/>
      </c>
      <c r="H18" s="69">
        <f>IF(ISNUMBER('Results'!$B$18),'Results'!$B$18*'Results'!$E$18,0)</f>
        <v/>
      </c>
      <c r="I18" s="69">
        <f>IF(ISNUMBER('Results'!$B$18),15*'Results'!$C$18,0)</f>
        <v/>
      </c>
      <c r="J18" s="69">
        <f>IF(ISNUMBER('Results'!$B$18),15*'Results'!$D$18,0)</f>
        <v/>
      </c>
      <c r="K18" s="69">
        <f>IF(ISNUMBER('Results'!$B$18),15*'Results'!$E$18,0)</f>
        <v/>
      </c>
    </row>
    <row r="19">
      <c r="A19" s="68" t="inlineStr">
        <is>
          <t>Water &amp; soil quality</t>
        </is>
      </c>
      <c r="B19" s="69">
        <f>IF(COUNT('DEEP Score'!G38:G39)=0,"",SUM('DEEP Score'!G38:G39)/COUNT('DEEP Score'!G38:G39)*15)</f>
        <v/>
      </c>
      <c r="C19" s="68" t="n">
        <v>0.1</v>
      </c>
      <c r="D19" s="68" t="n">
        <v>1</v>
      </c>
      <c r="E19" s="68" t="n">
        <v>0.1</v>
      </c>
      <c r="F19" s="69">
        <f>IF(ISNUMBER('Results'!$B$19),'Results'!$B$19*'Results'!$C$19,0)</f>
        <v/>
      </c>
      <c r="G19" s="69">
        <f>IF(ISNUMBER('Results'!$B$19),'Results'!$B$19*'Results'!$D$19,0)</f>
        <v/>
      </c>
      <c r="H19" s="69">
        <f>IF(ISNUMBER('Results'!$B$19),'Results'!$B$19*'Results'!$E$19,0)</f>
        <v/>
      </c>
      <c r="I19" s="69">
        <f>IF(ISNUMBER('Results'!$B$19),15*'Results'!$C$19,0)</f>
        <v/>
      </c>
      <c r="J19" s="69">
        <f>IF(ISNUMBER('Results'!$B$19),15*'Results'!$D$19,0)</f>
        <v/>
      </c>
      <c r="K19" s="69">
        <f>IF(ISNUMBER('Results'!$B$19),15*'Results'!$E$19,0)</f>
        <v/>
      </c>
    </row>
    <row r="20">
      <c r="A20" s="68" t="inlineStr">
        <is>
          <t>Habitat provision</t>
        </is>
      </c>
      <c r="B20" s="69">
        <f>IF(COUNT('DEEP Score'!G40:G41)=0,"",SUM('DEEP Score'!G40:G41)/COUNT('DEEP Score'!G40:G41)*15)</f>
        <v/>
      </c>
      <c r="C20" s="68" t="n">
        <v>0</v>
      </c>
      <c r="D20" s="68" t="n">
        <v>0</v>
      </c>
      <c r="E20" s="68" t="n">
        <v>1</v>
      </c>
      <c r="F20" s="69">
        <f>IF(ISNUMBER('Results'!$B$20),'Results'!$B$20*'Results'!$C$20,0)</f>
        <v/>
      </c>
      <c r="G20" s="69">
        <f>IF(ISNUMBER('Results'!$B$20),'Results'!$B$20*'Results'!$D$20,0)</f>
        <v/>
      </c>
      <c r="H20" s="69">
        <f>IF(ISNUMBER('Results'!$B$20),'Results'!$B$20*'Results'!$E$20,0)</f>
        <v/>
      </c>
      <c r="I20" s="69">
        <f>IF(ISNUMBER('Results'!$B$20),15*'Results'!$C$20,0)</f>
        <v/>
      </c>
      <c r="J20" s="69">
        <f>IF(ISNUMBER('Results'!$B$20),15*'Results'!$D$20,0)</f>
        <v/>
      </c>
      <c r="K20" s="69">
        <f>IF(ISNUMBER('Results'!$B$20),15*'Results'!$E$20,0)</f>
        <v/>
      </c>
    </row>
    <row r="21">
      <c r="A21" s="68" t="inlineStr">
        <is>
          <t>Population support</t>
        </is>
      </c>
      <c r="B21" s="69">
        <f>IF(COUNT('DEEP Score'!G42:G42)=0,"",SUM('DEEP Score'!G42:G42)/COUNT('DEEP Score'!G42:G42)*15)</f>
        <v/>
      </c>
      <c r="C21" s="68" t="n">
        <v>0.1</v>
      </c>
      <c r="D21" s="68" t="n">
        <v>0.1</v>
      </c>
      <c r="E21" s="68" t="n">
        <v>1</v>
      </c>
      <c r="F21" s="69">
        <f>IF(ISNUMBER('Results'!$B$21),'Results'!$B$21*'Results'!$C$21,0)</f>
        <v/>
      </c>
      <c r="G21" s="69">
        <f>IF(ISNUMBER('Results'!$B$21),'Results'!$B$21*'Results'!$D$21,0)</f>
        <v/>
      </c>
      <c r="H21" s="69">
        <f>IF(ISNUMBER('Results'!$B$21),'Results'!$B$21*'Results'!$E$21,0)</f>
        <v/>
      </c>
      <c r="I21" s="69">
        <f>IF(ISNUMBER('Results'!$B$21),15*'Results'!$C$21,0)</f>
        <v/>
      </c>
      <c r="J21" s="69">
        <f>IF(ISNUMBER('Results'!$B$21),15*'Results'!$D$21,0)</f>
        <v/>
      </c>
      <c r="K21" s="69">
        <f>IF(ISNUMBER('Results'!$B$21),15*'Results'!$E$21,0)</f>
        <v/>
      </c>
    </row>
    <row r="22">
      <c r="A22" s="68" t="inlineStr">
        <is>
          <t>Community dynamics</t>
        </is>
      </c>
      <c r="B22" s="69">
        <f>IF(COUNT('DEEP Score'!G43:G44)=0,"",SUM('DEEP Score'!G43:G44)/COUNT('DEEP Score'!G43:G44)*15)</f>
        <v/>
      </c>
      <c r="C22" s="68" t="n">
        <v>0.1</v>
      </c>
      <c r="D22" s="68" t="n">
        <v>0.1</v>
      </c>
      <c r="E22" s="68" t="n">
        <v>1</v>
      </c>
      <c r="F22" s="69">
        <f>IF(ISNUMBER('Results'!$B$22),'Results'!$B$22*'Results'!$C$22,0)</f>
        <v/>
      </c>
      <c r="G22" s="69">
        <f>IF(ISNUMBER('Results'!$B$22),'Results'!$B$22*'Results'!$D$22,0)</f>
        <v/>
      </c>
      <c r="H22" s="69">
        <f>IF(ISNUMBER('Results'!$B$22),'Results'!$B$22*'Results'!$E$22,0)</f>
        <v/>
      </c>
      <c r="I22" s="69">
        <f>IF(ISNUMBER('Results'!$B$22),15*'Results'!$C$22,0)</f>
        <v/>
      </c>
      <c r="J22" s="69">
        <f>IF(ISNUMBER('Results'!$B$22),15*'Results'!$D$22,0)</f>
        <v/>
      </c>
      <c r="K22" s="69">
        <f>IF(ISNUMBER('Results'!$B$22),15*'Results'!$E$22,0)</f>
        <v/>
      </c>
    </row>
    <row r="23">
      <c r="A23" s="68" t="inlineStr">
        <is>
          <t>Watershed connectivity</t>
        </is>
      </c>
      <c r="B23" s="69">
        <f>IF(COUNT('DEEP Score'!G45:G45)=0,"",SUM('DEEP Score'!G45:G45)/COUNT('DEEP Score'!G45:G45)*15)</f>
        <v/>
      </c>
      <c r="C23" s="68" t="n">
        <v>0.1</v>
      </c>
      <c r="D23" s="68" t="n">
        <v>0</v>
      </c>
      <c r="E23" s="68" t="n">
        <v>1</v>
      </c>
      <c r="F23" s="69">
        <f>IF(ISNUMBER('Results'!$B$23),'Results'!$B$23*'Results'!$C$23,0)</f>
        <v/>
      </c>
      <c r="G23" s="69">
        <f>IF(ISNUMBER('Results'!$B$23),'Results'!$B$23*'Results'!$D$23,0)</f>
        <v/>
      </c>
      <c r="H23" s="69">
        <f>IF(ISNUMBER('Results'!$B$23),'Results'!$B$23*'Results'!$E$23,0)</f>
        <v/>
      </c>
      <c r="I23" s="69">
        <f>IF(ISNUMBER('Results'!$B$23),15*'Results'!$C$23,0)</f>
        <v/>
      </c>
      <c r="J23" s="69">
        <f>IF(ISNUMBER('Results'!$B$23),15*'Results'!$D$23,0)</f>
        <v/>
      </c>
      <c r="K23" s="69">
        <f>IF(ISNUMBER('Results'!$B$23),15*'Results'!$E$23,0)</f>
        <v/>
      </c>
    </row>
    <row r="25">
      <c r="A25" s="5" t="inlineStr">
        <is>
          <t>Outcome</t>
        </is>
      </c>
      <c r="B25" s="5" t="inlineStr">
        <is>
          <t>Sub-index</t>
        </is>
      </c>
    </row>
    <row r="26">
      <c r="A26" s="68" t="inlineStr">
        <is>
          <t>Physical</t>
        </is>
      </c>
      <c r="B26" s="69">
        <f>IF(SUM('Results'!$I$4:$I$23)=0,0,SUM('Results'!$F$4:$F$23)/SUM('Results'!$I$4:$I$23))</f>
        <v/>
      </c>
    </row>
    <row r="27">
      <c r="A27" s="68" t="inlineStr">
        <is>
          <t>Chemical</t>
        </is>
      </c>
      <c r="B27" s="69">
        <f>IF(SUM('Results'!$J$4:$J$23)=0,0,SUM('Results'!$G$4:$G$23)/SUM('Results'!$J$4:$J$23))</f>
        <v/>
      </c>
    </row>
    <row r="28">
      <c r="A28" s="68" t="inlineStr">
        <is>
          <t>Biological</t>
        </is>
      </c>
      <c r="B28" s="69">
        <f>IF(SUM('Results'!$K$4:$K$23)=0,0,SUM('Results'!$H$4:$H$23)/SUM('Results'!$K$4:$K$23))</f>
        <v/>
      </c>
    </row>
    <row r="29">
      <c r="A29" s="52" t="inlineStr">
        <is>
          <t>Ecosystem Condition Index</t>
        </is>
      </c>
      <c r="B29" s="69">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66"/>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7"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8" t="inlineStr">
        <is>
          <t>spring_pctimp2019ws|</t>
        </is>
      </c>
      <c r="B5" s="68" t="inlineStr">
        <is>
          <t>spring-pctimp2019ws</t>
        </is>
      </c>
      <c r="C5" s="68" t="inlineStr">
        <is>
          <t>Impervious surface</t>
        </is>
      </c>
      <c r="D5" s="68" t="inlineStr"/>
      <c r="E5" s="68" t="n">
        <v>4</v>
      </c>
      <c r="F5" s="68" t="inlineStr">
        <is>
          <t>Fixed criteria, the same in every region</t>
        </is>
      </c>
      <c r="G5" s="68" t="n">
        <v>0</v>
      </c>
      <c r="H5" s="68" t="n">
        <v>10</v>
      </c>
      <c r="I5" s="68" t="n">
        <v>25.005</v>
      </c>
      <c r="J5" s="68" t="n">
        <v>44.5115</v>
      </c>
      <c r="K5" s="68" t="n">
        <v>44.5115</v>
      </c>
      <c r="L5" s="68" t="n">
        <v>44.5115</v>
      </c>
      <c r="M5" s="68" t="n">
        <v>44.5115</v>
      </c>
      <c r="N5" s="68" t="n">
        <v>44.5115</v>
      </c>
      <c r="O5" s="68" t="n">
        <v>1</v>
      </c>
      <c r="P5" s="68" t="n">
        <v>0.6899999999999999</v>
      </c>
      <c r="Q5" s="68" t="n">
        <v>0.39</v>
      </c>
      <c r="R5" s="68" t="n">
        <v>0</v>
      </c>
      <c r="S5" s="68" t="n">
        <v>0</v>
      </c>
      <c r="T5" s="68" t="n">
        <v>0</v>
      </c>
      <c r="U5" s="68" t="n">
        <v>0</v>
      </c>
      <c r="V5" s="68" t="n">
        <v>0</v>
      </c>
    </row>
    <row r="6">
      <c r="A6" s="68" t="inlineStr">
        <is>
          <t>spring_pctag2019ws|</t>
        </is>
      </c>
      <c r="B6" s="68" t="inlineStr">
        <is>
          <t>spring-pctag2019ws</t>
        </is>
      </c>
      <c r="C6" s="68" t="inlineStr">
        <is>
          <t>Agriculture, crop and hay</t>
        </is>
      </c>
      <c r="D6" s="68" t="inlineStr"/>
      <c r="E6" s="68" t="n">
        <v>4</v>
      </c>
      <c r="F6" s="68" t="inlineStr">
        <is>
          <t>Fixed criteria, the same in every region</t>
        </is>
      </c>
      <c r="G6" s="68" t="n">
        <v>0</v>
      </c>
      <c r="H6" s="68" t="n">
        <v>30</v>
      </c>
      <c r="I6" s="68" t="n">
        <v>50.005</v>
      </c>
      <c r="J6" s="68" t="n">
        <v>76.0115</v>
      </c>
      <c r="K6" s="68" t="n">
        <v>76.0115</v>
      </c>
      <c r="L6" s="68" t="n">
        <v>76.0115</v>
      </c>
      <c r="M6" s="68" t="n">
        <v>76.0115</v>
      </c>
      <c r="N6" s="68" t="n">
        <v>76.0115</v>
      </c>
      <c r="O6" s="68" t="n">
        <v>1</v>
      </c>
      <c r="P6" s="68" t="n">
        <v>0.6899999999999999</v>
      </c>
      <c r="Q6" s="68" t="n">
        <v>0.39</v>
      </c>
      <c r="R6" s="68" t="n">
        <v>0</v>
      </c>
      <c r="S6" s="68" t="n">
        <v>0</v>
      </c>
      <c r="T6" s="68" t="n">
        <v>0</v>
      </c>
      <c r="U6" s="68" t="n">
        <v>0</v>
      </c>
      <c r="V6" s="68" t="n">
        <v>0</v>
      </c>
    </row>
    <row r="7">
      <c r="A7" s="68" t="inlineStr">
        <is>
          <t>spring_pctwet2019ws|</t>
        </is>
      </c>
      <c r="B7" s="68" t="inlineStr">
        <is>
          <t>spring-pctwet2019ws</t>
        </is>
      </c>
      <c r="C7" s="68" t="inlineStr">
        <is>
          <t>Wetland cover of the watershed</t>
        </is>
      </c>
      <c r="D7" s="68" t="inlineStr"/>
      <c r="E7" s="68" t="n">
        <v>4</v>
      </c>
      <c r="F7" s="68" t="inlineStr">
        <is>
          <t>Adopted from EASI's national screening method (provisional)</t>
        </is>
      </c>
      <c r="G7" s="68" t="n">
        <v>0</v>
      </c>
      <c r="H7" s="68" t="n">
        <v>0.995</v>
      </c>
      <c r="I7" s="68" t="n">
        <v>5</v>
      </c>
      <c r="J7" s="68" t="n">
        <v>9.138500000000001</v>
      </c>
      <c r="K7" s="68" t="n">
        <v>9.138500000000001</v>
      </c>
      <c r="L7" s="68" t="n">
        <v>9.138500000000001</v>
      </c>
      <c r="M7" s="68" t="n">
        <v>9.138500000000001</v>
      </c>
      <c r="N7" s="68" t="n">
        <v>9.138500000000001</v>
      </c>
      <c r="O7" s="68" t="n">
        <v>0.315468</v>
      </c>
      <c r="P7" s="68" t="n">
        <v>0.39</v>
      </c>
      <c r="Q7" s="68" t="n">
        <v>0.6899999999999999</v>
      </c>
      <c r="R7" s="68" t="n">
        <v>1</v>
      </c>
      <c r="S7" s="68" t="n">
        <v>1</v>
      </c>
      <c r="T7" s="68" t="n">
        <v>1</v>
      </c>
      <c r="U7" s="68" t="n">
        <v>1</v>
      </c>
      <c r="V7" s="68" t="n">
        <v>1</v>
      </c>
    </row>
    <row r="8">
      <c r="A8" s="68" t="inlineStr">
        <is>
          <t>spring_rddensws|</t>
        </is>
      </c>
      <c r="B8" s="68" t="inlineStr">
        <is>
          <t>spring-rddensws</t>
        </is>
      </c>
      <c r="C8" s="68" t="inlineStr">
        <is>
          <t>Road density</t>
        </is>
      </c>
      <c r="D8" s="68" t="inlineStr"/>
      <c r="E8" s="68" t="n">
        <v>4</v>
      </c>
      <c r="F8" s="68" t="inlineStr">
        <is>
          <t>Fixed criteria, the same in every region</t>
        </is>
      </c>
      <c r="G8" s="68" t="n">
        <v>0</v>
      </c>
      <c r="H8" s="68" t="n">
        <v>1</v>
      </c>
      <c r="I8" s="68" t="n">
        <v>3</v>
      </c>
      <c r="J8" s="68" t="n">
        <v>5.6</v>
      </c>
      <c r="K8" s="68" t="n">
        <v>5.6</v>
      </c>
      <c r="L8" s="68" t="n">
        <v>5.6</v>
      </c>
      <c r="M8" s="68" t="n">
        <v>5.6</v>
      </c>
      <c r="N8" s="68" t="n">
        <v>5.6</v>
      </c>
      <c r="O8" s="68" t="n">
        <v>1</v>
      </c>
      <c r="P8" s="68" t="n">
        <v>0.6899999999999999</v>
      </c>
      <c r="Q8" s="68" t="n">
        <v>0.39</v>
      </c>
      <c r="R8" s="68" t="n">
        <v>0</v>
      </c>
      <c r="S8" s="68" t="n">
        <v>0</v>
      </c>
      <c r="T8" s="68" t="n">
        <v>0</v>
      </c>
      <c r="U8" s="68" t="n">
        <v>0</v>
      </c>
      <c r="V8" s="68" t="n">
        <v>0</v>
      </c>
    </row>
    <row r="9">
      <c r="A9" s="68" t="inlineStr">
        <is>
          <t>spring_bfiws|</t>
        </is>
      </c>
      <c r="B9" s="68" t="inlineStr">
        <is>
          <t>spring-bfiws</t>
        </is>
      </c>
      <c r="C9" s="68" t="inlineStr">
        <is>
          <t>Base flow index</t>
        </is>
      </c>
      <c r="D9" s="68" t="inlineStr"/>
      <c r="E9" s="68" t="n">
        <v>5</v>
      </c>
      <c r="F9" s="68" t="inlineStr">
        <is>
          <t>13 least-disturbed stations of this ecoregion</t>
        </is>
      </c>
      <c r="G9" s="68" t="n">
        <v>0</v>
      </c>
      <c r="H9" s="68" t="n">
        <v>29.39537142857143</v>
      </c>
      <c r="I9" s="68" t="n">
        <v>68.58920000000001</v>
      </c>
      <c r="J9" s="68" t="n">
        <v>71.6506</v>
      </c>
      <c r="K9" s="68" t="n">
        <v>73.18129999999999</v>
      </c>
      <c r="L9" s="68" t="n">
        <v>73.18129999999999</v>
      </c>
      <c r="M9" s="68" t="n">
        <v>73.18129999999999</v>
      </c>
      <c r="N9" s="68" t="n">
        <v>73.18129999999999</v>
      </c>
      <c r="O9" s="68" t="n">
        <v>0</v>
      </c>
      <c r="P9" s="68" t="n">
        <v>0.3</v>
      </c>
      <c r="Q9" s="68" t="n">
        <v>0.7</v>
      </c>
      <c r="R9" s="68" t="n">
        <v>1</v>
      </c>
      <c r="S9" s="68" t="n">
        <v>1</v>
      </c>
      <c r="T9" s="68" t="n">
        <v>1</v>
      </c>
      <c r="U9" s="68" t="n">
        <v>1</v>
      </c>
      <c r="V9" s="68" t="n">
        <v>1</v>
      </c>
    </row>
    <row r="10">
      <c r="A10" s="68" t="inlineStr">
        <is>
          <t>spring_dorws|</t>
        </is>
      </c>
      <c r="B10" s="68" t="inlineStr">
        <is>
          <t>spring-dorws</t>
        </is>
      </c>
      <c r="C10" s="68" t="inlineStr">
        <is>
          <t>Degree of regulation</t>
        </is>
      </c>
      <c r="D10" s="68" t="inlineStr"/>
      <c r="E10" s="68" t="n">
        <v>4</v>
      </c>
      <c r="F10" s="68" t="inlineStr">
        <is>
          <t>Fixed criteria, the same in every region</t>
        </is>
      </c>
      <c r="G10" s="68" t="n">
        <v>0</v>
      </c>
      <c r="H10" s="68" t="n">
        <v>2</v>
      </c>
      <c r="I10" s="68" t="n">
        <v>15.005</v>
      </c>
      <c r="J10" s="68" t="n">
        <v>31.9115</v>
      </c>
      <c r="K10" s="68" t="n">
        <v>31.9115</v>
      </c>
      <c r="L10" s="68" t="n">
        <v>31.9115</v>
      </c>
      <c r="M10" s="68" t="n">
        <v>31.9115</v>
      </c>
      <c r="N10" s="68" t="n">
        <v>31.9115</v>
      </c>
      <c r="O10" s="68" t="n">
        <v>1</v>
      </c>
      <c r="P10" s="68" t="n">
        <v>0.6899999999999999</v>
      </c>
      <c r="Q10" s="68" t="n">
        <v>0.39</v>
      </c>
      <c r="R10" s="68" t="n">
        <v>0</v>
      </c>
      <c r="S10" s="68" t="n">
        <v>0</v>
      </c>
      <c r="T10" s="68" t="n">
        <v>0</v>
      </c>
      <c r="U10" s="68" t="n">
        <v>0</v>
      </c>
      <c r="V10" s="68" t="n">
        <v>0</v>
      </c>
    </row>
    <row r="11">
      <c r="A11" s="68" t="inlineStr">
        <is>
          <t>spring_phab_bfwd_rat|All streams (pooled)</t>
        </is>
      </c>
      <c r="B11" s="68" t="inlineStr">
        <is>
          <t>spring-phab-bfwd-rat</t>
        </is>
      </c>
      <c r="C11" s="68" t="inlineStr">
        <is>
          <t>Bankfull width:depth ratio</t>
        </is>
      </c>
      <c r="D11" s="68" t="inlineStr">
        <is>
          <t>All streams (pooled)</t>
        </is>
      </c>
      <c r="E11" s="68" t="n">
        <v>7</v>
      </c>
      <c r="F11" s="68" t="inlineStr">
        <is>
          <t>105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1" s="68" t="n">
        <v>0</v>
      </c>
      <c r="H11" s="68" t="n">
        <v>3.964504408836365</v>
      </c>
      <c r="I11" s="68" t="n">
        <v>7.005638599395752</v>
      </c>
      <c r="J11" s="68" t="n">
        <v>15.69459342956543</v>
      </c>
      <c r="K11" s="68" t="n">
        <v>18.73572762012482</v>
      </c>
      <c r="L11" s="68" t="n">
        <v>24.38354825973511</v>
      </c>
      <c r="M11" s="68" t="n">
        <v>33.07250308990479</v>
      </c>
      <c r="N11" s="68" t="n">
        <v>33.07250308990479</v>
      </c>
      <c r="O11" s="68" t="n">
        <v>0</v>
      </c>
      <c r="P11" s="68" t="n">
        <v>0.7</v>
      </c>
      <c r="Q11" s="68" t="n">
        <v>1</v>
      </c>
      <c r="R11" s="68" t="n">
        <v>1</v>
      </c>
      <c r="S11" s="68" t="n">
        <v>0.7</v>
      </c>
      <c r="T11" s="68" t="n">
        <v>0.3</v>
      </c>
      <c r="U11" s="68" t="n">
        <v>0</v>
      </c>
      <c r="V11" s="68" t="n">
        <v>0</v>
      </c>
    </row>
    <row r="12">
      <c r="A12" s="68" t="inlineStr">
        <is>
          <t>spring_phab_bfwd_rat|Headwater (10 km2 and under)</t>
        </is>
      </c>
      <c r="B12" s="68" t="inlineStr">
        <is>
          <t>spring-phab-bfwd-rat</t>
        </is>
      </c>
      <c r="C12" s="68" t="inlineStr">
        <is>
          <t>Bankfull width:depth ratio</t>
        </is>
      </c>
      <c r="D12" s="68" t="inlineStr">
        <is>
          <t>Headwater (10 km2 and under)</t>
        </is>
      </c>
      <c r="E12" s="68" t="n">
        <v>8</v>
      </c>
      <c r="F12" s="68" t="inlineStr">
        <is>
          <t>105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2" s="68" t="n">
        <v>0</v>
      </c>
      <c r="H12" s="68" t="n">
        <v>1.544580459594727</v>
      </c>
      <c r="I12" s="68" t="n">
        <v>3.907541990280151</v>
      </c>
      <c r="J12" s="68" t="n">
        <v>5.179905891418457</v>
      </c>
      <c r="K12" s="68" t="n">
        <v>8.815231323242188</v>
      </c>
      <c r="L12" s="68" t="n">
        <v>10.08759522438049</v>
      </c>
      <c r="M12" s="68" t="n">
        <v>12.45055675506592</v>
      </c>
      <c r="N12" s="68" t="n">
        <v>16.08588218688965</v>
      </c>
      <c r="O12" s="68" t="n">
        <v>0</v>
      </c>
      <c r="P12" s="68" t="n">
        <v>0.3</v>
      </c>
      <c r="Q12" s="68" t="n">
        <v>0.7</v>
      </c>
      <c r="R12" s="68" t="n">
        <v>1</v>
      </c>
      <c r="S12" s="68" t="n">
        <v>1</v>
      </c>
      <c r="T12" s="68" t="n">
        <v>0.7</v>
      </c>
      <c r="U12" s="68" t="n">
        <v>0.3</v>
      </c>
      <c r="V12" s="68" t="n">
        <v>0</v>
      </c>
    </row>
    <row r="13">
      <c r="A13" s="68" t="inlineStr">
        <is>
          <t>spring_phab_bfwd_rat|Small stream (10 to 100 km2)</t>
        </is>
      </c>
      <c r="B13" s="68" t="inlineStr">
        <is>
          <t>spring-phab-bfwd-rat</t>
        </is>
      </c>
      <c r="C13" s="68" t="inlineStr">
        <is>
          <t>Bankfull width:depth ratio</t>
        </is>
      </c>
      <c r="D13" s="68" t="inlineStr">
        <is>
          <t>Small stream (10 to 100 km2)</t>
        </is>
      </c>
      <c r="E13" s="68" t="n">
        <v>8</v>
      </c>
      <c r="F13" s="68" t="inlineStr">
        <is>
          <t>105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3" s="68" t="n">
        <v>0</v>
      </c>
      <c r="H13" s="68" t="n">
        <v>1.03646183013916</v>
      </c>
      <c r="I13" s="68" t="n">
        <v>4.65867492556572</v>
      </c>
      <c r="J13" s="68" t="n">
        <v>6.609097361564636</v>
      </c>
      <c r="K13" s="68" t="n">
        <v>12.18173289299011</v>
      </c>
      <c r="L13" s="68" t="n">
        <v>14.13215532898903</v>
      </c>
      <c r="M13" s="68" t="n">
        <v>17.75436842441559</v>
      </c>
      <c r="N13" s="68" t="n">
        <v>23.32700395584106</v>
      </c>
      <c r="O13" s="68" t="n">
        <v>0</v>
      </c>
      <c r="P13" s="68" t="n">
        <v>0.3</v>
      </c>
      <c r="Q13" s="68" t="n">
        <v>0.7</v>
      </c>
      <c r="R13" s="68" t="n">
        <v>1</v>
      </c>
      <c r="S13" s="68" t="n">
        <v>1</v>
      </c>
      <c r="T13" s="68" t="n">
        <v>0.7</v>
      </c>
      <c r="U13" s="68" t="n">
        <v>0.3</v>
      </c>
      <c r="V13" s="68" t="n">
        <v>0</v>
      </c>
    </row>
    <row r="14">
      <c r="A14" s="68" t="inlineStr">
        <is>
          <t>spring_phab_bfwd_rat|Large stream (over 100 km2)</t>
        </is>
      </c>
      <c r="B14" s="68" t="inlineStr">
        <is>
          <t>spring-phab-bfwd-rat</t>
        </is>
      </c>
      <c r="C14" s="68" t="inlineStr">
        <is>
          <t>Bankfull width:depth ratio</t>
        </is>
      </c>
      <c r="D14" s="68" t="inlineStr">
        <is>
          <t>Large stream (over 100 km2)</t>
        </is>
      </c>
      <c r="E14" s="68" t="n">
        <v>8</v>
      </c>
      <c r="F14" s="68" t="inlineStr">
        <is>
          <t>105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0.67 of evaluation regions; two thirds required; net optimism +0.16, at most 0.05 allowed); confidence capped at 39.</t>
        </is>
      </c>
      <c r="G14" s="68" t="n">
        <v>0</v>
      </c>
      <c r="H14" s="68" t="n">
        <v>2.791712760925293</v>
      </c>
      <c r="I14" s="68" t="n">
        <v>8.594964659214019</v>
      </c>
      <c r="J14" s="68" t="n">
        <v>11.71979260444641</v>
      </c>
      <c r="K14" s="68" t="n">
        <v>20.64787244796753</v>
      </c>
      <c r="L14" s="68" t="n">
        <v>23.77270039319992</v>
      </c>
      <c r="M14" s="68" t="n">
        <v>29.57595229148865</v>
      </c>
      <c r="N14" s="68" t="n">
        <v>38.50403213500977</v>
      </c>
      <c r="O14" s="68" t="n">
        <v>0</v>
      </c>
      <c r="P14" s="68" t="n">
        <v>0.3</v>
      </c>
      <c r="Q14" s="68" t="n">
        <v>0.7</v>
      </c>
      <c r="R14" s="68" t="n">
        <v>1</v>
      </c>
      <c r="S14" s="68" t="n">
        <v>1</v>
      </c>
      <c r="T14" s="68" t="n">
        <v>0.7</v>
      </c>
      <c r="U14" s="68" t="n">
        <v>0.3</v>
      </c>
      <c r="V14" s="68" t="n">
        <v>0</v>
      </c>
    </row>
    <row r="15">
      <c r="A15" s="68" t="inlineStr">
        <is>
          <t>spring_phab_xbkf_h|</t>
        </is>
      </c>
      <c r="B15" s="68" t="inlineStr">
        <is>
          <t>spring-phab-xbkf-h</t>
        </is>
      </c>
      <c r="C15" s="68" t="inlineStr">
        <is>
          <t>Bankfull height above channel</t>
        </is>
      </c>
      <c r="D15" s="68" t="inlineStr"/>
      <c r="E15" s="68" t="n">
        <v>7</v>
      </c>
      <c r="F15" s="68" t="inlineStr">
        <is>
          <t>13 least-disturbed stations of this ecoregion</t>
        </is>
      </c>
      <c r="G15" s="68" t="n">
        <v>0</v>
      </c>
      <c r="H15" s="68" t="n">
        <v>0.2018181622028351</v>
      </c>
      <c r="I15" s="68" t="n">
        <v>0.3227272629737854</v>
      </c>
      <c r="J15" s="68" t="n">
        <v>0.668181836605072</v>
      </c>
      <c r="K15" s="68" t="n">
        <v>0.7890909373760223</v>
      </c>
      <c r="L15" s="68" t="n">
        <v>1.013636410236359</v>
      </c>
      <c r="M15" s="68" t="n">
        <v>1.359090983867645</v>
      </c>
      <c r="N15" s="68" t="n">
        <v>1.359090983867645</v>
      </c>
      <c r="O15" s="68" t="n">
        <v>0</v>
      </c>
      <c r="P15" s="68" t="n">
        <v>0.7</v>
      </c>
      <c r="Q15" s="68" t="n">
        <v>1</v>
      </c>
      <c r="R15" s="68" t="n">
        <v>1</v>
      </c>
      <c r="S15" s="68" t="n">
        <v>0.7</v>
      </c>
      <c r="T15" s="68" t="n">
        <v>0.3</v>
      </c>
      <c r="U15" s="68" t="n">
        <v>0</v>
      </c>
      <c r="V15" s="68" t="n">
        <v>0</v>
      </c>
    </row>
    <row r="16">
      <c r="A16" s="68" t="inlineStr">
        <is>
          <t>spring_phab_pct_safn|</t>
        </is>
      </c>
      <c r="B16" s="68" t="inlineStr">
        <is>
          <t>spring-phab-pct-safn</t>
        </is>
      </c>
      <c r="C16" s="68" t="inlineStr">
        <is>
          <t>Sand + fines</t>
        </is>
      </c>
      <c r="D16" s="68" t="inlineStr"/>
      <c r="E16" s="68" t="n">
        <v>5</v>
      </c>
      <c r="F16" s="68" t="inlineStr">
        <is>
          <t>105 least-disturbed stations borrowed from Level II ecoregion 6.2 (Western Cordillera) under the regional screen (agriculture at most 25 percent), transfer risk low</t>
        </is>
      </c>
      <c r="G16" s="68" t="n">
        <v>0</v>
      </c>
      <c r="H16" s="68" t="n">
        <v>3.809523820877075</v>
      </c>
      <c r="I16" s="68" t="n">
        <v>28.5714282989502</v>
      </c>
      <c r="J16" s="68" t="n">
        <v>65.71428501605988</v>
      </c>
      <c r="K16" s="68" t="n">
        <v>90.476189494133</v>
      </c>
      <c r="L16" s="68" t="n">
        <v>90.476189494133</v>
      </c>
      <c r="M16" s="68" t="n">
        <v>90.476189494133</v>
      </c>
      <c r="N16" s="68" t="n">
        <v>90.476189494133</v>
      </c>
      <c r="O16" s="68" t="n">
        <v>1</v>
      </c>
      <c r="P16" s="68" t="n">
        <v>1</v>
      </c>
      <c r="Q16" s="68" t="n">
        <v>0.7</v>
      </c>
      <c r="R16" s="68" t="n">
        <v>0.3</v>
      </c>
      <c r="S16" s="68" t="n">
        <v>0</v>
      </c>
      <c r="T16" s="68" t="n">
        <v>0</v>
      </c>
      <c r="U16" s="68" t="n">
        <v>0</v>
      </c>
      <c r="V16" s="68" t="n">
        <v>0</v>
      </c>
    </row>
    <row r="17">
      <c r="A17" s="68" t="inlineStr">
        <is>
          <t>spring_phab_xembed|</t>
        </is>
      </c>
      <c r="B17" s="68" t="inlineStr">
        <is>
          <t>spring-phab-xembed</t>
        </is>
      </c>
      <c r="C17" s="68" t="inlineStr">
        <is>
          <t>Embeddedness</t>
        </is>
      </c>
      <c r="D17" s="68" t="inlineStr"/>
      <c r="E17" s="68" t="n">
        <v>4</v>
      </c>
      <c r="F17" s="68" t="inlineStr">
        <is>
          <t>92 least-disturbed stations borrowed from Level II ecoregion 6.2 (Western Cordillera) under the regional screen (agriculture at most 25 percent), transfer risk low</t>
        </is>
      </c>
      <c r="G17" s="68" t="n">
        <v>5.896105051040649</v>
      </c>
      <c r="H17" s="68" t="n">
        <v>23.81818246841431</v>
      </c>
      <c r="I17" s="68" t="n">
        <v>59.66233730316162</v>
      </c>
      <c r="J17" s="68" t="n">
        <v>100</v>
      </c>
      <c r="K17" s="68" t="n">
        <v>100</v>
      </c>
      <c r="L17" s="68" t="n">
        <v>100</v>
      </c>
      <c r="M17" s="68" t="n">
        <v>100</v>
      </c>
      <c r="N17" s="68" t="n">
        <v>100</v>
      </c>
      <c r="O17" s="68" t="n">
        <v>1</v>
      </c>
      <c r="P17" s="68" t="n">
        <v>1</v>
      </c>
      <c r="Q17" s="68" t="n">
        <v>0.7</v>
      </c>
      <c r="R17" s="68" t="n">
        <v>0</v>
      </c>
      <c r="S17" s="68" t="n">
        <v>0</v>
      </c>
      <c r="T17" s="68" t="n">
        <v>0</v>
      </c>
      <c r="U17" s="68" t="n">
        <v>0</v>
      </c>
      <c r="V17" s="68" t="n">
        <v>0</v>
      </c>
    </row>
    <row r="18">
      <c r="A18" s="68" t="inlineStr">
        <is>
          <t>spring_phab_sinu|</t>
        </is>
      </c>
      <c r="B18" s="68" t="inlineStr">
        <is>
          <t>spring-phab-sinu</t>
        </is>
      </c>
      <c r="C18" s="68" t="inlineStr">
        <is>
          <t>Sinuosity</t>
        </is>
      </c>
      <c r="D18" s="68" t="inlineStr"/>
      <c r="E18" s="68" t="n">
        <v>4</v>
      </c>
      <c r="F18" s="68" t="inlineStr">
        <is>
          <t>92 least-disturbed stations borrowed from Level II ecoregion 6.2 (Western Cordillera) under the regional screen (agriculture at most 25 percent), transfer risk moderate</t>
        </is>
      </c>
      <c r="G18" s="68" t="n">
        <v>1</v>
      </c>
      <c r="H18" s="68" t="n">
        <v>1.083995699882507</v>
      </c>
      <c r="I18" s="68" t="n">
        <v>1.334743857383728</v>
      </c>
      <c r="J18" s="68" t="n">
        <v>1.460117936134338</v>
      </c>
      <c r="K18" s="68" t="n">
        <v>1.460117936134338</v>
      </c>
      <c r="L18" s="68" t="n">
        <v>1.460117936134338</v>
      </c>
      <c r="M18" s="68" t="n">
        <v>1.460117936134338</v>
      </c>
      <c r="N18" s="68" t="n">
        <v>1.460117936134338</v>
      </c>
      <c r="O18" s="68" t="n">
        <v>0</v>
      </c>
      <c r="P18" s="68" t="n">
        <v>0.7</v>
      </c>
      <c r="Q18" s="68" t="n">
        <v>1</v>
      </c>
      <c r="R18" s="68" t="n">
        <v>1</v>
      </c>
      <c r="S18" s="68" t="n">
        <v>1</v>
      </c>
      <c r="T18" s="68" t="n">
        <v>1</v>
      </c>
      <c r="U18" s="68" t="n">
        <v>1</v>
      </c>
      <c r="V18" s="68" t="n">
        <v>1</v>
      </c>
    </row>
    <row r="19">
      <c r="A19" s="68" t="inlineStr">
        <is>
          <t>spring_phab_xbka|</t>
        </is>
      </c>
      <c r="B19" s="68" t="inlineStr">
        <is>
          <t>spring-phab-xbka</t>
        </is>
      </c>
      <c r="C19" s="68" t="inlineStr">
        <is>
          <t>Bank angle</t>
        </is>
      </c>
      <c r="D19" s="68" t="inlineStr"/>
      <c r="E19" s="68" t="n">
        <v>7</v>
      </c>
      <c r="F19" s="68" t="inlineStr">
        <is>
          <t>112 least-disturbed stations borrowed from NARS-9 region WMT under the regional screen (agriculture at most 25 percent), transfer risk moderate</t>
        </is>
      </c>
      <c r="G19" s="68" t="n">
        <v>0</v>
      </c>
      <c r="H19" s="68" t="n">
        <v>17.50053520202637</v>
      </c>
      <c r="I19" s="68" t="n">
        <v>22.82954502105713</v>
      </c>
      <c r="J19" s="68" t="n">
        <v>38.05528736114502</v>
      </c>
      <c r="K19" s="68" t="n">
        <v>43.38429718017578</v>
      </c>
      <c r="L19" s="68" t="n">
        <v>53.28102970123291</v>
      </c>
      <c r="M19" s="68" t="n">
        <v>68.5067720413208</v>
      </c>
      <c r="N19" s="68" t="n">
        <v>68.5067720413208</v>
      </c>
      <c r="O19" s="68" t="n">
        <v>0.7</v>
      </c>
      <c r="P19" s="68" t="n">
        <v>0.7</v>
      </c>
      <c r="Q19" s="68" t="n">
        <v>1</v>
      </c>
      <c r="R19" s="68" t="n">
        <v>1</v>
      </c>
      <c r="S19" s="68" t="n">
        <v>0.7</v>
      </c>
      <c r="T19" s="68" t="n">
        <v>0.3</v>
      </c>
      <c r="U19" s="68" t="n">
        <v>0</v>
      </c>
      <c r="V19" s="68" t="n">
        <v>0</v>
      </c>
    </row>
    <row r="20">
      <c r="A20" s="68" t="inlineStr">
        <is>
          <t>spring_phab_lrbs_use|</t>
        </is>
      </c>
      <c r="B20" s="68" t="inlineStr">
        <is>
          <t>spring-phab-lrbs-use</t>
        </is>
      </c>
      <c r="C20" s="68" t="inlineStr">
        <is>
          <t>Relative bed stability</t>
        </is>
      </c>
      <c r="D20" s="68" t="inlineStr"/>
      <c r="E20" s="68" t="n">
        <v>8</v>
      </c>
      <c r="F20" s="68" t="inlineStr">
        <is>
          <t>13 least-disturbed stations of this ecoregion</t>
        </is>
      </c>
      <c r="G20" s="68" t="n">
        <v>-3.433375120162964</v>
      </c>
      <c r="H20" s="68" t="n">
        <v>-2.181511968374252</v>
      </c>
      <c r="I20" s="68" t="n">
        <v>-1.36780091971159</v>
      </c>
      <c r="J20" s="68" t="n">
        <v>-0.9296488165855408</v>
      </c>
      <c r="K20" s="68" t="n">
        <v>0.3222143352031708</v>
      </c>
      <c r="L20" s="68" t="n">
        <v>0.7603664383292198</v>
      </c>
      <c r="M20" s="68" t="n">
        <v>1.574077486991882</v>
      </c>
      <c r="N20" s="68" t="n">
        <v>2.825940638780594</v>
      </c>
      <c r="O20" s="68" t="n">
        <v>0</v>
      </c>
      <c r="P20" s="68" t="n">
        <v>0.3</v>
      </c>
      <c r="Q20" s="68" t="n">
        <v>0.7</v>
      </c>
      <c r="R20" s="68" t="n">
        <v>1</v>
      </c>
      <c r="S20" s="68" t="n">
        <v>1</v>
      </c>
      <c r="T20" s="68" t="n">
        <v>0.7</v>
      </c>
      <c r="U20" s="68" t="n">
        <v>0.3</v>
      </c>
      <c r="V20" s="68" t="n">
        <v>0</v>
      </c>
    </row>
    <row r="21">
      <c r="A21" s="68" t="inlineStr">
        <is>
          <t>spring_phab_lwdeqvolm100|</t>
        </is>
      </c>
      <c r="B21" s="68" t="inlineStr">
        <is>
          <t>spring-phab-lwdeqvolm100</t>
        </is>
      </c>
      <c r="C21" s="68" t="inlineStr">
        <is>
          <t>Large wood volume</t>
        </is>
      </c>
      <c r="D21" s="68" t="inlineStr"/>
      <c r="E21" s="68" t="n">
        <v>5</v>
      </c>
      <c r="F21" s="68" t="inlineStr">
        <is>
          <t>Reference curve fitted to comparable least-disturbed stations drawn from the national pool, because this ecoregion and its parents hold too few of their own.</t>
        </is>
      </c>
      <c r="G21" s="68" t="n">
        <v>0</v>
      </c>
      <c r="H21" s="68" t="n">
        <v>0.1189285729612623</v>
      </c>
      <c r="I21" s="68" t="n">
        <v>0.2775000035762787</v>
      </c>
      <c r="J21" s="68" t="n">
        <v>14.43159103393555</v>
      </c>
      <c r="K21" s="68" t="n">
        <v>21.50863654911518</v>
      </c>
      <c r="L21" s="68" t="n">
        <v>21.50863654911518</v>
      </c>
      <c r="M21" s="68" t="n">
        <v>21.50863654911518</v>
      </c>
      <c r="N21" s="68" t="n">
        <v>21.50863654911518</v>
      </c>
      <c r="O21" s="68" t="n">
        <v>0</v>
      </c>
      <c r="P21" s="68" t="n">
        <v>0.3</v>
      </c>
      <c r="Q21" s="68" t="n">
        <v>0.7</v>
      </c>
      <c r="R21" s="68" t="n">
        <v>1</v>
      </c>
      <c r="S21" s="68" t="n">
        <v>1</v>
      </c>
      <c r="T21" s="68" t="n">
        <v>1</v>
      </c>
      <c r="U21" s="68" t="n">
        <v>1</v>
      </c>
      <c r="V21" s="68" t="n">
        <v>1</v>
      </c>
    </row>
    <row r="22">
      <c r="A22" s="68" t="inlineStr">
        <is>
          <t>spring_chem_chla|</t>
        </is>
      </c>
      <c r="B22" s="68" t="inlineStr">
        <is>
          <t>spring-chem-chla</t>
        </is>
      </c>
      <c r="C22" s="68" t="inlineStr">
        <is>
          <t>Chlorophyll a</t>
        </is>
      </c>
      <c r="D22" s="68" t="inlineStr"/>
      <c r="E22" s="68" t="n">
        <v>5</v>
      </c>
      <c r="F22" s="68" t="inlineStr">
        <is>
          <t>48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0.53 of evaluation regions; two thirds required; net optimism +0.17, at most 0.05 allowed); confidence capped at 39.</t>
        </is>
      </c>
      <c r="G22" s="68" t="n">
        <v>0</v>
      </c>
      <c r="H22" s="68" t="n">
        <v>0.1775000058114529</v>
      </c>
      <c r="I22" s="68" t="n">
        <v>0.6695000231266022</v>
      </c>
      <c r="J22" s="68" t="n">
        <v>1.407500049099326</v>
      </c>
      <c r="K22" s="68" t="n">
        <v>1.899500066414475</v>
      </c>
      <c r="L22" s="68" t="n">
        <v>1.899500066414475</v>
      </c>
      <c r="M22" s="68" t="n">
        <v>1.899500066414475</v>
      </c>
      <c r="N22" s="68" t="n">
        <v>1.899500066414475</v>
      </c>
      <c r="O22" s="68" t="n">
        <v>1</v>
      </c>
      <c r="P22" s="68" t="n">
        <v>1</v>
      </c>
      <c r="Q22" s="68" t="n">
        <v>0.7</v>
      </c>
      <c r="R22" s="68" t="n">
        <v>0.3</v>
      </c>
      <c r="S22" s="68" t="n">
        <v>0</v>
      </c>
      <c r="T22" s="68" t="n">
        <v>0</v>
      </c>
      <c r="U22" s="68" t="n">
        <v>0</v>
      </c>
      <c r="V22" s="68" t="n">
        <v>0</v>
      </c>
    </row>
    <row r="23">
      <c r="A23" s="68" t="inlineStr">
        <is>
          <t>spring_phab_xcdenmid|All streams (pooled)</t>
        </is>
      </c>
      <c r="B23" s="68" t="inlineStr">
        <is>
          <t>spring-phab-xcdenmid</t>
        </is>
      </c>
      <c r="C23" s="68" t="inlineStr">
        <is>
          <t>Canopy density, mid-channel</t>
        </is>
      </c>
      <c r="D23" s="68" t="inlineStr">
        <is>
          <t>All streams (pooled)</t>
        </is>
      </c>
      <c r="E23" s="68" t="n">
        <v>5</v>
      </c>
      <c r="F23" s="68" t="inlineStr">
        <is>
          <t>184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3" s="68" t="n">
        <v>0</v>
      </c>
      <c r="H23" s="68" t="n">
        <v>11.81006526947021</v>
      </c>
      <c r="I23" s="68" t="n">
        <v>27.55681896209717</v>
      </c>
      <c r="J23" s="68" t="n">
        <v>81.08288955688477</v>
      </c>
      <c r="K23" s="68" t="n">
        <v>100</v>
      </c>
      <c r="L23" s="68" t="n">
        <v>100</v>
      </c>
      <c r="M23" s="68" t="n">
        <v>100</v>
      </c>
      <c r="N23" s="68" t="n">
        <v>100</v>
      </c>
      <c r="O23" s="68" t="n">
        <v>0</v>
      </c>
      <c r="P23" s="68" t="n">
        <v>0.3</v>
      </c>
      <c r="Q23" s="68" t="n">
        <v>0.7</v>
      </c>
      <c r="R23" s="68" t="n">
        <v>1</v>
      </c>
      <c r="S23" s="68" t="n">
        <v>1</v>
      </c>
      <c r="T23" s="68" t="n">
        <v>1</v>
      </c>
      <c r="U23" s="68" t="n">
        <v>1</v>
      </c>
      <c r="V23" s="68" t="n">
        <v>1</v>
      </c>
    </row>
    <row r="24">
      <c r="A24" s="68" t="inlineStr">
        <is>
          <t>spring_phab_xcdenmid|Headwater (10 km2 and under)</t>
        </is>
      </c>
      <c r="B24" s="68" t="inlineStr">
        <is>
          <t>spring-phab-xcdenmid</t>
        </is>
      </c>
      <c r="C24" s="68" t="inlineStr">
        <is>
          <t>Canopy density, mid-channel</t>
        </is>
      </c>
      <c r="D24" s="68" t="inlineStr">
        <is>
          <t>Headwater (10 km2 and under)</t>
        </is>
      </c>
      <c r="E24" s="68" t="n">
        <v>5</v>
      </c>
      <c r="F24" s="68" t="inlineStr">
        <is>
          <t>184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4" s="68" t="n">
        <v>0</v>
      </c>
      <c r="H24" s="68" t="n">
        <v>24.10714326586042</v>
      </c>
      <c r="I24" s="68" t="n">
        <v>56.25000095367432</v>
      </c>
      <c r="J24" s="68" t="n">
        <v>87.46657562255859</v>
      </c>
      <c r="K24" s="68" t="n">
        <v>100</v>
      </c>
      <c r="L24" s="68" t="n">
        <v>100</v>
      </c>
      <c r="M24" s="68" t="n">
        <v>100</v>
      </c>
      <c r="N24" s="68" t="n">
        <v>100</v>
      </c>
      <c r="O24" s="68" t="n">
        <v>0</v>
      </c>
      <c r="P24" s="68" t="n">
        <v>0.3</v>
      </c>
      <c r="Q24" s="68" t="n">
        <v>0.7</v>
      </c>
      <c r="R24" s="68" t="n">
        <v>1</v>
      </c>
      <c r="S24" s="68" t="n">
        <v>1</v>
      </c>
      <c r="T24" s="68" t="n">
        <v>1</v>
      </c>
      <c r="U24" s="68" t="n">
        <v>1</v>
      </c>
      <c r="V24" s="68" t="n">
        <v>1</v>
      </c>
    </row>
    <row r="25">
      <c r="A25" s="68" t="inlineStr">
        <is>
          <t>spring_phab_xcdenmid|Small stream (10 to 100 km2)</t>
        </is>
      </c>
      <c r="B25" s="68" t="inlineStr">
        <is>
          <t>spring-phab-xcdenmid</t>
        </is>
      </c>
      <c r="C25" s="68" t="inlineStr">
        <is>
          <t>Canopy density, mid-channel</t>
        </is>
      </c>
      <c r="D25" s="68" t="inlineStr">
        <is>
          <t>Small stream (10 to 100 km2)</t>
        </is>
      </c>
      <c r="E25" s="68" t="n">
        <v>5</v>
      </c>
      <c r="F25" s="68" t="inlineStr">
        <is>
          <t>184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5" s="68" t="n">
        <v>0</v>
      </c>
      <c r="H25" s="68" t="n">
        <v>13.36420931134905</v>
      </c>
      <c r="I25" s="68" t="n">
        <v>31.18315505981445</v>
      </c>
      <c r="J25" s="68" t="n">
        <v>81.81818389892578</v>
      </c>
      <c r="K25" s="68" t="n">
        <v>100</v>
      </c>
      <c r="L25" s="68" t="n">
        <v>100</v>
      </c>
      <c r="M25" s="68" t="n">
        <v>100</v>
      </c>
      <c r="N25" s="68" t="n">
        <v>100</v>
      </c>
      <c r="O25" s="68" t="n">
        <v>0</v>
      </c>
      <c r="P25" s="68" t="n">
        <v>0.3</v>
      </c>
      <c r="Q25" s="68" t="n">
        <v>0.7</v>
      </c>
      <c r="R25" s="68" t="n">
        <v>1</v>
      </c>
      <c r="S25" s="68" t="n">
        <v>1</v>
      </c>
      <c r="T25" s="68" t="n">
        <v>1</v>
      </c>
      <c r="U25" s="68" t="n">
        <v>1</v>
      </c>
      <c r="V25" s="68" t="n">
        <v>1</v>
      </c>
    </row>
    <row r="26">
      <c r="A26" s="68" t="inlineStr">
        <is>
          <t>spring_phab_xcdenmid|Large stream (over 100 km2)</t>
        </is>
      </c>
      <c r="B26" s="68" t="inlineStr">
        <is>
          <t>spring-phab-xcdenmid</t>
        </is>
      </c>
      <c r="C26" s="68" t="inlineStr">
        <is>
          <t>Canopy density, mid-channel</t>
        </is>
      </c>
      <c r="D26" s="68" t="inlineStr">
        <is>
          <t>Large stream (over 100 km2)</t>
        </is>
      </c>
      <c r="E26" s="68" t="n">
        <v>5</v>
      </c>
      <c r="F26" s="68" t="inlineStr">
        <is>
          <t>184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0.56 of evaluation regions; two thirds required; net optimism +0.17, at most 0.05 allowed); confidence capped at 39.</t>
        </is>
      </c>
      <c r="G26" s="68" t="n">
        <v>0</v>
      </c>
      <c r="H26" s="68" t="n">
        <v>1.933728013719831</v>
      </c>
      <c r="I26" s="68" t="n">
        <v>4.512032032012939</v>
      </c>
      <c r="J26" s="68" t="n">
        <v>34.3582878112793</v>
      </c>
      <c r="K26" s="68" t="n">
        <v>49.28141570091248</v>
      </c>
      <c r="L26" s="68" t="n">
        <v>49.28141570091248</v>
      </c>
      <c r="M26" s="68" t="n">
        <v>49.28141570091248</v>
      </c>
      <c r="N26" s="68" t="n">
        <v>49.28141570091248</v>
      </c>
      <c r="O26" s="68" t="n">
        <v>0</v>
      </c>
      <c r="P26" s="68" t="n">
        <v>0.3</v>
      </c>
      <c r="Q26" s="68" t="n">
        <v>0.7</v>
      </c>
      <c r="R26" s="68" t="n">
        <v>1</v>
      </c>
      <c r="S26" s="68" t="n">
        <v>1</v>
      </c>
      <c r="T26" s="68" t="n">
        <v>1</v>
      </c>
      <c r="U26" s="68" t="n">
        <v>1</v>
      </c>
      <c r="V26" s="68" t="n">
        <v>1</v>
      </c>
    </row>
    <row r="27">
      <c r="A27" s="68" t="inlineStr">
        <is>
          <t>spring_phab_xcmgw|</t>
        </is>
      </c>
      <c r="B27" s="68" t="inlineStr">
        <is>
          <t>spring-phab-xcmgw</t>
        </is>
      </c>
      <c r="C27" s="68" t="inlineStr">
        <is>
          <t>Riparian veg cover, woody</t>
        </is>
      </c>
      <c r="D27" s="68" t="inlineStr"/>
      <c r="E27" s="68" t="n">
        <v>5</v>
      </c>
      <c r="F27" s="68" t="inlineStr">
        <is>
          <t>218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27" s="68" t="n">
        <v>0</v>
      </c>
      <c r="H27" s="68" t="n">
        <v>0.2755275900874819</v>
      </c>
      <c r="I27" s="68" t="n">
        <v>0.6428977102041245</v>
      </c>
      <c r="J27" s="68" t="n">
        <v>1.115624994039536</v>
      </c>
      <c r="K27" s="68" t="n">
        <v>1.351988635957241</v>
      </c>
      <c r="L27" s="68" t="n">
        <v>1.351988635957241</v>
      </c>
      <c r="M27" s="68" t="n">
        <v>1.351988635957241</v>
      </c>
      <c r="N27" s="68" t="n">
        <v>1.351988635957241</v>
      </c>
      <c r="O27" s="68" t="n">
        <v>0</v>
      </c>
      <c r="P27" s="68" t="n">
        <v>0.3</v>
      </c>
      <c r="Q27" s="68" t="n">
        <v>0.7</v>
      </c>
      <c r="R27" s="68" t="n">
        <v>1</v>
      </c>
      <c r="S27" s="68" t="n">
        <v>1</v>
      </c>
      <c r="T27" s="68" t="n">
        <v>1</v>
      </c>
      <c r="U27" s="68" t="n">
        <v>1</v>
      </c>
      <c r="V27" s="68" t="n">
        <v>1</v>
      </c>
    </row>
    <row r="28">
      <c r="A28" s="68" t="inlineStr">
        <is>
          <t>spring_chem_ptl|</t>
        </is>
      </c>
      <c r="B28" s="68" t="inlineStr">
        <is>
          <t>spring-chem-ptl</t>
        </is>
      </c>
      <c r="C28" s="68" t="inlineStr">
        <is>
          <t>Total phosphorus</t>
        </is>
      </c>
      <c r="D28" s="68" t="inlineStr"/>
      <c r="E28" s="68" t="n">
        <v>5</v>
      </c>
      <c r="F28" s="68" t="inlineStr">
        <is>
          <t>13 least-disturbed stations of this ecoregion</t>
        </is>
      </c>
      <c r="G28" s="68" t="n">
        <v>0</v>
      </c>
      <c r="H28" s="68" t="n">
        <v>2.714999914169312</v>
      </c>
      <c r="I28" s="68" t="n">
        <v>10</v>
      </c>
      <c r="J28" s="68" t="n">
        <v>20.92750012874603</v>
      </c>
      <c r="K28" s="68" t="n">
        <v>28.21250021457672</v>
      </c>
      <c r="L28" s="68" t="n">
        <v>28.21250021457672</v>
      </c>
      <c r="M28" s="68" t="n">
        <v>28.21250021457672</v>
      </c>
      <c r="N28" s="68" t="n">
        <v>28.21250021457672</v>
      </c>
      <c r="O28" s="68" t="n">
        <v>1</v>
      </c>
      <c r="P28" s="68" t="n">
        <v>1</v>
      </c>
      <c r="Q28" s="68" t="n">
        <v>0.7</v>
      </c>
      <c r="R28" s="68" t="n">
        <v>0.3</v>
      </c>
      <c r="S28" s="68" t="n">
        <v>0</v>
      </c>
      <c r="T28" s="68" t="n">
        <v>0</v>
      </c>
      <c r="U28" s="68" t="n">
        <v>0</v>
      </c>
      <c r="V28" s="68" t="n">
        <v>0</v>
      </c>
    </row>
    <row r="29">
      <c r="A29" s="68" t="inlineStr">
        <is>
          <t>spring_chem_ntl|</t>
        </is>
      </c>
      <c r="B29" s="68" t="inlineStr">
        <is>
          <t>spring-chem-ntl</t>
        </is>
      </c>
      <c r="C29" s="68" t="inlineStr">
        <is>
          <t>Total nitrogen</t>
        </is>
      </c>
      <c r="D29" s="68" t="inlineStr"/>
      <c r="E29" s="68" t="n">
        <v>4</v>
      </c>
      <c r="F29" s="68" t="inlineStr">
        <is>
          <t>Scored against a published criterion rather than against stations from this ecoregion. The criterion carries its own definition of reference, which need not match this assessment's.</t>
        </is>
      </c>
      <c r="G29" s="68" t="n">
        <v>0</v>
      </c>
      <c r="H29" s="68" t="n">
        <v>0.1395</v>
      </c>
      <c r="I29" s="68" t="n">
        <v>0.249</v>
      </c>
      <c r="J29" s="68" t="n">
        <v>0.39135</v>
      </c>
      <c r="K29" s="68" t="n">
        <v>0.39135</v>
      </c>
      <c r="L29" s="68" t="n">
        <v>0.39135</v>
      </c>
      <c r="M29" s="68" t="n">
        <v>0.39135</v>
      </c>
      <c r="N29" s="68" t="n">
        <v>0.39135</v>
      </c>
      <c r="O29" s="68" t="n">
        <v>1</v>
      </c>
      <c r="P29" s="68" t="n">
        <v>0.6899999999999999</v>
      </c>
      <c r="Q29" s="68" t="n">
        <v>0.39</v>
      </c>
      <c r="R29" s="68" t="n">
        <v>0</v>
      </c>
      <c r="S29" s="68" t="n">
        <v>0</v>
      </c>
      <c r="T29" s="68" t="n">
        <v>0</v>
      </c>
      <c r="U29" s="68" t="n">
        <v>0</v>
      </c>
      <c r="V29" s="68" t="n">
        <v>0</v>
      </c>
    </row>
    <row r="30">
      <c r="A30" s="68" t="inlineStr">
        <is>
          <t>spring_chem_cond|</t>
        </is>
      </c>
      <c r="B30" s="68" t="inlineStr">
        <is>
          <t>spring-chem-cond</t>
        </is>
      </c>
      <c r="C30" s="68" t="inlineStr">
        <is>
          <t>Specific conductivity</t>
        </is>
      </c>
      <c r="D30" s="68" t="inlineStr"/>
      <c r="E30" s="68" t="n">
        <v>5</v>
      </c>
      <c r="F30" s="68" t="inlineStr">
        <is>
          <t>13 least-disturbed stations of this ecoregion</t>
        </is>
      </c>
      <c r="G30" s="68" t="n">
        <v>0</v>
      </c>
      <c r="H30" s="68" t="n">
        <v>59.5</v>
      </c>
      <c r="I30" s="68" t="n">
        <v>219</v>
      </c>
      <c r="J30" s="68" t="n">
        <v>458.25</v>
      </c>
      <c r="K30" s="68" t="n">
        <v>617.75</v>
      </c>
      <c r="L30" s="68" t="n">
        <v>617.75</v>
      </c>
      <c r="M30" s="68" t="n">
        <v>617.75</v>
      </c>
      <c r="N30" s="68" t="n">
        <v>617.75</v>
      </c>
      <c r="O30" s="68" t="n">
        <v>1</v>
      </c>
      <c r="P30" s="68" t="n">
        <v>1</v>
      </c>
      <c r="Q30" s="68" t="n">
        <v>0.7</v>
      </c>
      <c r="R30" s="68" t="n">
        <v>0.3</v>
      </c>
      <c r="S30" s="68" t="n">
        <v>0</v>
      </c>
      <c r="T30" s="68" t="n">
        <v>0</v>
      </c>
      <c r="U30" s="68" t="n">
        <v>0</v>
      </c>
      <c r="V30" s="68" t="n">
        <v>0</v>
      </c>
    </row>
    <row r="31">
      <c r="A31" s="68" t="inlineStr">
        <is>
          <t>spring_chem_ph|</t>
        </is>
      </c>
      <c r="B31" s="68" t="inlineStr">
        <is>
          <t>spring-chem-ph</t>
        </is>
      </c>
      <c r="C31" s="68" t="inlineStr">
        <is>
          <t>pH</t>
        </is>
      </c>
      <c r="D31" s="68" t="inlineStr"/>
      <c r="E31" s="68" t="n">
        <v>8</v>
      </c>
      <c r="F31" s="68" t="inlineStr">
        <is>
          <t>48 least-disturbed stations borrowed from Level II ecoregion 6.2 (Western Cordillera) under the regional screen (agriculture at most 25 percent), transfer risk low</t>
        </is>
      </c>
      <c r="G31" s="68" t="n">
        <v>6.244999885559082</v>
      </c>
      <c r="H31" s="68" t="n">
        <v>6.917500019073486</v>
      </c>
      <c r="I31" s="68" t="n">
        <v>7.354625105857849</v>
      </c>
      <c r="J31" s="68" t="n">
        <v>7.590000152587891</v>
      </c>
      <c r="K31" s="68" t="n">
        <v>8.262500286102295</v>
      </c>
      <c r="L31" s="68" t="n">
        <v>8.497875332832336</v>
      </c>
      <c r="M31" s="68" t="n">
        <v>8.935000419616699</v>
      </c>
      <c r="N31" s="68" t="n">
        <v>9.607500553131104</v>
      </c>
      <c r="O31" s="68" t="n">
        <v>0</v>
      </c>
      <c r="P31" s="68" t="n">
        <v>0.3</v>
      </c>
      <c r="Q31" s="68" t="n">
        <v>0.7</v>
      </c>
      <c r="R31" s="68" t="n">
        <v>1</v>
      </c>
      <c r="S31" s="68" t="n">
        <v>1</v>
      </c>
      <c r="T31" s="68" t="n">
        <v>0.7</v>
      </c>
      <c r="U31" s="68" t="n">
        <v>0.3</v>
      </c>
      <c r="V31" s="68" t="n">
        <v>0</v>
      </c>
    </row>
    <row r="32">
      <c r="A32" s="68" t="inlineStr">
        <is>
          <t>spring_phab_pct_fast|All streams (pooled)</t>
        </is>
      </c>
      <c r="B32" s="68" t="inlineStr">
        <is>
          <t>spring-phab-pct-fast</t>
        </is>
      </c>
      <c r="C32" s="68" t="inlineStr">
        <is>
          <t>Fast-water / riffle habitat</t>
        </is>
      </c>
      <c r="D32" s="68" t="inlineStr">
        <is>
          <t>All streams (pooled)</t>
        </is>
      </c>
      <c r="E32" s="68" t="n">
        <v>5</v>
      </c>
      <c r="F32" s="68" t="inlineStr">
        <is>
          <t>105 least-disturbed stations borrowed from Level II ecoregion 6.2 (Western Cordillera) under the regional screen (agriculture at most 25 percent), transfer risk low</t>
        </is>
      </c>
      <c r="G32" s="68" t="n">
        <v>0</v>
      </c>
      <c r="H32" s="68" t="n">
        <v>19.32773045131139</v>
      </c>
      <c r="I32" s="68" t="n">
        <v>45.09803771972656</v>
      </c>
      <c r="J32" s="68" t="n">
        <v>89</v>
      </c>
      <c r="K32" s="68" t="n">
        <v>100</v>
      </c>
      <c r="L32" s="68" t="n">
        <v>100</v>
      </c>
      <c r="M32" s="68" t="n">
        <v>100</v>
      </c>
      <c r="N32" s="68" t="n">
        <v>100</v>
      </c>
      <c r="O32" s="68" t="n">
        <v>0</v>
      </c>
      <c r="P32" s="68" t="n">
        <v>0.3</v>
      </c>
      <c r="Q32" s="68" t="n">
        <v>0.7</v>
      </c>
      <c r="R32" s="68" t="n">
        <v>1</v>
      </c>
      <c r="S32" s="68" t="n">
        <v>1</v>
      </c>
      <c r="T32" s="68" t="n">
        <v>1</v>
      </c>
      <c r="U32" s="68" t="n">
        <v>1</v>
      </c>
      <c r="V32" s="68" t="n">
        <v>1</v>
      </c>
    </row>
    <row r="33">
      <c r="A33" s="68" t="inlineStr">
        <is>
          <t>spring_phab_pct_fast|Moderate gradient (0.5 to 2 percent)</t>
        </is>
      </c>
      <c r="B33" s="68" t="inlineStr">
        <is>
          <t>spring-phab-pct-fast</t>
        </is>
      </c>
      <c r="C33" s="68" t="inlineStr">
        <is>
          <t>Fast-water / riffle habitat</t>
        </is>
      </c>
      <c r="D33" s="68" t="inlineStr">
        <is>
          <t>Moderate gradient (0.5 to 2 percent)</t>
        </is>
      </c>
      <c r="E33" s="68" t="n">
        <v>5</v>
      </c>
      <c r="F33" s="68" t="inlineStr">
        <is>
          <t>105 least-disturbed stations borrowed from Level II ecoregion 6.2 (Western Cordillera) under the regional screen (agriculture at most 25 percent), transfer risk low</t>
        </is>
      </c>
      <c r="G33" s="68" t="n">
        <v>0</v>
      </c>
      <c r="H33" s="68" t="n">
        <v>19.73529379708426</v>
      </c>
      <c r="I33" s="68" t="n">
        <v>46.04901885986328</v>
      </c>
      <c r="J33" s="68" t="n">
        <v>88</v>
      </c>
      <c r="K33" s="68" t="n">
        <v>100</v>
      </c>
      <c r="L33" s="68" t="n">
        <v>100</v>
      </c>
      <c r="M33" s="68" t="n">
        <v>100</v>
      </c>
      <c r="N33" s="68" t="n">
        <v>100</v>
      </c>
      <c r="O33" s="68" t="n">
        <v>0</v>
      </c>
      <c r="P33" s="68" t="n">
        <v>0.3</v>
      </c>
      <c r="Q33" s="68" t="n">
        <v>0.7</v>
      </c>
      <c r="R33" s="68" t="n">
        <v>1</v>
      </c>
      <c r="S33" s="68" t="n">
        <v>1</v>
      </c>
      <c r="T33" s="68" t="n">
        <v>1</v>
      </c>
      <c r="U33" s="68" t="n">
        <v>1</v>
      </c>
      <c r="V33" s="68" t="n">
        <v>1</v>
      </c>
    </row>
    <row r="34">
      <c r="A34" s="68" t="inlineStr">
        <is>
          <t>spring_phab_pct_fast|Steep (2 percent and above)</t>
        </is>
      </c>
      <c r="B34" s="68" t="inlineStr">
        <is>
          <t>spring-phab-pct-fast</t>
        </is>
      </c>
      <c r="C34" s="68" t="inlineStr">
        <is>
          <t>Fast-water / riffle habitat</t>
        </is>
      </c>
      <c r="D34" s="68" t="inlineStr">
        <is>
          <t>Steep (2 percent and above)</t>
        </is>
      </c>
      <c r="E34" s="68" t="n">
        <v>5</v>
      </c>
      <c r="F34" s="68" t="inlineStr">
        <is>
          <t>105 least-disturbed stations borrowed from Level II ecoregion 6.2 (Western Cordillera) under the regional screen (agriculture at most 25 percent), transfer risk low</t>
        </is>
      </c>
      <c r="G34" s="68" t="n">
        <v>0</v>
      </c>
      <c r="H34" s="68" t="n">
        <v>21.0357141494751</v>
      </c>
      <c r="I34" s="68" t="n">
        <v>49.08333301544189</v>
      </c>
      <c r="J34" s="68" t="n">
        <v>89.75</v>
      </c>
      <c r="K34" s="68" t="n">
        <v>100</v>
      </c>
      <c r="L34" s="68" t="n">
        <v>100</v>
      </c>
      <c r="M34" s="68" t="n">
        <v>100</v>
      </c>
      <c r="N34" s="68" t="n">
        <v>100</v>
      </c>
      <c r="O34" s="68" t="n">
        <v>0</v>
      </c>
      <c r="P34" s="68" t="n">
        <v>0.3</v>
      </c>
      <c r="Q34" s="68" t="n">
        <v>0.7</v>
      </c>
      <c r="R34" s="68" t="n">
        <v>1</v>
      </c>
      <c r="S34" s="68" t="n">
        <v>1</v>
      </c>
      <c r="T34" s="68" t="n">
        <v>1</v>
      </c>
      <c r="U34" s="68" t="n">
        <v>1</v>
      </c>
      <c r="V34" s="68" t="n">
        <v>1</v>
      </c>
    </row>
    <row r="35">
      <c r="A35" s="68" t="inlineStr">
        <is>
          <t>spring_phab_xfc_nat|All streams (pooled)</t>
        </is>
      </c>
      <c r="B35" s="68" t="inlineStr">
        <is>
          <t>spring-phab-xfc-nat</t>
        </is>
      </c>
      <c r="C35" s="68" t="inlineStr">
        <is>
          <t>Natural fish cover</t>
        </is>
      </c>
      <c r="D35" s="68" t="inlineStr">
        <is>
          <t>All streams (pooled)</t>
        </is>
      </c>
      <c r="E35" s="68" t="n">
        <v>5</v>
      </c>
      <c r="F35" s="68" t="inlineStr">
        <is>
          <t>218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5" s="68" t="n">
        <v>0</v>
      </c>
      <c r="H35" s="68" t="n">
        <v>0.110308438539505</v>
      </c>
      <c r="I35" s="68" t="n">
        <v>0.2573863565921783</v>
      </c>
      <c r="J35" s="68" t="n">
        <v>0.6181818246841431</v>
      </c>
      <c r="K35" s="68" t="n">
        <v>0.7985795587301254</v>
      </c>
      <c r="L35" s="68" t="n">
        <v>0.7985795587301254</v>
      </c>
      <c r="M35" s="68" t="n">
        <v>0.7985795587301254</v>
      </c>
      <c r="N35" s="68" t="n">
        <v>0.7985795587301254</v>
      </c>
      <c r="O35" s="68" t="n">
        <v>0</v>
      </c>
      <c r="P35" s="68" t="n">
        <v>0.3</v>
      </c>
      <c r="Q35" s="68" t="n">
        <v>0.7</v>
      </c>
      <c r="R35" s="68" t="n">
        <v>1</v>
      </c>
      <c r="S35" s="68" t="n">
        <v>1</v>
      </c>
      <c r="T35" s="68" t="n">
        <v>1</v>
      </c>
      <c r="U35" s="68" t="n">
        <v>1</v>
      </c>
      <c r="V35" s="68" t="n">
        <v>1</v>
      </c>
    </row>
    <row r="36">
      <c r="A36" s="68" t="inlineStr">
        <is>
          <t>spring_phab_xfc_nat|Headwater (10 km2 and under)</t>
        </is>
      </c>
      <c r="B36" s="68" t="inlineStr">
        <is>
          <t>spring-phab-xfc-nat</t>
        </is>
      </c>
      <c r="C36" s="68" t="inlineStr">
        <is>
          <t>Natural fish cover</t>
        </is>
      </c>
      <c r="D36" s="68" t="inlineStr">
        <is>
          <t>Headwater (10 km2 and under)</t>
        </is>
      </c>
      <c r="E36" s="68" t="n">
        <v>5</v>
      </c>
      <c r="F36" s="68" t="inlineStr">
        <is>
          <t>218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6" s="68" t="n">
        <v>0</v>
      </c>
      <c r="H36" s="68" t="n">
        <v>0.1275974022490638</v>
      </c>
      <c r="I36" s="68" t="n">
        <v>0.2977272719144821</v>
      </c>
      <c r="J36" s="68" t="n">
        <v>0.7093531489372253</v>
      </c>
      <c r="K36" s="68" t="n">
        <v>0.915166087448597</v>
      </c>
      <c r="L36" s="68" t="n">
        <v>0.915166087448597</v>
      </c>
      <c r="M36" s="68" t="n">
        <v>0.915166087448597</v>
      </c>
      <c r="N36" s="68" t="n">
        <v>0.915166087448597</v>
      </c>
      <c r="O36" s="68" t="n">
        <v>0</v>
      </c>
      <c r="P36" s="68" t="n">
        <v>0.3</v>
      </c>
      <c r="Q36" s="68" t="n">
        <v>0.7</v>
      </c>
      <c r="R36" s="68" t="n">
        <v>1</v>
      </c>
      <c r="S36" s="68" t="n">
        <v>1</v>
      </c>
      <c r="T36" s="68" t="n">
        <v>1</v>
      </c>
      <c r="U36" s="68" t="n">
        <v>1</v>
      </c>
      <c r="V36" s="68" t="n">
        <v>1</v>
      </c>
    </row>
    <row r="37">
      <c r="A37" s="68" t="inlineStr">
        <is>
          <t>spring_phab_xfc_nat|Small stream (10 to 100 km2)</t>
        </is>
      </c>
      <c r="B37" s="68" t="inlineStr">
        <is>
          <t>spring-phab-xfc-nat</t>
        </is>
      </c>
      <c r="C37" s="68" t="inlineStr">
        <is>
          <t>Natural fish cover</t>
        </is>
      </c>
      <c r="D37" s="68" t="inlineStr">
        <is>
          <t>Small stream (10 to 100 km2)</t>
        </is>
      </c>
      <c r="E37" s="68" t="n">
        <v>5</v>
      </c>
      <c r="F37" s="68" t="inlineStr">
        <is>
          <t>218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7" s="68" t="n">
        <v>0</v>
      </c>
      <c r="H37" s="68" t="n">
        <v>0.1402597342218672</v>
      </c>
      <c r="I37" s="68" t="n">
        <v>0.3272727131843567</v>
      </c>
      <c r="J37" s="68" t="n">
        <v>0.6905032396316528</v>
      </c>
      <c r="K37" s="68" t="n">
        <v>0.8721185028553009</v>
      </c>
      <c r="L37" s="68" t="n">
        <v>0.8721185028553009</v>
      </c>
      <c r="M37" s="68" t="n">
        <v>0.8721185028553009</v>
      </c>
      <c r="N37" s="68" t="n">
        <v>0.8721185028553009</v>
      </c>
      <c r="O37" s="68" t="n">
        <v>0</v>
      </c>
      <c r="P37" s="68" t="n">
        <v>0.3</v>
      </c>
      <c r="Q37" s="68" t="n">
        <v>0.7</v>
      </c>
      <c r="R37" s="68" t="n">
        <v>1</v>
      </c>
      <c r="S37" s="68" t="n">
        <v>1</v>
      </c>
      <c r="T37" s="68" t="n">
        <v>1</v>
      </c>
      <c r="U37" s="68" t="n">
        <v>1</v>
      </c>
      <c r="V37" s="68" t="n">
        <v>1</v>
      </c>
    </row>
    <row r="38">
      <c r="A38" s="68" t="inlineStr">
        <is>
          <t>spring_phab_xfc_nat|Large stream (over 100 km2)</t>
        </is>
      </c>
      <c r="B38" s="68" t="inlineStr">
        <is>
          <t>spring-phab-xfc-nat</t>
        </is>
      </c>
      <c r="C38" s="68" t="inlineStr">
        <is>
          <t>Natural fish cover</t>
        </is>
      </c>
      <c r="D38" s="68" t="inlineStr">
        <is>
          <t>Large stream (over 100 km2)</t>
        </is>
      </c>
      <c r="E38" s="68" t="n">
        <v>5</v>
      </c>
      <c r="F38" s="68" t="inlineStr">
        <is>
          <t>218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8" s="68" t="n">
        <v>0</v>
      </c>
      <c r="H38" s="68" t="n">
        <v>0.07402597367763519</v>
      </c>
      <c r="I38" s="68" t="n">
        <v>0.1727272719144821</v>
      </c>
      <c r="J38" s="68" t="n">
        <v>0.3863636255264282</v>
      </c>
      <c r="K38" s="68" t="n">
        <v>0.4931818023324013</v>
      </c>
      <c r="L38" s="68" t="n">
        <v>0.4931818023324013</v>
      </c>
      <c r="M38" s="68" t="n">
        <v>0.4931818023324013</v>
      </c>
      <c r="N38" s="68" t="n">
        <v>0.4931818023324013</v>
      </c>
      <c r="O38" s="68" t="n">
        <v>0</v>
      </c>
      <c r="P38" s="68" t="n">
        <v>0.3</v>
      </c>
      <c r="Q38" s="68" t="n">
        <v>0.7</v>
      </c>
      <c r="R38" s="68" t="n">
        <v>1</v>
      </c>
      <c r="S38" s="68" t="n">
        <v>1</v>
      </c>
      <c r="T38" s="68" t="n">
        <v>1</v>
      </c>
      <c r="U38" s="68" t="n">
        <v>1</v>
      </c>
      <c r="V38" s="68" t="n">
        <v>1</v>
      </c>
    </row>
    <row r="39">
      <c r="A39" s="68" t="inlineStr">
        <is>
          <t>spring_bent_totlntax|</t>
        </is>
      </c>
      <c r="B39" s="68" t="inlineStr">
        <is>
          <t>spring-bent-totlntax</t>
        </is>
      </c>
      <c r="C39" s="68" t="inlineStr">
        <is>
          <t>Benthic total taxa richness</t>
        </is>
      </c>
      <c r="D39" s="68" t="inlineStr"/>
      <c r="E39" s="68" t="n">
        <v>5</v>
      </c>
      <c r="F39" s="68" t="inlineStr">
        <is>
          <t>13 least-disturbed stations of this ecoregion</t>
        </is>
      </c>
      <c r="G39" s="68" t="n">
        <v>0</v>
      </c>
      <c r="H39" s="68" t="n">
        <v>14.14285714285714</v>
      </c>
      <c r="I39" s="68" t="n">
        <v>33</v>
      </c>
      <c r="J39" s="68" t="n">
        <v>38</v>
      </c>
      <c r="K39" s="68" t="n">
        <v>40.5</v>
      </c>
      <c r="L39" s="68" t="n">
        <v>40.5</v>
      </c>
      <c r="M39" s="68" t="n">
        <v>40.5</v>
      </c>
      <c r="N39" s="68" t="n">
        <v>40.5</v>
      </c>
      <c r="O39" s="68" t="n">
        <v>0</v>
      </c>
      <c r="P39" s="68" t="n">
        <v>0.3</v>
      </c>
      <c r="Q39" s="68" t="n">
        <v>0.7</v>
      </c>
      <c r="R39" s="68" t="n">
        <v>1</v>
      </c>
      <c r="S39" s="68" t="n">
        <v>1</v>
      </c>
      <c r="T39" s="68" t="n">
        <v>1</v>
      </c>
      <c r="U39" s="68" t="n">
        <v>1</v>
      </c>
      <c r="V39" s="68" t="n">
        <v>1</v>
      </c>
    </row>
    <row r="40">
      <c r="A40" s="68" t="inlineStr">
        <is>
          <t>spring_bent_hprime|</t>
        </is>
      </c>
      <c r="B40" s="68" t="inlineStr">
        <is>
          <t>spring-bent-hprime</t>
        </is>
      </c>
      <c r="C40" s="68" t="inlineStr">
        <is>
          <t>Shannon diversity (H')</t>
        </is>
      </c>
      <c r="D40" s="68" t="inlineStr"/>
      <c r="E40" s="68" t="n">
        <v>5</v>
      </c>
      <c r="F40" s="68" t="inlineStr">
        <is>
          <t>13 least-disturbed stations of this ecoregion</t>
        </is>
      </c>
      <c r="G40" s="68" t="n">
        <v>0</v>
      </c>
      <c r="H40" s="68" t="n">
        <v>1.140000036784581</v>
      </c>
      <c r="I40" s="68" t="n">
        <v>2.660000085830688</v>
      </c>
      <c r="J40" s="68" t="n">
        <v>2.970000028610229</v>
      </c>
      <c r="K40" s="68" t="n">
        <v>3.125</v>
      </c>
      <c r="L40" s="68" t="n">
        <v>3.125</v>
      </c>
      <c r="M40" s="68" t="n">
        <v>3.125</v>
      </c>
      <c r="N40" s="68" t="n">
        <v>3.125</v>
      </c>
      <c r="O40" s="68" t="n">
        <v>0</v>
      </c>
      <c r="P40" s="68" t="n">
        <v>0.3</v>
      </c>
      <c r="Q40" s="68" t="n">
        <v>0.7</v>
      </c>
      <c r="R40" s="68" t="n">
        <v>1</v>
      </c>
      <c r="S40" s="68" t="n">
        <v>1</v>
      </c>
      <c r="T40" s="68" t="n">
        <v>1</v>
      </c>
      <c r="U40" s="68" t="n">
        <v>1</v>
      </c>
      <c r="V40" s="68" t="n">
        <v>1</v>
      </c>
    </row>
    <row r="41">
      <c r="A41" s="68" t="inlineStr">
        <is>
          <t>spring_bent_tolrpind|</t>
        </is>
      </c>
      <c r="B41" s="68" t="inlineStr">
        <is>
          <t>spring-bent-tolrpind</t>
        </is>
      </c>
      <c r="C41" s="68" t="inlineStr">
        <is>
          <t>Tolerant individuals (%) ~ HBI</t>
        </is>
      </c>
      <c r="D41" s="68" t="inlineStr"/>
      <c r="E41" s="68" t="n">
        <v>5</v>
      </c>
      <c r="F41" s="68" t="inlineStr">
        <is>
          <t>121 least-disturbed stations borrowed from Level II ecoregion 6.2 (Western Cordillera) under the regional screen (agriculture at most 25 percent), transfer risk unvalidated (transfer not confirmed by the recovery test). Scored on a reference pool whose transfer to this ecoregion was not confirmed by the recovery test (class agreement 0.39 of evaluation regions; two thirds required; net optimism +0.13, at most 0.05 allowed); confidence capped at 39.</t>
        </is>
      </c>
      <c r="G41" s="68" t="n">
        <v>0</v>
      </c>
      <c r="H41" s="68" t="n">
        <v>4.329999923706055</v>
      </c>
      <c r="I41" s="68" t="n">
        <v>14.67000007629395</v>
      </c>
      <c r="J41" s="68" t="n">
        <v>30.18000030517578</v>
      </c>
      <c r="K41" s="68" t="n">
        <v>40.52000045776367</v>
      </c>
      <c r="L41" s="68" t="n">
        <v>40.52000045776367</v>
      </c>
      <c r="M41" s="68" t="n">
        <v>40.52000045776367</v>
      </c>
      <c r="N41" s="68" t="n">
        <v>40.52000045776367</v>
      </c>
      <c r="O41" s="68" t="n">
        <v>1</v>
      </c>
      <c r="P41" s="68" t="n">
        <v>1</v>
      </c>
      <c r="Q41" s="68" t="n">
        <v>0.7</v>
      </c>
      <c r="R41" s="68" t="n">
        <v>0.3</v>
      </c>
      <c r="S41" s="68" t="n">
        <v>0</v>
      </c>
      <c r="T41" s="68" t="n">
        <v>0</v>
      </c>
      <c r="U41" s="68" t="n">
        <v>0</v>
      </c>
      <c r="V41" s="68" t="n">
        <v>0</v>
      </c>
    </row>
    <row r="42">
      <c r="A42" s="68" t="inlineStr">
        <is>
          <t>spring_nid_dams_1mi|</t>
        </is>
      </c>
      <c r="B42" s="68" t="inlineStr">
        <is>
          <t>spring-nid-dams-1mi</t>
        </is>
      </c>
      <c r="C42" s="68" t="inlineStr">
        <is>
          <t>Mapped dams within one mile</t>
        </is>
      </c>
      <c r="D42" s="68" t="inlineStr"/>
      <c r="E42" s="68" t="n">
        <v>4</v>
      </c>
      <c r="F42" s="68" t="inlineStr">
        <is>
          <t>Fixed criteria, the same in every region</t>
        </is>
      </c>
      <c r="G42" s="68" t="n">
        <v>0</v>
      </c>
      <c r="H42" s="68" t="n">
        <v>1</v>
      </c>
      <c r="I42" s="68" t="n">
        <v>2</v>
      </c>
      <c r="J42" s="68" t="n">
        <v>3</v>
      </c>
      <c r="K42" s="68" t="n">
        <v>3</v>
      </c>
      <c r="L42" s="68" t="n">
        <v>3</v>
      </c>
      <c r="M42" s="68" t="n">
        <v>3</v>
      </c>
      <c r="N42" s="68" t="n">
        <v>3</v>
      </c>
      <c r="O42" s="68" t="n">
        <v>1</v>
      </c>
      <c r="P42" s="68" t="n">
        <v>0.545</v>
      </c>
      <c r="Q42" s="68" t="n">
        <v>0.195</v>
      </c>
      <c r="R42" s="68" t="n">
        <v>0</v>
      </c>
      <c r="S42" s="68" t="n">
        <v>0</v>
      </c>
      <c r="T42" s="68" t="n">
        <v>0</v>
      </c>
      <c r="U42" s="68" t="n">
        <v>0</v>
      </c>
      <c r="V42" s="68" t="n">
        <v>0</v>
      </c>
    </row>
    <row r="45">
      <c r="A45" s="57" t="inlineStr">
        <is>
          <t>Curve sets by metric</t>
        </is>
      </c>
    </row>
    <row r="46">
      <c r="A46" s="68" t="inlineStr">
        <is>
          <t>All streams (pooled)</t>
        </is>
      </c>
      <c r="B46" s="4" t="inlineStr">
        <is>
          <t>Bankfull width:depth ratio</t>
        </is>
      </c>
    </row>
    <row r="47">
      <c r="A47" s="68" t="inlineStr">
        <is>
          <t>Headwater (10 km2 and under)</t>
        </is>
      </c>
      <c r="B47" s="4" t="inlineStr">
        <is>
          <t>Bankfull width:depth ratio</t>
        </is>
      </c>
    </row>
    <row r="48">
      <c r="A48" s="68" t="inlineStr">
        <is>
          <t>Small stream (10 to 100 km2)</t>
        </is>
      </c>
      <c r="B48" s="4" t="inlineStr">
        <is>
          <t>Bankfull width:depth ratio</t>
        </is>
      </c>
    </row>
    <row r="49">
      <c r="A49" s="68" t="inlineStr">
        <is>
          <t>Large stream (over 100 km2)</t>
        </is>
      </c>
      <c r="B49" s="4" t="inlineStr">
        <is>
          <t>Bankfull width:depth ratio</t>
        </is>
      </c>
    </row>
    <row r="50">
      <c r="A50" s="68" t="inlineStr">
        <is>
          <t>All streams (pooled)</t>
        </is>
      </c>
      <c r="B50" s="4" t="inlineStr">
        <is>
          <t>Canopy density, mid-channel</t>
        </is>
      </c>
    </row>
    <row r="51">
      <c r="A51" s="68" t="inlineStr">
        <is>
          <t>Headwater (10 km2 and under)</t>
        </is>
      </c>
      <c r="B51" s="4" t="inlineStr">
        <is>
          <t>Canopy density, mid-channel</t>
        </is>
      </c>
    </row>
    <row r="52">
      <c r="A52" s="68" t="inlineStr">
        <is>
          <t>Small stream (10 to 100 km2)</t>
        </is>
      </c>
      <c r="B52" s="4" t="inlineStr">
        <is>
          <t>Canopy density, mid-channel</t>
        </is>
      </c>
    </row>
    <row r="53">
      <c r="A53" s="68" t="inlineStr">
        <is>
          <t>Large stream (over 100 km2)</t>
        </is>
      </c>
      <c r="B53" s="4" t="inlineStr">
        <is>
          <t>Canopy density, mid-channel</t>
        </is>
      </c>
    </row>
    <row r="54">
      <c r="A54" s="68" t="inlineStr">
        <is>
          <t>All streams (pooled)</t>
        </is>
      </c>
      <c r="B54" s="4" t="inlineStr">
        <is>
          <t>Fast-water / riffle habitat</t>
        </is>
      </c>
    </row>
    <row r="55">
      <c r="A55" s="68" t="inlineStr">
        <is>
          <t>Moderate gradient (0.5 to 2 percent)</t>
        </is>
      </c>
      <c r="B55" s="4" t="inlineStr">
        <is>
          <t>Fast-water / riffle habitat</t>
        </is>
      </c>
    </row>
    <row r="56">
      <c r="A56" s="68" t="inlineStr">
        <is>
          <t>Steep (2 percent and above)</t>
        </is>
      </c>
      <c r="B56" s="4" t="inlineStr">
        <is>
          <t>Fast-water / riffle habitat</t>
        </is>
      </c>
    </row>
    <row r="57">
      <c r="A57" s="68" t="inlineStr">
        <is>
          <t>All streams (pooled)</t>
        </is>
      </c>
      <c r="B57" s="4" t="inlineStr">
        <is>
          <t>Natural fish cover</t>
        </is>
      </c>
    </row>
    <row r="58">
      <c r="A58" s="68" t="inlineStr">
        <is>
          <t>Headwater (10 km2 and under)</t>
        </is>
      </c>
      <c r="B58" s="4" t="inlineStr">
        <is>
          <t>Natural fish cover</t>
        </is>
      </c>
    </row>
    <row r="59">
      <c r="A59" s="68" t="inlineStr">
        <is>
          <t>Small stream (10 to 100 km2)</t>
        </is>
      </c>
      <c r="B59" s="4" t="inlineStr">
        <is>
          <t>Natural fish cover</t>
        </is>
      </c>
    </row>
    <row r="60">
      <c r="A60" s="68" t="inlineStr">
        <is>
          <t>Large stream (over 100 km2)</t>
        </is>
      </c>
      <c r="B60" s="4" t="inlineStr">
        <is>
          <t>Natural fish cover</t>
        </is>
      </c>
    </row>
    <row r="63">
      <c r="A63" s="57" t="inlineStr">
        <is>
          <t>Condition classes</t>
        </is>
      </c>
    </row>
    <row r="64">
      <c r="A64" t="inlineStr">
        <is>
          <t>Metric index: at or below 0.39 Non-Functioning, at or below 0.69 Functioning At-Risk, above Functioning.</t>
        </is>
      </c>
    </row>
    <row r="65">
      <c r="A65" t="inlineStr">
        <is>
          <t>Function score (0 to 15): at or below 5 Non-Functioning, at or below 10 Functioning At-Risk, above Functioning.</t>
        </is>
      </c>
    </row>
    <row r="66">
      <c r="A66"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7" t="inlineStr">
        <is>
          <t>Metadata and version information</t>
        </is>
      </c>
    </row>
    <row r="3">
      <c r="A3" s="5" t="inlineStr">
        <is>
          <t>Item</t>
        </is>
      </c>
      <c r="B3" s="5" t="inlineStr">
        <is>
          <t>Value</t>
        </is>
      </c>
    </row>
    <row r="4">
      <c r="A4" s="68" t="inlineStr">
        <is>
          <t>Assessment id</t>
        </is>
      </c>
      <c r="B4" s="68" t="inlineStr">
        <is>
          <t>canadian-rockies</t>
        </is>
      </c>
    </row>
    <row r="5">
      <c r="A5" s="68" t="inlineStr">
        <is>
          <t>Assessment name</t>
        </is>
      </c>
      <c r="B5" s="68" t="inlineStr">
        <is>
          <t>Canadian Rockies reference assessment</t>
        </is>
      </c>
    </row>
    <row r="6">
      <c r="A6" s="68" t="inlineStr">
        <is>
          <t>Version</t>
        </is>
      </c>
      <c r="B6" s="68" t="n">
        <v>1</v>
      </c>
    </row>
    <row r="7">
      <c r="A7" s="68" t="inlineStr">
        <is>
          <t>Lifecycle status</t>
        </is>
      </c>
      <c r="B7" s="68" t="inlineStr"/>
    </row>
    <row r="8">
      <c r="A8" s="68" t="inlineStr">
        <is>
          <t>Content digest</t>
        </is>
      </c>
      <c r="B8" s="68" t="inlineStr">
        <is>
          <t>sha256:7719ed984f8ef2ad6f2371d2c04ed9b694f1442a63356dedef8539f6260b1d33</t>
        </is>
      </c>
    </row>
    <row r="9">
      <c r="A9" s="68" t="inlineStr">
        <is>
          <t>Region</t>
        </is>
      </c>
      <c r="B9" s="68" t="inlineStr">
        <is>
          <t>ecoregion 41 Canadian Rockies</t>
        </is>
      </c>
    </row>
    <row r="10">
      <c r="A10" s="68" t="inlineStr">
        <is>
          <t>Source</t>
        </is>
      </c>
      <c r="B10" s="68" t="inlineStr">
        <is>
          <t>USEPA NRSA 2013-24 (L3 ecoregion 41), StreamCurves regional analysis, methodology 0.16-provisional</t>
        </is>
      </c>
    </row>
    <row r="11">
      <c r="A11" s="68" t="inlineStr">
        <is>
          <t>Reference method</t>
        </is>
      </c>
      <c r="B11" s="68" t="inlineStr">
        <is>
          <t>pressure-screen</t>
        </is>
      </c>
    </row>
    <row r="12">
      <c r="A12" s="68" t="inlineStr">
        <is>
          <t>Reference screen</t>
        </is>
      </c>
      <c r="B12" s="68" t="inlineStr">
        <is>
          <t>least-disturbed-v1 (strict), wadeable non-canal frame</t>
        </is>
      </c>
    </row>
    <row r="13">
      <c r="A13" s="68" t="inlineStr">
        <is>
          <t>Scoring method</t>
        </is>
      </c>
      <c r="B13" s="68" t="inlineStr">
        <is>
          <t>iqr-seed-v2</t>
        </is>
      </c>
    </row>
    <row r="14">
      <c r="A14" s="68" t="inlineStr">
        <is>
          <t>Functions scored</t>
        </is>
      </c>
      <c r="B14" s="68" t="n">
        <v>20</v>
      </c>
    </row>
    <row r="15">
      <c r="A15" s="68" t="inlineStr">
        <is>
          <t>Metrics</t>
        </is>
      </c>
      <c r="B15" s="68" t="n">
        <v>27</v>
      </c>
    </row>
    <row r="16">
      <c r="A16" s="68" t="inlineStr">
        <is>
          <t>Function coverage</t>
        </is>
      </c>
      <c r="B16" s="68" t="inlineStr">
        <is>
          <t>This assessment covers 20 of 20 STAF functions.</t>
        </is>
      </c>
    </row>
    <row r="17">
      <c r="A17" s="68" t="inlineStr">
        <is>
          <t>Generator</t>
        </is>
      </c>
      <c r="B17" s="68" t="inlineStr">
        <is>
          <t>streamcurves.deep_calculator</t>
        </is>
      </c>
    </row>
    <row r="18">
      <c r="A18" s="68" t="inlineStr">
        <is>
          <t>Generator version</t>
        </is>
      </c>
      <c r="B18" s="68" t="inlineStr">
        <is>
          <t>1.0</t>
        </is>
      </c>
    </row>
    <row r="19">
      <c r="A19" s="68" t="inlineStr">
        <is>
          <t>Formula vocabulary</t>
        </is>
      </c>
      <c r="B19" s="68"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57" t="inlineStr">
        <is>
          <t>Function</t>
        </is>
      </c>
      <c r="B2" s="57" t="inlineStr">
        <is>
          <t>Score</t>
        </is>
      </c>
      <c r="C2" s="57" t="inlineStr">
        <is>
          <t>Non-Functioning (0-5)</t>
        </is>
      </c>
      <c r="D2" s="57" t="inlineStr">
        <is>
          <t>Functioning At-Risk (6-10)</t>
        </is>
      </c>
      <c r="E2" s="57"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57" t="inlineStr">
        <is>
          <t>Outcome</t>
        </is>
      </c>
      <c r="B24" s="57" t="inlineStr">
        <is>
          <t>Score</t>
        </is>
      </c>
      <c r="C24" s="57" t="inlineStr">
        <is>
          <t>Non-Functioning (0.00-0.39)</t>
        </is>
      </c>
      <c r="D24" s="57" t="inlineStr">
        <is>
          <t>Functioning At-Risk (0.40-0.69)</t>
        </is>
      </c>
      <c r="E24" s="57"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2026-09-30T07:06:42Z</dcterms:created>
  <dcterms:modified xmlns:dcterms="http://purl.org/dc/terms/" xmlns:xsi="http://www.w3.org/2001/XMLSchema-instance" xsi:type="dcterms:W3CDTF">2026-09-30T07:06:42Z</dcterms:modified>
  <cp:lastModifiedBy>DEEP</cp:lastModifiedBy>
</cp:coreProperties>
</file>