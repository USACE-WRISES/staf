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'Reference'!$A$5:$A$52</definedName>
    <definedName name="curve_x1">'Reference'!$G$5:$G$52</definedName>
    <definedName name="curve_y1">'Reference'!$O$5:$O$52</definedName>
    <definedName name="curve_x2">'Reference'!$H$5:$H$52</definedName>
    <definedName name="curve_y2">'Reference'!$P$5:$P$52</definedName>
    <definedName name="curve_x3">'Reference'!$I$5:$I$52</definedName>
    <definedName name="curve_y3">'Reference'!$Q$5:$Q$52</definedName>
    <definedName name="curve_x4">'Reference'!$J$5:$J$52</definedName>
    <definedName name="curve_y4">'Reference'!$R$5:$R$52</definedName>
    <definedName name="curve_x5">'Reference'!$K$5:$K$52</definedName>
    <definedName name="curve_y5">'Reference'!$S$5:$S$52</definedName>
    <definedName name="curve_x6">'Reference'!$L$5:$L$52</definedName>
    <definedName name="curve_y6">'Reference'!$T$5:$T$52</definedName>
    <definedName name="curve_x7">'Reference'!$M$5:$M$52</definedName>
    <definedName name="curve_y7">'Reference'!$U$5:$U$52</definedName>
    <definedName name="curve_x8">'Reference'!$N$5:$N$52</definedName>
    <definedName name="curve_y8">'Reference'!$V$5:$V$52</definedName>
    <definedName name="strata_spring_pctwet2019ws">'Reference'!$A$56:$A$58</definedName>
    <definedName name="strata_spring_phab_bfwd_rat">'Reference'!$A$59:$A$62</definedName>
    <definedName name="strata_spring_phab_xbkf_h">'Reference'!$A$63:$A$66</definedName>
    <definedName name="strata_spring_phab_lrbs_use">'Reference'!$A$67:$A$70</definedName>
    <definedName name="strata_spring_phab_xcdenmid">'Reference'!$A$71:$A$74</definedName>
    <definedName name="strata_spring_phab_xfc_nat">'Reference'!$A$75:$A$78</definedName>
    <definedName name="strata_spring_fish_nat_totlntax">'Reference'!$A$79:$A$81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xfc_nat">'Metrics'!$V$27</definedName>
    <definedName name="idx_spring_phab_pct_fast">'Metrics'!$V$28</definedName>
    <definedName name="idx_spring_fish_nat_totlntax">'Metrics'!$V$29</definedName>
    <definedName name="idx_spring_bent_totlntax">'Metrics'!$V$30</definedName>
    <definedName name="idx_spring_bent_tolrpind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phab_pct_fast">'DEEP Score'!$E$41</definedName>
    <definedName name="in_spring_fish_nat_totlntax">'DEEP Score'!$E$42</definedName>
    <definedName name="st_spring_fish_nat_totlntax">'DEEP Score'!$F$42</definedName>
    <definedName name="in_spring_bent_totlntax">'DEEP Score'!$E$43</definedName>
    <definedName name="in_spring_bent_tolrpind">'DEEP Score'!$E$44</definedName>
    <definedName name="in_spring_bent_hprime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Florida Coastal Plain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24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21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Florida Coastal Plain reference assessment</t>
        </is>
      </c>
    </row>
    <row r="3">
      <c r="A3" s="5" t="inlineStr">
        <is>
          <t>Version 1 | Draft | USEPA NRSA 2013-24 (L3 ecoregion 76),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1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2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3">
        <f>IF('DEEP Score'!$E$12="","",'DEEP Score'!$E$12)</f>
        <v/>
      </c>
      <c r="F20" s="44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8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9">
        <f>IF('DEEP Score'!$E$19="","",'DEEP Score'!$E$19)</f>
        <v/>
      </c>
      <c r="F21" s="40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1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8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9">
        <f>IF('DEEP Score'!$E$19="","",'DEEP Score'!$E$19)</f>
        <v/>
      </c>
      <c r="F25" s="40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8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IF('Metrics'!$V$13="","",'Metrics'!$V$13)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9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1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50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7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9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9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1" t="inlineStr">
        <is>
          <t>Biology</t>
        </is>
      </c>
      <c r="B40" s="12" t="inlineStr">
        <is>
          <t>Habitat provision</t>
        </is>
      </c>
      <c r="C40" s="13" t="inlineStr">
        <is>
          <t>Natural fish cover</t>
        </is>
      </c>
      <c r="D40" s="14" t="inlineStr">
        <is>
          <t>frac</t>
        </is>
      </c>
      <c r="E40" s="15" t="n"/>
      <c r="F40" s="48" t="inlineStr">
        <is>
          <t>All streams (pooled)</t>
        </is>
      </c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Fast-water / riffle habitat</t>
        </is>
      </c>
      <c r="D41" s="23" t="inlineStr">
        <is>
          <t>%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51" t="inlineStr">
        <is>
          <t>Biology</t>
        </is>
      </c>
      <c r="B42" s="12" t="inlineStr">
        <is>
          <t>Population support</t>
        </is>
      </c>
      <c r="C42" s="13" t="inlineStr">
        <is>
          <t>Native fish taxa richness</t>
        </is>
      </c>
      <c r="D42" s="14" t="inlineStr"/>
      <c r="E42" s="15" t="n"/>
      <c r="F42" s="48" t="inlineStr">
        <is>
          <t>All streams (pooled)</t>
        </is>
      </c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Benthic total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1" t="inlineStr">
        <is>
          <t>Biology</t>
        </is>
      </c>
      <c r="B44" s="12" t="inlineStr">
        <is>
          <t>Community dynamics</t>
        </is>
      </c>
      <c r="C44" s="13" t="inlineStr">
        <is>
          <t>Tolerant individuals (%) ~ HBI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Shannon diversity (H')</t>
        </is>
      </c>
      <c r="D45" s="23" t="inlineStr">
        <is>
          <t>H'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2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7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3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4" t="inlineStr">
        <is>
          <t>Physical</t>
        </is>
      </c>
      <c r="B50" s="55">
        <f>'Results'!$B$26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Chemical</t>
        </is>
      </c>
      <c r="B51" s="55">
        <f>'Results'!$B$27</f>
        <v/>
      </c>
      <c r="C51" s="56">
        <f>IF('DEEP Score'!$B$51&lt;=0.39,"Non-Functioning",IF('DEEP Score'!$B$51&lt;=0.69,"Functioning At-Risk","Functioning"))</f>
        <v/>
      </c>
    </row>
    <row r="52">
      <c r="A52" s="54" t="inlineStr">
        <is>
          <t>Biological</t>
        </is>
      </c>
      <c r="B52" s="55">
        <f>'Results'!$B$28</f>
        <v/>
      </c>
      <c r="C52" s="56">
        <f>IF('DEEP Score'!$B$52&lt;=0.39,"Non-Functioning",IF('DEEP Score'!$B$52&lt;=0.69,"Functioning At-Risk","Functioning"))</f>
        <v/>
      </c>
    </row>
    <row r="53" ht="30" customHeight="1">
      <c r="A53" s="57" t="inlineStr">
        <is>
          <t>Ecosystem Condition Index</t>
        </is>
      </c>
      <c r="B53" s="58">
        <f>'Results'!$B$29</f>
        <v/>
      </c>
      <c r="C53" s="56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9" t="inlineStr">
        <is>
          <t>Withheld for insufficient reference support (not scored)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60" t="n"/>
      <c r="B61" s="61" t="n"/>
      <c r="C61" s="61" t="n"/>
      <c r="D61" s="61" t="n"/>
      <c r="E61" s="61" t="n"/>
      <c r="F61" s="61" t="n"/>
      <c r="G61" s="61" t="n"/>
      <c r="H61" s="61" t="n"/>
      <c r="I61" s="62" t="n"/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5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3" t="n"/>
      <c r="B65" s="64" t="n"/>
      <c r="C65" s="64" t="n"/>
      <c r="D65" s="64" t="n"/>
      <c r="E65" s="64" t="n"/>
      <c r="F65" s="64" t="n"/>
      <c r="G65" s="64" t="n"/>
      <c r="H65" s="64" t="n"/>
      <c r="I65" s="65" t="n"/>
    </row>
    <row r="66">
      <c r="A66" s="66" t="n"/>
      <c r="B66" s="67" t="n"/>
      <c r="C66" s="67" t="n"/>
      <c r="D66" s="67" t="n"/>
      <c r="E66" s="67" t="n"/>
      <c r="F66" s="67" t="n"/>
      <c r="G66" s="67" t="n"/>
      <c r="H66" s="67" t="n"/>
      <c r="I66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</t>
        </is>
      </c>
      <c r="B7" s="71">
        <f>IF('DEEP Score'!$E$14="","",'DEEP Score'!$E$14)</f>
        <v/>
      </c>
      <c r="C7" s="71">
        <f>IF('DEEP Score'!$F$14="","All streams (pooled)",'DEEP Score'!$F$14)</f>
        <v/>
      </c>
      <c r="D7" s="71">
        <f>"spring_pctwet2019ws|"&amp;'Metrics'!$C$7</f>
        <v/>
      </c>
      <c r="E7" s="71">
        <f>IFERROR(MATCH('Metrics'!$D$7,curve_key,0),MATCH("spring_pctwet2019ws|All streams (pooled)",curve_key,0))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Base flow index</t>
        </is>
      </c>
      <c r="B9" s="71">
        <f>IF('DEEP Score'!$E$16="","",'DEEP Score'!$E$16)</f>
        <v/>
      </c>
      <c r="C9" s="71">
        <f>""</f>
        <v/>
      </c>
      <c r="D9" s="71">
        <f>"spring_bfiws|"&amp;'Metrics'!$C$9</f>
        <v/>
      </c>
      <c r="E9" s="71">
        <f>IFERROR(MATCH('Metrics'!$D$9,curve_key,0),MATCH("spring_bfiws|",curve_key,0))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Degree of regulation</t>
        </is>
      </c>
      <c r="B10" s="71">
        <f>IF('DEEP Score'!$E$17="","",'DEEP Score'!$E$17)</f>
        <v/>
      </c>
      <c r="C10" s="71">
        <f>""</f>
        <v/>
      </c>
      <c r="D10" s="71">
        <f>"spring_dorws|"&amp;'Metrics'!$C$10</f>
        <v/>
      </c>
      <c r="E10" s="71">
        <f>IFERROR(MATCH('Metrics'!$D$10,curve_key,0),MATCH("spring_dorws|",curve_key,0))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Bankfull width:depth ratio</t>
        </is>
      </c>
      <c r="B11" s="71">
        <f>IF('DEEP Score'!$E$19="","",'DEEP Score'!$E$19)</f>
        <v/>
      </c>
      <c r="C11" s="71">
        <f>IF('DEEP Score'!$F$19="","All streams (pooled)",'DEEP Score'!$F$19)</f>
        <v/>
      </c>
      <c r="D11" s="71">
        <f>"spring_phab_bfwd_rat|"&amp;'Metrics'!$C$11</f>
        <v/>
      </c>
      <c r="E11" s="71">
        <f>IFERROR(MATCH('Metrics'!$D$11,curve_key,0),MATCH("spring_phab_bfwd_rat|All streams (pooled)",curve_key,0))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height above channel</t>
        </is>
      </c>
      <c r="B12" s="71">
        <f>IF('DEEP Score'!$E$22="","",'DEEP Score'!$E$22)</f>
        <v/>
      </c>
      <c r="C12" s="71">
        <f>IF('DEEP Score'!$F$22="","All streams (pooled)",'DEEP Score'!$F$22)</f>
        <v/>
      </c>
      <c r="D12" s="71">
        <f>"spring_phab_xbkf_h|"&amp;'Metrics'!$C$12</f>
        <v/>
      </c>
      <c r="E12" s="71">
        <f>IFERROR(MATCH('Metrics'!$D$12,curve_key,0),MATCH("spring_phab_xbkf_h|All streams (pooled)",curve_key,0))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Sand + fines</t>
        </is>
      </c>
      <c r="B13" s="71">
        <f>IF('DEEP Score'!$E$23="","",'DEEP Score'!$E$23)</f>
        <v/>
      </c>
      <c r="C13" s="71">
        <f>""</f>
        <v/>
      </c>
      <c r="D13" s="71">
        <f>"spring_phab_pct_safn|"&amp;'Metrics'!$C$13</f>
        <v/>
      </c>
      <c r="E13" s="71">
        <f>IFERROR(MATCH('Metrics'!$D$13,curve_key,0),MATCH("spring_phab_pct_safn|",curve_key,0))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Embeddedness</t>
        </is>
      </c>
      <c r="B14" s="71">
        <f>IF('DEEP Score'!$E$24="","",'DEEP Score'!$E$24)</f>
        <v/>
      </c>
      <c r="C14" s="71">
        <f>""</f>
        <v/>
      </c>
      <c r="D14" s="71">
        <f>"spring_phab_xembed|"&amp;'Metrics'!$C$14</f>
        <v/>
      </c>
      <c r="E14" s="71">
        <f>IFERROR(MATCH('Metrics'!$D$14,curve_key,0),MATCH("spring_phab_xembed|",curve_key,0))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Sinuosity</t>
        </is>
      </c>
      <c r="B15" s="71">
        <f>IF('DEEP Score'!$E$27="","",'DEEP Score'!$E$27)</f>
        <v/>
      </c>
      <c r="C15" s="71">
        <f>""</f>
        <v/>
      </c>
      <c r="D15" s="71">
        <f>"spring_phab_sinu|"&amp;'Metrics'!$C$15</f>
        <v/>
      </c>
      <c r="E15" s="71">
        <f>IFERROR(MATCH('Metrics'!$D$15,curve_key,0),MATCH("spring_phab_sinu|",curve_key,0))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Bank angle</t>
        </is>
      </c>
      <c r="B16" s="71">
        <f>IF('DEEP Score'!$E$28="","",'DEEP Score'!$E$28)</f>
        <v/>
      </c>
      <c r="C16" s="71">
        <f>""</f>
        <v/>
      </c>
      <c r="D16" s="71">
        <f>"spring_phab_xbka|"&amp;'Metrics'!$C$16</f>
        <v/>
      </c>
      <c r="E16" s="71">
        <f>IFERROR(MATCH('Metrics'!$D$16,curve_key,0),MATCH("spring_phab_xbka|",curve_key,0))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Relative bed stability</t>
        </is>
      </c>
      <c r="B17" s="71">
        <f>IF('DEEP Score'!$E$29="","",'DEEP Score'!$E$29)</f>
        <v/>
      </c>
      <c r="C17" s="71">
        <f>IF('DEEP Score'!$F$29="","All streams (pooled)",'DEEP Score'!$F$29)</f>
        <v/>
      </c>
      <c r="D17" s="71">
        <f>"spring_phab_lrbs_use|"&amp;'Metrics'!$C$17</f>
        <v/>
      </c>
      <c r="E17" s="71">
        <f>IFERROR(MATCH('Metrics'!$D$17,curve_key,0),MATCH("spring_phab_lrbs_use|All streams (pooled)",curve_key,0))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Substrate size</t>
        </is>
      </c>
      <c r="B18" s="71">
        <f>IF('DEEP Score'!$E$31="","",'DEEP Score'!$E$31)</f>
        <v/>
      </c>
      <c r="C18" s="71">
        <f>""</f>
        <v/>
      </c>
      <c r="D18" s="71">
        <f>"spring_phab_lsub_dmm|"&amp;'Metrics'!$C$18</f>
        <v/>
      </c>
      <c r="E18" s="71">
        <f>IFERROR(MATCH('Metrics'!$D$18,curve_key,0),MATCH("spring_phab_lsub_dmm|",curve_key,0))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Large wood volume</t>
        </is>
      </c>
      <c r="B19" s="71">
        <f>IF('DEEP Score'!$E$32="","",'DEEP Score'!$E$32)</f>
        <v/>
      </c>
      <c r="C19" s="71">
        <f>""</f>
        <v/>
      </c>
      <c r="D19" s="71">
        <f>"spring_phab_lwdeqvolm100|"&amp;'Metrics'!$C$19</f>
        <v/>
      </c>
      <c r="E19" s="71">
        <f>IFERROR(MATCH('Metrics'!$D$19,curve_key,0),MATCH("spring_phab_lwdeqvolm100|",curve_key,0))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Chlorophyll a</t>
        </is>
      </c>
      <c r="B20" s="71">
        <f>IF('DEEP Score'!$E$33="","",'DEEP Score'!$E$33)</f>
        <v/>
      </c>
      <c r="C20" s="71">
        <f>""</f>
        <v/>
      </c>
      <c r="D20" s="71">
        <f>"spring_chem_chla|"&amp;'Metrics'!$C$20</f>
        <v/>
      </c>
      <c r="E20" s="71">
        <f>IFERROR(MATCH('Metrics'!$D$20,curve_key,0),MATCH("spring_chem_chla|",curve_key,0))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Canopy density, mid-channel</t>
        </is>
      </c>
      <c r="B21" s="71">
        <f>IF('DEEP Score'!$E$34="","",'DEEP Score'!$E$34)</f>
        <v/>
      </c>
      <c r="C21" s="71">
        <f>IF('DEEP Score'!$F$34="","All streams (pooled)",'DEEP Score'!$F$34)</f>
        <v/>
      </c>
      <c r="D21" s="71">
        <f>"spring_phab_xcdenmid|"&amp;'Metrics'!$C$21</f>
        <v/>
      </c>
      <c r="E21" s="71">
        <f>IFERROR(MATCH('Metrics'!$D$21,curve_key,0),MATCH("spring_phab_xcdenmid|All streams (pooled)",curve_key,0))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Riparian veg cover, woody</t>
        </is>
      </c>
      <c r="B22" s="71">
        <f>IF('DEEP Score'!$E$35="","",'DEEP Score'!$E$35)</f>
        <v/>
      </c>
      <c r="C22" s="71">
        <f>""</f>
        <v/>
      </c>
      <c r="D22" s="71">
        <f>"spring_phab_xcmgw|"&amp;'Metrics'!$C$22</f>
        <v/>
      </c>
      <c r="E22" s="71">
        <f>IFERROR(MATCH('Metrics'!$D$22,curve_key,0),MATCH("spring_phab_xcmgw|",curve_key,0))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Total nitrogen</t>
        </is>
      </c>
      <c r="B23" s="71">
        <f>IF('DEEP Score'!$E$36="","",'DEEP Score'!$E$36)</f>
        <v/>
      </c>
      <c r="C23" s="71">
        <f>""</f>
        <v/>
      </c>
      <c r="D23" s="71">
        <f>"spring_chem_ntl|"&amp;'Metrics'!$C$23</f>
        <v/>
      </c>
      <c r="E23" s="71">
        <f>IFERROR(MATCH('Metrics'!$D$23,curve_key,0),MATCH("spring_chem_ntl|",curve_key,0))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Total phosphorus</t>
        </is>
      </c>
      <c r="B24" s="71">
        <f>IF('DEEP Score'!$E$37="","",'DEEP Score'!$E$37)</f>
        <v/>
      </c>
      <c r="C24" s="71">
        <f>""</f>
        <v/>
      </c>
      <c r="D24" s="71">
        <f>"spring_chem_ptl|"&amp;'Metrics'!$C$24</f>
        <v/>
      </c>
      <c r="E24" s="71">
        <f>IFERROR(MATCH('Metrics'!$D$24,curve_key,0),MATCH("spring_chem_ptl|",curve_key,0))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pH</t>
        </is>
      </c>
      <c r="B25" s="71">
        <f>IF('DEEP Score'!$E$38="","",'DEEP Score'!$E$38)</f>
        <v/>
      </c>
      <c r="C25" s="71">
        <f>""</f>
        <v/>
      </c>
      <c r="D25" s="71">
        <f>"spring_chem_ph|"&amp;'Metrics'!$C$25</f>
        <v/>
      </c>
      <c r="E25" s="71">
        <f>IFERROR(MATCH('Metrics'!$D$25,curve_key,0),MATCH("spring_chem_ph|",curve_key,0))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Specific conductivity</t>
        </is>
      </c>
      <c r="B26" s="71">
        <f>IF('DEEP Score'!$E$39="","",'DEEP Score'!$E$39)</f>
        <v/>
      </c>
      <c r="C26" s="71">
        <f>""</f>
        <v/>
      </c>
      <c r="D26" s="71">
        <f>"spring_chem_cond|"&amp;'Metrics'!$C$26</f>
        <v/>
      </c>
      <c r="E26" s="71">
        <f>IFERROR(MATCH('Metrics'!$D$26,curve_key,0),MATCH("spring_chem_cond|",curve_key,0))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Natural fish cover</t>
        </is>
      </c>
      <c r="B27" s="71">
        <f>IF('DEEP Score'!$E$40="","",'DEEP Score'!$E$40)</f>
        <v/>
      </c>
      <c r="C27" s="71">
        <f>IF('DEEP Score'!$F$40="","All streams (pooled)",'DEEP Score'!$F$40)</f>
        <v/>
      </c>
      <c r="D27" s="71">
        <f>"spring_phab_xfc_nat|"&amp;'Metrics'!$C$27</f>
        <v/>
      </c>
      <c r="E27" s="71">
        <f>IFERROR(MATCH('Metrics'!$D$27,curve_key,0),MATCH("spring_phab_xfc_nat|All streams (pooled)",curve_key,0))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Fast-water / riffle habitat</t>
        </is>
      </c>
      <c r="B28" s="71">
        <f>IF('DEEP Score'!$E$41="","",'DEEP Score'!$E$41)</f>
        <v/>
      </c>
      <c r="C28" s="71">
        <f>""</f>
        <v/>
      </c>
      <c r="D28" s="71">
        <f>"spring_phab_pct_fast|"&amp;'Metrics'!$C$28</f>
        <v/>
      </c>
      <c r="E28" s="71">
        <f>IFERROR(MATCH('Metrics'!$D$28,curve_key,0),MATCH("spring_phab_pct_fast|",curve_key,0))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Native fish taxa richness</t>
        </is>
      </c>
      <c r="B29" s="71">
        <f>IF('DEEP Score'!$E$42="","",'DEEP Score'!$E$42)</f>
        <v/>
      </c>
      <c r="C29" s="71">
        <f>IF('DEEP Score'!$F$42="","All streams (pooled)",'DEEP Score'!$F$42)</f>
        <v/>
      </c>
      <c r="D29" s="71">
        <f>"spring_fish_nat_totlntax|"&amp;'Metrics'!$C$29</f>
        <v/>
      </c>
      <c r="E29" s="71">
        <f>IFERROR(MATCH('Metrics'!$D$29,curve_key,0),MATCH("spring_fish_nat_totlntax|All streams (pooled)",curve_key,0))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Benthic total taxa richness</t>
        </is>
      </c>
      <c r="B30" s="71">
        <f>IF('DEEP Score'!$E$43="","",'DEEP Score'!$E$43)</f>
        <v/>
      </c>
      <c r="C30" s="71">
        <f>""</f>
        <v/>
      </c>
      <c r="D30" s="71">
        <f>"spring_bent_totlntax|"&amp;'Metrics'!$C$30</f>
        <v/>
      </c>
      <c r="E30" s="71">
        <f>IFERROR(MATCH('Metrics'!$D$30,curve_key,0),MATCH("spring_bent_totlntax|",curve_key,0))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70" t="inlineStr">
        <is>
          <t>Tolerant individuals (%) ~ HBI</t>
        </is>
      </c>
      <c r="B31" s="71">
        <f>IF('DEEP Score'!$E$44="","",'DEEP Score'!$E$44)</f>
        <v/>
      </c>
      <c r="C31" s="71">
        <f>""</f>
        <v/>
      </c>
      <c r="D31" s="71">
        <f>"spring_bent_tolrpind|"&amp;'Metrics'!$C$31</f>
        <v/>
      </c>
      <c r="E31" s="71">
        <f>IFERROR(MATCH('Metrics'!$D$31,curve_key,0),MATCH("spring_bent_tolrpind|",curve_key,0))</f>
        <v/>
      </c>
      <c r="F31" s="71">
        <f>INDEX(curve_x1,'Metrics'!$E$31)</f>
        <v/>
      </c>
      <c r="G31" s="71">
        <f>INDEX(curve_x2,'Metrics'!$E$31)</f>
        <v/>
      </c>
      <c r="H31" s="71">
        <f>INDEX(curve_x3,'Metrics'!$E$31)</f>
        <v/>
      </c>
      <c r="I31" s="71">
        <f>INDEX(curve_x4,'Metrics'!$E$31)</f>
        <v/>
      </c>
      <c r="J31" s="71">
        <f>INDEX(curve_x5,'Metrics'!$E$31)</f>
        <v/>
      </c>
      <c r="K31" s="71">
        <f>INDEX(curve_x6,'Metrics'!$E$31)</f>
        <v/>
      </c>
      <c r="L31" s="71">
        <f>INDEX(curve_x7,'Metrics'!$E$31)</f>
        <v/>
      </c>
      <c r="M31" s="71">
        <f>INDEX(curve_x8,'Metrics'!$E$31)</f>
        <v/>
      </c>
      <c r="N31" s="71">
        <f>INDEX(curve_y1,'Metrics'!$E$31)</f>
        <v/>
      </c>
      <c r="O31" s="71">
        <f>INDEX(curve_y2,'Metrics'!$E$31)</f>
        <v/>
      </c>
      <c r="P31" s="71">
        <f>INDEX(curve_y3,'Metrics'!$E$31)</f>
        <v/>
      </c>
      <c r="Q31" s="71">
        <f>INDEX(curve_y4,'Metrics'!$E$31)</f>
        <v/>
      </c>
      <c r="R31" s="71">
        <f>INDEX(curve_y5,'Metrics'!$E$31)</f>
        <v/>
      </c>
      <c r="S31" s="71">
        <f>INDEX(curve_y6,'Metrics'!$E$31)</f>
        <v/>
      </c>
      <c r="T31" s="71">
        <f>INDEX(curve_y7,'Metrics'!$E$31)</f>
        <v/>
      </c>
      <c r="U31" s="71">
        <f>INDEX(curve_y8,'Metrics'!$E$31)</f>
        <v/>
      </c>
      <c r="V31" s="72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70" t="inlineStr">
        <is>
          <t>Shannon diversity (H')</t>
        </is>
      </c>
      <c r="B32" s="71">
        <f>IF('DEEP Score'!$E$45="","",'DEEP Score'!$E$45)</f>
        <v/>
      </c>
      <c r="C32" s="71">
        <f>""</f>
        <v/>
      </c>
      <c r="D32" s="71">
        <f>"spring_bent_hprime|"&amp;'Metrics'!$C$32</f>
        <v/>
      </c>
      <c r="E32" s="71">
        <f>IFERROR(MATCH('Metrics'!$D$32,curve_key,0),MATCH("spring_bent_hprime|",curve_key,0))</f>
        <v/>
      </c>
      <c r="F32" s="71">
        <f>INDEX(curve_x1,'Metrics'!$E$32)</f>
        <v/>
      </c>
      <c r="G32" s="71">
        <f>INDEX(curve_x2,'Metrics'!$E$32)</f>
        <v/>
      </c>
      <c r="H32" s="71">
        <f>INDEX(curve_x3,'Metrics'!$E$32)</f>
        <v/>
      </c>
      <c r="I32" s="71">
        <f>INDEX(curve_x4,'Metrics'!$E$32)</f>
        <v/>
      </c>
      <c r="J32" s="71">
        <f>INDEX(curve_x5,'Metrics'!$E$32)</f>
        <v/>
      </c>
      <c r="K32" s="71">
        <f>INDEX(curve_x6,'Metrics'!$E$32)</f>
        <v/>
      </c>
      <c r="L32" s="71">
        <f>INDEX(curve_x7,'Metrics'!$E$32)</f>
        <v/>
      </c>
      <c r="M32" s="71">
        <f>INDEX(curve_x8,'Metrics'!$E$32)</f>
        <v/>
      </c>
      <c r="N32" s="71">
        <f>INDEX(curve_y1,'Metrics'!$E$32)</f>
        <v/>
      </c>
      <c r="O32" s="71">
        <f>INDEX(curve_y2,'Metrics'!$E$32)</f>
        <v/>
      </c>
      <c r="P32" s="71">
        <f>INDEX(curve_y3,'Metrics'!$E$32)</f>
        <v/>
      </c>
      <c r="Q32" s="71">
        <f>INDEX(curve_y4,'Metrics'!$E$32)</f>
        <v/>
      </c>
      <c r="R32" s="71">
        <f>INDEX(curve_y5,'Metrics'!$E$32)</f>
        <v/>
      </c>
      <c r="S32" s="71">
        <f>INDEX(curve_y6,'Metrics'!$E$32)</f>
        <v/>
      </c>
      <c r="T32" s="71">
        <f>INDEX(curve_y7,'Metrics'!$E$32)</f>
        <v/>
      </c>
      <c r="U32" s="71">
        <f>INDEX(curve_y8,'Metrics'!$E$32)</f>
        <v/>
      </c>
      <c r="V32" s="72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70" t="inlineStr">
        <is>
          <t>Mapped dams within one mile</t>
        </is>
      </c>
      <c r="B33" s="71">
        <f>IF('DEEP Score'!$E$46="","",'DEEP Score'!$E$46)</f>
        <v/>
      </c>
      <c r="C33" s="71">
        <f>""</f>
        <v/>
      </c>
      <c r="D33" s="71">
        <f>"spring_nid_dams_1mi|"&amp;'Metrics'!$C$33</f>
        <v/>
      </c>
      <c r="E33" s="71">
        <f>IFERROR(MATCH('Metrics'!$D$33,curve_key,0),MATCH("spring_nid_dams_1mi|",curve_key,0))</f>
        <v/>
      </c>
      <c r="F33" s="71">
        <f>INDEX(curve_x1,'Metrics'!$E$33)</f>
        <v/>
      </c>
      <c r="G33" s="71">
        <f>INDEX(curve_x2,'Metrics'!$E$33)</f>
        <v/>
      </c>
      <c r="H33" s="71">
        <f>INDEX(curve_x3,'Metrics'!$E$33)</f>
        <v/>
      </c>
      <c r="I33" s="71">
        <f>INDEX(curve_x4,'Metrics'!$E$33)</f>
        <v/>
      </c>
      <c r="J33" s="71">
        <f>INDEX(curve_x5,'Metrics'!$E$33)</f>
        <v/>
      </c>
      <c r="K33" s="71">
        <f>INDEX(curve_x6,'Metrics'!$E$33)</f>
        <v/>
      </c>
      <c r="L33" s="71">
        <f>INDEX(curve_x7,'Metrics'!$E$33)</f>
        <v/>
      </c>
      <c r="M33" s="71">
        <f>INDEX(curve_x8,'Metrics'!$E$33)</f>
        <v/>
      </c>
      <c r="N33" s="71">
        <f>INDEX(curve_y1,'Metrics'!$E$33)</f>
        <v/>
      </c>
      <c r="O33" s="71">
        <f>INDEX(curve_y2,'Metrics'!$E$33)</f>
        <v/>
      </c>
      <c r="P33" s="71">
        <f>INDEX(curve_y3,'Metrics'!$E$33)</f>
        <v/>
      </c>
      <c r="Q33" s="71">
        <f>INDEX(curve_y4,'Metrics'!$E$33)</f>
        <v/>
      </c>
      <c r="R33" s="71">
        <f>INDEX(curve_y5,'Metrics'!$E$33)</f>
        <v/>
      </c>
      <c r="S33" s="71">
        <f>INDEX(curve_y6,'Metrics'!$E$33)</f>
        <v/>
      </c>
      <c r="T33" s="71">
        <f>INDEX(curve_y7,'Metrics'!$E$33)</f>
        <v/>
      </c>
      <c r="U33" s="71">
        <f>INDEX(curve_y8,'Metrics'!$E$33)</f>
        <v/>
      </c>
      <c r="V33" s="72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Score'!G16:G17)=0,"",SUM('DEEP Score'!G16:G17)/COUNT('DEEP Score'!G16:G17)*15)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Score'!G18:G19)=0,"",SUM('DEEP Score'!G18:G19)/COUNT('DEEP Score'!G18:G19)*15)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Score'!G20:G20)=0,"",SUM('DEEP Score'!G20:G20)/COUNT('DEEP Score'!G20:G20)*15)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Score'!G21:G22)=0,"",SUM('DEEP Score'!G21:G22)/COUNT('DEEP Score'!G21:G22)*15)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Score'!G23:G24)=0,"",SUM('DEEP Score'!G23:G24)/COUNT('DEEP Score'!G23:G24)*15)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Score'!G25:G26)=0,"",SUM('DEEP Score'!G25:G26)/COUNT('DEEP Score'!G25:G26)*15)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Score'!G27:G28)=0,"",SUM('DEEP Score'!G27:G28)/COUNT('DEEP Score'!G27:G28)*15)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Score'!G29:G30)=0,"",SUM('DEEP Score'!G29:G30)/COUNT('DEEP Score'!G29:G30)*15)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Score'!G31:G32)=0,"",SUM('DEEP Score'!G31:G32)/COUNT('DEEP Score'!G31:G32)*15)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Score'!G33:G34)=0,"",SUM('DEEP Score'!G33:G34)/COUNT('DEEP Score'!G33:G34)*15)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Score'!G35:G35)=0,"",SUM('DEEP Score'!G35:G35)/COUNT('DEEP Score'!G35:G35)*15)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Score'!G36:G37)=0,"",SUM('DEEP Score'!G36:G37)/COUNT('DEEP Score'!G36:G37)*15)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Score'!G38:G39)=0,"",SUM('DEEP Score'!G38:G39)/COUNT('DEEP Score'!G38:G39)*15)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Score'!G40:G41)=0,"",SUM('DEEP Score'!G40:G41)/COUNT('DEEP Score'!G40:G41)*15)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Score'!G42:G43)=0,"",SUM('DEEP Score'!G42:G43)/COUNT('DEEP Score'!G42:G43)*15)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Score'!G44:G45)=0,"",SUM('DEEP Score'!G44:G45)/COUNT('DEEP Score'!G44:G45)*15)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Score'!G46:G46)=0,"",SUM('DEEP Score'!G46:G46)/COUNT('DEEP Score'!G46:G46)*15)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8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spring_pctwet2019ws|All streams (pooled)</t>
        </is>
      </c>
      <c r="B7" s="70" t="inlineStr">
        <is>
          <t>spring-pctwet2019ws</t>
        </is>
      </c>
      <c r="C7" s="70" t="inlineStr">
        <is>
          <t>Wetland</t>
        </is>
      </c>
      <c r="D7" s="70" t="inlineStr">
        <is>
          <t>All streams (pooled)</t>
        </is>
      </c>
      <c r="E7" s="70" t="n">
        <v>5</v>
      </c>
      <c r="F7" s="70" t="inlineStr">
        <is>
          <t>102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7" s="70" t="n">
        <v>0</v>
      </c>
      <c r="H7" s="70" t="n">
        <v>3.488571428571429</v>
      </c>
      <c r="I7" s="70" t="n">
        <v>8.140000000000001</v>
      </c>
      <c r="J7" s="70" t="n">
        <v>24.5325</v>
      </c>
      <c r="K7" s="70" t="n">
        <v>32.72875</v>
      </c>
      <c r="L7" s="70" t="n">
        <v>32.72875</v>
      </c>
      <c r="M7" s="70" t="n">
        <v>32.72875</v>
      </c>
      <c r="N7" s="70" t="n">
        <v>32.72875</v>
      </c>
      <c r="O7" s="70" t="n">
        <v>0</v>
      </c>
      <c r="P7" s="70" t="n">
        <v>0.3</v>
      </c>
      <c r="Q7" s="70" t="n">
        <v>0.7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spring_pctwet2019ws|Low gradient (under 0.5 percent)</t>
        </is>
      </c>
      <c r="B8" s="70" t="inlineStr">
        <is>
          <t>spring-pctwet2019ws</t>
        </is>
      </c>
      <c r="C8" s="70" t="inlineStr">
        <is>
          <t>Wetland</t>
        </is>
      </c>
      <c r="D8" s="70" t="inlineStr">
        <is>
          <t>Low gradient (under 0.5 percent)</t>
        </is>
      </c>
      <c r="E8" s="70" t="n">
        <v>5</v>
      </c>
      <c r="F8" s="70" t="inlineStr">
        <is>
          <t>102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8" s="70" t="n">
        <v>0</v>
      </c>
      <c r="H8" s="70" t="n">
        <v>3.93</v>
      </c>
      <c r="I8" s="70" t="n">
        <v>9.17</v>
      </c>
      <c r="J8" s="70" t="n">
        <v>26.75</v>
      </c>
      <c r="K8" s="70" t="n">
        <v>35.54</v>
      </c>
      <c r="L8" s="70" t="n">
        <v>35.54</v>
      </c>
      <c r="M8" s="70" t="n">
        <v>35.54</v>
      </c>
      <c r="N8" s="70" t="n">
        <v>35.54</v>
      </c>
      <c r="O8" s="70" t="n">
        <v>0</v>
      </c>
      <c r="P8" s="70" t="n">
        <v>0.3</v>
      </c>
      <c r="Q8" s="70" t="n">
        <v>0.7</v>
      </c>
      <c r="R8" s="70" t="n">
        <v>1</v>
      </c>
      <c r="S8" s="70" t="n">
        <v>1</v>
      </c>
      <c r="T8" s="70" t="n">
        <v>1</v>
      </c>
      <c r="U8" s="70" t="n">
        <v>1</v>
      </c>
      <c r="V8" s="70" t="n">
        <v>1</v>
      </c>
    </row>
    <row r="9">
      <c r="A9" s="70" t="inlineStr">
        <is>
          <t>spring_pctwet2019ws|Moderate gradient (0.5 to 2 percent)</t>
        </is>
      </c>
      <c r="B9" s="70" t="inlineStr">
        <is>
          <t>spring-pctwet2019ws</t>
        </is>
      </c>
      <c r="C9" s="70" t="inlineStr">
        <is>
          <t>Wetland</t>
        </is>
      </c>
      <c r="D9" s="70" t="inlineStr">
        <is>
          <t>Moderate gradient (0.5 to 2 percent)</t>
        </is>
      </c>
      <c r="E9" s="70" t="n">
        <v>5</v>
      </c>
      <c r="F9" s="70" t="inlineStr">
        <is>
          <t>102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9" s="70" t="n">
        <v>0</v>
      </c>
      <c r="H9" s="70" t="n">
        <v>1.44</v>
      </c>
      <c r="I9" s="70" t="n">
        <v>3.36</v>
      </c>
      <c r="J9" s="70" t="n">
        <v>13.85</v>
      </c>
      <c r="K9" s="70" t="n">
        <v>19.095</v>
      </c>
      <c r="L9" s="70" t="n">
        <v>19.095</v>
      </c>
      <c r="M9" s="70" t="n">
        <v>19.095</v>
      </c>
      <c r="N9" s="70" t="n">
        <v>19.095</v>
      </c>
      <c r="O9" s="70" t="n">
        <v>0</v>
      </c>
      <c r="P9" s="70" t="n">
        <v>0.3</v>
      </c>
      <c r="Q9" s="70" t="n">
        <v>0.7</v>
      </c>
      <c r="R9" s="70" t="n">
        <v>1</v>
      </c>
      <c r="S9" s="70" t="n">
        <v>1</v>
      </c>
      <c r="T9" s="70" t="n">
        <v>1</v>
      </c>
      <c r="U9" s="70" t="n">
        <v>1</v>
      </c>
      <c r="V9" s="70" t="n">
        <v>1</v>
      </c>
    </row>
    <row r="10">
      <c r="A10" s="70" t="inlineStr">
        <is>
          <t>spring_rddensws|</t>
        </is>
      </c>
      <c r="B10" s="70" t="inlineStr">
        <is>
          <t>spring-rddensws</t>
        </is>
      </c>
      <c r="C10" s="70" t="inlineStr">
        <is>
          <t>Road density</t>
        </is>
      </c>
      <c r="D10" s="70" t="inlineStr"/>
      <c r="E10" s="70" t="n">
        <v>4</v>
      </c>
      <c r="F10" s="70" t="inlineStr">
        <is>
          <t>Fixed criteria, the same in every region</t>
        </is>
      </c>
      <c r="G10" s="70" t="n">
        <v>0</v>
      </c>
      <c r="H10" s="70" t="n">
        <v>1</v>
      </c>
      <c r="I10" s="70" t="n">
        <v>3</v>
      </c>
      <c r="J10" s="70" t="n">
        <v>5.6</v>
      </c>
      <c r="K10" s="70" t="n">
        <v>5.6</v>
      </c>
      <c r="L10" s="70" t="n">
        <v>5.6</v>
      </c>
      <c r="M10" s="70" t="n">
        <v>5.6</v>
      </c>
      <c r="N10" s="70" t="n">
        <v>5.6</v>
      </c>
      <c r="O10" s="70" t="n">
        <v>1</v>
      </c>
      <c r="P10" s="70" t="n">
        <v>0.6899999999999999</v>
      </c>
      <c r="Q10" s="70" t="n">
        <v>0.39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</row>
    <row r="11">
      <c r="A11" s="70" t="inlineStr">
        <is>
          <t>spring_bfiws|</t>
        </is>
      </c>
      <c r="B11" s="70" t="inlineStr">
        <is>
          <t>spring-bfiws</t>
        </is>
      </c>
      <c r="C11" s="70" t="inlineStr">
        <is>
          <t>Base flow index</t>
        </is>
      </c>
      <c r="D11" s="70" t="inlineStr"/>
      <c r="E11" s="70" t="n">
        <v>5</v>
      </c>
      <c r="F11" s="70" t="inlineStr">
        <is>
          <t>102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11" s="70" t="n">
        <v>0</v>
      </c>
      <c r="H11" s="70" t="n">
        <v>12.009825</v>
      </c>
      <c r="I11" s="70" t="n">
        <v>28.022925</v>
      </c>
      <c r="J11" s="70" t="n">
        <v>45.948225</v>
      </c>
      <c r="K11" s="70" t="n">
        <v>54.910875</v>
      </c>
      <c r="L11" s="70" t="n">
        <v>54.910875</v>
      </c>
      <c r="M11" s="70" t="n">
        <v>54.910875</v>
      </c>
      <c r="N11" s="70" t="n">
        <v>54.910875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spring_dorws|</t>
        </is>
      </c>
      <c r="B12" s="70" t="inlineStr">
        <is>
          <t>spring-dorws</t>
        </is>
      </c>
      <c r="C12" s="70" t="inlineStr">
        <is>
          <t>Degree of regulation</t>
        </is>
      </c>
      <c r="D12" s="70" t="inlineStr"/>
      <c r="E12" s="70" t="n">
        <v>4</v>
      </c>
      <c r="F12" s="70" t="inlineStr">
        <is>
          <t>Fixed criteria, the same in every region</t>
        </is>
      </c>
      <c r="G12" s="70" t="n">
        <v>0</v>
      </c>
      <c r="H12" s="70" t="n">
        <v>2</v>
      </c>
      <c r="I12" s="70" t="n">
        <v>15.005</v>
      </c>
      <c r="J12" s="70" t="n">
        <v>31.9115</v>
      </c>
      <c r="K12" s="70" t="n">
        <v>31.9115</v>
      </c>
      <c r="L12" s="70" t="n">
        <v>31.9115</v>
      </c>
      <c r="M12" s="70" t="n">
        <v>31.9115</v>
      </c>
      <c r="N12" s="70" t="n">
        <v>31.9115</v>
      </c>
      <c r="O12" s="70" t="n">
        <v>1</v>
      </c>
      <c r="P12" s="70" t="n">
        <v>0.6899999999999999</v>
      </c>
      <c r="Q12" s="70" t="n">
        <v>0.39</v>
      </c>
      <c r="R12" s="70" t="n">
        <v>0</v>
      </c>
      <c r="S12" s="70" t="n">
        <v>0</v>
      </c>
      <c r="T12" s="70" t="n">
        <v>0</v>
      </c>
      <c r="U12" s="70" t="n">
        <v>0</v>
      </c>
      <c r="V12" s="70" t="n">
        <v>0</v>
      </c>
    </row>
    <row r="13">
      <c r="A13" s="70" t="inlineStr">
        <is>
          <t>spring_phab_bfwd_rat|All streams (pooled)</t>
        </is>
      </c>
      <c r="B13" s="70" t="inlineStr">
        <is>
          <t>spring-phab-bfwd-rat</t>
        </is>
      </c>
      <c r="C13" s="70" t="inlineStr">
        <is>
          <t>Bankfull width:depth ratio</t>
        </is>
      </c>
      <c r="D13" s="70" t="inlineStr">
        <is>
          <t>All streams (pooled)</t>
        </is>
      </c>
      <c r="E13" s="70" t="n">
        <v>7</v>
      </c>
      <c r="F13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70" t="n">
        <v>0</v>
      </c>
      <c r="H13" s="70" t="n">
        <v>3.377527117729187</v>
      </c>
      <c r="I13" s="70" t="n">
        <v>5.442570209503174</v>
      </c>
      <c r="J13" s="70" t="n">
        <v>11.34269332885742</v>
      </c>
      <c r="K13" s="70" t="n">
        <v>13.40773642063141</v>
      </c>
      <c r="L13" s="70" t="n">
        <v>17.24281644821167</v>
      </c>
      <c r="M13" s="70" t="n">
        <v>23.14293956756592</v>
      </c>
      <c r="N13" s="70" t="n">
        <v>23.14293956756592</v>
      </c>
      <c r="O13" s="70" t="n">
        <v>0</v>
      </c>
      <c r="P13" s="70" t="n">
        <v>0.7</v>
      </c>
      <c r="Q13" s="70" t="n">
        <v>1</v>
      </c>
      <c r="R13" s="70" t="n">
        <v>1</v>
      </c>
      <c r="S13" s="70" t="n">
        <v>0.7</v>
      </c>
      <c r="T13" s="70" t="n">
        <v>0.3</v>
      </c>
      <c r="U13" s="70" t="n">
        <v>0</v>
      </c>
      <c r="V13" s="70" t="n">
        <v>0</v>
      </c>
    </row>
    <row r="14">
      <c r="A14" s="70" t="inlineStr">
        <is>
          <t>spring_phab_bfwd_rat|Headwater (10 km2 and under)</t>
        </is>
      </c>
      <c r="B14" s="70" t="inlineStr">
        <is>
          <t>spring-phab-bfwd-rat</t>
        </is>
      </c>
      <c r="C14" s="70" t="inlineStr">
        <is>
          <t>Bankfull width:depth ratio</t>
        </is>
      </c>
      <c r="D14" s="70" t="inlineStr">
        <is>
          <t>Headwater (10 km2 and under)</t>
        </is>
      </c>
      <c r="E14" s="70" t="n">
        <v>8</v>
      </c>
      <c r="F14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4" s="70" t="n">
        <v>0</v>
      </c>
      <c r="H14" s="70" t="n">
        <v>0.5631885528564453</v>
      </c>
      <c r="I14" s="70" t="n">
        <v>2.655247658491135</v>
      </c>
      <c r="J14" s="70" t="n">
        <v>3.78174102306366</v>
      </c>
      <c r="K14" s="70" t="n">
        <v>7.000293493270874</v>
      </c>
      <c r="L14" s="70" t="n">
        <v>8.126786857843399</v>
      </c>
      <c r="M14" s="70" t="n">
        <v>10.21884596347809</v>
      </c>
      <c r="N14" s="70" t="n">
        <v>13.4373984336853</v>
      </c>
      <c r="O14" s="70" t="n">
        <v>0</v>
      </c>
      <c r="P14" s="70" t="n">
        <v>0.3</v>
      </c>
      <c r="Q14" s="70" t="n">
        <v>0.7</v>
      </c>
      <c r="R14" s="70" t="n">
        <v>1</v>
      </c>
      <c r="S14" s="70" t="n">
        <v>1</v>
      </c>
      <c r="T14" s="70" t="n">
        <v>0.7</v>
      </c>
      <c r="U14" s="70" t="n">
        <v>0.3</v>
      </c>
      <c r="V14" s="70" t="n">
        <v>0</v>
      </c>
    </row>
    <row r="15">
      <c r="A15" s="70" t="inlineStr">
        <is>
          <t>spring_phab_bfwd_rat|Small stream (10 to 100 km2)</t>
        </is>
      </c>
      <c r="B15" s="70" t="inlineStr">
        <is>
          <t>spring-phab-bfwd-rat</t>
        </is>
      </c>
      <c r="C15" s="70" t="inlineStr">
        <is>
          <t>Bankfull width:depth ratio</t>
        </is>
      </c>
      <c r="D15" s="70" t="inlineStr">
        <is>
          <t>Small stream (10 to 100 km2)</t>
        </is>
      </c>
      <c r="E15" s="70" t="n">
        <v>8</v>
      </c>
      <c r="F15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5" s="70" t="n">
        <v>0</v>
      </c>
      <c r="H15" s="70" t="n">
        <v>0.5694611072540283</v>
      </c>
      <c r="I15" s="70" t="n">
        <v>3.807219785451889</v>
      </c>
      <c r="J15" s="70" t="n">
        <v>5.550628304481506</v>
      </c>
      <c r="K15" s="70" t="n">
        <v>10.53179550170898</v>
      </c>
      <c r="L15" s="70" t="n">
        <v>12.2752040207386</v>
      </c>
      <c r="M15" s="70" t="n">
        <v>15.51296269893646</v>
      </c>
      <c r="N15" s="70" t="n">
        <v>20.49412989616394</v>
      </c>
      <c r="O15" s="70" t="n">
        <v>0</v>
      </c>
      <c r="P15" s="70" t="n">
        <v>0.3</v>
      </c>
      <c r="Q15" s="70" t="n">
        <v>0.7</v>
      </c>
      <c r="R15" s="70" t="n">
        <v>1</v>
      </c>
      <c r="S15" s="70" t="n">
        <v>1</v>
      </c>
      <c r="T15" s="70" t="n">
        <v>0.7</v>
      </c>
      <c r="U15" s="70" t="n">
        <v>0.3</v>
      </c>
      <c r="V15" s="70" t="n">
        <v>0</v>
      </c>
    </row>
    <row r="16">
      <c r="A16" s="70" t="inlineStr">
        <is>
          <t>spring_phab_bfwd_rat|Large stream (over 100 km2)</t>
        </is>
      </c>
      <c r="B16" s="70" t="inlineStr">
        <is>
          <t>spring-phab-bfwd-rat</t>
        </is>
      </c>
      <c r="C16" s="70" t="inlineStr">
        <is>
          <t>Bankfull width:depth ratio</t>
        </is>
      </c>
      <c r="D16" s="70" t="inlineStr">
        <is>
          <t>Large stream (over 100 km2)</t>
        </is>
      </c>
      <c r="E16" s="70" t="n">
        <v>8</v>
      </c>
      <c r="F16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6" s="70" t="n">
        <v>0</v>
      </c>
      <c r="H16" s="70" t="n">
        <v>0.09883689880371094</v>
      </c>
      <c r="I16" s="70" t="n">
        <v>5.494314801692963</v>
      </c>
      <c r="J16" s="70" t="n">
        <v>8.399572134017944</v>
      </c>
      <c r="K16" s="70" t="n">
        <v>16.70030736923218</v>
      </c>
      <c r="L16" s="70" t="n">
        <v>19.60556470155716</v>
      </c>
      <c r="M16" s="70" t="n">
        <v>25.00104260444641</v>
      </c>
      <c r="N16" s="70" t="n">
        <v>33.30177783966064</v>
      </c>
      <c r="O16" s="70" t="n">
        <v>0</v>
      </c>
      <c r="P16" s="70" t="n">
        <v>0.3</v>
      </c>
      <c r="Q16" s="70" t="n">
        <v>0.7</v>
      </c>
      <c r="R16" s="70" t="n">
        <v>1</v>
      </c>
      <c r="S16" s="70" t="n">
        <v>1</v>
      </c>
      <c r="T16" s="70" t="n">
        <v>0.7</v>
      </c>
      <c r="U16" s="70" t="n">
        <v>0.3</v>
      </c>
      <c r="V16" s="70" t="n">
        <v>0</v>
      </c>
    </row>
    <row r="17">
      <c r="A17" s="70" t="inlineStr">
        <is>
          <t>spring_phab_xbkf_h|All streams (pooled)</t>
        </is>
      </c>
      <c r="B17" s="70" t="inlineStr">
        <is>
          <t>spring-phab-xbkf-h</t>
        </is>
      </c>
      <c r="C17" s="70" t="inlineStr">
        <is>
          <t>Bankfull height above channel</t>
        </is>
      </c>
      <c r="D17" s="70" t="inlineStr">
        <is>
          <t>All streams (pooled)</t>
        </is>
      </c>
      <c r="E17" s="70" t="n">
        <v>7</v>
      </c>
      <c r="F17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7" s="70" t="n">
        <v>0</v>
      </c>
      <c r="H17" s="70" t="n">
        <v>0.1925454631447792</v>
      </c>
      <c r="I17" s="70" t="n">
        <v>0.3300000131130219</v>
      </c>
      <c r="J17" s="70" t="n">
        <v>0.7227272987365723</v>
      </c>
      <c r="K17" s="70" t="n">
        <v>0.860181848704815</v>
      </c>
      <c r="L17" s="70" t="n">
        <v>1.115454584360123</v>
      </c>
      <c r="M17" s="70" t="n">
        <v>1.508181869983673</v>
      </c>
      <c r="N17" s="70" t="n">
        <v>1.508181869983673</v>
      </c>
      <c r="O17" s="70" t="n">
        <v>0</v>
      </c>
      <c r="P17" s="70" t="n">
        <v>0.7</v>
      </c>
      <c r="Q17" s="70" t="n">
        <v>1</v>
      </c>
      <c r="R17" s="70" t="n">
        <v>1</v>
      </c>
      <c r="S17" s="70" t="n">
        <v>0.7</v>
      </c>
      <c r="T17" s="70" t="n">
        <v>0.3</v>
      </c>
      <c r="U17" s="70" t="n">
        <v>0</v>
      </c>
      <c r="V17" s="70" t="n">
        <v>0</v>
      </c>
    </row>
    <row r="18">
      <c r="A18" s="70" t="inlineStr">
        <is>
          <t>spring_phab_xbkf_h|Headwater (10 km2 and under)</t>
        </is>
      </c>
      <c r="B18" s="70" t="inlineStr">
        <is>
          <t>spring-phab-xbkf-h</t>
        </is>
      </c>
      <c r="C18" s="70" t="inlineStr">
        <is>
          <t>Bankfull height above channel</t>
        </is>
      </c>
      <c r="D18" s="70" t="inlineStr">
        <is>
          <t>Headwater (10 km2 and under)</t>
        </is>
      </c>
      <c r="E18" s="70" t="n">
        <v>7</v>
      </c>
      <c r="F18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8" s="70" t="n">
        <v>0</v>
      </c>
      <c r="H18" s="70" t="n">
        <v>0.164522722363472</v>
      </c>
      <c r="I18" s="70" t="n">
        <v>0.3145454525947571</v>
      </c>
      <c r="J18" s="70" t="n">
        <v>0.7431818246841431</v>
      </c>
      <c r="K18" s="70" t="n">
        <v>0.8932045549154282</v>
      </c>
      <c r="L18" s="70" t="n">
        <v>1.171818196773529</v>
      </c>
      <c r="M18" s="70" t="n">
        <v>1.600454568862915</v>
      </c>
      <c r="N18" s="70" t="n">
        <v>1.600454568862915</v>
      </c>
      <c r="O18" s="70" t="n">
        <v>0</v>
      </c>
      <c r="P18" s="70" t="n">
        <v>0.7</v>
      </c>
      <c r="Q18" s="70" t="n">
        <v>1</v>
      </c>
      <c r="R18" s="70" t="n">
        <v>1</v>
      </c>
      <c r="S18" s="70" t="n">
        <v>0.7</v>
      </c>
      <c r="T18" s="70" t="n">
        <v>0.3</v>
      </c>
      <c r="U18" s="70" t="n">
        <v>0</v>
      </c>
      <c r="V18" s="70" t="n">
        <v>0</v>
      </c>
    </row>
    <row r="19">
      <c r="A19" s="70" t="inlineStr">
        <is>
          <t>spring_phab_xbkf_h|Small stream (10 to 100 km2)</t>
        </is>
      </c>
      <c r="B19" s="70" t="inlineStr">
        <is>
          <t>spring-phab-xbkf-h</t>
        </is>
      </c>
      <c r="C19" s="70" t="inlineStr">
        <is>
          <t>Bankfull height above channel</t>
        </is>
      </c>
      <c r="D19" s="70" t="inlineStr">
        <is>
          <t>Small stream (10 to 100 km2)</t>
        </is>
      </c>
      <c r="E19" s="70" t="n">
        <v>7</v>
      </c>
      <c r="F19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9" s="70" t="n">
        <v>0</v>
      </c>
      <c r="H19" s="70" t="n">
        <v>0.1985341046005487</v>
      </c>
      <c r="I19" s="70" t="n">
        <v>0.3295454606413841</v>
      </c>
      <c r="J19" s="70" t="n">
        <v>0.7038636207580566</v>
      </c>
      <c r="K19" s="70" t="n">
        <v>0.834874976798892</v>
      </c>
      <c r="L19" s="70" t="n">
        <v>1.078181780874729</v>
      </c>
      <c r="M19" s="70" t="n">
        <v>1.452499940991402</v>
      </c>
      <c r="N19" s="70" t="n">
        <v>1.452499940991402</v>
      </c>
      <c r="O19" s="70" t="n">
        <v>0</v>
      </c>
      <c r="P19" s="70" t="n">
        <v>0.7</v>
      </c>
      <c r="Q19" s="70" t="n">
        <v>1</v>
      </c>
      <c r="R19" s="70" t="n">
        <v>1</v>
      </c>
      <c r="S19" s="70" t="n">
        <v>0.7</v>
      </c>
      <c r="T19" s="70" t="n">
        <v>0.3</v>
      </c>
      <c r="U19" s="70" t="n">
        <v>0</v>
      </c>
      <c r="V19" s="70" t="n">
        <v>0</v>
      </c>
    </row>
    <row r="20">
      <c r="A20" s="70" t="inlineStr">
        <is>
          <t>spring_phab_xbkf_h|Large stream (over 100 km2)</t>
        </is>
      </c>
      <c r="B20" s="70" t="inlineStr">
        <is>
          <t>spring-phab-xbkf-h</t>
        </is>
      </c>
      <c r="C20" s="70" t="inlineStr">
        <is>
          <t>Bankfull height above channel</t>
        </is>
      </c>
      <c r="D20" s="70" t="inlineStr">
        <is>
          <t>Large stream (over 100 km2)</t>
        </is>
      </c>
      <c r="E20" s="70" t="n">
        <v>7</v>
      </c>
      <c r="F20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20" s="70" t="n">
        <v>0</v>
      </c>
      <c r="H20" s="70" t="n">
        <v>0.2495454486459494</v>
      </c>
      <c r="I20" s="70" t="n">
        <v>0.3863636329770088</v>
      </c>
      <c r="J20" s="70" t="n">
        <v>0.7772727310657501</v>
      </c>
      <c r="K20" s="70" t="n">
        <v>0.9140909153968095</v>
      </c>
      <c r="L20" s="70" t="n">
        <v>1.168181829154491</v>
      </c>
      <c r="M20" s="70" t="n">
        <v>1.559090927243233</v>
      </c>
      <c r="N20" s="70" t="n">
        <v>1.559090927243233</v>
      </c>
      <c r="O20" s="70" t="n">
        <v>0</v>
      </c>
      <c r="P20" s="70" t="n">
        <v>0.7</v>
      </c>
      <c r="Q20" s="70" t="n">
        <v>1</v>
      </c>
      <c r="R20" s="70" t="n">
        <v>1</v>
      </c>
      <c r="S20" s="70" t="n">
        <v>0.7</v>
      </c>
      <c r="T20" s="70" t="n">
        <v>0.3</v>
      </c>
      <c r="U20" s="70" t="n">
        <v>0</v>
      </c>
      <c r="V20" s="70" t="n">
        <v>0</v>
      </c>
    </row>
    <row r="21">
      <c r="A21" s="70" t="inlineStr">
        <is>
          <t>spring_phab_pct_safn|</t>
        </is>
      </c>
      <c r="B21" s="70" t="inlineStr">
        <is>
          <t>spring-phab-pct-safn</t>
        </is>
      </c>
      <c r="C21" s="70" t="inlineStr">
        <is>
          <t>Sand + fines</t>
        </is>
      </c>
      <c r="D21" s="70" t="inlineStr"/>
      <c r="E21" s="70" t="n">
        <v>4</v>
      </c>
      <c r="F21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21" s="70" t="n">
        <v>46.66666603088379</v>
      </c>
      <c r="H21" s="70" t="n">
        <v>62.85714340209961</v>
      </c>
      <c r="I21" s="70" t="n">
        <v>95.23809814453125</v>
      </c>
      <c r="J21" s="70" t="n">
        <v>100</v>
      </c>
      <c r="K21" s="70" t="n">
        <v>100</v>
      </c>
      <c r="L21" s="70" t="n">
        <v>100</v>
      </c>
      <c r="M21" s="70" t="n">
        <v>100</v>
      </c>
      <c r="N21" s="70" t="n">
        <v>100</v>
      </c>
      <c r="O21" s="70" t="n">
        <v>1</v>
      </c>
      <c r="P21" s="70" t="n">
        <v>1</v>
      </c>
      <c r="Q21" s="70" t="n">
        <v>0.7</v>
      </c>
      <c r="R21" s="70" t="n">
        <v>0</v>
      </c>
      <c r="S21" s="70" t="n">
        <v>0</v>
      </c>
      <c r="T21" s="70" t="n">
        <v>0</v>
      </c>
      <c r="U21" s="70" t="n">
        <v>0</v>
      </c>
      <c r="V21" s="70" t="n">
        <v>0</v>
      </c>
    </row>
    <row r="22">
      <c r="A22" s="70" t="inlineStr">
        <is>
          <t>spring_phab_xembed|</t>
        </is>
      </c>
      <c r="B22" s="70" t="inlineStr">
        <is>
          <t>spring-phab-xembed</t>
        </is>
      </c>
      <c r="C22" s="70" t="inlineStr">
        <is>
          <t>Embeddedness</t>
        </is>
      </c>
      <c r="D22" s="70" t="inlineStr"/>
      <c r="E22" s="70" t="n">
        <v>4</v>
      </c>
      <c r="F22" s="70" t="inlineStr">
        <is>
          <t>86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2" s="70" t="n">
        <v>63.97726917266846</v>
      </c>
      <c r="H22" s="70" t="n">
        <v>74.90908813476562</v>
      </c>
      <c r="I22" s="70" t="n">
        <v>96.77272605895996</v>
      </c>
      <c r="J22" s="70" t="n">
        <v>100</v>
      </c>
      <c r="K22" s="70" t="n">
        <v>100</v>
      </c>
      <c r="L22" s="70" t="n">
        <v>100</v>
      </c>
      <c r="M22" s="70" t="n">
        <v>100</v>
      </c>
      <c r="N22" s="70" t="n">
        <v>100</v>
      </c>
      <c r="O22" s="70" t="n">
        <v>1</v>
      </c>
      <c r="P22" s="70" t="n">
        <v>1</v>
      </c>
      <c r="Q22" s="70" t="n">
        <v>0.7</v>
      </c>
      <c r="R22" s="70" t="n">
        <v>0</v>
      </c>
      <c r="S22" s="70" t="n">
        <v>0</v>
      </c>
      <c r="T22" s="70" t="n">
        <v>0</v>
      </c>
      <c r="U22" s="70" t="n">
        <v>0</v>
      </c>
      <c r="V22" s="70" t="n">
        <v>0</v>
      </c>
    </row>
    <row r="23">
      <c r="A23" s="70" t="inlineStr">
        <is>
          <t>spring_phab_sinu|</t>
        </is>
      </c>
      <c r="B23" s="70" t="inlineStr">
        <is>
          <t>spring-phab-sinu</t>
        </is>
      </c>
      <c r="C23" s="70" t="inlineStr">
        <is>
          <t>Sinuosity</t>
        </is>
      </c>
      <c r="D23" s="70" t="inlineStr"/>
      <c r="E23" s="70" t="n">
        <v>4</v>
      </c>
      <c r="F23" s="70" t="inlineStr">
        <is>
          <t>85 least-disturbed stations borrowed from NARS-9 region CPL under the regional screen (agriculture at most 25 percent), transfer risk high</t>
        </is>
      </c>
      <c r="G23" s="70" t="n">
        <v>1</v>
      </c>
      <c r="H23" s="70" t="n">
        <v>1.096793651580811</v>
      </c>
      <c r="I23" s="70" t="n">
        <v>1.494179487228394</v>
      </c>
      <c r="J23" s="70" t="n">
        <v>1.692872405052185</v>
      </c>
      <c r="K23" s="70" t="n">
        <v>1.692872405052185</v>
      </c>
      <c r="L23" s="70" t="n">
        <v>1.692872405052185</v>
      </c>
      <c r="M23" s="70" t="n">
        <v>1.692872405052185</v>
      </c>
      <c r="N23" s="70" t="n">
        <v>1.692872405052185</v>
      </c>
      <c r="O23" s="70" t="n">
        <v>0</v>
      </c>
      <c r="P23" s="70" t="n">
        <v>0.7</v>
      </c>
      <c r="Q23" s="70" t="n">
        <v>1</v>
      </c>
      <c r="R23" s="70" t="n">
        <v>1</v>
      </c>
      <c r="S23" s="70" t="n">
        <v>1</v>
      </c>
      <c r="T23" s="70" t="n">
        <v>1</v>
      </c>
      <c r="U23" s="70" t="n">
        <v>1</v>
      </c>
      <c r="V23" s="70" t="n">
        <v>1</v>
      </c>
    </row>
    <row r="24">
      <c r="A24" s="70" t="inlineStr">
        <is>
          <t>spring_phab_xbka|</t>
        </is>
      </c>
      <c r="B24" s="70" t="inlineStr">
        <is>
          <t>spring-phab-xbka</t>
        </is>
      </c>
      <c r="C24" s="70" t="inlineStr">
        <is>
          <t>Bank angle</t>
        </is>
      </c>
      <c r="D24" s="70" t="inlineStr"/>
      <c r="E24" s="70" t="n">
        <v>7</v>
      </c>
      <c r="F24" s="70" t="inlineStr">
        <is>
          <t>86 least-disturbed stations borrowed from NARS-9 region CPL under the regional screen (agriculture at most 25 percent), transfer risk moderate</t>
        </is>
      </c>
      <c r="G24" s="70" t="n">
        <v>0</v>
      </c>
      <c r="H24" s="70" t="n">
        <v>18.95852274894714</v>
      </c>
      <c r="I24" s="70" t="n">
        <v>25.31818199157715</v>
      </c>
      <c r="J24" s="70" t="n">
        <v>43.48863697052002</v>
      </c>
      <c r="K24" s="70" t="n">
        <v>49.84829621315002</v>
      </c>
      <c r="L24" s="70" t="n">
        <v>61.65909194946289</v>
      </c>
      <c r="M24" s="70" t="n">
        <v>79.82954692840576</v>
      </c>
      <c r="N24" s="70" t="n">
        <v>79.82954692840576</v>
      </c>
      <c r="O24" s="70" t="n">
        <v>0.7</v>
      </c>
      <c r="P24" s="70" t="n">
        <v>0.7</v>
      </c>
      <c r="Q24" s="70" t="n">
        <v>1</v>
      </c>
      <c r="R24" s="70" t="n">
        <v>1</v>
      </c>
      <c r="S24" s="70" t="n">
        <v>0.7</v>
      </c>
      <c r="T24" s="70" t="n">
        <v>0.3</v>
      </c>
      <c r="U24" s="70" t="n">
        <v>0</v>
      </c>
      <c r="V24" s="70" t="n">
        <v>0</v>
      </c>
    </row>
    <row r="25">
      <c r="A25" s="70" t="inlineStr">
        <is>
          <t>spring_phab_lrbs_use|All streams (pooled)</t>
        </is>
      </c>
      <c r="B25" s="70" t="inlineStr">
        <is>
          <t>spring-phab-lrbs-use</t>
        </is>
      </c>
      <c r="C25" s="70" t="inlineStr">
        <is>
          <t>Relative bed stability</t>
        </is>
      </c>
      <c r="D25" s="70" t="inlineStr">
        <is>
          <t>All streams (pooled)</t>
        </is>
      </c>
      <c r="E25" s="70" t="n">
        <v>8</v>
      </c>
      <c r="F25" s="70" t="inlineStr">
        <is>
          <t>99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5" s="70" t="n">
        <v>-4.256841480731964</v>
      </c>
      <c r="H25" s="70" t="n">
        <v>-3.134300380945206</v>
      </c>
      <c r="I25" s="70" t="n">
        <v>-2.404648666083813</v>
      </c>
      <c r="J25" s="70" t="n">
        <v>-2.011759281158447</v>
      </c>
      <c r="K25" s="70" t="n">
        <v>-0.8892181813716888</v>
      </c>
      <c r="L25" s="70" t="n">
        <v>-0.4963287964463234</v>
      </c>
      <c r="M25" s="70" t="n">
        <v>0.2333229184150696</v>
      </c>
      <c r="N25" s="70" t="n">
        <v>1.355864018201828</v>
      </c>
      <c r="O25" s="70" t="n">
        <v>0</v>
      </c>
      <c r="P25" s="70" t="n">
        <v>0.3</v>
      </c>
      <c r="Q25" s="70" t="n">
        <v>0.7</v>
      </c>
      <c r="R25" s="70" t="n">
        <v>1</v>
      </c>
      <c r="S25" s="70" t="n">
        <v>1</v>
      </c>
      <c r="T25" s="70" t="n">
        <v>0.7</v>
      </c>
      <c r="U25" s="70" t="n">
        <v>0.3</v>
      </c>
      <c r="V25" s="70" t="n">
        <v>0</v>
      </c>
    </row>
    <row r="26">
      <c r="A26" s="70" t="inlineStr">
        <is>
          <t>spring_phab_lrbs_use|Headwater (10 km2 and under)</t>
        </is>
      </c>
      <c r="B26" s="70" t="inlineStr">
        <is>
          <t>spring-phab-lrbs-use</t>
        </is>
      </c>
      <c r="C26" s="70" t="inlineStr">
        <is>
          <t>Relative bed stability</t>
        </is>
      </c>
      <c r="D26" s="70" t="inlineStr">
        <is>
          <t>Headwater (10 km2 and under)</t>
        </is>
      </c>
      <c r="E26" s="70" t="n">
        <v>8</v>
      </c>
      <c r="F26" s="70" t="inlineStr">
        <is>
          <t>99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6" s="70" t="n">
        <v>-3.790572285652161</v>
      </c>
      <c r="H26" s="70" t="n">
        <v>-2.814250588417053</v>
      </c>
      <c r="I26" s="70" t="n">
        <v>-2.179641485214233</v>
      </c>
      <c r="J26" s="70" t="n">
        <v>-1.837928891181946</v>
      </c>
      <c r="K26" s="70" t="n">
        <v>-0.8616071939468384</v>
      </c>
      <c r="L26" s="70" t="n">
        <v>-0.5198945999145508</v>
      </c>
      <c r="M26" s="70" t="n">
        <v>0.114714503288269</v>
      </c>
      <c r="N26" s="70" t="n">
        <v>1.091036200523376</v>
      </c>
      <c r="O26" s="70" t="n">
        <v>0</v>
      </c>
      <c r="P26" s="70" t="n">
        <v>0.3</v>
      </c>
      <c r="Q26" s="70" t="n">
        <v>0.7</v>
      </c>
      <c r="R26" s="70" t="n">
        <v>1</v>
      </c>
      <c r="S26" s="70" t="n">
        <v>1</v>
      </c>
      <c r="T26" s="70" t="n">
        <v>0.7</v>
      </c>
      <c r="U26" s="70" t="n">
        <v>0.3</v>
      </c>
      <c r="V26" s="70" t="n">
        <v>0</v>
      </c>
    </row>
    <row r="27">
      <c r="A27" s="70" t="inlineStr">
        <is>
          <t>spring_phab_lrbs_use|Small stream (10 to 100 km2)</t>
        </is>
      </c>
      <c r="B27" s="70" t="inlineStr">
        <is>
          <t>spring-phab-lrbs-use</t>
        </is>
      </c>
      <c r="C27" s="70" t="inlineStr">
        <is>
          <t>Relative bed stability</t>
        </is>
      </c>
      <c r="D27" s="70" t="inlineStr">
        <is>
          <t>Small stream (10 to 100 km2)</t>
        </is>
      </c>
      <c r="E27" s="70" t="n">
        <v>8</v>
      </c>
      <c r="F27" s="70" t="inlineStr">
        <is>
          <t>99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7" s="70" t="n">
        <v>-4.462720155715942</v>
      </c>
      <c r="H27" s="70" t="n">
        <v>-3.317171633243561</v>
      </c>
      <c r="I27" s="70" t="n">
        <v>-2.572565093636513</v>
      </c>
      <c r="J27" s="70" t="n">
        <v>-2.171623110771179</v>
      </c>
      <c r="K27" s="70" t="n">
        <v>-1.026074588298798</v>
      </c>
      <c r="L27" s="70" t="n">
        <v>-0.6251326054334641</v>
      </c>
      <c r="M27" s="70" t="n">
        <v>0.119473934173584</v>
      </c>
      <c r="N27" s="70" t="n">
        <v>1.265022456645966</v>
      </c>
      <c r="O27" s="70" t="n">
        <v>0</v>
      </c>
      <c r="P27" s="70" t="n">
        <v>0.3</v>
      </c>
      <c r="Q27" s="70" t="n">
        <v>0.7</v>
      </c>
      <c r="R27" s="70" t="n">
        <v>1</v>
      </c>
      <c r="S27" s="70" t="n">
        <v>1</v>
      </c>
      <c r="T27" s="70" t="n">
        <v>0.7</v>
      </c>
      <c r="U27" s="70" t="n">
        <v>0.3</v>
      </c>
      <c r="V27" s="70" t="n">
        <v>0</v>
      </c>
    </row>
    <row r="28">
      <c r="A28" s="70" t="inlineStr">
        <is>
          <t>spring_phab_lrbs_use|Large stream (over 100 km2)</t>
        </is>
      </c>
      <c r="B28" s="70" t="inlineStr">
        <is>
          <t>spring-phab-lrbs-use</t>
        </is>
      </c>
      <c r="C28" s="70" t="inlineStr">
        <is>
          <t>Relative bed stability</t>
        </is>
      </c>
      <c r="D28" s="70" t="inlineStr">
        <is>
          <t>Large stream (over 100 km2)</t>
        </is>
      </c>
      <c r="E28" s="70" t="n">
        <v>8</v>
      </c>
      <c r="F28" s="70" t="inlineStr">
        <is>
          <t>99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8" s="70" t="n">
        <v>-4.470638513565063</v>
      </c>
      <c r="H28" s="70" t="n">
        <v>-3.229772806167603</v>
      </c>
      <c r="I28" s="70" t="n">
        <v>-2.423210096359253</v>
      </c>
      <c r="J28" s="70" t="n">
        <v>-1.988907098770142</v>
      </c>
      <c r="K28" s="70" t="n">
        <v>-0.7480413913726807</v>
      </c>
      <c r="L28" s="70" t="n">
        <v>-0.3137383937835694</v>
      </c>
      <c r="M28" s="70" t="n">
        <v>0.4928243160247803</v>
      </c>
      <c r="N28" s="70" t="n">
        <v>1.733690023422241</v>
      </c>
      <c r="O28" s="70" t="n">
        <v>0</v>
      </c>
      <c r="P28" s="70" t="n">
        <v>0.3</v>
      </c>
      <c r="Q28" s="70" t="n">
        <v>0.7</v>
      </c>
      <c r="R28" s="70" t="n">
        <v>1</v>
      </c>
      <c r="S28" s="70" t="n">
        <v>1</v>
      </c>
      <c r="T28" s="70" t="n">
        <v>0.7</v>
      </c>
      <c r="U28" s="70" t="n">
        <v>0.3</v>
      </c>
      <c r="V28" s="70" t="n">
        <v>0</v>
      </c>
    </row>
    <row r="29">
      <c r="A29" s="70" t="inlineStr">
        <is>
          <t>spring_phab_lsub_dmm|</t>
        </is>
      </c>
      <c r="B29" s="70" t="inlineStr">
        <is>
          <t>spring-phab-lsub-dmm</t>
        </is>
      </c>
      <c r="C29" s="70" t="inlineStr">
        <is>
          <t>Substrate size</t>
        </is>
      </c>
      <c r="D29" s="70" t="inlineStr"/>
      <c r="E29" s="70" t="n">
        <v>5</v>
      </c>
      <c r="F29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29" s="70" t="n">
        <v>-2.971126421820372</v>
      </c>
      <c r="H29" s="70" t="n">
        <v>-2.124031510669738</v>
      </c>
      <c r="I29" s="70" t="n">
        <v>-0.8533891439437866</v>
      </c>
      <c r="J29" s="70" t="n">
        <v>-0.006294232793152332</v>
      </c>
      <c r="K29" s="70" t="n">
        <v>0.4172532227821648</v>
      </c>
      <c r="L29" s="70" t="n">
        <v>0.4172532227821648</v>
      </c>
      <c r="M29" s="70" t="n">
        <v>0.4172532227821648</v>
      </c>
      <c r="N29" s="70" t="n">
        <v>0.4172532227821648</v>
      </c>
      <c r="O29" s="70" t="n">
        <v>0</v>
      </c>
      <c r="P29" s="70" t="n">
        <v>0.3</v>
      </c>
      <c r="Q29" s="70" t="n">
        <v>0.7</v>
      </c>
      <c r="R29" s="70" t="n">
        <v>1</v>
      </c>
      <c r="S29" s="70" t="n">
        <v>1</v>
      </c>
      <c r="T29" s="70" t="n">
        <v>1</v>
      </c>
      <c r="U29" s="70" t="n">
        <v>1</v>
      </c>
      <c r="V29" s="70" t="n">
        <v>1</v>
      </c>
    </row>
    <row r="30">
      <c r="A30" s="70" t="inlineStr">
        <is>
          <t>spring_phab_lwdeqvolm100|</t>
        </is>
      </c>
      <c r="B30" s="70" t="inlineStr">
        <is>
          <t>spring-phab-lwdeqvolm100</t>
        </is>
      </c>
      <c r="C30" s="70" t="inlineStr">
        <is>
          <t>Large wood volume</t>
        </is>
      </c>
      <c r="D30" s="70" t="inlineStr"/>
      <c r="E30" s="70" t="n">
        <v>5</v>
      </c>
      <c r="F30" s="70" t="inlineStr">
        <is>
          <t>80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0.79 of evaluation regions; two thirds required; net optimism +0.08, at most 0.05 allowed); confidence capped at 39.</t>
        </is>
      </c>
      <c r="G30" s="70" t="n">
        <v>0</v>
      </c>
      <c r="H30" s="70" t="n">
        <v>0.3346205247300012</v>
      </c>
      <c r="I30" s="70" t="n">
        <v>0.7807812243700027</v>
      </c>
      <c r="J30" s="70" t="n">
        <v>8.664843559265137</v>
      </c>
      <c r="K30" s="70" t="n">
        <v>12.6068747267127</v>
      </c>
      <c r="L30" s="70" t="n">
        <v>12.6068747267127</v>
      </c>
      <c r="M30" s="70" t="n">
        <v>12.6068747267127</v>
      </c>
      <c r="N30" s="70" t="n">
        <v>12.6068747267127</v>
      </c>
      <c r="O30" s="70" t="n">
        <v>0</v>
      </c>
      <c r="P30" s="70" t="n">
        <v>0.3</v>
      </c>
      <c r="Q30" s="70" t="n">
        <v>0.7</v>
      </c>
      <c r="R30" s="70" t="n">
        <v>1</v>
      </c>
      <c r="S30" s="70" t="n">
        <v>1</v>
      </c>
      <c r="T30" s="70" t="n">
        <v>1</v>
      </c>
      <c r="U30" s="70" t="n">
        <v>1</v>
      </c>
      <c r="V30" s="70" t="n">
        <v>1</v>
      </c>
    </row>
    <row r="31">
      <c r="A31" s="70" t="inlineStr">
        <is>
          <t>spring_chem_chla|</t>
        </is>
      </c>
      <c r="B31" s="70" t="inlineStr">
        <is>
          <t>spring-chem-chla</t>
        </is>
      </c>
      <c r="C31" s="70" t="inlineStr">
        <is>
          <t>Chlorophyll a</t>
        </is>
      </c>
      <c r="D31" s="70" t="inlineStr"/>
      <c r="E31" s="70" t="n">
        <v>5</v>
      </c>
      <c r="F31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31" s="70" t="n">
        <v>0</v>
      </c>
      <c r="H31" s="70" t="n">
        <v>0.9520000219345093</v>
      </c>
      <c r="I31" s="70" t="n">
        <v>5.960000038146973</v>
      </c>
      <c r="J31" s="70" t="n">
        <v>13.47200006246567</v>
      </c>
      <c r="K31" s="70" t="n">
        <v>18.48000007867813</v>
      </c>
      <c r="L31" s="70" t="n">
        <v>18.48000007867813</v>
      </c>
      <c r="M31" s="70" t="n">
        <v>18.48000007867813</v>
      </c>
      <c r="N31" s="70" t="n">
        <v>18.48000007867813</v>
      </c>
      <c r="O31" s="70" t="n">
        <v>1</v>
      </c>
      <c r="P31" s="70" t="n">
        <v>1</v>
      </c>
      <c r="Q31" s="70" t="n">
        <v>0.7</v>
      </c>
      <c r="R31" s="70" t="n">
        <v>0.3</v>
      </c>
      <c r="S31" s="70" t="n">
        <v>0</v>
      </c>
      <c r="T31" s="70" t="n">
        <v>0</v>
      </c>
      <c r="U31" s="70" t="n">
        <v>0</v>
      </c>
      <c r="V31" s="70" t="n">
        <v>0</v>
      </c>
    </row>
    <row r="32">
      <c r="A32" s="70" t="inlineStr">
        <is>
          <t>spring_phab_xcdenmid|All streams (pooled)</t>
        </is>
      </c>
      <c r="B32" s="70" t="inlineStr">
        <is>
          <t>spring-phab-xcdenmid</t>
        </is>
      </c>
      <c r="C32" s="70" t="inlineStr">
        <is>
          <t>Canopy density, mid-channel</t>
        </is>
      </c>
      <c r="D32" s="70" t="inlineStr">
        <is>
          <t>All streams (pooled)</t>
        </is>
      </c>
      <c r="E32" s="70" t="n">
        <v>5</v>
      </c>
      <c r="F32" s="70" t="inlineStr">
        <is>
          <t>86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2" s="70" t="n">
        <v>0</v>
      </c>
      <c r="H32" s="70" t="n">
        <v>34.46333149501255</v>
      </c>
      <c r="I32" s="70" t="n">
        <v>80.4144401550293</v>
      </c>
      <c r="J32" s="70" t="n">
        <v>97.15909004211426</v>
      </c>
      <c r="K32" s="70" t="n">
        <v>100</v>
      </c>
      <c r="L32" s="70" t="n">
        <v>100</v>
      </c>
      <c r="M32" s="70" t="n">
        <v>100</v>
      </c>
      <c r="N32" s="70" t="n">
        <v>100</v>
      </c>
      <c r="O32" s="70" t="n">
        <v>0</v>
      </c>
      <c r="P32" s="70" t="n">
        <v>0.3</v>
      </c>
      <c r="Q32" s="70" t="n">
        <v>0.7</v>
      </c>
      <c r="R32" s="70" t="n">
        <v>1</v>
      </c>
      <c r="S32" s="70" t="n">
        <v>1</v>
      </c>
      <c r="T32" s="70" t="n">
        <v>1</v>
      </c>
      <c r="U32" s="70" t="n">
        <v>1</v>
      </c>
      <c r="V32" s="70" t="n">
        <v>1</v>
      </c>
    </row>
    <row r="33">
      <c r="A33" s="70" t="inlineStr">
        <is>
          <t>spring_phab_xcdenmid|Headwater (10 km2 and under)</t>
        </is>
      </c>
      <c r="B33" s="70" t="inlineStr">
        <is>
          <t>spring-phab-xcdenmid</t>
        </is>
      </c>
      <c r="C33" s="70" t="inlineStr">
        <is>
          <t>Canopy density, mid-channel</t>
        </is>
      </c>
      <c r="D33" s="70" t="inlineStr">
        <is>
          <t>Headwater (10 km2 and under)</t>
        </is>
      </c>
      <c r="E33" s="70" t="n">
        <v>5</v>
      </c>
      <c r="F33" s="70" t="inlineStr">
        <is>
          <t>86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3" s="70" t="n">
        <v>0</v>
      </c>
      <c r="H33" s="70" t="n">
        <v>37.92971583775112</v>
      </c>
      <c r="I33" s="70" t="n">
        <v>88.50267028808594</v>
      </c>
      <c r="J33" s="70" t="n">
        <v>98.8636360168457</v>
      </c>
      <c r="K33" s="70" t="n">
        <v>100</v>
      </c>
      <c r="L33" s="70" t="n">
        <v>100</v>
      </c>
      <c r="M33" s="70" t="n">
        <v>100</v>
      </c>
      <c r="N33" s="70" t="n">
        <v>100</v>
      </c>
      <c r="O33" s="70" t="n">
        <v>0</v>
      </c>
      <c r="P33" s="70" t="n">
        <v>0.3</v>
      </c>
      <c r="Q33" s="70" t="n">
        <v>0.7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spring_phab_xcdenmid|Small stream (10 to 100 km2)</t>
        </is>
      </c>
      <c r="B34" s="70" t="inlineStr">
        <is>
          <t>spring-phab-xcdenmid</t>
        </is>
      </c>
      <c r="C34" s="70" t="inlineStr">
        <is>
          <t>Canopy density, mid-channel</t>
        </is>
      </c>
      <c r="D34" s="70" t="inlineStr">
        <is>
          <t>Small stream (10 to 100 km2)</t>
        </is>
      </c>
      <c r="E34" s="70" t="n">
        <v>5</v>
      </c>
      <c r="F34" s="70" t="inlineStr">
        <is>
          <t>86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4" s="70" t="n">
        <v>0</v>
      </c>
      <c r="H34" s="70" t="n">
        <v>34.60657065255301</v>
      </c>
      <c r="I34" s="70" t="n">
        <v>80.74866485595703</v>
      </c>
      <c r="J34" s="70" t="n">
        <v>97.05882263183594</v>
      </c>
      <c r="K34" s="70" t="n">
        <v>100</v>
      </c>
      <c r="L34" s="70" t="n">
        <v>100</v>
      </c>
      <c r="M34" s="70" t="n">
        <v>100</v>
      </c>
      <c r="N34" s="70" t="n">
        <v>100</v>
      </c>
      <c r="O34" s="70" t="n">
        <v>0</v>
      </c>
      <c r="P34" s="70" t="n">
        <v>0.3</v>
      </c>
      <c r="Q34" s="70" t="n">
        <v>0.7</v>
      </c>
      <c r="R34" s="70" t="n">
        <v>1</v>
      </c>
      <c r="S34" s="70" t="n">
        <v>1</v>
      </c>
      <c r="T34" s="70" t="n">
        <v>1</v>
      </c>
      <c r="U34" s="70" t="n">
        <v>1</v>
      </c>
      <c r="V34" s="70" t="n">
        <v>1</v>
      </c>
    </row>
    <row r="35">
      <c r="A35" s="70" t="inlineStr">
        <is>
          <t>spring_phab_xcdenmid|Large stream (over 100 km2)</t>
        </is>
      </c>
      <c r="B35" s="70" t="inlineStr">
        <is>
          <t>spring-phab-xcdenmid</t>
        </is>
      </c>
      <c r="C35" s="70" t="inlineStr">
        <is>
          <t>Canopy density, mid-channel</t>
        </is>
      </c>
      <c r="D35" s="70" t="inlineStr">
        <is>
          <t>Large stream (over 100 km2)</t>
        </is>
      </c>
      <c r="E35" s="70" t="n">
        <v>5</v>
      </c>
      <c r="F35" s="70" t="inlineStr">
        <is>
          <t>86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5" s="70" t="n">
        <v>0</v>
      </c>
      <c r="H35" s="70" t="n">
        <v>28.79344940185547</v>
      </c>
      <c r="I35" s="70" t="n">
        <v>67.18471527099609</v>
      </c>
      <c r="J35" s="70" t="n">
        <v>91.10962295532227</v>
      </c>
      <c r="K35" s="70" t="n">
        <v>100</v>
      </c>
      <c r="L35" s="70" t="n">
        <v>100</v>
      </c>
      <c r="M35" s="70" t="n">
        <v>100</v>
      </c>
      <c r="N35" s="70" t="n">
        <v>100</v>
      </c>
      <c r="O35" s="70" t="n">
        <v>0</v>
      </c>
      <c r="P35" s="70" t="n">
        <v>0.3</v>
      </c>
      <c r="Q35" s="70" t="n">
        <v>0.7</v>
      </c>
      <c r="R35" s="70" t="n">
        <v>1</v>
      </c>
      <c r="S35" s="70" t="n">
        <v>1</v>
      </c>
      <c r="T35" s="70" t="n">
        <v>1</v>
      </c>
      <c r="U35" s="70" t="n">
        <v>1</v>
      </c>
      <c r="V35" s="70" t="n">
        <v>1</v>
      </c>
    </row>
    <row r="36">
      <c r="A36" s="70" t="inlineStr">
        <is>
          <t>spring_phab_xcmgw|</t>
        </is>
      </c>
      <c r="B36" s="70" t="inlineStr">
        <is>
          <t>spring-phab-xcmgw</t>
        </is>
      </c>
      <c r="C36" s="70" t="inlineStr">
        <is>
          <t>Riparian veg cover, woody</t>
        </is>
      </c>
      <c r="D36" s="70" t="inlineStr"/>
      <c r="E36" s="70" t="n">
        <v>5</v>
      </c>
      <c r="F36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36" s="70" t="n">
        <v>0</v>
      </c>
      <c r="H36" s="70" t="n">
        <v>0.353571423462459</v>
      </c>
      <c r="I36" s="70" t="n">
        <v>0.824999988079071</v>
      </c>
      <c r="J36" s="70" t="n">
        <v>1.399999976158142</v>
      </c>
      <c r="K36" s="70" t="n">
        <v>1.687499970197678</v>
      </c>
      <c r="L36" s="70" t="n">
        <v>1.687499970197678</v>
      </c>
      <c r="M36" s="70" t="n">
        <v>1.687499970197678</v>
      </c>
      <c r="N36" s="70" t="n">
        <v>1.687499970197678</v>
      </c>
      <c r="O36" s="70" t="n">
        <v>0</v>
      </c>
      <c r="P36" s="70" t="n">
        <v>0.3</v>
      </c>
      <c r="Q36" s="70" t="n">
        <v>0.7</v>
      </c>
      <c r="R36" s="70" t="n">
        <v>1</v>
      </c>
      <c r="S36" s="70" t="n">
        <v>1</v>
      </c>
      <c r="T36" s="70" t="n">
        <v>1</v>
      </c>
      <c r="U36" s="70" t="n">
        <v>1</v>
      </c>
      <c r="V36" s="70" t="n">
        <v>1</v>
      </c>
    </row>
    <row r="37">
      <c r="A37" s="70" t="inlineStr">
        <is>
          <t>spring_chem_ntl|</t>
        </is>
      </c>
      <c r="B37" s="70" t="inlineStr">
        <is>
          <t>spring-chem-ntl</t>
        </is>
      </c>
      <c r="C37" s="70" t="inlineStr">
        <is>
          <t>Total nitrogen</t>
        </is>
      </c>
      <c r="D37" s="70" t="inlineStr"/>
      <c r="E37" s="70" t="n">
        <v>4</v>
      </c>
      <c r="F37" s="70" t="inlineStr">
        <is>
          <t>Scored against a published criterion rather than against stations from this ecoregion. The criterion carries its own definition of reference, which need not match this assessment's.</t>
        </is>
      </c>
      <c r="G37" s="70" t="n">
        <v>0</v>
      </c>
      <c r="H37" s="70" t="n">
        <v>0.6245000000000001</v>
      </c>
      <c r="I37" s="70" t="n">
        <v>1.081</v>
      </c>
      <c r="J37" s="70" t="n">
        <v>1.67445</v>
      </c>
      <c r="K37" s="70" t="n">
        <v>1.67445</v>
      </c>
      <c r="L37" s="70" t="n">
        <v>1.67445</v>
      </c>
      <c r="M37" s="70" t="n">
        <v>1.67445</v>
      </c>
      <c r="N37" s="70" t="n">
        <v>1.67445</v>
      </c>
      <c r="O37" s="70" t="n">
        <v>1</v>
      </c>
      <c r="P37" s="70" t="n">
        <v>0.6899999999999999</v>
      </c>
      <c r="Q37" s="70" t="n">
        <v>0.39</v>
      </c>
      <c r="R37" s="70" t="n">
        <v>0</v>
      </c>
      <c r="S37" s="70" t="n">
        <v>0</v>
      </c>
      <c r="T37" s="70" t="n">
        <v>0</v>
      </c>
      <c r="U37" s="70" t="n">
        <v>0</v>
      </c>
      <c r="V37" s="70" t="n">
        <v>0</v>
      </c>
    </row>
    <row r="38">
      <c r="A38" s="70" t="inlineStr">
        <is>
          <t>spring_chem_ptl|</t>
        </is>
      </c>
      <c r="B38" s="70" t="inlineStr">
        <is>
          <t>spring-chem-ptl</t>
        </is>
      </c>
      <c r="C38" s="70" t="inlineStr">
        <is>
          <t>Total phosphorus</t>
        </is>
      </c>
      <c r="D38" s="70" t="inlineStr"/>
      <c r="E38" s="70" t="n">
        <v>4</v>
      </c>
      <c r="F38" s="70" t="inlineStr">
        <is>
          <t>Scored against a published criterion rather than against stations from this ecoregion. The criterion carries its own definition of reference, which need not match this assessment's.</t>
        </is>
      </c>
      <c r="G38" s="70" t="n">
        <v>0</v>
      </c>
      <c r="H38" s="70" t="n">
        <v>55.95</v>
      </c>
      <c r="I38" s="70" t="n">
        <v>103</v>
      </c>
      <c r="J38" s="70" t="n">
        <v>164.165</v>
      </c>
      <c r="K38" s="70" t="n">
        <v>164.165</v>
      </c>
      <c r="L38" s="70" t="n">
        <v>164.165</v>
      </c>
      <c r="M38" s="70" t="n">
        <v>164.165</v>
      </c>
      <c r="N38" s="70" t="n">
        <v>164.165</v>
      </c>
      <c r="O38" s="70" t="n">
        <v>1</v>
      </c>
      <c r="P38" s="70" t="n">
        <v>0.6899999999999999</v>
      </c>
      <c r="Q38" s="70" t="n">
        <v>0.39</v>
      </c>
      <c r="R38" s="70" t="n">
        <v>0</v>
      </c>
      <c r="S38" s="70" t="n">
        <v>0</v>
      </c>
      <c r="T38" s="70" t="n">
        <v>0</v>
      </c>
      <c r="U38" s="70" t="n">
        <v>0</v>
      </c>
      <c r="V38" s="70" t="n">
        <v>0</v>
      </c>
    </row>
    <row r="39">
      <c r="A39" s="70" t="inlineStr">
        <is>
          <t>spring_chem_ph|</t>
        </is>
      </c>
      <c r="B39" s="70" t="inlineStr">
        <is>
          <t>spring-chem-ph</t>
        </is>
      </c>
      <c r="C39" s="70" t="inlineStr">
        <is>
          <t>pH</t>
        </is>
      </c>
      <c r="D39" s="70" t="inlineStr"/>
      <c r="E39" s="70" t="n">
        <v>8</v>
      </c>
      <c r="F39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9" s="70" t="n">
        <v>4.830000877380371</v>
      </c>
      <c r="H39" s="70" t="n">
        <v>5.690000534057617</v>
      </c>
      <c r="I39" s="70" t="n">
        <v>6.249000310897827</v>
      </c>
      <c r="J39" s="70" t="n">
        <v>6.550000190734863</v>
      </c>
      <c r="K39" s="70" t="n">
        <v>7.409999847412109</v>
      </c>
      <c r="L39" s="70" t="n">
        <v>7.710999727249146</v>
      </c>
      <c r="M39" s="70" t="n">
        <v>8.269999504089355</v>
      </c>
      <c r="N39" s="70" t="n">
        <v>9.129999160766602</v>
      </c>
      <c r="O39" s="70" t="n">
        <v>0</v>
      </c>
      <c r="P39" s="70" t="n">
        <v>0.3</v>
      </c>
      <c r="Q39" s="70" t="n">
        <v>0.7</v>
      </c>
      <c r="R39" s="70" t="n">
        <v>1</v>
      </c>
      <c r="S39" s="70" t="n">
        <v>1</v>
      </c>
      <c r="T39" s="70" t="n">
        <v>0.7</v>
      </c>
      <c r="U39" s="70" t="n">
        <v>0.3</v>
      </c>
      <c r="V39" s="70" t="n">
        <v>0</v>
      </c>
    </row>
    <row r="40">
      <c r="A40" s="70" t="inlineStr">
        <is>
          <t>spring_chem_cond|</t>
        </is>
      </c>
      <c r="B40" s="70" t="inlineStr">
        <is>
          <t>spring-chem-cond</t>
        </is>
      </c>
      <c r="C40" s="70" t="inlineStr">
        <is>
          <t>Specific conductivity</t>
        </is>
      </c>
      <c r="D40" s="70" t="inlineStr"/>
      <c r="E40" s="70" t="n">
        <v>4</v>
      </c>
      <c r="F40" s="70" t="inlineStr">
        <is>
          <t>Scored against a published criterion rather than against stations from this ecoregion. The criterion carries its own definition of reference, which need not match this assessment's.</t>
        </is>
      </c>
      <c r="G40" s="70" t="n">
        <v>0</v>
      </c>
      <c r="H40" s="70" t="n">
        <v>500.05</v>
      </c>
      <c r="I40" s="70" t="n">
        <v>1000.05</v>
      </c>
      <c r="J40" s="70" t="n">
        <v>1650.05</v>
      </c>
      <c r="K40" s="70" t="n">
        <v>1650.05</v>
      </c>
      <c r="L40" s="70" t="n">
        <v>1650.05</v>
      </c>
      <c r="M40" s="70" t="n">
        <v>1650.05</v>
      </c>
      <c r="N40" s="70" t="n">
        <v>1650.05</v>
      </c>
      <c r="O40" s="70" t="n">
        <v>1</v>
      </c>
      <c r="P40" s="70" t="n">
        <v>0.6899999999999999</v>
      </c>
      <c r="Q40" s="70" t="n">
        <v>0.39</v>
      </c>
      <c r="R40" s="70" t="n">
        <v>0</v>
      </c>
      <c r="S40" s="70" t="n">
        <v>0</v>
      </c>
      <c r="T40" s="70" t="n">
        <v>0</v>
      </c>
      <c r="U40" s="70" t="n">
        <v>0</v>
      </c>
      <c r="V40" s="70" t="n">
        <v>0</v>
      </c>
    </row>
    <row r="41">
      <c r="A41" s="70" t="inlineStr">
        <is>
          <t>spring_phab_xfc_nat|All streams (pooled)</t>
        </is>
      </c>
      <c r="B41" s="70" t="inlineStr">
        <is>
          <t>spring-phab-xfc-nat</t>
        </is>
      </c>
      <c r="C41" s="70" t="inlineStr">
        <is>
          <t>Natural fish cover</t>
        </is>
      </c>
      <c r="D41" s="70" t="inlineStr">
        <is>
          <t>All streams (pooled)</t>
        </is>
      </c>
      <c r="E41" s="70" t="n">
        <v>5</v>
      </c>
      <c r="F41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1" s="70" t="n">
        <v>0</v>
      </c>
      <c r="H41" s="70" t="n">
        <v>0.09155844364847456</v>
      </c>
      <c r="I41" s="70" t="n">
        <v>0.2136363685131073</v>
      </c>
      <c r="J41" s="70" t="n">
        <v>0.5681818127632141</v>
      </c>
      <c r="K41" s="70" t="n">
        <v>0.7454545348882675</v>
      </c>
      <c r="L41" s="70" t="n">
        <v>0.7454545348882675</v>
      </c>
      <c r="M41" s="70" t="n">
        <v>0.7454545348882675</v>
      </c>
      <c r="N41" s="70" t="n">
        <v>0.7454545348882675</v>
      </c>
      <c r="O41" s="70" t="n">
        <v>0</v>
      </c>
      <c r="P41" s="70" t="n">
        <v>0.3</v>
      </c>
      <c r="Q41" s="70" t="n">
        <v>0.7</v>
      </c>
      <c r="R41" s="70" t="n">
        <v>1</v>
      </c>
      <c r="S41" s="70" t="n">
        <v>1</v>
      </c>
      <c r="T41" s="70" t="n">
        <v>1</v>
      </c>
      <c r="U41" s="70" t="n">
        <v>1</v>
      </c>
      <c r="V41" s="70" t="n">
        <v>1</v>
      </c>
    </row>
    <row r="42">
      <c r="A42" s="70" t="inlineStr">
        <is>
          <t>spring_phab_xfc_nat|Headwater (10 km2 and under)</t>
        </is>
      </c>
      <c r="B42" s="70" t="inlineStr">
        <is>
          <t>spring-phab-xfc-nat</t>
        </is>
      </c>
      <c r="C42" s="70" t="inlineStr">
        <is>
          <t>Natural fish cover</t>
        </is>
      </c>
      <c r="D42" s="70" t="inlineStr">
        <is>
          <t>Headwater (10 km2 and under)</t>
        </is>
      </c>
      <c r="E42" s="70" t="n">
        <v>5</v>
      </c>
      <c r="F42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2" s="70" t="n">
        <v>0</v>
      </c>
      <c r="H42" s="70" t="n">
        <v>0.08376623370817729</v>
      </c>
      <c r="I42" s="70" t="n">
        <v>0.1954545453190804</v>
      </c>
      <c r="J42" s="70" t="n">
        <v>0.5863636434078217</v>
      </c>
      <c r="K42" s="70" t="n">
        <v>0.7818181924521923</v>
      </c>
      <c r="L42" s="70" t="n">
        <v>0.7818181924521923</v>
      </c>
      <c r="M42" s="70" t="n">
        <v>0.7818181924521923</v>
      </c>
      <c r="N42" s="70" t="n">
        <v>0.7818181924521923</v>
      </c>
      <c r="O42" s="70" t="n">
        <v>0</v>
      </c>
      <c r="P42" s="70" t="n">
        <v>0.3</v>
      </c>
      <c r="Q42" s="70" t="n">
        <v>0.7</v>
      </c>
      <c r="R42" s="70" t="n">
        <v>1</v>
      </c>
      <c r="S42" s="70" t="n">
        <v>1</v>
      </c>
      <c r="T42" s="70" t="n">
        <v>1</v>
      </c>
      <c r="U42" s="70" t="n">
        <v>1</v>
      </c>
      <c r="V42" s="70" t="n">
        <v>1</v>
      </c>
    </row>
    <row r="43">
      <c r="A43" s="70" t="inlineStr">
        <is>
          <t>spring_phab_xfc_nat|Small stream (10 to 100 km2)</t>
        </is>
      </c>
      <c r="B43" s="70" t="inlineStr">
        <is>
          <t>spring-phab-xfc-nat</t>
        </is>
      </c>
      <c r="C43" s="70" t="inlineStr">
        <is>
          <t>Natural fish cover</t>
        </is>
      </c>
      <c r="D43" s="70" t="inlineStr">
        <is>
          <t>Small stream (10 to 100 km2)</t>
        </is>
      </c>
      <c r="E43" s="70" t="n">
        <v>5</v>
      </c>
      <c r="F43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3" s="70" t="n">
        <v>0</v>
      </c>
      <c r="H43" s="70" t="n">
        <v>0.09545454382896423</v>
      </c>
      <c r="I43" s="70" t="n">
        <v>0.2227272689342499</v>
      </c>
      <c r="J43" s="70" t="n">
        <v>0.530113622546196</v>
      </c>
      <c r="K43" s="70" t="n">
        <v>0.683806799352169</v>
      </c>
      <c r="L43" s="70" t="n">
        <v>0.683806799352169</v>
      </c>
      <c r="M43" s="70" t="n">
        <v>0.683806799352169</v>
      </c>
      <c r="N43" s="70" t="n">
        <v>0.683806799352169</v>
      </c>
      <c r="O43" s="70" t="n">
        <v>0</v>
      </c>
      <c r="P43" s="70" t="n">
        <v>0.3</v>
      </c>
      <c r="Q43" s="70" t="n">
        <v>0.7</v>
      </c>
      <c r="R43" s="70" t="n">
        <v>1</v>
      </c>
      <c r="S43" s="70" t="n">
        <v>1</v>
      </c>
      <c r="T43" s="70" t="n">
        <v>1</v>
      </c>
      <c r="U43" s="70" t="n">
        <v>1</v>
      </c>
      <c r="V43" s="70" t="n">
        <v>1</v>
      </c>
    </row>
    <row r="44">
      <c r="A44" s="70" t="inlineStr">
        <is>
          <t>spring_phab_xfc_nat|Large stream (over 100 km2)</t>
        </is>
      </c>
      <c r="B44" s="70" t="inlineStr">
        <is>
          <t>spring-phab-xfc-nat</t>
        </is>
      </c>
      <c r="C44" s="70" t="inlineStr">
        <is>
          <t>Natural fish cover</t>
        </is>
      </c>
      <c r="D44" s="70" t="inlineStr">
        <is>
          <t>Large stream (over 100 km2)</t>
        </is>
      </c>
      <c r="E44" s="70" t="n">
        <v>5</v>
      </c>
      <c r="F44" s="70" t="inlineStr">
        <is>
          <t>101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4" s="70" t="n">
        <v>0</v>
      </c>
      <c r="H44" s="70" t="n">
        <v>0.069107144006661</v>
      </c>
      <c r="I44" s="70" t="n">
        <v>0.161250002682209</v>
      </c>
      <c r="J44" s="70" t="n">
        <v>0.5261363387107849</v>
      </c>
      <c r="K44" s="70" t="n">
        <v>0.7085795067250729</v>
      </c>
      <c r="L44" s="70" t="n">
        <v>0.7085795067250729</v>
      </c>
      <c r="M44" s="70" t="n">
        <v>0.7085795067250729</v>
      </c>
      <c r="N44" s="70" t="n">
        <v>0.7085795067250729</v>
      </c>
      <c r="O44" s="70" t="n">
        <v>0</v>
      </c>
      <c r="P44" s="70" t="n">
        <v>0.3</v>
      </c>
      <c r="Q44" s="70" t="n">
        <v>0.7</v>
      </c>
      <c r="R44" s="70" t="n">
        <v>1</v>
      </c>
      <c r="S44" s="70" t="n">
        <v>1</v>
      </c>
      <c r="T44" s="70" t="n">
        <v>1</v>
      </c>
      <c r="U44" s="70" t="n">
        <v>1</v>
      </c>
      <c r="V44" s="70" t="n">
        <v>1</v>
      </c>
    </row>
    <row r="45">
      <c r="A45" s="70" t="inlineStr">
        <is>
          <t>spring_phab_pct_fast|</t>
        </is>
      </c>
      <c r="B45" s="70" t="inlineStr">
        <is>
          <t>spring-phab-pct-fast</t>
        </is>
      </c>
      <c r="C45" s="70" t="inlineStr">
        <is>
          <t>Fast-water / riffle habitat</t>
        </is>
      </c>
      <c r="D45" s="70" t="inlineStr"/>
      <c r="E45" s="70" t="n">
        <v>5</v>
      </c>
      <c r="F45" s="70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+0.16, at most 0.05 allowed); confidence capped at 39.</t>
        </is>
      </c>
      <c r="G45" s="70" t="n">
        <v>0</v>
      </c>
      <c r="H45" s="70" t="n">
        <v>4.285714285714286</v>
      </c>
      <c r="I45" s="70" t="n">
        <v>10</v>
      </c>
      <c r="J45" s="70" t="n">
        <v>72</v>
      </c>
      <c r="K45" s="70" t="n">
        <v>100</v>
      </c>
      <c r="L45" s="70" t="n">
        <v>100</v>
      </c>
      <c r="M45" s="70" t="n">
        <v>100</v>
      </c>
      <c r="N45" s="70" t="n">
        <v>100</v>
      </c>
      <c r="O45" s="70" t="n">
        <v>0</v>
      </c>
      <c r="P45" s="70" t="n">
        <v>0.3</v>
      </c>
      <c r="Q45" s="70" t="n">
        <v>0.7</v>
      </c>
      <c r="R45" s="70" t="n">
        <v>1</v>
      </c>
      <c r="S45" s="70" t="n">
        <v>1</v>
      </c>
      <c r="T45" s="70" t="n">
        <v>1</v>
      </c>
      <c r="U45" s="70" t="n">
        <v>1</v>
      </c>
      <c r="V45" s="70" t="n">
        <v>1</v>
      </c>
    </row>
    <row r="46">
      <c r="A46" s="70" t="inlineStr">
        <is>
          <t>spring_fish_nat_totlntax|All streams (pooled)</t>
        </is>
      </c>
      <c r="B46" s="70" t="inlineStr">
        <is>
          <t>spring-fish-nat-totlntax</t>
        </is>
      </c>
      <c r="C46" s="70" t="inlineStr">
        <is>
          <t>Native fish taxa richness</t>
        </is>
      </c>
      <c r="D46" s="70" t="inlineStr">
        <is>
          <t>All streams (pooled)</t>
        </is>
      </c>
      <c r="E46" s="70" t="n">
        <v>5</v>
      </c>
      <c r="F46" s="70" t="inlineStr">
        <is>
          <t>90 least-disturbed stations borrowed from NARS-9 region CPL under the regional screen (agriculture at most 25 percent), transfer risk moderate</t>
        </is>
      </c>
      <c r="G46" s="70" t="n">
        <v>0</v>
      </c>
      <c r="H46" s="70" t="n">
        <v>3.857142857142857</v>
      </c>
      <c r="I46" s="70" t="n">
        <v>9</v>
      </c>
      <c r="J46" s="70" t="n">
        <v>16.75</v>
      </c>
      <c r="K46" s="70" t="n">
        <v>20.625</v>
      </c>
      <c r="L46" s="70" t="n">
        <v>20.625</v>
      </c>
      <c r="M46" s="70" t="n">
        <v>20.625</v>
      </c>
      <c r="N46" s="70" t="n">
        <v>20.625</v>
      </c>
      <c r="O46" s="70" t="n">
        <v>0</v>
      </c>
      <c r="P46" s="70" t="n">
        <v>0.3</v>
      </c>
      <c r="Q46" s="70" t="n">
        <v>0.7</v>
      </c>
      <c r="R46" s="70" t="n">
        <v>1</v>
      </c>
      <c r="S46" s="70" t="n">
        <v>1</v>
      </c>
      <c r="T46" s="70" t="n">
        <v>1</v>
      </c>
      <c r="U46" s="70" t="n">
        <v>1</v>
      </c>
      <c r="V46" s="70" t="n">
        <v>1</v>
      </c>
    </row>
    <row r="47">
      <c r="A47" s="70" t="inlineStr">
        <is>
          <t>spring_fish_nat_totlntax|Low gradient (under 0.5 percent)</t>
        </is>
      </c>
      <c r="B47" s="70" t="inlineStr">
        <is>
          <t>spring-fish-nat-totlntax</t>
        </is>
      </c>
      <c r="C47" s="70" t="inlineStr">
        <is>
          <t>Native fish taxa richness</t>
        </is>
      </c>
      <c r="D47" s="70" t="inlineStr">
        <is>
          <t>Low gradient (under 0.5 percent)</t>
        </is>
      </c>
      <c r="E47" s="70" t="n">
        <v>5</v>
      </c>
      <c r="F47" s="70" t="inlineStr">
        <is>
          <t>90 least-disturbed stations borrowed from NARS-9 region CPL under the regional screen (agriculture at most 25 percent), transfer risk moderate</t>
        </is>
      </c>
      <c r="G47" s="70" t="n">
        <v>0</v>
      </c>
      <c r="H47" s="70" t="n">
        <v>4.285714285714286</v>
      </c>
      <c r="I47" s="70" t="n">
        <v>10</v>
      </c>
      <c r="J47" s="70" t="n">
        <v>17</v>
      </c>
      <c r="K47" s="70" t="n">
        <v>20.5</v>
      </c>
      <c r="L47" s="70" t="n">
        <v>20.5</v>
      </c>
      <c r="M47" s="70" t="n">
        <v>20.5</v>
      </c>
      <c r="N47" s="70" t="n">
        <v>20.5</v>
      </c>
      <c r="O47" s="70" t="n">
        <v>0</v>
      </c>
      <c r="P47" s="70" t="n">
        <v>0.3</v>
      </c>
      <c r="Q47" s="70" t="n">
        <v>0.7</v>
      </c>
      <c r="R47" s="70" t="n">
        <v>1</v>
      </c>
      <c r="S47" s="70" t="n">
        <v>1</v>
      </c>
      <c r="T47" s="70" t="n">
        <v>1</v>
      </c>
      <c r="U47" s="70" t="n">
        <v>1</v>
      </c>
      <c r="V47" s="70" t="n">
        <v>1</v>
      </c>
    </row>
    <row r="48">
      <c r="A48" s="70" t="inlineStr">
        <is>
          <t>spring_fish_nat_totlntax|Moderate gradient (0.5 to 2 percent)</t>
        </is>
      </c>
      <c r="B48" s="70" t="inlineStr">
        <is>
          <t>spring-fish-nat-totlntax</t>
        </is>
      </c>
      <c r="C48" s="70" t="inlineStr">
        <is>
          <t>Native fish taxa richness</t>
        </is>
      </c>
      <c r="D48" s="70" t="inlineStr">
        <is>
          <t>Moderate gradient (0.5 to 2 percent)</t>
        </is>
      </c>
      <c r="E48" s="70" t="n">
        <v>5</v>
      </c>
      <c r="F48" s="70" t="inlineStr">
        <is>
          <t>90 least-disturbed stations borrowed from NARS-9 region CPL under the regional screen (agriculture at most 25 percent), transfer risk moderate</t>
        </is>
      </c>
      <c r="G48" s="70" t="n">
        <v>0</v>
      </c>
      <c r="H48" s="70" t="n">
        <v>2.035714285714286</v>
      </c>
      <c r="I48" s="70" t="n">
        <v>4.75</v>
      </c>
      <c r="J48" s="70" t="n">
        <v>14.25</v>
      </c>
      <c r="K48" s="70" t="n">
        <v>19</v>
      </c>
      <c r="L48" s="70" t="n">
        <v>19</v>
      </c>
      <c r="M48" s="70" t="n">
        <v>19</v>
      </c>
      <c r="N48" s="70" t="n">
        <v>19</v>
      </c>
      <c r="O48" s="70" t="n">
        <v>0</v>
      </c>
      <c r="P48" s="70" t="n">
        <v>0.3</v>
      </c>
      <c r="Q48" s="70" t="n">
        <v>0.7</v>
      </c>
      <c r="R48" s="70" t="n">
        <v>1</v>
      </c>
      <c r="S48" s="70" t="n">
        <v>1</v>
      </c>
      <c r="T48" s="70" t="n">
        <v>1</v>
      </c>
      <c r="U48" s="70" t="n">
        <v>1</v>
      </c>
      <c r="V48" s="70" t="n">
        <v>1</v>
      </c>
    </row>
    <row r="49">
      <c r="A49" s="70" t="inlineStr">
        <is>
          <t>spring_bent_totlntax|</t>
        </is>
      </c>
      <c r="B49" s="70" t="inlineStr">
        <is>
          <t>spring-bent-totlntax</t>
        </is>
      </c>
      <c r="C49" s="70" t="inlineStr">
        <is>
          <t>Benthic total taxa richness</t>
        </is>
      </c>
      <c r="D49" s="70" t="inlineStr"/>
      <c r="E49" s="70" t="n">
        <v>5</v>
      </c>
      <c r="F49" s="70" t="inlineStr">
        <is>
          <t>Reference curve fitted to comparable least-disturbed stations drawn from the national pool, because this ecoregion and its parents hold too few of their own.</t>
        </is>
      </c>
      <c r="G49" s="70" t="n">
        <v>0</v>
      </c>
      <c r="H49" s="70" t="n">
        <v>12</v>
      </c>
      <c r="I49" s="70" t="n">
        <v>28</v>
      </c>
      <c r="J49" s="70" t="n">
        <v>43</v>
      </c>
      <c r="K49" s="70" t="n">
        <v>50.5</v>
      </c>
      <c r="L49" s="70" t="n">
        <v>50.5</v>
      </c>
      <c r="M49" s="70" t="n">
        <v>50.5</v>
      </c>
      <c r="N49" s="70" t="n">
        <v>50.5</v>
      </c>
      <c r="O49" s="70" t="n">
        <v>0</v>
      </c>
      <c r="P49" s="70" t="n">
        <v>0.3</v>
      </c>
      <c r="Q49" s="70" t="n">
        <v>0.7</v>
      </c>
      <c r="R49" s="70" t="n">
        <v>1</v>
      </c>
      <c r="S49" s="70" t="n">
        <v>1</v>
      </c>
      <c r="T49" s="70" t="n">
        <v>1</v>
      </c>
      <c r="U49" s="70" t="n">
        <v>1</v>
      </c>
      <c r="V49" s="70" t="n">
        <v>1</v>
      </c>
    </row>
    <row r="50">
      <c r="A50" s="70" t="inlineStr">
        <is>
          <t>spring_bent_tolrpind|</t>
        </is>
      </c>
      <c r="B50" s="70" t="inlineStr">
        <is>
          <t>spring-bent-tolrpind</t>
        </is>
      </c>
      <c r="C50" s="70" t="inlineStr">
        <is>
          <t>Tolerant individuals (%) ~ HBI</t>
        </is>
      </c>
      <c r="D50" s="70" t="inlineStr"/>
      <c r="E50" s="70" t="n">
        <v>5</v>
      </c>
      <c r="F50" s="70" t="inlineStr">
        <is>
          <t>102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+0.09, at most 0.05 allowed); confidence capped at 39.</t>
        </is>
      </c>
      <c r="G50" s="70" t="n">
        <v>0</v>
      </c>
      <c r="H50" s="70" t="n">
        <v>9.365000009536743</v>
      </c>
      <c r="I50" s="70" t="n">
        <v>38.07499885559082</v>
      </c>
      <c r="J50" s="70" t="n">
        <v>81.13999712467194</v>
      </c>
      <c r="K50" s="70" t="n">
        <v>100</v>
      </c>
      <c r="L50" s="70" t="n">
        <v>100</v>
      </c>
      <c r="M50" s="70" t="n">
        <v>100</v>
      </c>
      <c r="N50" s="70" t="n">
        <v>100</v>
      </c>
      <c r="O50" s="70" t="n">
        <v>1</v>
      </c>
      <c r="P50" s="70" t="n">
        <v>1</v>
      </c>
      <c r="Q50" s="70" t="n">
        <v>0.7</v>
      </c>
      <c r="R50" s="70" t="n">
        <v>0.3</v>
      </c>
      <c r="S50" s="70" t="n">
        <v>0</v>
      </c>
      <c r="T50" s="70" t="n">
        <v>0</v>
      </c>
      <c r="U50" s="70" t="n">
        <v>0</v>
      </c>
      <c r="V50" s="70" t="n">
        <v>0</v>
      </c>
    </row>
    <row r="51">
      <c r="A51" s="70" t="inlineStr">
        <is>
          <t>spring_bent_hprime|</t>
        </is>
      </c>
      <c r="B51" s="70" t="inlineStr">
        <is>
          <t>spring-bent-hprime</t>
        </is>
      </c>
      <c r="C51" s="70" t="inlineStr">
        <is>
          <t>Shannon diversity (H')</t>
        </is>
      </c>
      <c r="D51" s="70" t="inlineStr"/>
      <c r="E51" s="70" t="n">
        <v>5</v>
      </c>
      <c r="F51" s="70" t="inlineStr">
        <is>
          <t>Reference curve fitted to comparable least-disturbed stations drawn from the national pool, because this ecoregion and its parents hold too few of their own.</t>
        </is>
      </c>
      <c r="G51" s="70" t="n">
        <v>0</v>
      </c>
      <c r="H51" s="70" t="n">
        <v>1.032857179641724</v>
      </c>
      <c r="I51" s="70" t="n">
        <v>2.410000085830688</v>
      </c>
      <c r="J51" s="70" t="n">
        <v>3.049999952316284</v>
      </c>
      <c r="K51" s="70" t="n">
        <v>3.369999885559082</v>
      </c>
      <c r="L51" s="70" t="n">
        <v>3.369999885559082</v>
      </c>
      <c r="M51" s="70" t="n">
        <v>3.369999885559082</v>
      </c>
      <c r="N51" s="70" t="n">
        <v>3.369999885559082</v>
      </c>
      <c r="O51" s="70" t="n">
        <v>0</v>
      </c>
      <c r="P51" s="70" t="n">
        <v>0.3</v>
      </c>
      <c r="Q51" s="70" t="n">
        <v>0.7</v>
      </c>
      <c r="R51" s="70" t="n">
        <v>1</v>
      </c>
      <c r="S51" s="70" t="n">
        <v>1</v>
      </c>
      <c r="T51" s="70" t="n">
        <v>1</v>
      </c>
      <c r="U51" s="70" t="n">
        <v>1</v>
      </c>
      <c r="V51" s="70" t="n">
        <v>1</v>
      </c>
    </row>
    <row r="52">
      <c r="A52" s="70" t="inlineStr">
        <is>
          <t>spring_nid_dams_1mi|</t>
        </is>
      </c>
      <c r="B52" s="70" t="inlineStr">
        <is>
          <t>spring-nid-dams-1mi</t>
        </is>
      </c>
      <c r="C52" s="70" t="inlineStr">
        <is>
          <t>Mapped dams within one mile</t>
        </is>
      </c>
      <c r="D52" s="70" t="inlineStr"/>
      <c r="E52" s="70" t="n">
        <v>4</v>
      </c>
      <c r="F52" s="70" t="inlineStr">
        <is>
          <t>Fixed criteria, the same in every region</t>
        </is>
      </c>
      <c r="G52" s="70" t="n">
        <v>0</v>
      </c>
      <c r="H52" s="70" t="n">
        <v>1</v>
      </c>
      <c r="I52" s="70" t="n">
        <v>2</v>
      </c>
      <c r="J52" s="70" t="n">
        <v>3</v>
      </c>
      <c r="K52" s="70" t="n">
        <v>3</v>
      </c>
      <c r="L52" s="70" t="n">
        <v>3</v>
      </c>
      <c r="M52" s="70" t="n">
        <v>3</v>
      </c>
      <c r="N52" s="70" t="n">
        <v>3</v>
      </c>
      <c r="O52" s="70" t="n">
        <v>1</v>
      </c>
      <c r="P52" s="70" t="n">
        <v>0.545</v>
      </c>
      <c r="Q52" s="70" t="n">
        <v>0.195</v>
      </c>
      <c r="R52" s="70" t="n">
        <v>0</v>
      </c>
      <c r="S52" s="70" t="n">
        <v>0</v>
      </c>
      <c r="T52" s="70" t="n">
        <v>0</v>
      </c>
      <c r="U52" s="70" t="n">
        <v>0</v>
      </c>
      <c r="V52" s="70" t="n">
        <v>0</v>
      </c>
    </row>
    <row r="55">
      <c r="A55" s="59" t="inlineStr">
        <is>
          <t>Curve sets by metric</t>
        </is>
      </c>
    </row>
    <row r="56">
      <c r="A56" s="70" t="inlineStr">
        <is>
          <t>All streams (pooled)</t>
        </is>
      </c>
      <c r="B56" s="5" t="inlineStr">
        <is>
          <t>Wetland</t>
        </is>
      </c>
    </row>
    <row r="57">
      <c r="A57" s="70" t="inlineStr">
        <is>
          <t>Low gradient (under 0.5 percent)</t>
        </is>
      </c>
      <c r="B57" s="5" t="inlineStr">
        <is>
          <t>Wetland</t>
        </is>
      </c>
    </row>
    <row r="58">
      <c r="A58" s="70" t="inlineStr">
        <is>
          <t>Moderate gradient (0.5 to 2 percent)</t>
        </is>
      </c>
      <c r="B58" s="5" t="inlineStr">
        <is>
          <t>Wetland</t>
        </is>
      </c>
    </row>
    <row r="59">
      <c r="A59" s="70" t="inlineStr">
        <is>
          <t>All streams (pooled)</t>
        </is>
      </c>
      <c r="B59" s="5" t="inlineStr">
        <is>
          <t>Bankfull width:depth ratio</t>
        </is>
      </c>
    </row>
    <row r="60">
      <c r="A60" s="70" t="inlineStr">
        <is>
          <t>Headwater (10 km2 and under)</t>
        </is>
      </c>
      <c r="B60" s="5" t="inlineStr">
        <is>
          <t>Bankfull width:depth ratio</t>
        </is>
      </c>
    </row>
    <row r="61">
      <c r="A61" s="70" t="inlineStr">
        <is>
          <t>Small stream (10 to 100 km2)</t>
        </is>
      </c>
      <c r="B61" s="5" t="inlineStr">
        <is>
          <t>Bankfull width:depth ratio</t>
        </is>
      </c>
    </row>
    <row r="62">
      <c r="A62" s="70" t="inlineStr">
        <is>
          <t>Large stream (over 100 km2)</t>
        </is>
      </c>
      <c r="B62" s="5" t="inlineStr">
        <is>
          <t>Bankfull width:depth ratio</t>
        </is>
      </c>
    </row>
    <row r="63">
      <c r="A63" s="70" t="inlineStr">
        <is>
          <t>All streams (pooled)</t>
        </is>
      </c>
      <c r="B63" s="5" t="inlineStr">
        <is>
          <t>Bankfull height above channel</t>
        </is>
      </c>
    </row>
    <row r="64">
      <c r="A64" s="70" t="inlineStr">
        <is>
          <t>Headwater (10 km2 and under)</t>
        </is>
      </c>
      <c r="B64" s="5" t="inlineStr">
        <is>
          <t>Bankfull height above channel</t>
        </is>
      </c>
    </row>
    <row r="65">
      <c r="A65" s="70" t="inlineStr">
        <is>
          <t>Small stream (10 to 100 km2)</t>
        </is>
      </c>
      <c r="B65" s="5" t="inlineStr">
        <is>
          <t>Bankfull height above channel</t>
        </is>
      </c>
    </row>
    <row r="66">
      <c r="A66" s="70" t="inlineStr">
        <is>
          <t>Large stream (over 100 km2)</t>
        </is>
      </c>
      <c r="B66" s="5" t="inlineStr">
        <is>
          <t>Bankfull height above channel</t>
        </is>
      </c>
    </row>
    <row r="67">
      <c r="A67" s="70" t="inlineStr">
        <is>
          <t>All streams (pooled)</t>
        </is>
      </c>
      <c r="B67" s="5" t="inlineStr">
        <is>
          <t>Relative bed stability</t>
        </is>
      </c>
    </row>
    <row r="68">
      <c r="A68" s="70" t="inlineStr">
        <is>
          <t>Headwater (10 km2 and under)</t>
        </is>
      </c>
      <c r="B68" s="5" t="inlineStr">
        <is>
          <t>Relative bed stability</t>
        </is>
      </c>
    </row>
    <row r="69">
      <c r="A69" s="70" t="inlineStr">
        <is>
          <t>Small stream (10 to 100 km2)</t>
        </is>
      </c>
      <c r="B69" s="5" t="inlineStr">
        <is>
          <t>Relative bed stability</t>
        </is>
      </c>
    </row>
    <row r="70">
      <c r="A70" s="70" t="inlineStr">
        <is>
          <t>Large stream (over 100 km2)</t>
        </is>
      </c>
      <c r="B70" s="5" t="inlineStr">
        <is>
          <t>Relative bed stability</t>
        </is>
      </c>
    </row>
    <row r="71">
      <c r="A71" s="70" t="inlineStr">
        <is>
          <t>All streams (pooled)</t>
        </is>
      </c>
      <c r="B71" s="5" t="inlineStr">
        <is>
          <t>Canopy density, mid-channel</t>
        </is>
      </c>
    </row>
    <row r="72">
      <c r="A72" s="70" t="inlineStr">
        <is>
          <t>Headwater (10 km2 and under)</t>
        </is>
      </c>
      <c r="B72" s="5" t="inlineStr">
        <is>
          <t>Canopy density, mid-channel</t>
        </is>
      </c>
    </row>
    <row r="73">
      <c r="A73" s="70" t="inlineStr">
        <is>
          <t>Small stream (10 to 100 km2)</t>
        </is>
      </c>
      <c r="B73" s="5" t="inlineStr">
        <is>
          <t>Canopy density, mid-channel</t>
        </is>
      </c>
    </row>
    <row r="74">
      <c r="A74" s="70" t="inlineStr">
        <is>
          <t>Large stream (over 100 km2)</t>
        </is>
      </c>
      <c r="B74" s="5" t="inlineStr">
        <is>
          <t>Canopy density, mid-channel</t>
        </is>
      </c>
    </row>
    <row r="75">
      <c r="A75" s="70" t="inlineStr">
        <is>
          <t>All streams (pooled)</t>
        </is>
      </c>
      <c r="B75" s="5" t="inlineStr">
        <is>
          <t>Natural fish cover</t>
        </is>
      </c>
    </row>
    <row r="76">
      <c r="A76" s="70" t="inlineStr">
        <is>
          <t>Headwater (10 km2 and under)</t>
        </is>
      </c>
      <c r="B76" s="5" t="inlineStr">
        <is>
          <t>Natural fish cover</t>
        </is>
      </c>
    </row>
    <row r="77">
      <c r="A77" s="70" t="inlineStr">
        <is>
          <t>Small stream (10 to 100 km2)</t>
        </is>
      </c>
      <c r="B77" s="5" t="inlineStr">
        <is>
          <t>Natural fish cover</t>
        </is>
      </c>
    </row>
    <row r="78">
      <c r="A78" s="70" t="inlineStr">
        <is>
          <t>Large stream (over 100 km2)</t>
        </is>
      </c>
      <c r="B78" s="5" t="inlineStr">
        <is>
          <t>Natural fish cover</t>
        </is>
      </c>
    </row>
    <row r="79">
      <c r="A79" s="70" t="inlineStr">
        <is>
          <t>All streams (pooled)</t>
        </is>
      </c>
      <c r="B79" s="5" t="inlineStr">
        <is>
          <t>Native fish taxa richness</t>
        </is>
      </c>
    </row>
    <row r="80">
      <c r="A80" s="70" t="inlineStr">
        <is>
          <t>Low gradient (under 0.5 percent)</t>
        </is>
      </c>
      <c r="B80" s="5" t="inlineStr">
        <is>
          <t>Native fish taxa richness</t>
        </is>
      </c>
    </row>
    <row r="81">
      <c r="A81" s="70" t="inlineStr">
        <is>
          <t>Moderate gradient (0.5 to 2 percent)</t>
        </is>
      </c>
      <c r="B81" s="5" t="inlineStr">
        <is>
          <t>Native fish taxa richness</t>
        </is>
      </c>
    </row>
    <row r="84">
      <c r="A84" s="59" t="inlineStr">
        <is>
          <t>Condition classes</t>
        </is>
      </c>
    </row>
    <row r="85">
      <c r="A85" t="inlineStr">
        <is>
          <t>Metric index: at or below 0.39 Non-Functioning, at or below 0.69 Functioning At-Risk, above Functioning.</t>
        </is>
      </c>
    </row>
    <row r="86">
      <c r="A86" t="inlineStr">
        <is>
          <t>Function score (0 to 15): at or below 5 Non-Functioning, at or below 10 Functioning At-Risk, above Functioning.</t>
        </is>
      </c>
    </row>
    <row r="87">
      <c r="A8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southern-florida-coastal-plain</t>
        </is>
      </c>
    </row>
    <row r="5">
      <c r="A5" s="70" t="inlineStr">
        <is>
          <t>Assessment name</t>
        </is>
      </c>
      <c r="B5" s="70" t="inlineStr">
        <is>
          <t>Southern Florida Coastal Plain reference assessment</t>
        </is>
      </c>
    </row>
    <row r="6">
      <c r="A6" s="70" t="inlineStr">
        <is>
          <t>Version</t>
        </is>
      </c>
      <c r="B6" s="70" t="n">
        <v>1</v>
      </c>
    </row>
    <row r="7">
      <c r="A7" s="70" t="inlineStr">
        <is>
          <t>Lifecycle status</t>
        </is>
      </c>
      <c r="B7" s="70" t="inlineStr">
        <is>
          <t>Draft</t>
        </is>
      </c>
    </row>
    <row r="8">
      <c r="A8" s="70" t="inlineStr">
        <is>
          <t>Content digest</t>
        </is>
      </c>
      <c r="B8" s="70" t="inlineStr">
        <is>
          <t>sha256:61561a49a080e992ce47797a3b72993a0ac0134243f7db799b012c295f7c0c39</t>
        </is>
      </c>
    </row>
    <row r="9">
      <c r="A9" s="70" t="inlineStr">
        <is>
          <t>Region</t>
        </is>
      </c>
      <c r="B9" s="70" t="inlineStr">
        <is>
          <t>ecoregion 76 Southern Florida Coastal Plain</t>
        </is>
      </c>
    </row>
    <row r="10">
      <c r="A10" s="70" t="inlineStr">
        <is>
          <t>Source</t>
        </is>
      </c>
      <c r="B10" s="70" t="inlineStr">
        <is>
          <t>USEPA NRSA 2013-24 (L3 ecoregion 76),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29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2026-09-30T07:04:06Z</dcterms:created>
  <dcterms:modified xmlns:dcterms="http://purl.org/dc/terms/" xmlns:xsi="http://www.w3.org/2001/XMLSchema-instance" xsi:type="dcterms:W3CDTF">2026-09-30T07:04:06Z</dcterms:modified>
  <cp:lastModifiedBy>DEEP</cp:lastModifiedBy>
  <cp:contentStatus>Draft</cp:contentStatus>
</cp:coreProperties>
</file>