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drawings/drawing1.xml" ContentType="application/vnd.openxmlformats-officedocument.drawing+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charts/chart1.xml" ContentType="application/vnd.openxmlformats-officedocument.drawingml.chart+xml"/>
  <Override PartName="/xl/charts/chart2.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1" autoFilterDateGrouping="1"/>
  </bookViews>
  <sheets>
    <sheet xmlns:r="http://schemas.openxmlformats.org/officeDocument/2006/relationships" name="Instructions" sheetId="1" state="visible" r:id="rId1"/>
    <sheet xmlns:r="http://schemas.openxmlformats.org/officeDocument/2006/relationships" name="DEEP Score" sheetId="2" state="visible" r:id="rId2"/>
    <sheet xmlns:r="http://schemas.openxmlformats.org/officeDocument/2006/relationships" name="Metrics" sheetId="3" state="visible" r:id="rId3"/>
    <sheet xmlns:r="http://schemas.openxmlformats.org/officeDocument/2006/relationships" name="Results" sheetId="4" state="hidden" r:id="rId4"/>
    <sheet xmlns:r="http://schemas.openxmlformats.org/officeDocument/2006/relationships" name="Reference" sheetId="5" state="visible" r:id="rId5"/>
    <sheet xmlns:r="http://schemas.openxmlformats.org/officeDocument/2006/relationships" name="Metadata" sheetId="6" state="visible" r:id="rId6"/>
    <sheet xmlns:r="http://schemas.openxmlformats.org/officeDocument/2006/relationships" name="ChartData" sheetId="7" state="hidden" r:id="rId7"/>
  </sheets>
  <definedNames>
    <definedName name="curve_key">'Reference'!$A$5:$A$38</definedName>
    <definedName name="curve_x1">'Reference'!$G$5:$G$38</definedName>
    <definedName name="curve_y1">'Reference'!$O$5:$O$38</definedName>
    <definedName name="curve_x2">'Reference'!$H$5:$H$38</definedName>
    <definedName name="curve_y2">'Reference'!$P$5:$P$38</definedName>
    <definedName name="curve_x3">'Reference'!$I$5:$I$38</definedName>
    <definedName name="curve_y3">'Reference'!$Q$5:$Q$38</definedName>
    <definedName name="curve_x4">'Reference'!$J$5:$J$38</definedName>
    <definedName name="curve_y4">'Reference'!$R$5:$R$38</definedName>
    <definedName name="curve_x5">'Reference'!$K$5:$K$38</definedName>
    <definedName name="curve_y5">'Reference'!$S$5:$S$38</definedName>
    <definedName name="curve_x6">'Reference'!$L$5:$L$38</definedName>
    <definedName name="curve_y6">'Reference'!$T$5:$T$38</definedName>
    <definedName name="curve_x7">'Reference'!$M$5:$M$38</definedName>
    <definedName name="curve_y7">'Reference'!$U$5:$U$38</definedName>
    <definedName name="curve_x8">'Reference'!$N$5:$N$38</definedName>
    <definedName name="curve_y8">'Reference'!$V$5:$V$38</definedName>
    <definedName name="strata_spring_phab_lrbs_use">'Reference'!$A$42:$A$44</definedName>
    <definedName name="strata_spring_phab_xcdenmid">'Reference'!$A$45:$A$48</definedName>
    <definedName name="strata_spring_phab_pct_fast">'Reference'!$A$49:$A$50</definedName>
    <definedName name="idx_spring_pctimp2019ws">'Metrics'!$V$5</definedName>
    <definedName name="idx_spring_pctag2019ws">'Metrics'!$V$6</definedName>
    <definedName name="idx_spring_pctwet2019ws">'Metrics'!$V$7</definedName>
    <definedName name="idx_spring_rddensws">'Metrics'!$V$8</definedName>
    <definedName name="idx_spring_bfiws">'Metrics'!$V$9</definedName>
    <definedName name="idx_spring_dorws">'Metrics'!$V$10</definedName>
    <definedName name="idx_spring_phab_rp100_cm">'Metrics'!$V$11</definedName>
    <definedName name="idx_spring_phab_bfwd_rat">'Metrics'!$V$12</definedName>
    <definedName name="idx_spring_phab_xbkf_h">'Metrics'!$V$13</definedName>
    <definedName name="idx_spring_phab_pct_safn">'Metrics'!$V$14</definedName>
    <definedName name="idx_spring_phab_sinu">'Metrics'!$V$15</definedName>
    <definedName name="idx_spring_phab_lrbs_use">'Metrics'!$V$16</definedName>
    <definedName name="idx_spring_phab_lsub_dmm">'Metrics'!$V$17</definedName>
    <definedName name="idx_spring_phab_lwdeqvolm100">'Metrics'!$V$18</definedName>
    <definedName name="idx_spring_chem_chla">'Metrics'!$V$19</definedName>
    <definedName name="idx_spring_phab_xcdenmid">'Metrics'!$V$20</definedName>
    <definedName name="idx_spring_phab_xcmgw">'Metrics'!$V$21</definedName>
    <definedName name="idx_spring_chem_ntl">'Metrics'!$V$22</definedName>
    <definedName name="idx_spring_chem_ptl">'Metrics'!$V$23</definedName>
    <definedName name="idx_spring_chem_cond">'Metrics'!$V$24</definedName>
    <definedName name="idx_spring_chem_ph">'Metrics'!$V$25</definedName>
    <definedName name="idx_spring_phab_pct_fast">'Metrics'!$V$26</definedName>
    <definedName name="idx_spring_phab_xfc_nat">'Metrics'!$V$27</definedName>
    <definedName name="idx_spring_bent_totlntax">'Metrics'!$V$28</definedName>
    <definedName name="idx_spring_fish_nat_totlntax">'Metrics'!$V$29</definedName>
    <definedName name="idx_spring_bent_ept_ntax">'Metrics'!$V$30</definedName>
    <definedName name="idx_spring_bent_hprime">'Metrics'!$V$31</definedName>
    <definedName name="idx_spring_nid_dams_1mi">'Metrics'!$V$32</definedName>
    <definedName name="fs_catchment_hydrology">'Results'!$B$4</definedName>
    <definedName name="fs_surface_water_storage">'Results'!$B$5</definedName>
    <definedName name="fs_reach_inflow">'Results'!$B$6</definedName>
    <definedName name="fs_streamflow_regime">'Results'!$B$7</definedName>
    <definedName name="fs_low_flow_baseflow_dynamics">'Results'!$B$8</definedName>
    <definedName name="fs_high_flow_dynamics">'Results'!$B$9</definedName>
    <definedName name="fs_floodplain_connectivity">'Results'!$B$10</definedName>
    <definedName name="fs_hyporheic_connectivity">'Results'!$B$11</definedName>
    <definedName name="fs_channel_evolution">'Results'!$B$12</definedName>
    <definedName name="fs_channel_floodplain_dynamics">'Results'!$B$13</definedName>
    <definedName name="fs_sediment_continuity">'Results'!$B$14</definedName>
    <definedName name="fs_bed_composition_bedform_dynamics">'Results'!$B$15</definedName>
    <definedName name="fs_light_thermal_regime">'Results'!$B$16</definedName>
    <definedName name="fs_carbon_processing">'Results'!$B$17</definedName>
    <definedName name="fs_nutrient_cycling">'Results'!$B$18</definedName>
    <definedName name="fs_water_soil_quality">'Results'!$B$19</definedName>
    <definedName name="fs_habitat_provision">'Results'!$B$20</definedName>
    <definedName name="fs_population_support">'Results'!$B$21</definedName>
    <definedName name="fs_community_dynamics">'Results'!$B$22</definedName>
    <definedName name="fs_watershed_connectivity">'Results'!$B$23</definedName>
    <definedName name="sub_index_physical">'Results'!$B$26</definedName>
    <definedName name="sub_index_chemical">'Results'!$B$27</definedName>
    <definedName name="sub_index_biological">'Results'!$B$28</definedName>
    <definedName name="eci">'Results'!$B$29</definedName>
    <definedName name="site_name">'DEEP Score'!$B$5</definedName>
    <definedName name="site_reach">'DEEP Score'!$B$6</definedName>
    <definedName name="site_coords">'DEEP Score'!$B$7</definedName>
    <definedName name="site_date">'DEEP Score'!$B$8</definedName>
    <definedName name="site_assessor">'DEEP Score'!$B$9</definedName>
    <definedName name="in_spring_pctimp2019ws">'DEEP Score'!$E$12</definedName>
    <definedName name="in_spring_pctag2019ws">'DEEP Score'!$E$13</definedName>
    <definedName name="in_spring_pctwet2019ws">'DEEP Score'!$E$14</definedName>
    <definedName name="in_spring_rddensws">'DEEP Score'!$E$15</definedName>
    <definedName name="in_spring_bfiws">'DEEP Score'!$E$16</definedName>
    <definedName name="in_spring_dorws">'DEEP Score'!$E$17</definedName>
    <definedName name="in_spring_phab_rp100_cm">'DEEP Score'!$E$19</definedName>
    <definedName name="in_spring_phab_bfwd_rat">'DEEP Score'!$E$21</definedName>
    <definedName name="in_spring_phab_xbkf_h">'DEEP Score'!$E$22</definedName>
    <definedName name="in_spring_phab_pct_safn">'DEEP Score'!$E$23</definedName>
    <definedName name="in_spring_phab_sinu">'DEEP Score'!$E$26</definedName>
    <definedName name="in_spring_phab_lrbs_use">'DEEP Score'!$E$27</definedName>
    <definedName name="st_spring_phab_lrbs_use">'DEEP Score'!$F$27</definedName>
    <definedName name="in_spring_phab_lsub_dmm">'DEEP Score'!$E$29</definedName>
    <definedName name="in_spring_phab_lwdeqvolm100">'DEEP Score'!$E$30</definedName>
    <definedName name="in_spring_chem_chla">'DEEP Score'!$E$31</definedName>
    <definedName name="in_spring_phab_xcdenmid">'DEEP Score'!$E$32</definedName>
    <definedName name="st_spring_phab_xcdenmid">'DEEP Score'!$F$32</definedName>
    <definedName name="in_spring_phab_xcmgw">'DEEP Score'!$E$33</definedName>
    <definedName name="in_spring_chem_ntl">'DEEP Score'!$E$34</definedName>
    <definedName name="in_spring_chem_ptl">'DEEP Score'!$E$35</definedName>
    <definedName name="in_spring_chem_cond">'DEEP Score'!$E$36</definedName>
    <definedName name="in_spring_chem_ph">'DEEP Score'!$E$37</definedName>
    <definedName name="in_spring_phab_pct_fast">'DEEP Score'!$E$38</definedName>
    <definedName name="st_spring_phab_pct_fast">'DEEP Score'!$F$38</definedName>
    <definedName name="in_spring_phab_xfc_nat">'DEEP Score'!$E$39</definedName>
    <definedName name="in_spring_bent_totlntax">'DEEP Score'!$E$40</definedName>
    <definedName name="in_spring_fish_nat_totlntax">'DEEP Score'!$E$41</definedName>
    <definedName name="in_spring_bent_ept_ntax">'DEEP Score'!$E$42</definedName>
    <definedName name="in_spring_bent_hprime">'DEEP Score'!$E$43</definedName>
    <definedName name="in_spring_nid_dams_1mi">'DEEP Score'!$E$44</definedName>
    <definedName name="site_notes">'DEEP Score'!$A$60</definedName>
    <definedName name="meta_assessment_id">'Metadata'!$B$4</definedName>
    <definedName name="meta_assessment_name">'Metadata'!$B$5</definedName>
    <definedName name="meta_version">'Metadata'!$B$6</definedName>
    <definedName name="meta_lifecycle_status">'Metadata'!$B$7</definedName>
    <definedName name="meta_content_digest">'Metadata'!$B$8</definedName>
    <definedName name="meta_region">'Metadata'!$B$9</definedName>
    <definedName name="meta_source">'Metadata'!$B$10</definedName>
    <definedName name="meta_reference_method">'Metadata'!$B$11</definedName>
    <definedName name="meta_reference_screen">'Metadata'!$B$12</definedName>
    <definedName name="meta_scoring_method">'Metadata'!$B$13</definedName>
    <definedName name="meta_functions_scored">'Metadata'!$B$14</definedName>
    <definedName name="meta_metrics">'Metadata'!$B$15</definedName>
    <definedName name="meta_function_coverage">'Metadata'!$B$16</definedName>
    <definedName name="meta_generator">'Metadata'!$B$17</definedName>
    <definedName name="meta_generator_version">'Metadata'!$B$18</definedName>
    <definedName name="meta_formula_vocabulary">'Metadata'!$B$19</definedName>
  </definedNames>
  <calcPr calcId="124519" fullCalcOnLoad="1"/>
</workbook>
</file>

<file path=xl/styles.xml><?xml version="1.0" encoding="utf-8"?>
<styleSheet xmlns="http://schemas.openxmlformats.org/spreadsheetml/2006/main">
  <numFmts count="3">
    <numFmt numFmtId="164" formatCode="0.000"/>
    <numFmt numFmtId="165" formatCode="yyyy-mm-dd"/>
    <numFmt numFmtId="166" formatCode="0.0"/>
  </numFmts>
  <fonts count="8">
    <font>
      <name val="Calibri"/>
      <family val="2"/>
      <color theme="1"/>
      <sz val="11"/>
      <scheme val="minor"/>
    </font>
    <font>
      <b val="1"/>
      <sz val="13"/>
    </font>
    <font>
      <i val="1"/>
      <color rgb="00555555"/>
      <sz val="9"/>
    </font>
    <font>
      <b val="1"/>
    </font>
    <font>
      <b val="1"/>
      <sz val="14"/>
    </font>
    <font>
      <b val="1"/>
      <sz val="11"/>
    </font>
    <font>
      <b val="1"/>
      <sz val="12"/>
    </font>
    <font>
      <b val="1"/>
      <color rgb="00FFFFFF"/>
      <sz val="11"/>
    </font>
  </fonts>
  <fills count="11">
    <fill>
      <patternFill/>
    </fill>
    <fill>
      <patternFill patternType="gray125"/>
    </fill>
    <fill>
      <patternFill patternType="solid">
        <fgColor rgb="00F2F2F2"/>
        <bgColor rgb="00F2F2F2"/>
      </patternFill>
    </fill>
    <fill>
      <patternFill patternType="solid">
        <fgColor rgb="00EDEDED"/>
        <bgColor rgb="00EDEDED"/>
      </patternFill>
    </fill>
    <fill>
      <patternFill patternType="solid">
        <fgColor rgb="00F8CBAD"/>
        <bgColor rgb="00F8CBAD"/>
      </patternFill>
    </fill>
    <fill>
      <patternFill patternType="solid">
        <fgColor rgb="00D9E1F2"/>
        <bgColor rgb="00D9E1F2"/>
      </patternFill>
    </fill>
    <fill>
      <patternFill patternType="solid">
        <fgColor rgb="00B4C6E7"/>
        <bgColor rgb="00B4C6E7"/>
      </patternFill>
    </fill>
    <fill>
      <patternFill patternType="solid">
        <fgColor rgb="00FCE4D6"/>
        <bgColor rgb="00FCE4D6"/>
      </patternFill>
    </fill>
    <fill>
      <patternFill patternType="solid">
        <fgColor rgb="00E2EFDA"/>
        <bgColor rgb="00E2EFDA"/>
      </patternFill>
    </fill>
    <fill>
      <patternFill patternType="solid">
        <fgColor rgb="00FFF2CC"/>
        <bgColor rgb="00FFF2CC"/>
      </patternFill>
    </fill>
    <fill>
      <patternFill patternType="solid">
        <fgColor rgb="00475569"/>
        <bgColor rgb="00475569"/>
      </patternFill>
    </fill>
  </fills>
  <borders count="23">
    <border>
      <left/>
      <right/>
      <top/>
      <bottom/>
      <diagonal/>
    </border>
    <border>
      <left style="thin">
        <color rgb="00000000"/>
      </left>
      <right style="thin">
        <color rgb="00000000"/>
      </right>
      <top style="thin">
        <color rgb="00000000"/>
      </top>
      <bottom style="thin">
        <color rgb="00000000"/>
      </bottom>
    </border>
    <border>
      <left style="thin">
        <color rgb="00000000"/>
      </left>
      <right/>
      <top/>
      <bottom/>
      <diagonal/>
    </border>
    <border>
      <left style="thin">
        <color rgb="00000000"/>
      </left>
      <right style="thin">
        <color rgb="00000000"/>
      </right>
      <top/>
      <bottom/>
      <diagonal/>
    </border>
    <border>
      <left style="thin">
        <color rgb="00000000"/>
      </left>
      <right style="thin">
        <color rgb="00000000"/>
      </right>
      <top/>
      <bottom style="thin">
        <color rgb="00000000"/>
      </bottom>
      <diagonal/>
    </border>
    <border>
      <left style="medium">
        <color rgb="00000000"/>
      </left>
      <right style="thin">
        <color rgb="00000000"/>
      </right>
      <top style="medium">
        <color rgb="00000000"/>
      </top>
      <bottom style="thin">
        <color rgb="00000000"/>
      </bottom>
    </border>
    <border>
      <left style="thin">
        <color rgb="00000000"/>
      </left>
      <right style="thin">
        <color rgb="00000000"/>
      </right>
      <top style="medium">
        <color rgb="00000000"/>
      </top>
      <bottom style="thin">
        <color rgb="00000000"/>
      </bottom>
    </border>
    <border>
      <left style="thin">
        <color rgb="00000000"/>
      </left>
      <right style="medium">
        <color rgb="00000000"/>
      </right>
      <top style="medium">
        <color rgb="00000000"/>
      </top>
      <bottom style="thin">
        <color rgb="00000000"/>
      </bottom>
    </border>
    <border>
      <left style="medium">
        <color rgb="00000000"/>
      </left>
      <right style="thin">
        <color rgb="00000000"/>
      </right>
      <top style="thin">
        <color rgb="00000000"/>
      </top>
      <bottom style="medium">
        <color rgb="00000000"/>
      </bottom>
    </border>
    <border>
      <left style="thin">
        <color rgb="00000000"/>
      </left>
      <right style="thin">
        <color rgb="00000000"/>
      </right>
      <top style="thin">
        <color rgb="00000000"/>
      </top>
      <bottom style="medium">
        <color rgb="00000000"/>
      </bottom>
    </border>
    <border>
      <left style="thin">
        <color rgb="00000000"/>
      </left>
      <right style="medium">
        <color rgb="00000000"/>
      </right>
      <top style="thin">
        <color rgb="00000000"/>
      </top>
      <bottom style="medium">
        <color rgb="00000000"/>
      </bottom>
    </border>
    <border>
      <left style="medium">
        <color rgb="00000000"/>
      </left>
      <right style="thin">
        <color rgb="00000000"/>
      </right>
      <top style="medium">
        <color rgb="00000000"/>
      </top>
      <bottom style="medium">
        <color rgb="00000000"/>
      </bottom>
    </border>
    <border>
      <left style="thin">
        <color rgb="00000000"/>
      </left>
      <right style="thin">
        <color rgb="00000000"/>
      </right>
      <top style="medium">
        <color rgb="00000000"/>
      </top>
      <bottom style="medium">
        <color rgb="00000000"/>
      </bottom>
    </border>
    <border>
      <left style="thin">
        <color rgb="00000000"/>
      </left>
      <right style="medium">
        <color rgb="00000000"/>
      </right>
      <top style="medium">
        <color rgb="00000000"/>
      </top>
      <bottom style="medium">
        <color rgb="00000000"/>
      </bottom>
    </border>
    <border>
      <left style="medium">
        <color rgb="00000000"/>
      </left>
      <right/>
      <top style="medium">
        <color rgb="00000000"/>
      </top>
      <bottom/>
    </border>
    <border>
      <left/>
      <right/>
      <top style="medium">
        <color rgb="00000000"/>
      </top>
      <bottom/>
    </border>
    <border>
      <left/>
      <right style="medium">
        <color rgb="00000000"/>
      </right>
      <top style="medium">
        <color rgb="00000000"/>
      </top>
      <bottom/>
    </border>
    <border>
      <left style="medium">
        <color rgb="00000000"/>
      </left>
      <right/>
      <top/>
      <bottom/>
    </border>
    <border>
      <left/>
      <right/>
      <top/>
      <bottom/>
    </border>
    <border>
      <left/>
      <right style="medium">
        <color rgb="00000000"/>
      </right>
      <top/>
      <bottom/>
    </border>
    <border>
      <left style="medium">
        <color rgb="00000000"/>
      </left>
      <right/>
      <top/>
      <bottom style="medium">
        <color rgb="00000000"/>
      </bottom>
    </border>
    <border>
      <left/>
      <right/>
      <top/>
      <bottom style="medium">
        <color rgb="00000000"/>
      </bottom>
    </border>
    <border>
      <left/>
      <right style="medium">
        <color rgb="00000000"/>
      </right>
      <top/>
      <bottom style="medium">
        <color rgb="00000000"/>
      </bottom>
    </border>
  </borders>
  <cellStyleXfs count="1">
    <xf numFmtId="0" fontId="0" fillId="0" borderId="0"/>
  </cellStyleXfs>
  <cellXfs count="75">
    <xf numFmtId="0" fontId="0" fillId="0" borderId="0" pivotButton="0" quotePrefix="0" xfId="0"/>
    <xf numFmtId="0" fontId="4" fillId="0" borderId="0" pivotButton="0" quotePrefix="0" xfId="0"/>
    <xf numFmtId="0" fontId="5" fillId="0" borderId="0" pivotButton="0" quotePrefix="0" xfId="0"/>
    <xf numFmtId="0" fontId="7" fillId="10" borderId="0" applyAlignment="1" pivotButton="0" quotePrefix="0" xfId="0">
      <alignment horizontal="left" vertical="center" indent="1"/>
    </xf>
    <xf numFmtId="0" fontId="0" fillId="0" borderId="0" applyAlignment="1" pivotButton="0" quotePrefix="0" xfId="0">
      <alignment horizontal="left" vertical="top" wrapText="1"/>
    </xf>
    <xf numFmtId="0" fontId="2" fillId="0" borderId="0" pivotButton="0" quotePrefix="0" xfId="0"/>
    <xf numFmtId="0" fontId="3" fillId="2" borderId="1" pivotButton="0" quotePrefix="0" xfId="0"/>
    <xf numFmtId="0" fontId="0" fillId="4" borderId="1" applyAlignment="1" applyProtection="1" pivotButton="0" quotePrefix="0" xfId="0">
      <alignment horizontal="left" vertical="center" wrapText="1"/>
      <protection locked="0" hidden="0"/>
    </xf>
    <xf numFmtId="0" fontId="0" fillId="4" borderId="1" applyProtection="1" pivotButton="0" quotePrefix="0" xfId="0">
      <protection locked="0" hidden="0"/>
    </xf>
    <xf numFmtId="165" fontId="0" fillId="4" borderId="1" applyAlignment="1" applyProtection="1" pivotButton="0" quotePrefix="0" xfId="0">
      <alignment horizontal="left" vertical="center" wrapText="1"/>
      <protection locked="0" hidden="0"/>
    </xf>
    <xf numFmtId="0" fontId="3" fillId="2" borderId="1" applyAlignment="1" pivotButton="0" quotePrefix="0" xfId="0">
      <alignment horizontal="center" vertical="center" wrapText="1"/>
    </xf>
    <xf numFmtId="0" fontId="3" fillId="5" borderId="5" applyAlignment="1" pivotButton="0" quotePrefix="0" xfId="0">
      <alignment horizontal="center" vertical="center" wrapText="1"/>
    </xf>
    <xf numFmtId="0" fontId="3" fillId="0" borderId="6" applyAlignment="1" pivotButton="0" quotePrefix="0" xfId="0">
      <alignment horizontal="left" vertical="center" wrapText="1"/>
    </xf>
    <xf numFmtId="0" fontId="0" fillId="0" borderId="6" applyAlignment="1" pivotButton="0" quotePrefix="0" xfId="0">
      <alignment horizontal="left" vertical="center" wrapText="1"/>
    </xf>
    <xf numFmtId="0" fontId="0" fillId="0" borderId="6" applyAlignment="1" pivotButton="0" quotePrefix="0" xfId="0">
      <alignment horizontal="center" vertical="center" wrapText="1"/>
    </xf>
    <xf numFmtId="0" fontId="0" fillId="4" borderId="6" applyAlignment="1" applyProtection="1" pivotButton="0" quotePrefix="0" xfId="0">
      <alignment horizontal="center" vertical="center" wrapText="1"/>
      <protection locked="0" hidden="0"/>
    </xf>
    <xf numFmtId="0" fontId="0" fillId="2" borderId="6" pivotButton="0" quotePrefix="0" xfId="0"/>
    <xf numFmtId="2" fontId="0" fillId="3" borderId="6" applyAlignment="1" pivotButton="0" quotePrefix="0" xfId="0">
      <alignment horizontal="center" vertical="center" wrapText="1"/>
    </xf>
    <xf numFmtId="166" fontId="3" fillId="0" borderId="6" applyAlignment="1" pivotButton="0" quotePrefix="0" xfId="0">
      <alignment horizontal="center" vertical="center" wrapText="1"/>
    </xf>
    <xf numFmtId="0" fontId="0" fillId="0" borderId="7" applyAlignment="1" pivotButton="0" quotePrefix="0" xfId="0">
      <alignment horizontal="center" vertical="center" wrapText="1"/>
    </xf>
    <xf numFmtId="0" fontId="0" fillId="0" borderId="8" pivotButton="0" quotePrefix="0" xfId="0"/>
    <xf numFmtId="0" fontId="0" fillId="0" borderId="9" pivotButton="0" quotePrefix="0" xfId="0"/>
    <xf numFmtId="0" fontId="0" fillId="0" borderId="9" applyAlignment="1" pivotButton="0" quotePrefix="0" xfId="0">
      <alignment horizontal="left" vertical="center" wrapText="1"/>
    </xf>
    <xf numFmtId="0" fontId="0" fillId="0" borderId="9" applyAlignment="1" pivotButton="0" quotePrefix="0" xfId="0">
      <alignment horizontal="center" vertical="center" wrapText="1"/>
    </xf>
    <xf numFmtId="0" fontId="0" fillId="4" borderId="9" applyAlignment="1" applyProtection="1" pivotButton="0" quotePrefix="0" xfId="0">
      <alignment horizontal="center" vertical="center" wrapText="1"/>
      <protection locked="0" hidden="0"/>
    </xf>
    <xf numFmtId="0" fontId="0" fillId="2" borderId="9" pivotButton="0" quotePrefix="0" xfId="0"/>
    <xf numFmtId="2" fontId="0" fillId="3" borderId="9" applyAlignment="1" pivotButton="0" quotePrefix="0" xfId="0">
      <alignment horizontal="center" vertical="center" wrapText="1"/>
    </xf>
    <xf numFmtId="0" fontId="0" fillId="0" borderId="10" pivotButton="0" quotePrefix="0" xfId="0"/>
    <xf numFmtId="0" fontId="3" fillId="5" borderId="11" applyAlignment="1" pivotButton="0" quotePrefix="0" xfId="0">
      <alignment horizontal="center" vertical="center" wrapText="1"/>
    </xf>
    <xf numFmtId="0" fontId="3" fillId="0" borderId="12" applyAlignment="1" pivotButton="0" quotePrefix="0" xfId="0">
      <alignment horizontal="left" vertical="center" wrapText="1"/>
    </xf>
    <xf numFmtId="0" fontId="0" fillId="0" borderId="12" applyAlignment="1" pivotButton="0" quotePrefix="0" xfId="0">
      <alignment horizontal="left" vertical="center" wrapText="1"/>
    </xf>
    <xf numFmtId="0" fontId="0" fillId="0" borderId="12" applyAlignment="1" pivotButton="0" quotePrefix="0" xfId="0">
      <alignment horizontal="center" vertical="center" wrapText="1"/>
    </xf>
    <xf numFmtId="0" fontId="0" fillId="4" borderId="12" applyAlignment="1" applyProtection="1" pivotButton="0" quotePrefix="0" xfId="0">
      <alignment horizontal="center" vertical="center" wrapText="1"/>
      <protection locked="0" hidden="0"/>
    </xf>
    <xf numFmtId="0" fontId="0" fillId="2" borderId="12" pivotButton="0" quotePrefix="0" xfId="0"/>
    <xf numFmtId="2" fontId="0" fillId="3" borderId="12" applyAlignment="1" pivotButton="0" quotePrefix="0" xfId="0">
      <alignment horizontal="center" vertical="center" wrapText="1"/>
    </xf>
    <xf numFmtId="166" fontId="3" fillId="0" borderId="12" applyAlignment="1" pivotButton="0" quotePrefix="0" xfId="0">
      <alignment horizontal="center" vertical="center" wrapText="1"/>
    </xf>
    <xf numFmtId="0" fontId="0" fillId="0" borderId="13" applyAlignment="1" pivotButton="0" quotePrefix="0" xfId="0">
      <alignment horizontal="center" vertical="center" wrapText="1"/>
    </xf>
    <xf numFmtId="0" fontId="3" fillId="6" borderId="5" applyAlignment="1" pivotButton="0" quotePrefix="0" xfId="0">
      <alignment horizontal="center" vertical="center" wrapText="1"/>
    </xf>
    <xf numFmtId="0" fontId="0" fillId="2" borderId="6" applyAlignment="1" pivotButton="0" quotePrefix="0" xfId="0">
      <alignment horizontal="center" vertical="center" wrapText="1"/>
    </xf>
    <xf numFmtId="0" fontId="0" fillId="2" borderId="6" applyAlignment="1" pivotButton="0" quotePrefix="0" xfId="0">
      <alignment horizontal="left" vertical="center" wrapText="1"/>
    </xf>
    <xf numFmtId="0" fontId="3" fillId="6" borderId="11" applyAlignment="1" pivotButton="0" quotePrefix="0" xfId="0">
      <alignment horizontal="center" vertical="center" wrapText="1"/>
    </xf>
    <xf numFmtId="0" fontId="0" fillId="2" borderId="12" applyAlignment="1" pivotButton="0" quotePrefix="0" xfId="0">
      <alignment horizontal="center" vertical="center" wrapText="1"/>
    </xf>
    <xf numFmtId="0" fontId="0" fillId="2" borderId="12" applyAlignment="1" pivotButton="0" quotePrefix="0" xfId="0">
      <alignment horizontal="left" vertical="center" wrapText="1"/>
    </xf>
    <xf numFmtId="0" fontId="3" fillId="7" borderId="5" applyAlignment="1" pivotButton="0" quotePrefix="0" xfId="0">
      <alignment horizontal="center" vertical="center" wrapText="1"/>
    </xf>
    <xf numFmtId="0" fontId="0" fillId="2" borderId="9" applyAlignment="1" pivotButton="0" quotePrefix="0" xfId="0">
      <alignment horizontal="center" vertical="center" wrapText="1"/>
    </xf>
    <xf numFmtId="0" fontId="0" fillId="2" borderId="9" applyAlignment="1" pivotButton="0" quotePrefix="0" xfId="0">
      <alignment horizontal="left" vertical="center" wrapText="1"/>
    </xf>
    <xf numFmtId="0" fontId="3" fillId="7" borderId="11" applyAlignment="1" pivotButton="0" quotePrefix="0" xfId="0">
      <alignment horizontal="center" vertical="center" wrapText="1"/>
    </xf>
    <xf numFmtId="0" fontId="0" fillId="4" borderId="6" applyAlignment="1" applyProtection="1" pivotButton="0" quotePrefix="0" xfId="0">
      <alignment horizontal="left" vertical="center" wrapText="1"/>
      <protection locked="0" hidden="0"/>
    </xf>
    <xf numFmtId="0" fontId="3" fillId="8" borderId="5" applyAlignment="1" pivotButton="0" quotePrefix="0" xfId="0">
      <alignment horizontal="center" vertical="center" wrapText="1"/>
    </xf>
    <xf numFmtId="0" fontId="0" fillId="4" borderId="9" applyAlignment="1" applyProtection="1" pivotButton="0" quotePrefix="0" xfId="0">
      <alignment horizontal="left" vertical="center" wrapText="1"/>
      <protection locked="0" hidden="0"/>
    </xf>
    <xf numFmtId="0" fontId="3" fillId="8" borderId="11" applyAlignment="1" pivotButton="0" quotePrefix="0" xfId="0">
      <alignment horizontal="center" vertical="center" wrapText="1"/>
    </xf>
    <xf numFmtId="0" fontId="3" fillId="9" borderId="5" applyAlignment="1" pivotButton="0" quotePrefix="0" xfId="0">
      <alignment horizontal="center" vertical="center" wrapText="1"/>
    </xf>
    <xf numFmtId="0" fontId="3" fillId="9" borderId="11" applyAlignment="1" pivotButton="0" quotePrefix="0" xfId="0">
      <alignment horizontal="center" vertical="center" wrapText="1"/>
    </xf>
    <xf numFmtId="0" fontId="6" fillId="0" borderId="0" pivotButton="0" quotePrefix="0" xfId="0"/>
    <xf numFmtId="0" fontId="3" fillId="0" borderId="1" pivotButton="0" quotePrefix="0" xfId="0"/>
    <xf numFmtId="2" fontId="0" fillId="0" borderId="1" applyAlignment="1" pivotButton="0" quotePrefix="0" xfId="0">
      <alignment horizontal="center" vertical="center" wrapText="1"/>
    </xf>
    <xf numFmtId="0" fontId="0" fillId="0" borderId="1" applyAlignment="1" pivotButton="0" quotePrefix="0" xfId="0">
      <alignment horizontal="center" vertical="center" wrapText="1"/>
    </xf>
    <xf numFmtId="0" fontId="3" fillId="0" borderId="1" applyAlignment="1" pivotButton="0" quotePrefix="0" xfId="0">
      <alignment horizontal="left" vertical="center" wrapText="1"/>
    </xf>
    <xf numFmtId="2" fontId="3" fillId="0" borderId="1" applyAlignment="1" pivotButton="0" quotePrefix="0" xfId="0">
      <alignment horizontal="center" vertical="center" wrapText="1"/>
    </xf>
    <xf numFmtId="0" fontId="3" fillId="0" borderId="0" pivotButton="0" quotePrefix="0" xfId="0"/>
    <xf numFmtId="0" fontId="0" fillId="4" borderId="14" applyAlignment="1" applyProtection="1" pivotButton="0" quotePrefix="0" xfId="0">
      <alignment horizontal="left" vertical="top" wrapText="1"/>
      <protection locked="0" hidden="0"/>
    </xf>
    <xf numFmtId="0" fontId="0" fillId="4" borderId="15" applyProtection="1" pivotButton="0" quotePrefix="0" xfId="0">
      <protection locked="0" hidden="0"/>
    </xf>
    <xf numFmtId="0" fontId="0" fillId="4" borderId="16" applyProtection="1" pivotButton="0" quotePrefix="0" xfId="0">
      <protection locked="0" hidden="0"/>
    </xf>
    <xf numFmtId="0" fontId="0" fillId="4" borderId="17" applyProtection="1" pivotButton="0" quotePrefix="0" xfId="0">
      <protection locked="0" hidden="0"/>
    </xf>
    <xf numFmtId="0" fontId="0" fillId="4" borderId="18" applyProtection="1" pivotButton="0" quotePrefix="0" xfId="0">
      <protection locked="0" hidden="0"/>
    </xf>
    <xf numFmtId="0" fontId="0" fillId="4" borderId="19" applyProtection="1" pivotButton="0" quotePrefix="0" xfId="0">
      <protection locked="0" hidden="0"/>
    </xf>
    <xf numFmtId="0" fontId="0" fillId="4" borderId="20" applyProtection="1" pivotButton="0" quotePrefix="0" xfId="0">
      <protection locked="0" hidden="0"/>
    </xf>
    <xf numFmtId="0" fontId="0" fillId="4" borderId="21" applyProtection="1" pivotButton="0" quotePrefix="0" xfId="0">
      <protection locked="0" hidden="0"/>
    </xf>
    <xf numFmtId="0" fontId="0" fillId="4" borderId="22" applyProtection="1" pivotButton="0" quotePrefix="0" xfId="0">
      <protection locked="0" hidden="0"/>
    </xf>
    <xf numFmtId="0" fontId="1" fillId="0" borderId="0" pivotButton="0" quotePrefix="0" xfId="0"/>
    <xf numFmtId="0" fontId="0" fillId="0" borderId="1" pivotButton="0" quotePrefix="0" xfId="0"/>
    <xf numFmtId="0" fontId="0" fillId="3" borderId="1" pivotButton="0" quotePrefix="0" xfId="0"/>
    <xf numFmtId="164" fontId="0" fillId="3" borderId="1" pivotButton="0" quotePrefix="0" xfId="0"/>
    <xf numFmtId="166" fontId="0" fillId="0" borderId="0" pivotButton="0" quotePrefix="0" xfId="0"/>
    <xf numFmtId="2" fontId="0" fillId="0" borderId="0" pivotButton="0" quotePrefix="0" xfId="0"/>
  </cellXfs>
  <cellStyles count="1">
    <cellStyle name="Normal" xfId="0" builtinId="0" hidden="0"/>
  </cellStyles>
  <dxfs count="3">
    <dxf>
      <fill>
        <patternFill patternType="solid">
          <fgColor rgb="00FF6969"/>
          <bgColor rgb="00FF6969"/>
        </patternFill>
      </fill>
    </dxf>
    <dxf>
      <fill>
        <patternFill patternType="solid">
          <fgColor rgb="00FFFF99"/>
          <bgColor rgb="00FFFF99"/>
        </patternFill>
      </fill>
    </dxf>
    <dxf>
      <fill>
        <patternFill patternType="solid">
          <fgColor rgb="008FAADC"/>
          <bgColor rgb="008FAADC"/>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charts/chart1.xml><?xml version="1.0" encoding="utf-8"?>
<chartSpace xmlns="http://schemas.openxmlformats.org/drawingml/2006/chart">
  <style val="2"/>
  <chart>
    <title>
      <tx>
        <rich>
          <a:bodyPr xmlns:a="http://schemas.openxmlformats.org/drawingml/2006/main"/>
          <a:p xmlns:a="http://schemas.openxmlformats.org/drawingml/2006/main">
            <a:pPr>
              <a:defRPr/>
            </a:pPr>
            <a:r>
              <a:t>Function Score</a:t>
            </a:r>
          </a:p>
        </rich>
      </tx>
      <overlay val="0"/>
    </title>
    <plotArea>
      <barChart>
        <barDir val="bar"/>
        <grouping val="clustered"/>
        <ser>
          <idx val="0"/>
          <order val="0"/>
          <tx>
            <strRef>
              <f>'ChartData'!C2</f>
            </strRef>
          </tx>
          <spPr>
            <a:solidFill xmlns:a="http://schemas.openxmlformats.org/drawingml/2006/main">
              <a:srgbClr val="FF6969"/>
            </a:solidFill>
            <a:ln xmlns:a="http://schemas.openxmlformats.org/drawingml/2006/main">
              <a:solidFill>
                <a:srgbClr val="000000"/>
              </a:solidFill>
              <a:prstDash val="solid"/>
            </a:ln>
          </spPr>
          <cat>
            <numRef>
              <f>'ChartData'!$A$3:$A$22</f>
            </numRef>
          </cat>
          <val>
            <numRef>
              <f>'ChartData'!$C$3:$C$22</f>
            </numRef>
          </val>
        </ser>
        <ser>
          <idx val="1"/>
          <order val="1"/>
          <tx>
            <strRef>
              <f>'ChartData'!D2</f>
            </strRef>
          </tx>
          <spPr>
            <a:solidFill xmlns:a="http://schemas.openxmlformats.org/drawingml/2006/main">
              <a:srgbClr val="FFFF99"/>
            </a:solidFill>
            <a:ln xmlns:a="http://schemas.openxmlformats.org/drawingml/2006/main">
              <a:solidFill>
                <a:srgbClr val="000000"/>
              </a:solidFill>
              <a:prstDash val="solid"/>
            </a:ln>
          </spPr>
          <cat>
            <numRef>
              <f>'ChartData'!$A$3:$A$22</f>
            </numRef>
          </cat>
          <val>
            <numRef>
              <f>'ChartData'!$D$3:$D$22</f>
            </numRef>
          </val>
        </ser>
        <ser>
          <idx val="2"/>
          <order val="2"/>
          <tx>
            <strRef>
              <f>'ChartData'!E2</f>
            </strRef>
          </tx>
          <spPr>
            <a:solidFill xmlns:a="http://schemas.openxmlformats.org/drawingml/2006/main">
              <a:srgbClr val="8FAADC"/>
            </a:solidFill>
            <a:ln xmlns:a="http://schemas.openxmlformats.org/drawingml/2006/main">
              <a:solidFill>
                <a:srgbClr val="000000"/>
              </a:solidFill>
              <a:prstDash val="solid"/>
            </a:ln>
          </spPr>
          <cat>
            <numRef>
              <f>'ChartData'!$A$3:$A$22</f>
            </numRef>
          </cat>
          <val>
            <numRef>
              <f>'ChartData'!$E$3:$E$22</f>
            </numRef>
          </val>
        </ser>
        <dLbls>
          <showLegendKey val="0"/>
          <showVal val="1"/>
          <showCatName val="0"/>
          <showSerName val="0"/>
        </dLbls>
        <gapWidth val="40"/>
        <overlap val="100"/>
        <axId val="10"/>
        <axId val="100"/>
      </barChart>
      <catAx>
        <axId val="10"/>
        <scaling>
          <orientation val="maxMin"/>
        </scaling>
        <delete val="0"/>
        <axPos val="l"/>
        <majorTickMark val="none"/>
        <minorTickMark val="none"/>
        <crossAx val="100"/>
        <lblOffset val="100"/>
      </catAx>
      <valAx>
        <axId val="100"/>
        <scaling>
          <orientation val="minMax"/>
          <max val="15"/>
          <min val="0"/>
        </scaling>
        <delete val="0"/>
        <axPos val="l"/>
        <numFmt formatCode="0" sourceLinked="0"/>
        <majorTickMark val="none"/>
        <minorTickMark val="none"/>
        <crossAx val="10"/>
        <majorUnit val="1"/>
      </valAx>
    </plotArea>
    <legend>
      <legendPos val="b"/>
      <overlay val="0"/>
    </legend>
    <plotVisOnly val="1"/>
    <dispBlanksAs val="gap"/>
    <extLst>
      <ext xmlns:c16r3="http://schemas.microsoft.com/office/drawing/2017/03/chart" uri="{56B9EC1D-385E-4148-901F-78D8002777C0}">
        <c16r3:dataDisplayOptions16>
          <c16r3:dispNaAsBlank val="1"/>
        </c16r3:dataDisplayOptions16>
      </ext>
    </extLst>
  </chart>
</chartSpace>
</file>

<file path=xl/charts/chart2.xml><?xml version="1.0" encoding="utf-8"?>
<chartSpace xmlns="http://schemas.openxmlformats.org/drawingml/2006/chart">
  <style val="2"/>
  <chart>
    <title>
      <tx>
        <rich>
          <a:bodyPr xmlns:a="http://schemas.openxmlformats.org/drawingml/2006/main"/>
          <a:p xmlns:a="http://schemas.openxmlformats.org/drawingml/2006/main">
            <a:pPr>
              <a:defRPr/>
            </a:pPr>
            <a:r>
              <a:t>Outcome Score</a:t>
            </a:r>
          </a:p>
        </rich>
      </tx>
      <overlay val="0"/>
    </title>
    <plotArea>
      <barChart>
        <barDir val="bar"/>
        <grouping val="clustered"/>
        <ser>
          <idx val="0"/>
          <order val="0"/>
          <tx>
            <strRef>
              <f>'ChartData'!C24</f>
            </strRef>
          </tx>
          <spPr>
            <a:solidFill xmlns:a="http://schemas.openxmlformats.org/drawingml/2006/main">
              <a:srgbClr val="FF6969"/>
            </a:solidFill>
            <a:ln xmlns:a="http://schemas.openxmlformats.org/drawingml/2006/main">
              <a:solidFill>
                <a:srgbClr val="000000"/>
              </a:solidFill>
              <a:prstDash val="solid"/>
            </a:ln>
          </spPr>
          <cat>
            <numRef>
              <f>'ChartData'!$A$25:$A$27</f>
            </numRef>
          </cat>
          <val>
            <numRef>
              <f>'ChartData'!$C$25:$C$27</f>
            </numRef>
          </val>
        </ser>
        <ser>
          <idx val="1"/>
          <order val="1"/>
          <tx>
            <strRef>
              <f>'ChartData'!D24</f>
            </strRef>
          </tx>
          <spPr>
            <a:solidFill xmlns:a="http://schemas.openxmlformats.org/drawingml/2006/main">
              <a:srgbClr val="FFFF99"/>
            </a:solidFill>
            <a:ln xmlns:a="http://schemas.openxmlformats.org/drawingml/2006/main">
              <a:solidFill>
                <a:srgbClr val="000000"/>
              </a:solidFill>
              <a:prstDash val="solid"/>
            </a:ln>
          </spPr>
          <cat>
            <numRef>
              <f>'ChartData'!$A$25:$A$27</f>
            </numRef>
          </cat>
          <val>
            <numRef>
              <f>'ChartData'!$D$25:$D$27</f>
            </numRef>
          </val>
        </ser>
        <ser>
          <idx val="2"/>
          <order val="2"/>
          <tx>
            <strRef>
              <f>'ChartData'!E24</f>
            </strRef>
          </tx>
          <spPr>
            <a:solidFill xmlns:a="http://schemas.openxmlformats.org/drawingml/2006/main">
              <a:srgbClr val="8FAADC"/>
            </a:solidFill>
            <a:ln xmlns:a="http://schemas.openxmlformats.org/drawingml/2006/main">
              <a:solidFill>
                <a:srgbClr val="000000"/>
              </a:solidFill>
              <a:prstDash val="solid"/>
            </a:ln>
          </spPr>
          <cat>
            <numRef>
              <f>'ChartData'!$A$25:$A$27</f>
            </numRef>
          </cat>
          <val>
            <numRef>
              <f>'ChartData'!$E$25:$E$27</f>
            </numRef>
          </val>
        </ser>
        <dLbls>
          <showLegendKey val="0"/>
          <showVal val="1"/>
          <showCatName val="0"/>
          <showSerName val="0"/>
        </dLbls>
        <gapWidth val="40"/>
        <overlap val="100"/>
        <axId val="10"/>
        <axId val="100"/>
      </barChart>
      <catAx>
        <axId val="10"/>
        <scaling>
          <orientation val="maxMin"/>
        </scaling>
        <delete val="0"/>
        <axPos val="l"/>
        <majorTickMark val="none"/>
        <minorTickMark val="none"/>
        <crossAx val="100"/>
        <lblOffset val="100"/>
      </catAx>
      <valAx>
        <axId val="100"/>
        <scaling>
          <orientation val="minMax"/>
          <max val="1"/>
          <min val="0"/>
        </scaling>
        <delete val="0"/>
        <axPos val="l"/>
        <numFmt formatCode="0.00" sourceLinked="0"/>
        <majorTickMark val="none"/>
        <minorTickMark val="none"/>
        <crossAx val="10"/>
        <majorUnit val="0.1"/>
      </valAx>
    </plotArea>
    <legend>
      <legendPos val="b"/>
      <overlay val="0"/>
    </legend>
    <plotVisOnly val="1"/>
    <dispBlanksAs val="gap"/>
    <extLst>
      <ext xmlns:c16r3="http://schemas.microsoft.com/office/drawing/2017/03/chart" uri="{56B9EC1D-385E-4148-901F-78D8002777C0}">
        <c16r3:dataDisplayOptions16>
          <c16r3:dispNaAsBlank val="1"/>
        </c16r3:dataDisplayOptions16>
      </ext>
    </extLst>
  </chart>
</chartSpace>
</file>

<file path=xl/drawings/_rels/drawing1.xml.rels><Relationships xmlns="http://schemas.openxmlformats.org/package/2006/relationships"><Relationship Type="http://schemas.openxmlformats.org/officeDocument/2006/relationships/chart" Target="/xl/charts/chart1.xml" Id="rId1"/><Relationship Type="http://schemas.openxmlformats.org/officeDocument/2006/relationships/chart" Target="/xl/charts/chart2.xml" Id="rId2"/></Relationships>
</file>

<file path=xl/drawings/drawing1.xml><?xml version="1.0" encoding="utf-8"?>
<wsDr xmlns="http://schemas.openxmlformats.org/drawingml/2006/spreadsheetDrawing">
  <oneCellAnchor>
    <from>
      <col>10</col>
      <colOff>0</colOff>
      <row>4</row>
      <rowOff>0</rowOff>
    </from>
    <ext cx="7920000" cy="4464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oneCellAnchor>
    <from>
      <col>10</col>
      <colOff>0</colOff>
      <row>48</row>
      <rowOff>0</rowOff>
    </from>
    <ext cx="7920000" cy="2340000"/>
    <graphicFrame>
      <nvGraphicFramePr>
        <cNvPr id="2" name="Chart 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tabColor rgb="00475569"/>
    <outlinePr summaryBelow="1" summaryRight="1"/>
    <pageSetUpPr/>
  </sheetPr>
  <dimension ref="A1:A14"/>
  <sheetViews>
    <sheetView showGridLines="0" tabSelected="0" workbookViewId="0">
      <selection activeCell="A1" sqref="A1"/>
    </sheetView>
  </sheetViews>
  <sheetFormatPr baseColWidth="8" defaultRowHeight="15"/>
  <cols>
    <col width="120" customWidth="1" min="1" max="1"/>
  </cols>
  <sheetData>
    <row r="1">
      <c r="A1" s="1" t="inlineStr">
        <is>
          <t>Detailed Evaluation of Ecosystem Processes (DEEP) Calculator</t>
        </is>
      </c>
    </row>
    <row r="2">
      <c r="A2" s="2" t="inlineStr">
        <is>
          <t>Acadian Plains and Hills reference assessment</t>
        </is>
      </c>
    </row>
    <row r="3" ht="21" customHeight="1">
      <c r="A3" s="3" t="inlineStr">
        <is>
          <t>Assessment status: Draft. For research and regional assessment development only.</t>
        </is>
      </c>
    </row>
    <row r="4" ht="30" customHeight="1">
      <c r="A4" s="4" t="inlineStr">
        <is>
          <t>This workbook scores one detailed assessment. It carries the assessment's metrics and their reference curves, and it scores exactly as the DEEP web application does.</t>
        </is>
      </c>
    </row>
    <row r="5" ht="210" customHeight="1">
      <c r="A5" s="4" t="inlineStr">
        <is>
          <t>Reference condition. Reference condition is set by a fixed landscape-pressure screen, never by a score. 5 curves are fitted to least-disturbed stations of this ecoregion. 5 curves are fitted to this ecoregion's own streams under the documented regional screen, which relaxes agriculture only. 12 borrow comparable least-disturbed stations from a wider region, stating the region and the transfer risk. 4 carry the national reference label: reference curve fitted to comparable least-disturbed stations drawn from the national pool, because this ecoregion and its parents hold too few of their own. 1 carries the modeled reference label: reference curve from a modeled expectation. The response to landscape pressure is estimated nationally and this ecoregion's own level is added, because the ecoregion holds too few streams clean enough to observe reference condition directly. 4 carry the published benchmark label: scored against a published criterion rather than against stations from this ecoregion. The criterion carries its own definition of reference, which need not match this assessment's. 12 rest on a flagged transfer: a comparable least-disturbed pool the recovery test did not confirm for this ecoregion, used because no validated source supports the metric here, with transfer risk unvalidated and confidence capped. A metric that no basis supports is not scored, and the function it would have scored is reported as unassessed.</t>
        </is>
      </c>
    </row>
    <row r="6" ht="30" customHeight="1">
      <c r="A6" s="4" t="inlineStr">
        <is>
          <t>1. On the DEEP Score sheet, fill the site block and type each metric's measured value in its orange cell, in the units shown.</t>
        </is>
      </c>
    </row>
    <row r="7" ht="30" customHeight="1">
      <c r="A7" s="4" t="inlineStr">
        <is>
          <t>2. Where a metric has several curve sets, choose the set that fits the reach from the list beside the value. Left alone, the default set applies.</t>
        </is>
      </c>
    </row>
    <row r="8" ht="15" customHeight="1">
      <c r="A8" s="4" t="inlineStr">
        <is>
          <t>3. Leave a value blank when the metric does not apply. It drops out of the score.</t>
        </is>
      </c>
    </row>
    <row r="9" ht="15" customHeight="1">
      <c r="A9" s="4" t="inlineStr">
        <is>
          <t>4. A metric that serves more than one function is entered once. The grey cells repeat it.</t>
        </is>
      </c>
    </row>
    <row r="10" ht="30" customHeight="1">
      <c r="A10" s="4" t="inlineStr">
        <is>
          <t>5. The index of each metric (0 to 1) is read from its reference curve. The function score is the mean index of the function's metrics times 15.</t>
        </is>
      </c>
    </row>
    <row r="11" ht="30" customHeight="1">
      <c r="A11" s="4" t="inlineStr">
        <is>
          <t>6. The outcome sub-indices weigh each function's score by its direct or indirect contribution, and the Ecosystem Condition Index is the mean of the three.</t>
        </is>
      </c>
    </row>
    <row r="12" ht="30" customHeight="1">
      <c r="A12" s="4" t="inlineStr">
        <is>
          <t>Condition classes. Index at or below 0.39 Non-Functioning, at or below 0.69 Functioning At-Risk, above Functioning. Function score at or below 5 Non-Functioning, at or below 10 Functioning At-Risk, above Functioning.</t>
        </is>
      </c>
    </row>
    <row r="13" ht="30" customHeight="1">
      <c r="A13" s="4" t="inlineStr">
        <is>
          <t>Sheets. DEEP Score (entries and results), Metrics (the interpolation of every metric), Reference (curves, curve sets, classes), Metadata (assessment identity).</t>
        </is>
      </c>
    </row>
    <row r="14" ht="15" customHeight="1">
      <c r="A14" s="4" t="inlineStr">
        <is>
          <t>The sheets are protected against accidental edits. The password is deep.</t>
        </is>
      </c>
    </row>
  </sheetData>
  <sheetProtection selectLockedCells="0" selectUnlockedCells="0" sheet="1" objects="0" insertRows="1" insertHyperlinks="1" autoFilter="1" scenarios="0" formatColumns="1" deleteColumns="1" insertColumns="1" pivotTables="1" deleteRows="1" formatCells="1" formatRows="1" sort="1" password="CB3B"/>
  <pageMargins left="0.75" right="0.75" top="1" bottom="1" header="0.5" footer="0.5"/>
  <headerFooter>
    <oddHeader>&amp;C&amp;"Calibri,Bold"&amp;K475569Assessment status: Draft._x000a_For research and regional assessment development only.</oddHeader>
    <oddFooter/>
    <evenHeader/>
    <evenFooter/>
    <firstHeader/>
    <firstFooter/>
  </headerFooter>
</worksheet>
</file>

<file path=xl/worksheets/sheet2.xml><?xml version="1.0" encoding="utf-8"?>
<worksheet xmlns="http://schemas.openxmlformats.org/spreadsheetml/2006/main">
  <sheetPr>
    <tabColor rgb="00475569"/>
    <outlinePr summaryBelow="1" summaryRight="1"/>
    <pageSetUpPr/>
  </sheetPr>
  <dimension ref="A1:I65"/>
  <sheetViews>
    <sheetView showGridLines="0" tabSelected="1" workbookViewId="0">
      <pane ySplit="11" topLeftCell="A12" activePane="bottomLeft" state="frozen"/>
      <selection pane="bottomLeft" activeCell="A1" sqref="A1"/>
    </sheetView>
  </sheetViews>
  <sheetFormatPr baseColWidth="8" defaultRowHeight="15"/>
  <cols>
    <col width="16" customWidth="1" min="1" max="1"/>
    <col width="30" customWidth="1" min="2" max="2"/>
    <col width="40" customWidth="1" min="3" max="3"/>
    <col width="12" customWidth="1" min="4" max="4"/>
    <col width="14" customWidth="1" min="5" max="5"/>
    <col width="40" customWidth="1" min="6" max="6"/>
    <col width="10" customWidth="1" min="7" max="7"/>
    <col width="16" customWidth="1" min="8" max="8"/>
    <col width="22" customWidth="1" min="9" max="9"/>
  </cols>
  <sheetData>
    <row r="1">
      <c r="A1" s="1" t="inlineStr">
        <is>
          <t>Detailed Evaluation of Ecosystem Processes (DEEP) Calculator</t>
        </is>
      </c>
    </row>
    <row r="2">
      <c r="A2" s="2" t="inlineStr">
        <is>
          <t>Acadian Plains and Hills reference assessment</t>
        </is>
      </c>
    </row>
    <row r="3">
      <c r="A3" s="5" t="inlineStr">
        <is>
          <t>Version 1 | Draft | USEPA NRSA 2013-24 (L3 ecoregion 82), StreamCurves regional analysis, methodology 0.16-provisional</t>
        </is>
      </c>
    </row>
    <row r="4" ht="21" customHeight="1">
      <c r="A4" s="3" t="inlineStr">
        <is>
          <t>Assessment status: Draft. For research and regional assessment development only.</t>
        </is>
      </c>
    </row>
    <row r="5">
      <c r="A5" s="6" t="inlineStr">
        <is>
          <t>Stream or site</t>
        </is>
      </c>
      <c r="B5" s="7" t="n"/>
      <c r="C5" s="8" t="n"/>
      <c r="D5" s="8" t="n"/>
    </row>
    <row r="6">
      <c r="A6" s="6" t="inlineStr">
        <is>
          <t>Reach ID</t>
        </is>
      </c>
      <c r="B6" s="7" t="n"/>
      <c r="C6" s="8" t="n"/>
      <c r="D6" s="8" t="n"/>
    </row>
    <row r="7">
      <c r="A7" s="6" t="inlineStr">
        <is>
          <t>Coordinates</t>
        </is>
      </c>
      <c r="B7" s="7" t="n"/>
      <c r="C7" s="8" t="n"/>
      <c r="D7" s="8" t="n"/>
    </row>
    <row r="8">
      <c r="A8" s="6" t="inlineStr">
        <is>
          <t>Date</t>
        </is>
      </c>
      <c r="B8" s="9" t="n"/>
      <c r="C8" s="8" t="n"/>
      <c r="D8" s="8" t="n"/>
    </row>
    <row r="9">
      <c r="A9" s="6" t="inlineStr">
        <is>
          <t>Assessor(s)</t>
        </is>
      </c>
      <c r="B9" s="7" t="n"/>
      <c r="C9" s="8" t="n"/>
      <c r="D9" s="8" t="n"/>
    </row>
    <row r="11">
      <c r="A11" s="10" t="inlineStr">
        <is>
          <t>Category</t>
        </is>
      </c>
      <c r="B11" s="10" t="inlineStr">
        <is>
          <t>Function</t>
        </is>
      </c>
      <c r="C11" s="10" t="inlineStr">
        <is>
          <t>Metric</t>
        </is>
      </c>
      <c r="D11" s="10" t="inlineStr">
        <is>
          <t>Units</t>
        </is>
      </c>
      <c r="E11" s="10" t="inlineStr">
        <is>
          <t>Value</t>
        </is>
      </c>
      <c r="F11" s="10" t="inlineStr">
        <is>
          <t>Curve set</t>
        </is>
      </c>
      <c r="G11" s="10" t="inlineStr">
        <is>
          <t>Index</t>
        </is>
      </c>
      <c r="H11" s="10" t="inlineStr">
        <is>
          <t>Function score (0 to 15)</t>
        </is>
      </c>
      <c r="I11" s="10" t="inlineStr">
        <is>
          <t>Condition</t>
        </is>
      </c>
    </row>
    <row r="12">
      <c r="A12" s="11" t="inlineStr">
        <is>
          <t>Hydrology</t>
        </is>
      </c>
      <c r="B12" s="12" t="inlineStr">
        <is>
          <t>Catchment hydrology</t>
        </is>
      </c>
      <c r="C12" s="13" t="inlineStr">
        <is>
          <t>Impervious surface</t>
        </is>
      </c>
      <c r="D12" s="14" t="inlineStr">
        <is>
          <t>%</t>
        </is>
      </c>
      <c r="E12" s="15" t="n"/>
      <c r="F12" s="16" t="inlineStr"/>
      <c r="G12" s="17">
        <f>IF('Metrics'!$V$5="","",'Metrics'!$V$5)</f>
        <v/>
      </c>
      <c r="H12" s="18">
        <f>IF('Results'!$B$4="","",'Results'!$B$4)</f>
        <v/>
      </c>
      <c r="I12" s="19">
        <f>IF('DEEP Score'!$H$12="","",IF('DEEP Score'!$H$12&lt;=5,"Non-Functioning",IF('DEEP Score'!$H$12&lt;=10,"Functioning At-Risk","Functioning")))</f>
        <v/>
      </c>
    </row>
    <row r="13">
      <c r="A13" s="20" t="n"/>
      <c r="B13" s="21" t="n"/>
      <c r="C13" s="22" t="inlineStr">
        <is>
          <t>Agriculture, crop and hay</t>
        </is>
      </c>
      <c r="D13" s="23" t="inlineStr">
        <is>
          <t>%</t>
        </is>
      </c>
      <c r="E13" s="24" t="n"/>
      <c r="F13" s="25" t="inlineStr"/>
      <c r="G13" s="26">
        <f>IF('Metrics'!$V$6="","",'Metrics'!$V$6)</f>
        <v/>
      </c>
      <c r="H13" s="21" t="n"/>
      <c r="I13" s="27" t="n"/>
    </row>
    <row r="14">
      <c r="A14" s="28" t="inlineStr">
        <is>
          <t>Hydrology</t>
        </is>
      </c>
      <c r="B14" s="29" t="inlineStr">
        <is>
          <t>Surface water storage</t>
        </is>
      </c>
      <c r="C14" s="30" t="inlineStr">
        <is>
          <t>Wetland</t>
        </is>
      </c>
      <c r="D14" s="31" t="inlineStr">
        <is>
          <t>%</t>
        </is>
      </c>
      <c r="E14" s="32" t="n"/>
      <c r="F14" s="33" t="inlineStr"/>
      <c r="G14" s="34">
        <f>IF('Metrics'!$V$7="","",'Metrics'!$V$7)</f>
        <v/>
      </c>
      <c r="H14" s="35">
        <f>IF('Results'!$B$5="","",'Results'!$B$5)</f>
        <v/>
      </c>
      <c r="I14" s="36">
        <f>IF('DEEP Score'!$H$14="","",IF('DEEP Score'!$H$14&lt;=5,"Non-Functioning",IF('DEEP Score'!$H$14&lt;=10,"Functioning At-Risk","Functioning")))</f>
        <v/>
      </c>
    </row>
    <row r="15">
      <c r="A15" s="28" t="inlineStr">
        <is>
          <t>Hydrology</t>
        </is>
      </c>
      <c r="B15" s="29" t="inlineStr">
        <is>
          <t>Reach inflow</t>
        </is>
      </c>
      <c r="C15" s="30" t="inlineStr">
        <is>
          <t>Road density</t>
        </is>
      </c>
      <c r="D15" s="31" t="inlineStr">
        <is>
          <t>km/sq km</t>
        </is>
      </c>
      <c r="E15" s="32" t="n"/>
      <c r="F15" s="33" t="inlineStr"/>
      <c r="G15" s="34">
        <f>IF('Metrics'!$V$8="","",'Metrics'!$V$8)</f>
        <v/>
      </c>
      <c r="H15" s="35">
        <f>IF('Results'!$B$6="","",'Results'!$B$6)</f>
        <v/>
      </c>
      <c r="I15" s="36">
        <f>IF('DEEP Score'!$H$15="","",IF('DEEP Score'!$H$15&lt;=5,"Non-Functioning",IF('DEEP Score'!$H$15&lt;=10,"Functioning At-Risk","Functioning")))</f>
        <v/>
      </c>
    </row>
    <row r="16">
      <c r="A16" s="11" t="inlineStr">
        <is>
          <t>Hydrology</t>
        </is>
      </c>
      <c r="B16" s="12" t="inlineStr">
        <is>
          <t>Streamflow regime</t>
        </is>
      </c>
      <c r="C16" s="13" t="inlineStr">
        <is>
          <t>Base flow index</t>
        </is>
      </c>
      <c r="D16" s="14" t="inlineStr">
        <is>
          <t>%</t>
        </is>
      </c>
      <c r="E16" s="15" t="n"/>
      <c r="F16" s="16" t="inlineStr"/>
      <c r="G16" s="17">
        <f>IF('Metrics'!$V$9="","",'Metrics'!$V$9)</f>
        <v/>
      </c>
      <c r="H16" s="18">
        <f>IF('Results'!$B$7="","",'Results'!$B$7)</f>
        <v/>
      </c>
      <c r="I16" s="19">
        <f>IF('DEEP Score'!$H$16="","",IF('DEEP Score'!$H$16&lt;=5,"Non-Functioning",IF('DEEP Score'!$H$16&lt;=10,"Functioning At-Risk","Functioning")))</f>
        <v/>
      </c>
    </row>
    <row r="17">
      <c r="A17" s="20" t="n"/>
      <c r="B17" s="21" t="n"/>
      <c r="C17" s="22" t="inlineStr">
        <is>
          <t>Degree of regulation</t>
        </is>
      </c>
      <c r="D17" s="23" t="inlineStr">
        <is>
          <t>%</t>
        </is>
      </c>
      <c r="E17" s="24" t="n"/>
      <c r="F17" s="25" t="inlineStr"/>
      <c r="G17" s="26">
        <f>IF('Metrics'!$V$10="","",'Metrics'!$V$10)</f>
        <v/>
      </c>
      <c r="H17" s="21" t="n"/>
      <c r="I17" s="27" t="n"/>
    </row>
    <row r="18">
      <c r="A18" s="37" t="inlineStr">
        <is>
          <t>Hydraulics</t>
        </is>
      </c>
      <c r="B18" s="12" t="inlineStr">
        <is>
          <t>Low flow and baseflow dynamics</t>
        </is>
      </c>
      <c r="C18" s="13" t="inlineStr">
        <is>
          <t>Base flow index</t>
        </is>
      </c>
      <c r="D18" s="14" t="inlineStr">
        <is>
          <t>%</t>
        </is>
      </c>
      <c r="E18" s="38">
        <f>IF('DEEP Score'!$E$16="","",'DEEP Score'!$E$16)</f>
        <v/>
      </c>
      <c r="F18" s="39" t="inlineStr"/>
      <c r="G18" s="17">
        <f>IF('Metrics'!$V$9="","",'Metrics'!$V$9)</f>
        <v/>
      </c>
      <c r="H18" s="18">
        <f>IF('Results'!$B$8="","",'Results'!$B$8)</f>
        <v/>
      </c>
      <c r="I18" s="19">
        <f>IF('DEEP Score'!$H$18="","",IF('DEEP Score'!$H$18&lt;=5,"Non-Functioning",IF('DEEP Score'!$H$18&lt;=10,"Functioning At-Risk","Functioning")))</f>
        <v/>
      </c>
    </row>
    <row r="19">
      <c r="A19" s="20" t="n"/>
      <c r="B19" s="21" t="n"/>
      <c r="C19" s="22" t="inlineStr">
        <is>
          <t>Residual pool depth</t>
        </is>
      </c>
      <c r="D19" s="23" t="inlineStr">
        <is>
          <t>cm</t>
        </is>
      </c>
      <c r="E19" s="24" t="n"/>
      <c r="F19" s="25" t="inlineStr"/>
      <c r="G19" s="26">
        <f>IF('Metrics'!$V$11="","",'Metrics'!$V$11)</f>
        <v/>
      </c>
      <c r="H19" s="21" t="n"/>
      <c r="I19" s="27" t="n"/>
    </row>
    <row r="20">
      <c r="A20" s="40" t="inlineStr">
        <is>
          <t>Hydraulics</t>
        </is>
      </c>
      <c r="B20" s="29" t="inlineStr">
        <is>
          <t>High flow dynamics</t>
        </is>
      </c>
      <c r="C20" s="30" t="inlineStr">
        <is>
          <t>Impervious surface</t>
        </is>
      </c>
      <c r="D20" s="31" t="inlineStr">
        <is>
          <t>%</t>
        </is>
      </c>
      <c r="E20" s="41">
        <f>IF('DEEP Score'!$E$12="","",'DEEP Score'!$E$12)</f>
        <v/>
      </c>
      <c r="F20" s="42" t="inlineStr"/>
      <c r="G20" s="34">
        <f>IF('Metrics'!$V$5="","",'Metrics'!$V$5)</f>
        <v/>
      </c>
      <c r="H20" s="35">
        <f>IF('Results'!$B$9="","",'Results'!$B$9)</f>
        <v/>
      </c>
      <c r="I20" s="36">
        <f>IF('DEEP Score'!$H$20="","",IF('DEEP Score'!$H$20&lt;=5,"Non-Functioning",IF('DEEP Score'!$H$20&lt;=10,"Functioning At-Risk","Functioning")))</f>
        <v/>
      </c>
    </row>
    <row r="21">
      <c r="A21" s="37" t="inlineStr">
        <is>
          <t>Hydraulics</t>
        </is>
      </c>
      <c r="B21" s="12" t="inlineStr">
        <is>
          <t>Floodplain connectivity</t>
        </is>
      </c>
      <c r="C21" s="13" t="inlineStr">
        <is>
          <t>Bankfull width:depth ratio</t>
        </is>
      </c>
      <c r="D21" s="14" t="inlineStr"/>
      <c r="E21" s="15" t="n"/>
      <c r="F21" s="16" t="inlineStr"/>
      <c r="G21" s="17">
        <f>IF('Metrics'!$V$12="","",'Metrics'!$V$12)</f>
        <v/>
      </c>
      <c r="H21" s="18">
        <f>IF('Results'!$B$10="","",'Results'!$B$10)</f>
        <v/>
      </c>
      <c r="I21" s="19">
        <f>IF('DEEP Score'!$H$21="","",IF('DEEP Score'!$H$21&lt;=5,"Non-Functioning",IF('DEEP Score'!$H$21&lt;=10,"Functioning At-Risk","Functioning")))</f>
        <v/>
      </c>
    </row>
    <row r="22">
      <c r="A22" s="20" t="n"/>
      <c r="B22" s="21" t="n"/>
      <c r="C22" s="22" t="inlineStr">
        <is>
          <t>Bankfull height above channel</t>
        </is>
      </c>
      <c r="D22" s="23" t="inlineStr">
        <is>
          <t>m</t>
        </is>
      </c>
      <c r="E22" s="24" t="n"/>
      <c r="F22" s="25" t="inlineStr"/>
      <c r="G22" s="26">
        <f>IF('Metrics'!$V$13="","",'Metrics'!$V$13)</f>
        <v/>
      </c>
      <c r="H22" s="21" t="n"/>
      <c r="I22" s="27" t="n"/>
    </row>
    <row r="23">
      <c r="A23" s="40" t="inlineStr">
        <is>
          <t>Hydraulics</t>
        </is>
      </c>
      <c r="B23" s="29" t="inlineStr">
        <is>
          <t>Hyporheic connectivity</t>
        </is>
      </c>
      <c r="C23" s="30" t="inlineStr">
        <is>
          <t>Sand + fines</t>
        </is>
      </c>
      <c r="D23" s="31" t="inlineStr">
        <is>
          <t>%</t>
        </is>
      </c>
      <c r="E23" s="32" t="n"/>
      <c r="F23" s="33" t="inlineStr"/>
      <c r="G23" s="34">
        <f>IF('Metrics'!$V$14="","",'Metrics'!$V$14)</f>
        <v/>
      </c>
      <c r="H23" s="35">
        <f>IF('Results'!$B$11="","",'Results'!$B$11)</f>
        <v/>
      </c>
      <c r="I23" s="36">
        <f>IF('DEEP Score'!$H$23="","",IF('DEEP Score'!$H$23&lt;=5,"Non-Functioning",IF('DEEP Score'!$H$23&lt;=10,"Functioning At-Risk","Functioning")))</f>
        <v/>
      </c>
    </row>
    <row r="24">
      <c r="A24" s="43" t="inlineStr">
        <is>
          <t>Geomorphology</t>
        </is>
      </c>
      <c r="B24" s="12" t="inlineStr">
        <is>
          <t>Channel evolution</t>
        </is>
      </c>
      <c r="C24" s="13" t="inlineStr">
        <is>
          <t>Bankfull width:depth ratio</t>
        </is>
      </c>
      <c r="D24" s="14" t="inlineStr"/>
      <c r="E24" s="38">
        <f>IF('DEEP Score'!$E$21="","",'DEEP Score'!$E$21)</f>
        <v/>
      </c>
      <c r="F24" s="39" t="inlineStr"/>
      <c r="G24" s="17">
        <f>IF('Metrics'!$V$12="","",'Metrics'!$V$12)</f>
        <v/>
      </c>
      <c r="H24" s="18">
        <f>IF('Results'!$B$12="","",'Results'!$B$12)</f>
        <v/>
      </c>
      <c r="I24" s="19">
        <f>IF('DEEP Score'!$H$24="","",IF('DEEP Score'!$H$24&lt;=5,"Non-Functioning",IF('DEEP Score'!$H$24&lt;=10,"Functioning At-Risk","Functioning")))</f>
        <v/>
      </c>
    </row>
    <row r="25">
      <c r="A25" s="20" t="n"/>
      <c r="B25" s="21" t="n"/>
      <c r="C25" s="22" t="inlineStr">
        <is>
          <t>Bankfull height above channel</t>
        </is>
      </c>
      <c r="D25" s="23" t="inlineStr">
        <is>
          <t>m</t>
        </is>
      </c>
      <c r="E25" s="44">
        <f>IF('DEEP Score'!$E$22="","",'DEEP Score'!$E$22)</f>
        <v/>
      </c>
      <c r="F25" s="45" t="inlineStr"/>
      <c r="G25" s="26">
        <f>IF('Metrics'!$V$13="","",'Metrics'!$V$13)</f>
        <v/>
      </c>
      <c r="H25" s="21" t="n"/>
      <c r="I25" s="27" t="n"/>
    </row>
    <row r="26">
      <c r="A26" s="46" t="inlineStr">
        <is>
          <t>Geomorphology</t>
        </is>
      </c>
      <c r="B26" s="29" t="inlineStr">
        <is>
          <t>Channel and floodplain dynamics</t>
        </is>
      </c>
      <c r="C26" s="30" t="inlineStr">
        <is>
          <t>Sinuosity</t>
        </is>
      </c>
      <c r="D26" s="31" t="inlineStr"/>
      <c r="E26" s="32" t="n"/>
      <c r="F26" s="33" t="inlineStr"/>
      <c r="G26" s="34">
        <f>IF('Metrics'!$V$15="","",'Metrics'!$V$15)</f>
        <v/>
      </c>
      <c r="H26" s="35">
        <f>IF('Results'!$B$13="","",'Results'!$B$13)</f>
        <v/>
      </c>
      <c r="I26" s="36">
        <f>IF('DEEP Score'!$H$26="","",IF('DEEP Score'!$H$26&lt;=5,"Non-Functioning",IF('DEEP Score'!$H$26&lt;=10,"Functioning At-Risk","Functioning")))</f>
        <v/>
      </c>
    </row>
    <row r="27">
      <c r="A27" s="43" t="inlineStr">
        <is>
          <t>Geomorphology</t>
        </is>
      </c>
      <c r="B27" s="12" t="inlineStr">
        <is>
          <t>Sediment continuity</t>
        </is>
      </c>
      <c r="C27" s="13" t="inlineStr">
        <is>
          <t>Relative bed stability</t>
        </is>
      </c>
      <c r="D27" s="14" t="inlineStr">
        <is>
          <t>log</t>
        </is>
      </c>
      <c r="E27" s="15" t="n"/>
      <c r="F27" s="47" t="inlineStr">
        <is>
          <t>All streams (pooled)</t>
        </is>
      </c>
      <c r="G27" s="17">
        <f>IF('Metrics'!$V$16="","",'Metrics'!$V$16)</f>
        <v/>
      </c>
      <c r="H27" s="18">
        <f>IF('Results'!$B$14="","",'Results'!$B$14)</f>
        <v/>
      </c>
      <c r="I27" s="19">
        <f>IF('DEEP Score'!$H$27="","",IF('DEEP Score'!$H$27&lt;=5,"Non-Functioning",IF('DEEP Score'!$H$27&lt;=10,"Functioning At-Risk","Functioning")))</f>
        <v/>
      </c>
    </row>
    <row r="28">
      <c r="A28" s="20" t="n"/>
      <c r="B28" s="21" t="n"/>
      <c r="C28" s="22" t="inlineStr">
        <is>
          <t>Sand + fines</t>
        </is>
      </c>
      <c r="D28" s="23" t="inlineStr">
        <is>
          <t>%</t>
        </is>
      </c>
      <c r="E28" s="44">
        <f>IF('DEEP Score'!$E$23="","",'DEEP Score'!$E$23)</f>
        <v/>
      </c>
      <c r="F28" s="45" t="inlineStr"/>
      <c r="G28" s="26">
        <f>IF('Metrics'!$V$14="","",'Metrics'!$V$14)</f>
        <v/>
      </c>
      <c r="H28" s="21" t="n"/>
      <c r="I28" s="27" t="n"/>
    </row>
    <row r="29">
      <c r="A29" s="43" t="inlineStr">
        <is>
          <t>Geomorphology</t>
        </is>
      </c>
      <c r="B29" s="12" t="inlineStr">
        <is>
          <t>Bed composition and bedform dynamics</t>
        </is>
      </c>
      <c r="C29" s="13" t="inlineStr">
        <is>
          <t>Substrate size</t>
        </is>
      </c>
      <c r="D29" s="14" t="inlineStr">
        <is>
          <t>log mm</t>
        </is>
      </c>
      <c r="E29" s="15" t="n"/>
      <c r="F29" s="16" t="inlineStr"/>
      <c r="G29" s="17">
        <f>IF('Metrics'!$V$17="","",'Metrics'!$V$17)</f>
        <v/>
      </c>
      <c r="H29" s="18">
        <f>IF('Results'!$B$15="","",'Results'!$B$15)</f>
        <v/>
      </c>
      <c r="I29" s="19">
        <f>IF('DEEP Score'!$H$29="","",IF('DEEP Score'!$H$29&lt;=5,"Non-Functioning",IF('DEEP Score'!$H$29&lt;=10,"Functioning At-Risk","Functioning")))</f>
        <v/>
      </c>
    </row>
    <row r="30">
      <c r="A30" s="20" t="n"/>
      <c r="B30" s="21" t="n"/>
      <c r="C30" s="22" t="inlineStr">
        <is>
          <t>Large wood volume</t>
        </is>
      </c>
      <c r="D30" s="23" t="inlineStr">
        <is>
          <t>m3/100m</t>
        </is>
      </c>
      <c r="E30" s="24" t="n"/>
      <c r="F30" s="25" t="inlineStr"/>
      <c r="G30" s="26">
        <f>IF('Metrics'!$V$18="","",'Metrics'!$V$18)</f>
        <v/>
      </c>
      <c r="H30" s="21" t="n"/>
      <c r="I30" s="27" t="n"/>
    </row>
    <row r="31">
      <c r="A31" s="48" t="inlineStr">
        <is>
          <t>Physicochemistry</t>
        </is>
      </c>
      <c r="B31" s="12" t="inlineStr">
        <is>
          <t>Light &amp; thermal regime</t>
        </is>
      </c>
      <c r="C31" s="13" t="inlineStr">
        <is>
          <t>Chlorophyll a</t>
        </is>
      </c>
      <c r="D31" s="14" t="inlineStr">
        <is>
          <t>ug/L</t>
        </is>
      </c>
      <c r="E31" s="15" t="n"/>
      <c r="F31" s="16" t="inlineStr"/>
      <c r="G31" s="17">
        <f>IF('Metrics'!$V$19="","",'Metrics'!$V$19)</f>
        <v/>
      </c>
      <c r="H31" s="18">
        <f>IF('Results'!$B$16="","",'Results'!$B$16)</f>
        <v/>
      </c>
      <c r="I31" s="19">
        <f>IF('DEEP Score'!$H$31="","",IF('DEEP Score'!$H$31&lt;=5,"Non-Functioning",IF('DEEP Score'!$H$31&lt;=10,"Functioning At-Risk","Functioning")))</f>
        <v/>
      </c>
    </row>
    <row r="32">
      <c r="A32" s="20" t="n"/>
      <c r="B32" s="21" t="n"/>
      <c r="C32" s="22" t="inlineStr">
        <is>
          <t>Canopy density, mid-channel</t>
        </is>
      </c>
      <c r="D32" s="23" t="inlineStr">
        <is>
          <t>%</t>
        </is>
      </c>
      <c r="E32" s="24" t="n"/>
      <c r="F32" s="49" t="inlineStr">
        <is>
          <t>All streams (pooled)</t>
        </is>
      </c>
      <c r="G32" s="26">
        <f>IF('Metrics'!$V$20="","",'Metrics'!$V$20)</f>
        <v/>
      </c>
      <c r="H32" s="21" t="n"/>
      <c r="I32" s="27" t="n"/>
    </row>
    <row r="33">
      <c r="A33" s="50" t="inlineStr">
        <is>
          <t>Physicochemistry</t>
        </is>
      </c>
      <c r="B33" s="29" t="inlineStr">
        <is>
          <t>Carbon processing</t>
        </is>
      </c>
      <c r="C33" s="30" t="inlineStr">
        <is>
          <t>Riparian veg cover, woody</t>
        </is>
      </c>
      <c r="D33" s="31" t="inlineStr">
        <is>
          <t>frac</t>
        </is>
      </c>
      <c r="E33" s="32" t="n"/>
      <c r="F33" s="33" t="inlineStr"/>
      <c r="G33" s="34">
        <f>IF('Metrics'!$V$21="","",'Metrics'!$V$21)</f>
        <v/>
      </c>
      <c r="H33" s="35">
        <f>IF('Results'!$B$17="","",'Results'!$B$17)</f>
        <v/>
      </c>
      <c r="I33" s="36">
        <f>IF('DEEP Score'!$H$33="","",IF('DEEP Score'!$H$33&lt;=5,"Non-Functioning",IF('DEEP Score'!$H$33&lt;=10,"Functioning At-Risk","Functioning")))</f>
        <v/>
      </c>
    </row>
    <row r="34">
      <c r="A34" s="48" t="inlineStr">
        <is>
          <t>Physicochemistry</t>
        </is>
      </c>
      <c r="B34" s="12" t="inlineStr">
        <is>
          <t>Nutrient cycling</t>
        </is>
      </c>
      <c r="C34" s="13" t="inlineStr">
        <is>
          <t>Total nitrogen</t>
        </is>
      </c>
      <c r="D34" s="14" t="inlineStr">
        <is>
          <t>mg N/L</t>
        </is>
      </c>
      <c r="E34" s="15" t="n"/>
      <c r="F34" s="16" t="inlineStr"/>
      <c r="G34" s="17">
        <f>IF('Metrics'!$V$22="","",'Metrics'!$V$22)</f>
        <v/>
      </c>
      <c r="H34" s="18">
        <f>IF('Results'!$B$18="","",'Results'!$B$18)</f>
        <v/>
      </c>
      <c r="I34" s="19">
        <f>IF('DEEP Score'!$H$34="","",IF('DEEP Score'!$H$34&lt;=5,"Non-Functioning",IF('DEEP Score'!$H$34&lt;=10,"Functioning At-Risk","Functioning")))</f>
        <v/>
      </c>
    </row>
    <row r="35">
      <c r="A35" s="20" t="n"/>
      <c r="B35" s="21" t="n"/>
      <c r="C35" s="22" t="inlineStr">
        <is>
          <t>Total phosphorus</t>
        </is>
      </c>
      <c r="D35" s="23" t="inlineStr">
        <is>
          <t>ug/L</t>
        </is>
      </c>
      <c r="E35" s="24" t="n"/>
      <c r="F35" s="25" t="inlineStr"/>
      <c r="G35" s="26">
        <f>IF('Metrics'!$V$23="","",'Metrics'!$V$23)</f>
        <v/>
      </c>
      <c r="H35" s="21" t="n"/>
      <c r="I35" s="27" t="n"/>
    </row>
    <row r="36">
      <c r="A36" s="48" t="inlineStr">
        <is>
          <t>Physicochemistry</t>
        </is>
      </c>
      <c r="B36" s="12" t="inlineStr">
        <is>
          <t>Water &amp; soil quality</t>
        </is>
      </c>
      <c r="C36" s="13" t="inlineStr">
        <is>
          <t>Specific conductivity</t>
        </is>
      </c>
      <c r="D36" s="14" t="inlineStr">
        <is>
          <t>uS/cm</t>
        </is>
      </c>
      <c r="E36" s="15" t="n"/>
      <c r="F36" s="16" t="inlineStr"/>
      <c r="G36" s="17">
        <f>IF('Metrics'!$V$24="","",'Metrics'!$V$24)</f>
        <v/>
      </c>
      <c r="H36" s="18">
        <f>IF('Results'!$B$19="","",'Results'!$B$19)</f>
        <v/>
      </c>
      <c r="I36" s="19">
        <f>IF('DEEP Score'!$H$36="","",IF('DEEP Score'!$H$36&lt;=5,"Non-Functioning",IF('DEEP Score'!$H$36&lt;=10,"Functioning At-Risk","Functioning")))</f>
        <v/>
      </c>
    </row>
    <row r="37">
      <c r="A37" s="20" t="n"/>
      <c r="B37" s="21" t="n"/>
      <c r="C37" s="22" t="inlineStr">
        <is>
          <t>pH</t>
        </is>
      </c>
      <c r="D37" s="23" t="inlineStr">
        <is>
          <t>Std. Units</t>
        </is>
      </c>
      <c r="E37" s="24" t="n"/>
      <c r="F37" s="25" t="inlineStr"/>
      <c r="G37" s="26">
        <f>IF('Metrics'!$V$25="","",'Metrics'!$V$25)</f>
        <v/>
      </c>
      <c r="H37" s="21" t="n"/>
      <c r="I37" s="27" t="n"/>
    </row>
    <row r="38">
      <c r="A38" s="51" t="inlineStr">
        <is>
          <t>Biology</t>
        </is>
      </c>
      <c r="B38" s="12" t="inlineStr">
        <is>
          <t>Habitat provision</t>
        </is>
      </c>
      <c r="C38" s="13" t="inlineStr">
        <is>
          <t>Fast-water / riffle habitat</t>
        </is>
      </c>
      <c r="D38" s="14" t="inlineStr">
        <is>
          <t>%</t>
        </is>
      </c>
      <c r="E38" s="15" t="n"/>
      <c r="F38" s="47" t="inlineStr">
        <is>
          <t>All streams (pooled)</t>
        </is>
      </c>
      <c r="G38" s="17">
        <f>IF('Metrics'!$V$26="","",'Metrics'!$V$26)</f>
        <v/>
      </c>
      <c r="H38" s="18">
        <f>IF('Results'!$B$20="","",'Results'!$B$20)</f>
        <v/>
      </c>
      <c r="I38" s="19">
        <f>IF('DEEP Score'!$H$38="","",IF('DEEP Score'!$H$38&lt;=5,"Non-Functioning",IF('DEEP Score'!$H$38&lt;=10,"Functioning At-Risk","Functioning")))</f>
        <v/>
      </c>
    </row>
    <row r="39">
      <c r="A39" s="20" t="n"/>
      <c r="B39" s="21" t="n"/>
      <c r="C39" s="22" t="inlineStr">
        <is>
          <t>Natural fish cover</t>
        </is>
      </c>
      <c r="D39" s="23" t="inlineStr">
        <is>
          <t>frac</t>
        </is>
      </c>
      <c r="E39" s="24" t="n"/>
      <c r="F39" s="25" t="inlineStr"/>
      <c r="G39" s="26">
        <f>IF('Metrics'!$V$27="","",'Metrics'!$V$27)</f>
        <v/>
      </c>
      <c r="H39" s="21" t="n"/>
      <c r="I39" s="27" t="n"/>
    </row>
    <row r="40">
      <c r="A40" s="51" t="inlineStr">
        <is>
          <t>Biology</t>
        </is>
      </c>
      <c r="B40" s="12" t="inlineStr">
        <is>
          <t>Population support</t>
        </is>
      </c>
      <c r="C40" s="13" t="inlineStr">
        <is>
          <t>Benthic total taxa richness</t>
        </is>
      </c>
      <c r="D40" s="14" t="inlineStr"/>
      <c r="E40" s="15" t="n"/>
      <c r="F40" s="16" t="inlineStr"/>
      <c r="G40" s="17">
        <f>IF('Metrics'!$V$28="","",'Metrics'!$V$28)</f>
        <v/>
      </c>
      <c r="H40" s="18">
        <f>IF('Results'!$B$21="","",'Results'!$B$21)</f>
        <v/>
      </c>
      <c r="I40" s="19">
        <f>IF('DEEP Score'!$H$40="","",IF('DEEP Score'!$H$40&lt;=5,"Non-Functioning",IF('DEEP Score'!$H$40&lt;=10,"Functioning At-Risk","Functioning")))</f>
        <v/>
      </c>
    </row>
    <row r="41">
      <c r="A41" s="20" t="n"/>
      <c r="B41" s="21" t="n"/>
      <c r="C41" s="22" t="inlineStr">
        <is>
          <t>Native fish taxa richness</t>
        </is>
      </c>
      <c r="D41" s="23" t="inlineStr"/>
      <c r="E41" s="24" t="n"/>
      <c r="F41" s="25" t="inlineStr"/>
      <c r="G41" s="26">
        <f>IF('Metrics'!$V$29="","",'Metrics'!$V$29)</f>
        <v/>
      </c>
      <c r="H41" s="21" t="n"/>
      <c r="I41" s="27" t="n"/>
    </row>
    <row r="42">
      <c r="A42" s="51" t="inlineStr">
        <is>
          <t>Biology</t>
        </is>
      </c>
      <c r="B42" s="12" t="inlineStr">
        <is>
          <t>Community dynamics</t>
        </is>
      </c>
      <c r="C42" s="13" t="inlineStr">
        <is>
          <t>EPT taxa richness</t>
        </is>
      </c>
      <c r="D42" s="14" t="inlineStr"/>
      <c r="E42" s="15" t="n"/>
      <c r="F42" s="16" t="inlineStr"/>
      <c r="G42" s="17">
        <f>IF('Metrics'!$V$30="","",'Metrics'!$V$30)</f>
        <v/>
      </c>
      <c r="H42" s="18">
        <f>IF('Results'!$B$22="","",'Results'!$B$22)</f>
        <v/>
      </c>
      <c r="I42" s="19">
        <f>IF('DEEP Score'!$H$42="","",IF('DEEP Score'!$H$42&lt;=5,"Non-Functioning",IF('DEEP Score'!$H$42&lt;=10,"Functioning At-Risk","Functioning")))</f>
        <v/>
      </c>
    </row>
    <row r="43">
      <c r="A43" s="20" t="n"/>
      <c r="B43" s="21" t="n"/>
      <c r="C43" s="22" t="inlineStr">
        <is>
          <t>Shannon diversity (H')</t>
        </is>
      </c>
      <c r="D43" s="23" t="inlineStr">
        <is>
          <t>H'</t>
        </is>
      </c>
      <c r="E43" s="24" t="n"/>
      <c r="F43" s="25" t="inlineStr"/>
      <c r="G43" s="26">
        <f>IF('Metrics'!$V$31="","",'Metrics'!$V$31)</f>
        <v/>
      </c>
      <c r="H43" s="21" t="n"/>
      <c r="I43" s="27" t="n"/>
    </row>
    <row r="44">
      <c r="A44" s="52" t="inlineStr">
        <is>
          <t>Biology</t>
        </is>
      </c>
      <c r="B44" s="29" t="inlineStr">
        <is>
          <t>Watershed connectivity</t>
        </is>
      </c>
      <c r="C44" s="30" t="inlineStr">
        <is>
          <t>Mapped dams within one mile</t>
        </is>
      </c>
      <c r="D44" s="31" t="inlineStr">
        <is>
          <t>dams</t>
        </is>
      </c>
      <c r="E44" s="32" t="n"/>
      <c r="F44" s="33" t="inlineStr"/>
      <c r="G44" s="34">
        <f>IF('Metrics'!$V$32="","",'Metrics'!$V$32)</f>
        <v/>
      </c>
      <c r="H44" s="35">
        <f>IF('Results'!$B$23="","",'Results'!$B$23)</f>
        <v/>
      </c>
      <c r="I44" s="36">
        <f>IF('DEEP Score'!$H$44="","",IF('DEEP Score'!$H$44&lt;=5,"Non-Functioning",IF('DEEP Score'!$H$44&lt;=10,"Functioning At-Risk","Functioning")))</f>
        <v/>
      </c>
    </row>
    <row r="46">
      <c r="A46" s="53" t="inlineStr">
        <is>
          <t>Summary</t>
        </is>
      </c>
    </row>
    <row r="47">
      <c r="A47" s="10" t="inlineStr">
        <is>
          <t>Outcome</t>
        </is>
      </c>
      <c r="B47" s="10" t="inlineStr">
        <is>
          <t>Sub-index (0 to 1)</t>
        </is>
      </c>
      <c r="C47" s="10" t="inlineStr">
        <is>
          <t>Condition</t>
        </is>
      </c>
    </row>
    <row r="48">
      <c r="A48" s="54" t="inlineStr">
        <is>
          <t>Physical</t>
        </is>
      </c>
      <c r="B48" s="55">
        <f>'Results'!$B$26</f>
        <v/>
      </c>
      <c r="C48" s="56">
        <f>IF('DEEP Score'!$B$48&lt;=0.39,"Non-Functioning",IF('DEEP Score'!$B$48&lt;=0.69,"Functioning At-Risk","Functioning"))</f>
        <v/>
      </c>
    </row>
    <row r="49">
      <c r="A49" s="54" t="inlineStr">
        <is>
          <t>Chemical</t>
        </is>
      </c>
      <c r="B49" s="55">
        <f>'Results'!$B$27</f>
        <v/>
      </c>
      <c r="C49" s="56">
        <f>IF('DEEP Score'!$B$49&lt;=0.39,"Non-Functioning",IF('DEEP Score'!$B$49&lt;=0.69,"Functioning At-Risk","Functioning"))</f>
        <v/>
      </c>
    </row>
    <row r="50">
      <c r="A50" s="54" t="inlineStr">
        <is>
          <t>Biological</t>
        </is>
      </c>
      <c r="B50" s="55">
        <f>'Results'!$B$28</f>
        <v/>
      </c>
      <c r="C50" s="56">
        <f>IF('DEEP Score'!$B$50&lt;=0.39,"Non-Functioning",IF('DEEP Score'!$B$50&lt;=0.69,"Functioning At-Risk","Functioning"))</f>
        <v/>
      </c>
    </row>
    <row r="51" ht="30" customHeight="1">
      <c r="A51" s="57" t="inlineStr">
        <is>
          <t>Ecosystem Condition Index</t>
        </is>
      </c>
      <c r="B51" s="58">
        <f>'Results'!$B$29</f>
        <v/>
      </c>
      <c r="C51" s="56">
        <f>IF('DEEP Score'!$B$51&lt;=0.39,"Non-Functioning",IF('DEEP Score'!$B$51&lt;=0.69,"Functioning At-Risk","Functioning"))</f>
        <v/>
      </c>
    </row>
    <row r="52">
      <c r="A52" s="5" t="inlineStr">
        <is>
          <t xml:space="preserve">Functions with a score: </t>
        </is>
      </c>
      <c r="B52" s="5">
        <f>COUNT('Results'!$B$4:$B$23)&amp;" of 20"</f>
        <v/>
      </c>
    </row>
    <row r="53">
      <c r="A53" s="5" t="inlineStr">
        <is>
          <t>This assessment covers 20 of 20 STAF functions.</t>
        </is>
      </c>
    </row>
    <row r="55">
      <c r="A55" s="59" t="inlineStr">
        <is>
          <t>Withheld for insufficient reference support (not scored)</t>
        </is>
      </c>
    </row>
    <row r="56">
      <c r="A56" t="inlineStr">
        <is>
          <t>Bank angle</t>
        </is>
      </c>
      <c r="C56" s="5" t="inlineStr">
        <is>
          <t>Channel and floodplain dynamics</t>
        </is>
      </c>
    </row>
    <row r="57">
      <c r="A57" t="inlineStr">
        <is>
          <t>Embeddedness</t>
        </is>
      </c>
      <c r="C57" s="5" t="inlineStr">
        <is>
          <t>Hyporheic connectivity, Bed composition and bedform dynamics</t>
        </is>
      </c>
    </row>
    <row r="59">
      <c r="A59" s="6" t="inlineStr">
        <is>
          <t>Notes</t>
        </is>
      </c>
    </row>
    <row r="60">
      <c r="A60" s="60" t="n"/>
      <c r="B60" s="61" t="n"/>
      <c r="C60" s="61" t="n"/>
      <c r="D60" s="61" t="n"/>
      <c r="E60" s="61" t="n"/>
      <c r="F60" s="61" t="n"/>
      <c r="G60" s="61" t="n"/>
      <c r="H60" s="61" t="n"/>
      <c r="I60" s="62" t="n"/>
    </row>
    <row r="61">
      <c r="A61" s="63" t="n"/>
      <c r="B61" s="64" t="n"/>
      <c r="C61" s="64" t="n"/>
      <c r="D61" s="64" t="n"/>
      <c r="E61" s="64" t="n"/>
      <c r="F61" s="64" t="n"/>
      <c r="G61" s="64" t="n"/>
      <c r="H61" s="64" t="n"/>
      <c r="I61" s="65" t="n"/>
    </row>
    <row r="62">
      <c r="A62" s="63" t="n"/>
      <c r="B62" s="64" t="n"/>
      <c r="C62" s="64" t="n"/>
      <c r="D62" s="64" t="n"/>
      <c r="E62" s="64" t="n"/>
      <c r="F62" s="64" t="n"/>
      <c r="G62" s="64" t="n"/>
      <c r="H62" s="64" t="n"/>
      <c r="I62" s="65" t="n"/>
    </row>
    <row r="63">
      <c r="A63" s="63" t="n"/>
      <c r="B63" s="64" t="n"/>
      <c r="C63" s="64" t="n"/>
      <c r="D63" s="64" t="n"/>
      <c r="E63" s="64" t="n"/>
      <c r="F63" s="64" t="n"/>
      <c r="G63" s="64" t="n"/>
      <c r="H63" s="64" t="n"/>
      <c r="I63" s="65" t="n"/>
    </row>
    <row r="64">
      <c r="A64" s="63" t="n"/>
      <c r="B64" s="64" t="n"/>
      <c r="C64" s="64" t="n"/>
      <c r="D64" s="64" t="n"/>
      <c r="E64" s="64" t="n"/>
      <c r="F64" s="64" t="n"/>
      <c r="G64" s="64" t="n"/>
      <c r="H64" s="64" t="n"/>
      <c r="I64" s="65" t="n"/>
    </row>
    <row r="65">
      <c r="A65" s="66" t="n"/>
      <c r="B65" s="67" t="n"/>
      <c r="C65" s="67" t="n"/>
      <c r="D65" s="67" t="n"/>
      <c r="E65" s="67" t="n"/>
      <c r="F65" s="67" t="n"/>
      <c r="G65" s="67" t="n"/>
      <c r="H65" s="67" t="n"/>
      <c r="I65" s="68" t="n"/>
    </row>
  </sheetData>
  <sheetProtection selectLockedCells="0" selectUnlockedCells="0" sheet="1" objects="0" insertRows="1" insertHyperlinks="1" autoFilter="1" scenarios="0" formatColumns="1" deleteColumns="1" insertColumns="1" pivotTables="1" deleteRows="1" formatCells="1" formatRows="1" sort="1" password="CB3B"/>
  <mergeCells count="59">
    <mergeCell ref="B27:B28"/>
    <mergeCell ref="A24:A25"/>
    <mergeCell ref="H29:H30"/>
    <mergeCell ref="B12:B13"/>
    <mergeCell ref="B18:B19"/>
    <mergeCell ref="H38:H39"/>
    <mergeCell ref="B8:D8"/>
    <mergeCell ref="I36:I37"/>
    <mergeCell ref="I16:I17"/>
    <mergeCell ref="A36:A37"/>
    <mergeCell ref="A16:A17"/>
    <mergeCell ref="H21:H22"/>
    <mergeCell ref="B42:B43"/>
    <mergeCell ref="H31:H32"/>
    <mergeCell ref="B38:B39"/>
    <mergeCell ref="H34:H35"/>
    <mergeCell ref="B29:B30"/>
    <mergeCell ref="H40:H41"/>
    <mergeCell ref="A27:A28"/>
    <mergeCell ref="I18:I19"/>
    <mergeCell ref="A12:A13"/>
    <mergeCell ref="I12:I13"/>
    <mergeCell ref="B9:D9"/>
    <mergeCell ref="I21:I22"/>
    <mergeCell ref="H36:H37"/>
    <mergeCell ref="B34:B35"/>
    <mergeCell ref="A18:A19"/>
    <mergeCell ref="B6:D6"/>
    <mergeCell ref="B24:B25"/>
    <mergeCell ref="I24:I25"/>
    <mergeCell ref="A21:A22"/>
    <mergeCell ref="A4:I4"/>
    <mergeCell ref="B5:D5"/>
    <mergeCell ref="H27:H28"/>
    <mergeCell ref="A60:I65"/>
    <mergeCell ref="H16:H17"/>
    <mergeCell ref="B36:B37"/>
    <mergeCell ref="A42:A43"/>
    <mergeCell ref="H12:H13"/>
    <mergeCell ref="I42:I43"/>
    <mergeCell ref="A29:A30"/>
    <mergeCell ref="I38:I39"/>
    <mergeCell ref="I29:I30"/>
    <mergeCell ref="B7:D7"/>
    <mergeCell ref="I34:I35"/>
    <mergeCell ref="B40:B41"/>
    <mergeCell ref="H24:H25"/>
    <mergeCell ref="H18:H19"/>
    <mergeCell ref="A38:A39"/>
    <mergeCell ref="A34:A35"/>
    <mergeCell ref="I31:I32"/>
    <mergeCell ref="H42:H43"/>
    <mergeCell ref="B16:B17"/>
    <mergeCell ref="A31:A32"/>
    <mergeCell ref="A40:A41"/>
    <mergeCell ref="B21:B22"/>
    <mergeCell ref="I27:I28"/>
    <mergeCell ref="I40:I41"/>
    <mergeCell ref="B31:B32"/>
  </mergeCells>
  <conditionalFormatting sqref="G12:G44">
    <cfRule type="expression" priority="1" dxfId="0">
      <formula>AND(ISNUMBER(G12),G12&lt;=0.39)</formula>
    </cfRule>
    <cfRule type="expression" priority="2" dxfId="1">
      <formula>AND(ISNUMBER(G12),G12&gt;0.39,G12&lt;=0.69)</formula>
    </cfRule>
    <cfRule type="expression" priority="3" dxfId="2">
      <formula>AND(ISNUMBER(G12),G12&gt;0.69)</formula>
    </cfRule>
  </conditionalFormatting>
  <conditionalFormatting sqref="H12:H44">
    <cfRule type="expression" priority="4" dxfId="0">
      <formula>AND(ISNUMBER(H12),H12&lt;=5)</formula>
    </cfRule>
    <cfRule type="expression" priority="5" dxfId="1">
      <formula>AND(ISNUMBER(H12),H12&gt;5,H12&lt;=10)</formula>
    </cfRule>
    <cfRule type="expression" priority="6" dxfId="2">
      <formula>AND(ISNUMBER(H12),H12&gt;10)</formula>
    </cfRule>
  </conditionalFormatting>
  <conditionalFormatting sqref="I12:I44">
    <cfRule type="expression" priority="7" dxfId="0">
      <formula>I12="Non-Functioning"</formula>
    </cfRule>
    <cfRule type="expression" priority="8" dxfId="1">
      <formula>I12="Functioning At-Risk"</formula>
    </cfRule>
    <cfRule type="expression" priority="9" dxfId="2">
      <formula>I12="Functioning"</formula>
    </cfRule>
  </conditionalFormatting>
  <dataValidations count="3">
    <dataValidation sqref="F27" showDropDown="0" showInputMessage="0" showErrorMessage="1" allowBlank="1" errorTitle="Curve set" error="Choose a curve set from the list." type="list">
      <formula1>=strata_spring_phab_lrbs_use</formula1>
    </dataValidation>
    <dataValidation sqref="F32" showDropDown="0" showInputMessage="0" showErrorMessage="1" allowBlank="1" errorTitle="Curve set" error="Choose a curve set from the list." type="list">
      <formula1>=strata_spring_phab_xcdenmid</formula1>
    </dataValidation>
    <dataValidation sqref="F38" showDropDown="0" showInputMessage="0" showErrorMessage="1" allowBlank="1" errorTitle="Curve set" error="Choose a curve set from the list." type="list">
      <formula1>=strata_spring_phab_pct_fast</formula1>
    </dataValidation>
  </dataValidations>
  <pageMargins left="0.75" right="0.75" top="1" bottom="1" header="0.5" footer="0.5"/>
  <headerFooter>
    <oddHeader>&amp;C&amp;"Calibri,Bold"&amp;K475569Assessment status: Draft._x000a_For research and regional assessment development only.</oddHeader>
    <oddFooter/>
    <evenHeader/>
    <evenFooter/>
    <firstHeader/>
    <firstFooter/>
  </headerFooter>
  <drawing xmlns:r="http://schemas.openxmlformats.org/officeDocument/2006/relationships" r:id="rId1"/>
</worksheet>
</file>

<file path=xl/worksheets/sheet3.xml><?xml version="1.0" encoding="utf-8"?>
<worksheet xmlns="http://schemas.openxmlformats.org/spreadsheetml/2006/main">
  <sheetPr>
    <tabColor rgb="00475569"/>
    <outlinePr summaryBelow="1" summaryRight="1"/>
    <pageSetUpPr/>
  </sheetPr>
  <dimension ref="A1:V32"/>
  <sheetViews>
    <sheetView tabSelected="0" workbookViewId="0">
      <selection activeCell="A1" sqref="A1"/>
    </sheetView>
  </sheetViews>
  <sheetFormatPr baseColWidth="8" defaultRowHeight="15"/>
  <cols>
    <col width="38" customWidth="1" min="1" max="1"/>
    <col width="34" customWidth="1" min="3" max="3"/>
    <col width="50" customWidth="1" min="4" max="4"/>
  </cols>
  <sheetData>
    <row r="1">
      <c r="A1" s="69" t="inlineStr">
        <is>
          <t>Metric indices</t>
        </is>
      </c>
    </row>
    <row r="2">
      <c r="A2" s="5" t="inlineStr">
        <is>
          <t>One row per metric. The value and the curve set come from the DEEP Score sheet, the knots from the Reference sheet, and the index is DEEP's piecewise-linear interpolation.</t>
        </is>
      </c>
    </row>
    <row r="3" ht="21" customHeight="1">
      <c r="A3" s="3" t="inlineStr">
        <is>
          <t>Assessment status: Draft. For research and regional assessment development only.</t>
        </is>
      </c>
    </row>
    <row r="4">
      <c r="A4" s="6" t="inlineStr">
        <is>
          <t>Metric</t>
        </is>
      </c>
      <c r="B4" s="6" t="inlineStr">
        <is>
          <t>Value</t>
        </is>
      </c>
      <c r="C4" s="6" t="inlineStr">
        <is>
          <t>Curve set in use</t>
        </is>
      </c>
      <c r="D4" s="6" t="inlineStr">
        <is>
          <t>Curve key</t>
        </is>
      </c>
      <c r="E4" s="6" t="inlineStr">
        <is>
          <t>Curve row</t>
        </is>
      </c>
      <c r="F4" s="6" t="inlineStr">
        <is>
          <t>x1</t>
        </is>
      </c>
      <c r="G4" s="6" t="inlineStr">
        <is>
          <t>x2</t>
        </is>
      </c>
      <c r="H4" s="6" t="inlineStr">
        <is>
          <t>x3</t>
        </is>
      </c>
      <c r="I4" s="6" t="inlineStr">
        <is>
          <t>x4</t>
        </is>
      </c>
      <c r="J4" s="6" t="inlineStr">
        <is>
          <t>x5</t>
        </is>
      </c>
      <c r="K4" s="6" t="inlineStr">
        <is>
          <t>x6</t>
        </is>
      </c>
      <c r="L4" s="6" t="inlineStr">
        <is>
          <t>x7</t>
        </is>
      </c>
      <c r="M4" s="6" t="inlineStr">
        <is>
          <t>x8</t>
        </is>
      </c>
      <c r="N4" s="6" t="inlineStr">
        <is>
          <t>y1</t>
        </is>
      </c>
      <c r="O4" s="6" t="inlineStr">
        <is>
          <t>y2</t>
        </is>
      </c>
      <c r="P4" s="6" t="inlineStr">
        <is>
          <t>y3</t>
        </is>
      </c>
      <c r="Q4" s="6" t="inlineStr">
        <is>
          <t>y4</t>
        </is>
      </c>
      <c r="R4" s="6" t="inlineStr">
        <is>
          <t>y5</t>
        </is>
      </c>
      <c r="S4" s="6" t="inlineStr">
        <is>
          <t>y6</t>
        </is>
      </c>
      <c r="T4" s="6" t="inlineStr">
        <is>
          <t>y7</t>
        </is>
      </c>
      <c r="U4" s="6" t="inlineStr">
        <is>
          <t>y8</t>
        </is>
      </c>
      <c r="V4" s="6" t="inlineStr">
        <is>
          <t>Index</t>
        </is>
      </c>
    </row>
    <row r="5">
      <c r="A5" s="70" t="inlineStr">
        <is>
          <t>Impervious surface</t>
        </is>
      </c>
      <c r="B5" s="71">
        <f>IF('DEEP Score'!$E$12="","",'DEEP Score'!$E$12)</f>
        <v/>
      </c>
      <c r="C5" s="71">
        <f>""</f>
        <v/>
      </c>
      <c r="D5" s="71">
        <f>"spring_pctimp2019ws|"&amp;'Metrics'!$C$5</f>
        <v/>
      </c>
      <c r="E5" s="71">
        <f>IFERROR(MATCH('Metrics'!$D$5,curve_key,0),MATCH("spring_pctimp2019ws|",curve_key,0))</f>
        <v/>
      </c>
      <c r="F5" s="71">
        <f>INDEX(curve_x1,'Metrics'!$E$5)</f>
        <v/>
      </c>
      <c r="G5" s="71">
        <f>INDEX(curve_x2,'Metrics'!$E$5)</f>
        <v/>
      </c>
      <c r="H5" s="71">
        <f>INDEX(curve_x3,'Metrics'!$E$5)</f>
        <v/>
      </c>
      <c r="I5" s="71">
        <f>INDEX(curve_x4,'Metrics'!$E$5)</f>
        <v/>
      </c>
      <c r="J5" s="71">
        <f>INDEX(curve_x5,'Metrics'!$E$5)</f>
        <v/>
      </c>
      <c r="K5" s="71">
        <f>INDEX(curve_x6,'Metrics'!$E$5)</f>
        <v/>
      </c>
      <c r="L5" s="71">
        <f>INDEX(curve_x7,'Metrics'!$E$5)</f>
        <v/>
      </c>
      <c r="M5" s="71">
        <f>INDEX(curve_x8,'Metrics'!$E$5)</f>
        <v/>
      </c>
      <c r="N5" s="71">
        <f>INDEX(curve_y1,'Metrics'!$E$5)</f>
        <v/>
      </c>
      <c r="O5" s="71">
        <f>INDEX(curve_y2,'Metrics'!$E$5)</f>
        <v/>
      </c>
      <c r="P5" s="71">
        <f>INDEX(curve_y3,'Metrics'!$E$5)</f>
        <v/>
      </c>
      <c r="Q5" s="71">
        <f>INDEX(curve_y4,'Metrics'!$E$5)</f>
        <v/>
      </c>
      <c r="R5" s="71">
        <f>INDEX(curve_y5,'Metrics'!$E$5)</f>
        <v/>
      </c>
      <c r="S5" s="71">
        <f>INDEX(curve_y6,'Metrics'!$E$5)</f>
        <v/>
      </c>
      <c r="T5" s="71">
        <f>INDEX(curve_y7,'Metrics'!$E$5)</f>
        <v/>
      </c>
      <c r="U5" s="71">
        <f>INDEX(curve_y8,'Metrics'!$E$5)</f>
        <v/>
      </c>
      <c r="V5" s="72">
        <f>IF(ISNUMBER('Metrics'!$B$5),MAX(0,MIN(1,IF('Metrics'!$B$5&lt;='Metrics'!$F$5,'Metrics'!$N$5,IF('Metrics'!$B$5&gt;='Metrics'!$M$5,'Metrics'!$U$5,IF('Metrics'!$B$5&lt;='Metrics'!$G$5,IF('Metrics'!$G$5-'Metrics'!$F$5&lt;=0,'Metrics'!$O$5,'Metrics'!$N$5+('Metrics'!$B$5-'Metrics'!$F$5)/('Metrics'!$G$5-'Metrics'!$F$5)*('Metrics'!$O$5-'Metrics'!$N$5)),IF('Metrics'!$B$5&lt;='Metrics'!$H$5,IF('Metrics'!$H$5-'Metrics'!$G$5&lt;=0,'Metrics'!$P$5,'Metrics'!$O$5+('Metrics'!$B$5-'Metrics'!$G$5)/('Metrics'!$H$5-'Metrics'!$G$5)*('Metrics'!$P$5-'Metrics'!$O$5)),IF('Metrics'!$B$5&lt;='Metrics'!$I$5,IF('Metrics'!$I$5-'Metrics'!$H$5&lt;=0,'Metrics'!$Q$5,'Metrics'!$P$5+('Metrics'!$B$5-'Metrics'!$H$5)/('Metrics'!$I$5-'Metrics'!$H$5)*('Metrics'!$Q$5-'Metrics'!$P$5)),IF('Metrics'!$B$5&lt;='Metrics'!$J$5,IF('Metrics'!$J$5-'Metrics'!$I$5&lt;=0,'Metrics'!$R$5,'Metrics'!$Q$5+('Metrics'!$B$5-'Metrics'!$I$5)/('Metrics'!$J$5-'Metrics'!$I$5)*('Metrics'!$R$5-'Metrics'!$Q$5)),IF('Metrics'!$B$5&lt;='Metrics'!$K$5,IF('Metrics'!$K$5-'Metrics'!$J$5&lt;=0,'Metrics'!$S$5,'Metrics'!$R$5+('Metrics'!$B$5-'Metrics'!$J$5)/('Metrics'!$K$5-'Metrics'!$J$5)*('Metrics'!$S$5-'Metrics'!$R$5)),IF('Metrics'!$B$5&lt;='Metrics'!$L$5,IF('Metrics'!$L$5-'Metrics'!$K$5&lt;=0,'Metrics'!$T$5,'Metrics'!$S$5+('Metrics'!$B$5-'Metrics'!$K$5)/('Metrics'!$L$5-'Metrics'!$K$5)*('Metrics'!$T$5-'Metrics'!$S$5)),IF('Metrics'!$M$5-'Metrics'!$L$5&lt;=0,'Metrics'!$U$5,'Metrics'!$T$5+('Metrics'!$B$5-'Metrics'!$L$5)/('Metrics'!$M$5-'Metrics'!$L$5)*('Metrics'!$U$5-'Metrics'!$T$5)))))))))))),"")</f>
        <v/>
      </c>
    </row>
    <row r="6">
      <c r="A6" s="70" t="inlineStr">
        <is>
          <t>Agriculture, crop and hay</t>
        </is>
      </c>
      <c r="B6" s="71">
        <f>IF('DEEP Score'!$E$13="","",'DEEP Score'!$E$13)</f>
        <v/>
      </c>
      <c r="C6" s="71">
        <f>""</f>
        <v/>
      </c>
      <c r="D6" s="71">
        <f>"spring_pctag2019ws|"&amp;'Metrics'!$C$6</f>
        <v/>
      </c>
      <c r="E6" s="71">
        <f>IFERROR(MATCH('Metrics'!$D$6,curve_key,0),MATCH("spring_pctag2019ws|",curve_key,0))</f>
        <v/>
      </c>
      <c r="F6" s="71">
        <f>INDEX(curve_x1,'Metrics'!$E$6)</f>
        <v/>
      </c>
      <c r="G6" s="71">
        <f>INDEX(curve_x2,'Metrics'!$E$6)</f>
        <v/>
      </c>
      <c r="H6" s="71">
        <f>INDEX(curve_x3,'Metrics'!$E$6)</f>
        <v/>
      </c>
      <c r="I6" s="71">
        <f>INDEX(curve_x4,'Metrics'!$E$6)</f>
        <v/>
      </c>
      <c r="J6" s="71">
        <f>INDEX(curve_x5,'Metrics'!$E$6)</f>
        <v/>
      </c>
      <c r="K6" s="71">
        <f>INDEX(curve_x6,'Metrics'!$E$6)</f>
        <v/>
      </c>
      <c r="L6" s="71">
        <f>INDEX(curve_x7,'Metrics'!$E$6)</f>
        <v/>
      </c>
      <c r="M6" s="71">
        <f>INDEX(curve_x8,'Metrics'!$E$6)</f>
        <v/>
      </c>
      <c r="N6" s="71">
        <f>INDEX(curve_y1,'Metrics'!$E$6)</f>
        <v/>
      </c>
      <c r="O6" s="71">
        <f>INDEX(curve_y2,'Metrics'!$E$6)</f>
        <v/>
      </c>
      <c r="P6" s="71">
        <f>INDEX(curve_y3,'Metrics'!$E$6)</f>
        <v/>
      </c>
      <c r="Q6" s="71">
        <f>INDEX(curve_y4,'Metrics'!$E$6)</f>
        <v/>
      </c>
      <c r="R6" s="71">
        <f>INDEX(curve_y5,'Metrics'!$E$6)</f>
        <v/>
      </c>
      <c r="S6" s="71">
        <f>INDEX(curve_y6,'Metrics'!$E$6)</f>
        <v/>
      </c>
      <c r="T6" s="71">
        <f>INDEX(curve_y7,'Metrics'!$E$6)</f>
        <v/>
      </c>
      <c r="U6" s="71">
        <f>INDEX(curve_y8,'Metrics'!$E$6)</f>
        <v/>
      </c>
      <c r="V6" s="72">
        <f>IF(ISNUMBER('Metrics'!$B$6),MAX(0,MIN(1,IF('Metrics'!$B$6&lt;='Metrics'!$F$6,'Metrics'!$N$6,IF('Metrics'!$B$6&gt;='Metrics'!$M$6,'Metrics'!$U$6,IF('Metrics'!$B$6&lt;='Metrics'!$G$6,IF('Metrics'!$G$6-'Metrics'!$F$6&lt;=0,'Metrics'!$O$6,'Metrics'!$N$6+('Metrics'!$B$6-'Metrics'!$F$6)/('Metrics'!$G$6-'Metrics'!$F$6)*('Metrics'!$O$6-'Metrics'!$N$6)),IF('Metrics'!$B$6&lt;='Metrics'!$H$6,IF('Metrics'!$H$6-'Metrics'!$G$6&lt;=0,'Metrics'!$P$6,'Metrics'!$O$6+('Metrics'!$B$6-'Metrics'!$G$6)/('Metrics'!$H$6-'Metrics'!$G$6)*('Metrics'!$P$6-'Metrics'!$O$6)),IF('Metrics'!$B$6&lt;='Metrics'!$I$6,IF('Metrics'!$I$6-'Metrics'!$H$6&lt;=0,'Metrics'!$Q$6,'Metrics'!$P$6+('Metrics'!$B$6-'Metrics'!$H$6)/('Metrics'!$I$6-'Metrics'!$H$6)*('Metrics'!$Q$6-'Metrics'!$P$6)),IF('Metrics'!$B$6&lt;='Metrics'!$J$6,IF('Metrics'!$J$6-'Metrics'!$I$6&lt;=0,'Metrics'!$R$6,'Metrics'!$Q$6+('Metrics'!$B$6-'Metrics'!$I$6)/('Metrics'!$J$6-'Metrics'!$I$6)*('Metrics'!$R$6-'Metrics'!$Q$6)),IF('Metrics'!$B$6&lt;='Metrics'!$K$6,IF('Metrics'!$K$6-'Metrics'!$J$6&lt;=0,'Metrics'!$S$6,'Metrics'!$R$6+('Metrics'!$B$6-'Metrics'!$J$6)/('Metrics'!$K$6-'Metrics'!$J$6)*('Metrics'!$S$6-'Metrics'!$R$6)),IF('Metrics'!$B$6&lt;='Metrics'!$L$6,IF('Metrics'!$L$6-'Metrics'!$K$6&lt;=0,'Metrics'!$T$6,'Metrics'!$S$6+('Metrics'!$B$6-'Metrics'!$K$6)/('Metrics'!$L$6-'Metrics'!$K$6)*('Metrics'!$T$6-'Metrics'!$S$6)),IF('Metrics'!$M$6-'Metrics'!$L$6&lt;=0,'Metrics'!$U$6,'Metrics'!$T$6+('Metrics'!$B$6-'Metrics'!$L$6)/('Metrics'!$M$6-'Metrics'!$L$6)*('Metrics'!$U$6-'Metrics'!$T$6)))))))))))),"")</f>
        <v/>
      </c>
    </row>
    <row r="7">
      <c r="A7" s="70" t="inlineStr">
        <is>
          <t>Wetland</t>
        </is>
      </c>
      <c r="B7" s="71">
        <f>IF('DEEP Score'!$E$14="","",'DEEP Score'!$E$14)</f>
        <v/>
      </c>
      <c r="C7" s="71">
        <f>""</f>
        <v/>
      </c>
      <c r="D7" s="71">
        <f>"spring_pctwet2019ws|"&amp;'Metrics'!$C$7</f>
        <v/>
      </c>
      <c r="E7" s="71">
        <f>IFERROR(MATCH('Metrics'!$D$7,curve_key,0),MATCH("spring_pctwet2019ws|",curve_key,0))</f>
        <v/>
      </c>
      <c r="F7" s="71">
        <f>INDEX(curve_x1,'Metrics'!$E$7)</f>
        <v/>
      </c>
      <c r="G7" s="71">
        <f>INDEX(curve_x2,'Metrics'!$E$7)</f>
        <v/>
      </c>
      <c r="H7" s="71">
        <f>INDEX(curve_x3,'Metrics'!$E$7)</f>
        <v/>
      </c>
      <c r="I7" s="71">
        <f>INDEX(curve_x4,'Metrics'!$E$7)</f>
        <v/>
      </c>
      <c r="J7" s="71">
        <f>INDEX(curve_x5,'Metrics'!$E$7)</f>
        <v/>
      </c>
      <c r="K7" s="71">
        <f>INDEX(curve_x6,'Metrics'!$E$7)</f>
        <v/>
      </c>
      <c r="L7" s="71">
        <f>INDEX(curve_x7,'Metrics'!$E$7)</f>
        <v/>
      </c>
      <c r="M7" s="71">
        <f>INDEX(curve_x8,'Metrics'!$E$7)</f>
        <v/>
      </c>
      <c r="N7" s="71">
        <f>INDEX(curve_y1,'Metrics'!$E$7)</f>
        <v/>
      </c>
      <c r="O7" s="71">
        <f>INDEX(curve_y2,'Metrics'!$E$7)</f>
        <v/>
      </c>
      <c r="P7" s="71">
        <f>INDEX(curve_y3,'Metrics'!$E$7)</f>
        <v/>
      </c>
      <c r="Q7" s="71">
        <f>INDEX(curve_y4,'Metrics'!$E$7)</f>
        <v/>
      </c>
      <c r="R7" s="71">
        <f>INDEX(curve_y5,'Metrics'!$E$7)</f>
        <v/>
      </c>
      <c r="S7" s="71">
        <f>INDEX(curve_y6,'Metrics'!$E$7)</f>
        <v/>
      </c>
      <c r="T7" s="71">
        <f>INDEX(curve_y7,'Metrics'!$E$7)</f>
        <v/>
      </c>
      <c r="U7" s="71">
        <f>INDEX(curve_y8,'Metrics'!$E$7)</f>
        <v/>
      </c>
      <c r="V7" s="72">
        <f>IF(ISNUMBER('Metrics'!$B$7),MAX(0,MIN(1,IF('Metrics'!$B$7&lt;='Metrics'!$F$7,'Metrics'!$N$7,IF('Metrics'!$B$7&gt;='Metrics'!$M$7,'Metrics'!$U$7,IF('Metrics'!$B$7&lt;='Metrics'!$G$7,IF('Metrics'!$G$7-'Metrics'!$F$7&lt;=0,'Metrics'!$O$7,'Metrics'!$N$7+('Metrics'!$B$7-'Metrics'!$F$7)/('Metrics'!$G$7-'Metrics'!$F$7)*('Metrics'!$O$7-'Metrics'!$N$7)),IF('Metrics'!$B$7&lt;='Metrics'!$H$7,IF('Metrics'!$H$7-'Metrics'!$G$7&lt;=0,'Metrics'!$P$7,'Metrics'!$O$7+('Metrics'!$B$7-'Metrics'!$G$7)/('Metrics'!$H$7-'Metrics'!$G$7)*('Metrics'!$P$7-'Metrics'!$O$7)),IF('Metrics'!$B$7&lt;='Metrics'!$I$7,IF('Metrics'!$I$7-'Metrics'!$H$7&lt;=0,'Metrics'!$Q$7,'Metrics'!$P$7+('Metrics'!$B$7-'Metrics'!$H$7)/('Metrics'!$I$7-'Metrics'!$H$7)*('Metrics'!$Q$7-'Metrics'!$P$7)),IF('Metrics'!$B$7&lt;='Metrics'!$J$7,IF('Metrics'!$J$7-'Metrics'!$I$7&lt;=0,'Metrics'!$R$7,'Metrics'!$Q$7+('Metrics'!$B$7-'Metrics'!$I$7)/('Metrics'!$J$7-'Metrics'!$I$7)*('Metrics'!$R$7-'Metrics'!$Q$7)),IF('Metrics'!$B$7&lt;='Metrics'!$K$7,IF('Metrics'!$K$7-'Metrics'!$J$7&lt;=0,'Metrics'!$S$7,'Metrics'!$R$7+('Metrics'!$B$7-'Metrics'!$J$7)/('Metrics'!$K$7-'Metrics'!$J$7)*('Metrics'!$S$7-'Metrics'!$R$7)),IF('Metrics'!$B$7&lt;='Metrics'!$L$7,IF('Metrics'!$L$7-'Metrics'!$K$7&lt;=0,'Metrics'!$T$7,'Metrics'!$S$7+('Metrics'!$B$7-'Metrics'!$K$7)/('Metrics'!$L$7-'Metrics'!$K$7)*('Metrics'!$T$7-'Metrics'!$S$7)),IF('Metrics'!$M$7-'Metrics'!$L$7&lt;=0,'Metrics'!$U$7,'Metrics'!$T$7+('Metrics'!$B$7-'Metrics'!$L$7)/('Metrics'!$M$7-'Metrics'!$L$7)*('Metrics'!$U$7-'Metrics'!$T$7)))))))))))),"")</f>
        <v/>
      </c>
    </row>
    <row r="8">
      <c r="A8" s="70" t="inlineStr">
        <is>
          <t>Road density</t>
        </is>
      </c>
      <c r="B8" s="71">
        <f>IF('DEEP Score'!$E$15="","",'DEEP Score'!$E$15)</f>
        <v/>
      </c>
      <c r="C8" s="71">
        <f>""</f>
        <v/>
      </c>
      <c r="D8" s="71">
        <f>"spring_rddensws|"&amp;'Metrics'!$C$8</f>
        <v/>
      </c>
      <c r="E8" s="71">
        <f>IFERROR(MATCH('Metrics'!$D$8,curve_key,0),MATCH("spring_rddensws|",curve_key,0))</f>
        <v/>
      </c>
      <c r="F8" s="71">
        <f>INDEX(curve_x1,'Metrics'!$E$8)</f>
        <v/>
      </c>
      <c r="G8" s="71">
        <f>INDEX(curve_x2,'Metrics'!$E$8)</f>
        <v/>
      </c>
      <c r="H8" s="71">
        <f>INDEX(curve_x3,'Metrics'!$E$8)</f>
        <v/>
      </c>
      <c r="I8" s="71">
        <f>INDEX(curve_x4,'Metrics'!$E$8)</f>
        <v/>
      </c>
      <c r="J8" s="71">
        <f>INDEX(curve_x5,'Metrics'!$E$8)</f>
        <v/>
      </c>
      <c r="K8" s="71">
        <f>INDEX(curve_x6,'Metrics'!$E$8)</f>
        <v/>
      </c>
      <c r="L8" s="71">
        <f>INDEX(curve_x7,'Metrics'!$E$8)</f>
        <v/>
      </c>
      <c r="M8" s="71">
        <f>INDEX(curve_x8,'Metrics'!$E$8)</f>
        <v/>
      </c>
      <c r="N8" s="71">
        <f>INDEX(curve_y1,'Metrics'!$E$8)</f>
        <v/>
      </c>
      <c r="O8" s="71">
        <f>INDEX(curve_y2,'Metrics'!$E$8)</f>
        <v/>
      </c>
      <c r="P8" s="71">
        <f>INDEX(curve_y3,'Metrics'!$E$8)</f>
        <v/>
      </c>
      <c r="Q8" s="71">
        <f>INDEX(curve_y4,'Metrics'!$E$8)</f>
        <v/>
      </c>
      <c r="R8" s="71">
        <f>INDEX(curve_y5,'Metrics'!$E$8)</f>
        <v/>
      </c>
      <c r="S8" s="71">
        <f>INDEX(curve_y6,'Metrics'!$E$8)</f>
        <v/>
      </c>
      <c r="T8" s="71">
        <f>INDEX(curve_y7,'Metrics'!$E$8)</f>
        <v/>
      </c>
      <c r="U8" s="71">
        <f>INDEX(curve_y8,'Metrics'!$E$8)</f>
        <v/>
      </c>
      <c r="V8" s="72">
        <f>IF(ISNUMBER('Metrics'!$B$8),MAX(0,MIN(1,IF('Metrics'!$B$8&lt;='Metrics'!$F$8,'Metrics'!$N$8,IF('Metrics'!$B$8&gt;='Metrics'!$M$8,'Metrics'!$U$8,IF('Metrics'!$B$8&lt;='Metrics'!$G$8,IF('Metrics'!$G$8-'Metrics'!$F$8&lt;=0,'Metrics'!$O$8,'Metrics'!$N$8+('Metrics'!$B$8-'Metrics'!$F$8)/('Metrics'!$G$8-'Metrics'!$F$8)*('Metrics'!$O$8-'Metrics'!$N$8)),IF('Metrics'!$B$8&lt;='Metrics'!$H$8,IF('Metrics'!$H$8-'Metrics'!$G$8&lt;=0,'Metrics'!$P$8,'Metrics'!$O$8+('Metrics'!$B$8-'Metrics'!$G$8)/('Metrics'!$H$8-'Metrics'!$G$8)*('Metrics'!$P$8-'Metrics'!$O$8)),IF('Metrics'!$B$8&lt;='Metrics'!$I$8,IF('Metrics'!$I$8-'Metrics'!$H$8&lt;=0,'Metrics'!$Q$8,'Metrics'!$P$8+('Metrics'!$B$8-'Metrics'!$H$8)/('Metrics'!$I$8-'Metrics'!$H$8)*('Metrics'!$Q$8-'Metrics'!$P$8)),IF('Metrics'!$B$8&lt;='Metrics'!$J$8,IF('Metrics'!$J$8-'Metrics'!$I$8&lt;=0,'Metrics'!$R$8,'Metrics'!$Q$8+('Metrics'!$B$8-'Metrics'!$I$8)/('Metrics'!$J$8-'Metrics'!$I$8)*('Metrics'!$R$8-'Metrics'!$Q$8)),IF('Metrics'!$B$8&lt;='Metrics'!$K$8,IF('Metrics'!$K$8-'Metrics'!$J$8&lt;=0,'Metrics'!$S$8,'Metrics'!$R$8+('Metrics'!$B$8-'Metrics'!$J$8)/('Metrics'!$K$8-'Metrics'!$J$8)*('Metrics'!$S$8-'Metrics'!$R$8)),IF('Metrics'!$B$8&lt;='Metrics'!$L$8,IF('Metrics'!$L$8-'Metrics'!$K$8&lt;=0,'Metrics'!$T$8,'Metrics'!$S$8+('Metrics'!$B$8-'Metrics'!$K$8)/('Metrics'!$L$8-'Metrics'!$K$8)*('Metrics'!$T$8-'Metrics'!$S$8)),IF('Metrics'!$M$8-'Metrics'!$L$8&lt;=0,'Metrics'!$U$8,'Metrics'!$T$8+('Metrics'!$B$8-'Metrics'!$L$8)/('Metrics'!$M$8-'Metrics'!$L$8)*('Metrics'!$U$8-'Metrics'!$T$8)))))))))))),"")</f>
        <v/>
      </c>
    </row>
    <row r="9">
      <c r="A9" s="70" t="inlineStr">
        <is>
          <t>Base flow index</t>
        </is>
      </c>
      <c r="B9" s="71">
        <f>IF('DEEP Score'!$E$16="","",'DEEP Score'!$E$16)</f>
        <v/>
      </c>
      <c r="C9" s="71">
        <f>""</f>
        <v/>
      </c>
      <c r="D9" s="71">
        <f>"spring_bfiws|"&amp;'Metrics'!$C$9</f>
        <v/>
      </c>
      <c r="E9" s="71">
        <f>IFERROR(MATCH('Metrics'!$D$9,curve_key,0),MATCH("spring_bfiws|",curve_key,0))</f>
        <v/>
      </c>
      <c r="F9" s="71">
        <f>INDEX(curve_x1,'Metrics'!$E$9)</f>
        <v/>
      </c>
      <c r="G9" s="71">
        <f>INDEX(curve_x2,'Metrics'!$E$9)</f>
        <v/>
      </c>
      <c r="H9" s="71">
        <f>INDEX(curve_x3,'Metrics'!$E$9)</f>
        <v/>
      </c>
      <c r="I9" s="71">
        <f>INDEX(curve_x4,'Metrics'!$E$9)</f>
        <v/>
      </c>
      <c r="J9" s="71">
        <f>INDEX(curve_x5,'Metrics'!$E$9)</f>
        <v/>
      </c>
      <c r="K9" s="71">
        <f>INDEX(curve_x6,'Metrics'!$E$9)</f>
        <v/>
      </c>
      <c r="L9" s="71">
        <f>INDEX(curve_x7,'Metrics'!$E$9)</f>
        <v/>
      </c>
      <c r="M9" s="71">
        <f>INDEX(curve_x8,'Metrics'!$E$9)</f>
        <v/>
      </c>
      <c r="N9" s="71">
        <f>INDEX(curve_y1,'Metrics'!$E$9)</f>
        <v/>
      </c>
      <c r="O9" s="71">
        <f>INDEX(curve_y2,'Metrics'!$E$9)</f>
        <v/>
      </c>
      <c r="P9" s="71">
        <f>INDEX(curve_y3,'Metrics'!$E$9)</f>
        <v/>
      </c>
      <c r="Q9" s="71">
        <f>INDEX(curve_y4,'Metrics'!$E$9)</f>
        <v/>
      </c>
      <c r="R9" s="71">
        <f>INDEX(curve_y5,'Metrics'!$E$9)</f>
        <v/>
      </c>
      <c r="S9" s="71">
        <f>INDEX(curve_y6,'Metrics'!$E$9)</f>
        <v/>
      </c>
      <c r="T9" s="71">
        <f>INDEX(curve_y7,'Metrics'!$E$9)</f>
        <v/>
      </c>
      <c r="U9" s="71">
        <f>INDEX(curve_y8,'Metrics'!$E$9)</f>
        <v/>
      </c>
      <c r="V9" s="72">
        <f>IF(ISNUMBER('Metrics'!$B$9),MAX(0,MIN(1,IF('Metrics'!$B$9&lt;='Metrics'!$F$9,'Metrics'!$N$9,IF('Metrics'!$B$9&gt;='Metrics'!$M$9,'Metrics'!$U$9,IF('Metrics'!$B$9&lt;='Metrics'!$G$9,IF('Metrics'!$G$9-'Metrics'!$F$9&lt;=0,'Metrics'!$O$9,'Metrics'!$N$9+('Metrics'!$B$9-'Metrics'!$F$9)/('Metrics'!$G$9-'Metrics'!$F$9)*('Metrics'!$O$9-'Metrics'!$N$9)),IF('Metrics'!$B$9&lt;='Metrics'!$H$9,IF('Metrics'!$H$9-'Metrics'!$G$9&lt;=0,'Metrics'!$P$9,'Metrics'!$O$9+('Metrics'!$B$9-'Metrics'!$G$9)/('Metrics'!$H$9-'Metrics'!$G$9)*('Metrics'!$P$9-'Metrics'!$O$9)),IF('Metrics'!$B$9&lt;='Metrics'!$I$9,IF('Metrics'!$I$9-'Metrics'!$H$9&lt;=0,'Metrics'!$Q$9,'Metrics'!$P$9+('Metrics'!$B$9-'Metrics'!$H$9)/('Metrics'!$I$9-'Metrics'!$H$9)*('Metrics'!$Q$9-'Metrics'!$P$9)),IF('Metrics'!$B$9&lt;='Metrics'!$J$9,IF('Metrics'!$J$9-'Metrics'!$I$9&lt;=0,'Metrics'!$R$9,'Metrics'!$Q$9+('Metrics'!$B$9-'Metrics'!$I$9)/('Metrics'!$J$9-'Metrics'!$I$9)*('Metrics'!$R$9-'Metrics'!$Q$9)),IF('Metrics'!$B$9&lt;='Metrics'!$K$9,IF('Metrics'!$K$9-'Metrics'!$J$9&lt;=0,'Metrics'!$S$9,'Metrics'!$R$9+('Metrics'!$B$9-'Metrics'!$J$9)/('Metrics'!$K$9-'Metrics'!$J$9)*('Metrics'!$S$9-'Metrics'!$R$9)),IF('Metrics'!$B$9&lt;='Metrics'!$L$9,IF('Metrics'!$L$9-'Metrics'!$K$9&lt;=0,'Metrics'!$T$9,'Metrics'!$S$9+('Metrics'!$B$9-'Metrics'!$K$9)/('Metrics'!$L$9-'Metrics'!$K$9)*('Metrics'!$T$9-'Metrics'!$S$9)),IF('Metrics'!$M$9-'Metrics'!$L$9&lt;=0,'Metrics'!$U$9,'Metrics'!$T$9+('Metrics'!$B$9-'Metrics'!$L$9)/('Metrics'!$M$9-'Metrics'!$L$9)*('Metrics'!$U$9-'Metrics'!$T$9)))))))))))),"")</f>
        <v/>
      </c>
    </row>
    <row r="10">
      <c r="A10" s="70" t="inlineStr">
        <is>
          <t>Degree of regulation</t>
        </is>
      </c>
      <c r="B10" s="71">
        <f>IF('DEEP Score'!$E$17="","",'DEEP Score'!$E$17)</f>
        <v/>
      </c>
      <c r="C10" s="71">
        <f>""</f>
        <v/>
      </c>
      <c r="D10" s="71">
        <f>"spring_dorws|"&amp;'Metrics'!$C$10</f>
        <v/>
      </c>
      <c r="E10" s="71">
        <f>IFERROR(MATCH('Metrics'!$D$10,curve_key,0),MATCH("spring_dorws|",curve_key,0))</f>
        <v/>
      </c>
      <c r="F10" s="71">
        <f>INDEX(curve_x1,'Metrics'!$E$10)</f>
        <v/>
      </c>
      <c r="G10" s="71">
        <f>INDEX(curve_x2,'Metrics'!$E$10)</f>
        <v/>
      </c>
      <c r="H10" s="71">
        <f>INDEX(curve_x3,'Metrics'!$E$10)</f>
        <v/>
      </c>
      <c r="I10" s="71">
        <f>INDEX(curve_x4,'Metrics'!$E$10)</f>
        <v/>
      </c>
      <c r="J10" s="71">
        <f>INDEX(curve_x5,'Metrics'!$E$10)</f>
        <v/>
      </c>
      <c r="K10" s="71">
        <f>INDEX(curve_x6,'Metrics'!$E$10)</f>
        <v/>
      </c>
      <c r="L10" s="71">
        <f>INDEX(curve_x7,'Metrics'!$E$10)</f>
        <v/>
      </c>
      <c r="M10" s="71">
        <f>INDEX(curve_x8,'Metrics'!$E$10)</f>
        <v/>
      </c>
      <c r="N10" s="71">
        <f>INDEX(curve_y1,'Metrics'!$E$10)</f>
        <v/>
      </c>
      <c r="O10" s="71">
        <f>INDEX(curve_y2,'Metrics'!$E$10)</f>
        <v/>
      </c>
      <c r="P10" s="71">
        <f>INDEX(curve_y3,'Metrics'!$E$10)</f>
        <v/>
      </c>
      <c r="Q10" s="71">
        <f>INDEX(curve_y4,'Metrics'!$E$10)</f>
        <v/>
      </c>
      <c r="R10" s="71">
        <f>INDEX(curve_y5,'Metrics'!$E$10)</f>
        <v/>
      </c>
      <c r="S10" s="71">
        <f>INDEX(curve_y6,'Metrics'!$E$10)</f>
        <v/>
      </c>
      <c r="T10" s="71">
        <f>INDEX(curve_y7,'Metrics'!$E$10)</f>
        <v/>
      </c>
      <c r="U10" s="71">
        <f>INDEX(curve_y8,'Metrics'!$E$10)</f>
        <v/>
      </c>
      <c r="V10" s="72">
        <f>IF(ISNUMBER('Metrics'!$B$10),MAX(0,MIN(1,IF('Metrics'!$B$10&lt;='Metrics'!$F$10,'Metrics'!$N$10,IF('Metrics'!$B$10&gt;='Metrics'!$M$10,'Metrics'!$U$10,IF('Metrics'!$B$10&lt;='Metrics'!$G$10,IF('Metrics'!$G$10-'Metrics'!$F$10&lt;=0,'Metrics'!$O$10,'Metrics'!$N$10+('Metrics'!$B$10-'Metrics'!$F$10)/('Metrics'!$G$10-'Metrics'!$F$10)*('Metrics'!$O$10-'Metrics'!$N$10)),IF('Metrics'!$B$10&lt;='Metrics'!$H$10,IF('Metrics'!$H$10-'Metrics'!$G$10&lt;=0,'Metrics'!$P$10,'Metrics'!$O$10+('Metrics'!$B$10-'Metrics'!$G$10)/('Metrics'!$H$10-'Metrics'!$G$10)*('Metrics'!$P$10-'Metrics'!$O$10)),IF('Metrics'!$B$10&lt;='Metrics'!$I$10,IF('Metrics'!$I$10-'Metrics'!$H$10&lt;=0,'Metrics'!$Q$10,'Metrics'!$P$10+('Metrics'!$B$10-'Metrics'!$H$10)/('Metrics'!$I$10-'Metrics'!$H$10)*('Metrics'!$Q$10-'Metrics'!$P$10)),IF('Metrics'!$B$10&lt;='Metrics'!$J$10,IF('Metrics'!$J$10-'Metrics'!$I$10&lt;=0,'Metrics'!$R$10,'Metrics'!$Q$10+('Metrics'!$B$10-'Metrics'!$I$10)/('Metrics'!$J$10-'Metrics'!$I$10)*('Metrics'!$R$10-'Metrics'!$Q$10)),IF('Metrics'!$B$10&lt;='Metrics'!$K$10,IF('Metrics'!$K$10-'Metrics'!$J$10&lt;=0,'Metrics'!$S$10,'Metrics'!$R$10+('Metrics'!$B$10-'Metrics'!$J$10)/('Metrics'!$K$10-'Metrics'!$J$10)*('Metrics'!$S$10-'Metrics'!$R$10)),IF('Metrics'!$B$10&lt;='Metrics'!$L$10,IF('Metrics'!$L$10-'Metrics'!$K$10&lt;=0,'Metrics'!$T$10,'Metrics'!$S$10+('Metrics'!$B$10-'Metrics'!$K$10)/('Metrics'!$L$10-'Metrics'!$K$10)*('Metrics'!$T$10-'Metrics'!$S$10)),IF('Metrics'!$M$10-'Metrics'!$L$10&lt;=0,'Metrics'!$U$10,'Metrics'!$T$10+('Metrics'!$B$10-'Metrics'!$L$10)/('Metrics'!$M$10-'Metrics'!$L$10)*('Metrics'!$U$10-'Metrics'!$T$10)))))))))))),"")</f>
        <v/>
      </c>
    </row>
    <row r="11">
      <c r="A11" s="70" t="inlineStr">
        <is>
          <t>Residual pool depth</t>
        </is>
      </c>
      <c r="B11" s="71">
        <f>IF('DEEP Score'!$E$19="","",'DEEP Score'!$E$19)</f>
        <v/>
      </c>
      <c r="C11" s="71">
        <f>""</f>
        <v/>
      </c>
      <c r="D11" s="71">
        <f>"spring_phab_rp100_cm|"&amp;'Metrics'!$C$11</f>
        <v/>
      </c>
      <c r="E11" s="71">
        <f>IFERROR(MATCH('Metrics'!$D$11,curve_key,0),MATCH("spring_phab_rp100_cm|",curve_key,0))</f>
        <v/>
      </c>
      <c r="F11" s="71">
        <f>INDEX(curve_x1,'Metrics'!$E$11)</f>
        <v/>
      </c>
      <c r="G11" s="71">
        <f>INDEX(curve_x2,'Metrics'!$E$11)</f>
        <v/>
      </c>
      <c r="H11" s="71">
        <f>INDEX(curve_x3,'Metrics'!$E$11)</f>
        <v/>
      </c>
      <c r="I11" s="71">
        <f>INDEX(curve_x4,'Metrics'!$E$11)</f>
        <v/>
      </c>
      <c r="J11" s="71">
        <f>INDEX(curve_x5,'Metrics'!$E$11)</f>
        <v/>
      </c>
      <c r="K11" s="71">
        <f>INDEX(curve_x6,'Metrics'!$E$11)</f>
        <v/>
      </c>
      <c r="L11" s="71">
        <f>INDEX(curve_x7,'Metrics'!$E$11)</f>
        <v/>
      </c>
      <c r="M11" s="71">
        <f>INDEX(curve_x8,'Metrics'!$E$11)</f>
        <v/>
      </c>
      <c r="N11" s="71">
        <f>INDEX(curve_y1,'Metrics'!$E$11)</f>
        <v/>
      </c>
      <c r="O11" s="71">
        <f>INDEX(curve_y2,'Metrics'!$E$11)</f>
        <v/>
      </c>
      <c r="P11" s="71">
        <f>INDEX(curve_y3,'Metrics'!$E$11)</f>
        <v/>
      </c>
      <c r="Q11" s="71">
        <f>INDEX(curve_y4,'Metrics'!$E$11)</f>
        <v/>
      </c>
      <c r="R11" s="71">
        <f>INDEX(curve_y5,'Metrics'!$E$11)</f>
        <v/>
      </c>
      <c r="S11" s="71">
        <f>INDEX(curve_y6,'Metrics'!$E$11)</f>
        <v/>
      </c>
      <c r="T11" s="71">
        <f>INDEX(curve_y7,'Metrics'!$E$11)</f>
        <v/>
      </c>
      <c r="U11" s="71">
        <f>INDEX(curve_y8,'Metrics'!$E$11)</f>
        <v/>
      </c>
      <c r="V11" s="72">
        <f>IF(ISNUMBER('Metrics'!$B$11),MAX(0,MIN(1,IF('Metrics'!$B$11&lt;='Metrics'!$F$11,'Metrics'!$N$11,IF('Metrics'!$B$11&gt;='Metrics'!$M$11,'Metrics'!$U$11,IF('Metrics'!$B$11&lt;='Metrics'!$G$11,IF('Metrics'!$G$11-'Metrics'!$F$11&lt;=0,'Metrics'!$O$11,'Metrics'!$N$11+('Metrics'!$B$11-'Metrics'!$F$11)/('Metrics'!$G$11-'Metrics'!$F$11)*('Metrics'!$O$11-'Metrics'!$N$11)),IF('Metrics'!$B$11&lt;='Metrics'!$H$11,IF('Metrics'!$H$11-'Metrics'!$G$11&lt;=0,'Metrics'!$P$11,'Metrics'!$O$11+('Metrics'!$B$11-'Metrics'!$G$11)/('Metrics'!$H$11-'Metrics'!$G$11)*('Metrics'!$P$11-'Metrics'!$O$11)),IF('Metrics'!$B$11&lt;='Metrics'!$I$11,IF('Metrics'!$I$11-'Metrics'!$H$11&lt;=0,'Metrics'!$Q$11,'Metrics'!$P$11+('Metrics'!$B$11-'Metrics'!$H$11)/('Metrics'!$I$11-'Metrics'!$H$11)*('Metrics'!$Q$11-'Metrics'!$P$11)),IF('Metrics'!$B$11&lt;='Metrics'!$J$11,IF('Metrics'!$J$11-'Metrics'!$I$11&lt;=0,'Metrics'!$R$11,'Metrics'!$Q$11+('Metrics'!$B$11-'Metrics'!$I$11)/('Metrics'!$J$11-'Metrics'!$I$11)*('Metrics'!$R$11-'Metrics'!$Q$11)),IF('Metrics'!$B$11&lt;='Metrics'!$K$11,IF('Metrics'!$K$11-'Metrics'!$J$11&lt;=0,'Metrics'!$S$11,'Metrics'!$R$11+('Metrics'!$B$11-'Metrics'!$J$11)/('Metrics'!$K$11-'Metrics'!$J$11)*('Metrics'!$S$11-'Metrics'!$R$11)),IF('Metrics'!$B$11&lt;='Metrics'!$L$11,IF('Metrics'!$L$11-'Metrics'!$K$11&lt;=0,'Metrics'!$T$11,'Metrics'!$S$11+('Metrics'!$B$11-'Metrics'!$K$11)/('Metrics'!$L$11-'Metrics'!$K$11)*('Metrics'!$T$11-'Metrics'!$S$11)),IF('Metrics'!$M$11-'Metrics'!$L$11&lt;=0,'Metrics'!$U$11,'Metrics'!$T$11+('Metrics'!$B$11-'Metrics'!$L$11)/('Metrics'!$M$11-'Metrics'!$L$11)*('Metrics'!$U$11-'Metrics'!$T$11)))))))))))),"")</f>
        <v/>
      </c>
    </row>
    <row r="12">
      <c r="A12" s="70" t="inlineStr">
        <is>
          <t>Bankfull width:depth ratio</t>
        </is>
      </c>
      <c r="B12" s="71">
        <f>IF('DEEP Score'!$E$21="","",'DEEP Score'!$E$21)</f>
        <v/>
      </c>
      <c r="C12" s="71">
        <f>""</f>
        <v/>
      </c>
      <c r="D12" s="71">
        <f>"spring_phab_bfwd_rat|"&amp;'Metrics'!$C$12</f>
        <v/>
      </c>
      <c r="E12" s="71">
        <f>IFERROR(MATCH('Metrics'!$D$12,curve_key,0),MATCH("spring_phab_bfwd_rat|",curve_key,0))</f>
        <v/>
      </c>
      <c r="F12" s="71">
        <f>INDEX(curve_x1,'Metrics'!$E$12)</f>
        <v/>
      </c>
      <c r="G12" s="71">
        <f>INDEX(curve_x2,'Metrics'!$E$12)</f>
        <v/>
      </c>
      <c r="H12" s="71">
        <f>INDEX(curve_x3,'Metrics'!$E$12)</f>
        <v/>
      </c>
      <c r="I12" s="71">
        <f>INDEX(curve_x4,'Metrics'!$E$12)</f>
        <v/>
      </c>
      <c r="J12" s="71">
        <f>INDEX(curve_x5,'Metrics'!$E$12)</f>
        <v/>
      </c>
      <c r="K12" s="71">
        <f>INDEX(curve_x6,'Metrics'!$E$12)</f>
        <v/>
      </c>
      <c r="L12" s="71">
        <f>INDEX(curve_x7,'Metrics'!$E$12)</f>
        <v/>
      </c>
      <c r="M12" s="71">
        <f>INDEX(curve_x8,'Metrics'!$E$12)</f>
        <v/>
      </c>
      <c r="N12" s="71">
        <f>INDEX(curve_y1,'Metrics'!$E$12)</f>
        <v/>
      </c>
      <c r="O12" s="71">
        <f>INDEX(curve_y2,'Metrics'!$E$12)</f>
        <v/>
      </c>
      <c r="P12" s="71">
        <f>INDEX(curve_y3,'Metrics'!$E$12)</f>
        <v/>
      </c>
      <c r="Q12" s="71">
        <f>INDEX(curve_y4,'Metrics'!$E$12)</f>
        <v/>
      </c>
      <c r="R12" s="71">
        <f>INDEX(curve_y5,'Metrics'!$E$12)</f>
        <v/>
      </c>
      <c r="S12" s="71">
        <f>INDEX(curve_y6,'Metrics'!$E$12)</f>
        <v/>
      </c>
      <c r="T12" s="71">
        <f>INDEX(curve_y7,'Metrics'!$E$12)</f>
        <v/>
      </c>
      <c r="U12" s="71">
        <f>INDEX(curve_y8,'Metrics'!$E$12)</f>
        <v/>
      </c>
      <c r="V12" s="72">
        <f>IF(ISNUMBER('Metrics'!$B$12),MAX(0,MIN(1,IF('Metrics'!$B$12&lt;='Metrics'!$F$12,'Metrics'!$N$12,IF('Metrics'!$B$12&gt;='Metrics'!$M$12,'Metrics'!$U$12,IF('Metrics'!$B$12&lt;='Metrics'!$G$12,IF('Metrics'!$G$12-'Metrics'!$F$12&lt;=0,'Metrics'!$O$12,'Metrics'!$N$12+('Metrics'!$B$12-'Metrics'!$F$12)/('Metrics'!$G$12-'Metrics'!$F$12)*('Metrics'!$O$12-'Metrics'!$N$12)),IF('Metrics'!$B$12&lt;='Metrics'!$H$12,IF('Metrics'!$H$12-'Metrics'!$G$12&lt;=0,'Metrics'!$P$12,'Metrics'!$O$12+('Metrics'!$B$12-'Metrics'!$G$12)/('Metrics'!$H$12-'Metrics'!$G$12)*('Metrics'!$P$12-'Metrics'!$O$12)),IF('Metrics'!$B$12&lt;='Metrics'!$I$12,IF('Metrics'!$I$12-'Metrics'!$H$12&lt;=0,'Metrics'!$Q$12,'Metrics'!$P$12+('Metrics'!$B$12-'Metrics'!$H$12)/('Metrics'!$I$12-'Metrics'!$H$12)*('Metrics'!$Q$12-'Metrics'!$P$12)),IF('Metrics'!$B$12&lt;='Metrics'!$J$12,IF('Metrics'!$J$12-'Metrics'!$I$12&lt;=0,'Metrics'!$R$12,'Metrics'!$Q$12+('Metrics'!$B$12-'Metrics'!$I$12)/('Metrics'!$J$12-'Metrics'!$I$12)*('Metrics'!$R$12-'Metrics'!$Q$12)),IF('Metrics'!$B$12&lt;='Metrics'!$K$12,IF('Metrics'!$K$12-'Metrics'!$J$12&lt;=0,'Metrics'!$S$12,'Metrics'!$R$12+('Metrics'!$B$12-'Metrics'!$J$12)/('Metrics'!$K$12-'Metrics'!$J$12)*('Metrics'!$S$12-'Metrics'!$R$12)),IF('Metrics'!$B$12&lt;='Metrics'!$L$12,IF('Metrics'!$L$12-'Metrics'!$K$12&lt;=0,'Metrics'!$T$12,'Metrics'!$S$12+('Metrics'!$B$12-'Metrics'!$K$12)/('Metrics'!$L$12-'Metrics'!$K$12)*('Metrics'!$T$12-'Metrics'!$S$12)),IF('Metrics'!$M$12-'Metrics'!$L$12&lt;=0,'Metrics'!$U$12,'Metrics'!$T$12+('Metrics'!$B$12-'Metrics'!$L$12)/('Metrics'!$M$12-'Metrics'!$L$12)*('Metrics'!$U$12-'Metrics'!$T$12)))))))))))),"")</f>
        <v/>
      </c>
    </row>
    <row r="13">
      <c r="A13" s="70" t="inlineStr">
        <is>
          <t>Bankfull height above channel</t>
        </is>
      </c>
      <c r="B13" s="71">
        <f>IF('DEEP Score'!$E$22="","",'DEEP Score'!$E$22)</f>
        <v/>
      </c>
      <c r="C13" s="71">
        <f>""</f>
        <v/>
      </c>
      <c r="D13" s="71">
        <f>"spring_phab_xbkf_h|"&amp;'Metrics'!$C$13</f>
        <v/>
      </c>
      <c r="E13" s="71">
        <f>IFERROR(MATCH('Metrics'!$D$13,curve_key,0),MATCH("spring_phab_xbkf_h|",curve_key,0))</f>
        <v/>
      </c>
      <c r="F13" s="71">
        <f>INDEX(curve_x1,'Metrics'!$E$13)</f>
        <v/>
      </c>
      <c r="G13" s="71">
        <f>INDEX(curve_x2,'Metrics'!$E$13)</f>
        <v/>
      </c>
      <c r="H13" s="71">
        <f>INDEX(curve_x3,'Metrics'!$E$13)</f>
        <v/>
      </c>
      <c r="I13" s="71">
        <f>INDEX(curve_x4,'Metrics'!$E$13)</f>
        <v/>
      </c>
      <c r="J13" s="71">
        <f>INDEX(curve_x5,'Metrics'!$E$13)</f>
        <v/>
      </c>
      <c r="K13" s="71">
        <f>INDEX(curve_x6,'Metrics'!$E$13)</f>
        <v/>
      </c>
      <c r="L13" s="71">
        <f>INDEX(curve_x7,'Metrics'!$E$13)</f>
        <v/>
      </c>
      <c r="M13" s="71">
        <f>INDEX(curve_x8,'Metrics'!$E$13)</f>
        <v/>
      </c>
      <c r="N13" s="71">
        <f>INDEX(curve_y1,'Metrics'!$E$13)</f>
        <v/>
      </c>
      <c r="O13" s="71">
        <f>INDEX(curve_y2,'Metrics'!$E$13)</f>
        <v/>
      </c>
      <c r="P13" s="71">
        <f>INDEX(curve_y3,'Metrics'!$E$13)</f>
        <v/>
      </c>
      <c r="Q13" s="71">
        <f>INDEX(curve_y4,'Metrics'!$E$13)</f>
        <v/>
      </c>
      <c r="R13" s="71">
        <f>INDEX(curve_y5,'Metrics'!$E$13)</f>
        <v/>
      </c>
      <c r="S13" s="71">
        <f>INDEX(curve_y6,'Metrics'!$E$13)</f>
        <v/>
      </c>
      <c r="T13" s="71">
        <f>INDEX(curve_y7,'Metrics'!$E$13)</f>
        <v/>
      </c>
      <c r="U13" s="71">
        <f>INDEX(curve_y8,'Metrics'!$E$13)</f>
        <v/>
      </c>
      <c r="V13" s="72">
        <f>IF(ISNUMBER('Metrics'!$B$13),MAX(0,MIN(1,IF('Metrics'!$B$13&lt;='Metrics'!$F$13,'Metrics'!$N$13,IF('Metrics'!$B$13&gt;='Metrics'!$M$13,'Metrics'!$U$13,IF('Metrics'!$B$13&lt;='Metrics'!$G$13,IF('Metrics'!$G$13-'Metrics'!$F$13&lt;=0,'Metrics'!$O$13,'Metrics'!$N$13+('Metrics'!$B$13-'Metrics'!$F$13)/('Metrics'!$G$13-'Metrics'!$F$13)*('Metrics'!$O$13-'Metrics'!$N$13)),IF('Metrics'!$B$13&lt;='Metrics'!$H$13,IF('Metrics'!$H$13-'Metrics'!$G$13&lt;=0,'Metrics'!$P$13,'Metrics'!$O$13+('Metrics'!$B$13-'Metrics'!$G$13)/('Metrics'!$H$13-'Metrics'!$G$13)*('Metrics'!$P$13-'Metrics'!$O$13)),IF('Metrics'!$B$13&lt;='Metrics'!$I$13,IF('Metrics'!$I$13-'Metrics'!$H$13&lt;=0,'Metrics'!$Q$13,'Metrics'!$P$13+('Metrics'!$B$13-'Metrics'!$H$13)/('Metrics'!$I$13-'Metrics'!$H$13)*('Metrics'!$Q$13-'Metrics'!$P$13)),IF('Metrics'!$B$13&lt;='Metrics'!$J$13,IF('Metrics'!$J$13-'Metrics'!$I$13&lt;=0,'Metrics'!$R$13,'Metrics'!$Q$13+('Metrics'!$B$13-'Metrics'!$I$13)/('Metrics'!$J$13-'Metrics'!$I$13)*('Metrics'!$R$13-'Metrics'!$Q$13)),IF('Metrics'!$B$13&lt;='Metrics'!$K$13,IF('Metrics'!$K$13-'Metrics'!$J$13&lt;=0,'Metrics'!$S$13,'Metrics'!$R$13+('Metrics'!$B$13-'Metrics'!$J$13)/('Metrics'!$K$13-'Metrics'!$J$13)*('Metrics'!$S$13-'Metrics'!$R$13)),IF('Metrics'!$B$13&lt;='Metrics'!$L$13,IF('Metrics'!$L$13-'Metrics'!$K$13&lt;=0,'Metrics'!$T$13,'Metrics'!$S$13+('Metrics'!$B$13-'Metrics'!$K$13)/('Metrics'!$L$13-'Metrics'!$K$13)*('Metrics'!$T$13-'Metrics'!$S$13)),IF('Metrics'!$M$13-'Metrics'!$L$13&lt;=0,'Metrics'!$U$13,'Metrics'!$T$13+('Metrics'!$B$13-'Metrics'!$L$13)/('Metrics'!$M$13-'Metrics'!$L$13)*('Metrics'!$U$13-'Metrics'!$T$13)))))))))))),"")</f>
        <v/>
      </c>
    </row>
    <row r="14">
      <c r="A14" s="70" t="inlineStr">
        <is>
          <t>Sand + fines</t>
        </is>
      </c>
      <c r="B14" s="71">
        <f>IF('DEEP Score'!$E$23="","",'DEEP Score'!$E$23)</f>
        <v/>
      </c>
      <c r="C14" s="71">
        <f>""</f>
        <v/>
      </c>
      <c r="D14" s="71">
        <f>"spring_phab_pct_safn|"&amp;'Metrics'!$C$14</f>
        <v/>
      </c>
      <c r="E14" s="71">
        <f>IFERROR(MATCH('Metrics'!$D$14,curve_key,0),MATCH("spring_phab_pct_safn|",curve_key,0))</f>
        <v/>
      </c>
      <c r="F14" s="71">
        <f>INDEX(curve_x1,'Metrics'!$E$14)</f>
        <v/>
      </c>
      <c r="G14" s="71">
        <f>INDEX(curve_x2,'Metrics'!$E$14)</f>
        <v/>
      </c>
      <c r="H14" s="71">
        <f>INDEX(curve_x3,'Metrics'!$E$14)</f>
        <v/>
      </c>
      <c r="I14" s="71">
        <f>INDEX(curve_x4,'Metrics'!$E$14)</f>
        <v/>
      </c>
      <c r="J14" s="71">
        <f>INDEX(curve_x5,'Metrics'!$E$14)</f>
        <v/>
      </c>
      <c r="K14" s="71">
        <f>INDEX(curve_x6,'Metrics'!$E$14)</f>
        <v/>
      </c>
      <c r="L14" s="71">
        <f>INDEX(curve_x7,'Metrics'!$E$14)</f>
        <v/>
      </c>
      <c r="M14" s="71">
        <f>INDEX(curve_x8,'Metrics'!$E$14)</f>
        <v/>
      </c>
      <c r="N14" s="71">
        <f>INDEX(curve_y1,'Metrics'!$E$14)</f>
        <v/>
      </c>
      <c r="O14" s="71">
        <f>INDEX(curve_y2,'Metrics'!$E$14)</f>
        <v/>
      </c>
      <c r="P14" s="71">
        <f>INDEX(curve_y3,'Metrics'!$E$14)</f>
        <v/>
      </c>
      <c r="Q14" s="71">
        <f>INDEX(curve_y4,'Metrics'!$E$14)</f>
        <v/>
      </c>
      <c r="R14" s="71">
        <f>INDEX(curve_y5,'Metrics'!$E$14)</f>
        <v/>
      </c>
      <c r="S14" s="71">
        <f>INDEX(curve_y6,'Metrics'!$E$14)</f>
        <v/>
      </c>
      <c r="T14" s="71">
        <f>INDEX(curve_y7,'Metrics'!$E$14)</f>
        <v/>
      </c>
      <c r="U14" s="71">
        <f>INDEX(curve_y8,'Metrics'!$E$14)</f>
        <v/>
      </c>
      <c r="V14" s="72">
        <f>IF(ISNUMBER('Metrics'!$B$14),MAX(0,MIN(1,IF('Metrics'!$B$14&lt;='Metrics'!$F$14,'Metrics'!$N$14,IF('Metrics'!$B$14&gt;='Metrics'!$M$14,'Metrics'!$U$14,IF('Metrics'!$B$14&lt;='Metrics'!$G$14,IF('Metrics'!$G$14-'Metrics'!$F$14&lt;=0,'Metrics'!$O$14,'Metrics'!$N$14+('Metrics'!$B$14-'Metrics'!$F$14)/('Metrics'!$G$14-'Metrics'!$F$14)*('Metrics'!$O$14-'Metrics'!$N$14)),IF('Metrics'!$B$14&lt;='Metrics'!$H$14,IF('Metrics'!$H$14-'Metrics'!$G$14&lt;=0,'Metrics'!$P$14,'Metrics'!$O$14+('Metrics'!$B$14-'Metrics'!$G$14)/('Metrics'!$H$14-'Metrics'!$G$14)*('Metrics'!$P$14-'Metrics'!$O$14)),IF('Metrics'!$B$14&lt;='Metrics'!$I$14,IF('Metrics'!$I$14-'Metrics'!$H$14&lt;=0,'Metrics'!$Q$14,'Metrics'!$P$14+('Metrics'!$B$14-'Metrics'!$H$14)/('Metrics'!$I$14-'Metrics'!$H$14)*('Metrics'!$Q$14-'Metrics'!$P$14)),IF('Metrics'!$B$14&lt;='Metrics'!$J$14,IF('Metrics'!$J$14-'Metrics'!$I$14&lt;=0,'Metrics'!$R$14,'Metrics'!$Q$14+('Metrics'!$B$14-'Metrics'!$I$14)/('Metrics'!$J$14-'Metrics'!$I$14)*('Metrics'!$R$14-'Metrics'!$Q$14)),IF('Metrics'!$B$14&lt;='Metrics'!$K$14,IF('Metrics'!$K$14-'Metrics'!$J$14&lt;=0,'Metrics'!$S$14,'Metrics'!$R$14+('Metrics'!$B$14-'Metrics'!$J$14)/('Metrics'!$K$14-'Metrics'!$J$14)*('Metrics'!$S$14-'Metrics'!$R$14)),IF('Metrics'!$B$14&lt;='Metrics'!$L$14,IF('Metrics'!$L$14-'Metrics'!$K$14&lt;=0,'Metrics'!$T$14,'Metrics'!$S$14+('Metrics'!$B$14-'Metrics'!$K$14)/('Metrics'!$L$14-'Metrics'!$K$14)*('Metrics'!$T$14-'Metrics'!$S$14)),IF('Metrics'!$M$14-'Metrics'!$L$14&lt;=0,'Metrics'!$U$14,'Metrics'!$T$14+('Metrics'!$B$14-'Metrics'!$L$14)/('Metrics'!$M$14-'Metrics'!$L$14)*('Metrics'!$U$14-'Metrics'!$T$14)))))))))))),"")</f>
        <v/>
      </c>
    </row>
    <row r="15">
      <c r="A15" s="70" t="inlineStr">
        <is>
          <t>Sinuosity</t>
        </is>
      </c>
      <c r="B15" s="71">
        <f>IF('DEEP Score'!$E$26="","",'DEEP Score'!$E$26)</f>
        <v/>
      </c>
      <c r="C15" s="71">
        <f>""</f>
        <v/>
      </c>
      <c r="D15" s="71">
        <f>"spring_phab_sinu|"&amp;'Metrics'!$C$15</f>
        <v/>
      </c>
      <c r="E15" s="71">
        <f>IFERROR(MATCH('Metrics'!$D$15,curve_key,0),MATCH("spring_phab_sinu|",curve_key,0))</f>
        <v/>
      </c>
      <c r="F15" s="71">
        <f>INDEX(curve_x1,'Metrics'!$E$15)</f>
        <v/>
      </c>
      <c r="G15" s="71">
        <f>INDEX(curve_x2,'Metrics'!$E$15)</f>
        <v/>
      </c>
      <c r="H15" s="71">
        <f>INDEX(curve_x3,'Metrics'!$E$15)</f>
        <v/>
      </c>
      <c r="I15" s="71">
        <f>INDEX(curve_x4,'Metrics'!$E$15)</f>
        <v/>
      </c>
      <c r="J15" s="71">
        <f>INDEX(curve_x5,'Metrics'!$E$15)</f>
        <v/>
      </c>
      <c r="K15" s="71">
        <f>INDEX(curve_x6,'Metrics'!$E$15)</f>
        <v/>
      </c>
      <c r="L15" s="71">
        <f>INDEX(curve_x7,'Metrics'!$E$15)</f>
        <v/>
      </c>
      <c r="M15" s="71">
        <f>INDEX(curve_x8,'Metrics'!$E$15)</f>
        <v/>
      </c>
      <c r="N15" s="71">
        <f>INDEX(curve_y1,'Metrics'!$E$15)</f>
        <v/>
      </c>
      <c r="O15" s="71">
        <f>INDEX(curve_y2,'Metrics'!$E$15)</f>
        <v/>
      </c>
      <c r="P15" s="71">
        <f>INDEX(curve_y3,'Metrics'!$E$15)</f>
        <v/>
      </c>
      <c r="Q15" s="71">
        <f>INDEX(curve_y4,'Metrics'!$E$15)</f>
        <v/>
      </c>
      <c r="R15" s="71">
        <f>INDEX(curve_y5,'Metrics'!$E$15)</f>
        <v/>
      </c>
      <c r="S15" s="71">
        <f>INDEX(curve_y6,'Metrics'!$E$15)</f>
        <v/>
      </c>
      <c r="T15" s="71">
        <f>INDEX(curve_y7,'Metrics'!$E$15)</f>
        <v/>
      </c>
      <c r="U15" s="71">
        <f>INDEX(curve_y8,'Metrics'!$E$15)</f>
        <v/>
      </c>
      <c r="V15" s="72">
        <f>IF(ISNUMBER('Metrics'!$B$15),MAX(0,MIN(1,IF('Metrics'!$B$15&lt;='Metrics'!$F$15,'Metrics'!$N$15,IF('Metrics'!$B$15&gt;='Metrics'!$M$15,'Metrics'!$U$15,IF('Metrics'!$B$15&lt;='Metrics'!$G$15,IF('Metrics'!$G$15-'Metrics'!$F$15&lt;=0,'Metrics'!$O$15,'Metrics'!$N$15+('Metrics'!$B$15-'Metrics'!$F$15)/('Metrics'!$G$15-'Metrics'!$F$15)*('Metrics'!$O$15-'Metrics'!$N$15)),IF('Metrics'!$B$15&lt;='Metrics'!$H$15,IF('Metrics'!$H$15-'Metrics'!$G$15&lt;=0,'Metrics'!$P$15,'Metrics'!$O$15+('Metrics'!$B$15-'Metrics'!$G$15)/('Metrics'!$H$15-'Metrics'!$G$15)*('Metrics'!$P$15-'Metrics'!$O$15)),IF('Metrics'!$B$15&lt;='Metrics'!$I$15,IF('Metrics'!$I$15-'Metrics'!$H$15&lt;=0,'Metrics'!$Q$15,'Metrics'!$P$15+('Metrics'!$B$15-'Metrics'!$H$15)/('Metrics'!$I$15-'Metrics'!$H$15)*('Metrics'!$Q$15-'Metrics'!$P$15)),IF('Metrics'!$B$15&lt;='Metrics'!$J$15,IF('Metrics'!$J$15-'Metrics'!$I$15&lt;=0,'Metrics'!$R$15,'Metrics'!$Q$15+('Metrics'!$B$15-'Metrics'!$I$15)/('Metrics'!$J$15-'Metrics'!$I$15)*('Metrics'!$R$15-'Metrics'!$Q$15)),IF('Metrics'!$B$15&lt;='Metrics'!$K$15,IF('Metrics'!$K$15-'Metrics'!$J$15&lt;=0,'Metrics'!$S$15,'Metrics'!$R$15+('Metrics'!$B$15-'Metrics'!$J$15)/('Metrics'!$K$15-'Metrics'!$J$15)*('Metrics'!$S$15-'Metrics'!$R$15)),IF('Metrics'!$B$15&lt;='Metrics'!$L$15,IF('Metrics'!$L$15-'Metrics'!$K$15&lt;=0,'Metrics'!$T$15,'Metrics'!$S$15+('Metrics'!$B$15-'Metrics'!$K$15)/('Metrics'!$L$15-'Metrics'!$K$15)*('Metrics'!$T$15-'Metrics'!$S$15)),IF('Metrics'!$M$15-'Metrics'!$L$15&lt;=0,'Metrics'!$U$15,'Metrics'!$T$15+('Metrics'!$B$15-'Metrics'!$L$15)/('Metrics'!$M$15-'Metrics'!$L$15)*('Metrics'!$U$15-'Metrics'!$T$15)))))))))))),"")</f>
        <v/>
      </c>
    </row>
    <row r="16">
      <c r="A16" s="70" t="inlineStr">
        <is>
          <t>Relative bed stability</t>
        </is>
      </c>
      <c r="B16" s="71">
        <f>IF('DEEP Score'!$E$27="","",'DEEP Score'!$E$27)</f>
        <v/>
      </c>
      <c r="C16" s="71">
        <f>IF('DEEP Score'!$F$27="","All streams (pooled)",'DEEP Score'!$F$27)</f>
        <v/>
      </c>
      <c r="D16" s="71">
        <f>"spring_phab_lrbs_use|"&amp;'Metrics'!$C$16</f>
        <v/>
      </c>
      <c r="E16" s="71">
        <f>IFERROR(MATCH('Metrics'!$D$16,curve_key,0),MATCH("spring_phab_lrbs_use|All streams (pooled)",curve_key,0))</f>
        <v/>
      </c>
      <c r="F16" s="71">
        <f>INDEX(curve_x1,'Metrics'!$E$16)</f>
        <v/>
      </c>
      <c r="G16" s="71">
        <f>INDEX(curve_x2,'Metrics'!$E$16)</f>
        <v/>
      </c>
      <c r="H16" s="71">
        <f>INDEX(curve_x3,'Metrics'!$E$16)</f>
        <v/>
      </c>
      <c r="I16" s="71">
        <f>INDEX(curve_x4,'Metrics'!$E$16)</f>
        <v/>
      </c>
      <c r="J16" s="71">
        <f>INDEX(curve_x5,'Metrics'!$E$16)</f>
        <v/>
      </c>
      <c r="K16" s="71">
        <f>INDEX(curve_x6,'Metrics'!$E$16)</f>
        <v/>
      </c>
      <c r="L16" s="71">
        <f>INDEX(curve_x7,'Metrics'!$E$16)</f>
        <v/>
      </c>
      <c r="M16" s="71">
        <f>INDEX(curve_x8,'Metrics'!$E$16)</f>
        <v/>
      </c>
      <c r="N16" s="71">
        <f>INDEX(curve_y1,'Metrics'!$E$16)</f>
        <v/>
      </c>
      <c r="O16" s="71">
        <f>INDEX(curve_y2,'Metrics'!$E$16)</f>
        <v/>
      </c>
      <c r="P16" s="71">
        <f>INDEX(curve_y3,'Metrics'!$E$16)</f>
        <v/>
      </c>
      <c r="Q16" s="71">
        <f>INDEX(curve_y4,'Metrics'!$E$16)</f>
        <v/>
      </c>
      <c r="R16" s="71">
        <f>INDEX(curve_y5,'Metrics'!$E$16)</f>
        <v/>
      </c>
      <c r="S16" s="71">
        <f>INDEX(curve_y6,'Metrics'!$E$16)</f>
        <v/>
      </c>
      <c r="T16" s="71">
        <f>INDEX(curve_y7,'Metrics'!$E$16)</f>
        <v/>
      </c>
      <c r="U16" s="71">
        <f>INDEX(curve_y8,'Metrics'!$E$16)</f>
        <v/>
      </c>
      <c r="V16" s="72">
        <f>IF(ISNUMBER('Metrics'!$B$16),MAX(0,MIN(1,IF('Metrics'!$B$16&lt;='Metrics'!$F$16,'Metrics'!$N$16,IF('Metrics'!$B$16&gt;='Metrics'!$M$16,'Metrics'!$U$16,IF('Metrics'!$B$16&lt;='Metrics'!$G$16,IF('Metrics'!$G$16-'Metrics'!$F$16&lt;=0,'Metrics'!$O$16,'Metrics'!$N$16+('Metrics'!$B$16-'Metrics'!$F$16)/('Metrics'!$G$16-'Metrics'!$F$16)*('Metrics'!$O$16-'Metrics'!$N$16)),IF('Metrics'!$B$16&lt;='Metrics'!$H$16,IF('Metrics'!$H$16-'Metrics'!$G$16&lt;=0,'Metrics'!$P$16,'Metrics'!$O$16+('Metrics'!$B$16-'Metrics'!$G$16)/('Metrics'!$H$16-'Metrics'!$G$16)*('Metrics'!$P$16-'Metrics'!$O$16)),IF('Metrics'!$B$16&lt;='Metrics'!$I$16,IF('Metrics'!$I$16-'Metrics'!$H$16&lt;=0,'Metrics'!$Q$16,'Metrics'!$P$16+('Metrics'!$B$16-'Metrics'!$H$16)/('Metrics'!$I$16-'Metrics'!$H$16)*('Metrics'!$Q$16-'Metrics'!$P$16)),IF('Metrics'!$B$16&lt;='Metrics'!$J$16,IF('Metrics'!$J$16-'Metrics'!$I$16&lt;=0,'Metrics'!$R$16,'Metrics'!$Q$16+('Metrics'!$B$16-'Metrics'!$I$16)/('Metrics'!$J$16-'Metrics'!$I$16)*('Metrics'!$R$16-'Metrics'!$Q$16)),IF('Metrics'!$B$16&lt;='Metrics'!$K$16,IF('Metrics'!$K$16-'Metrics'!$J$16&lt;=0,'Metrics'!$S$16,'Metrics'!$R$16+('Metrics'!$B$16-'Metrics'!$J$16)/('Metrics'!$K$16-'Metrics'!$J$16)*('Metrics'!$S$16-'Metrics'!$R$16)),IF('Metrics'!$B$16&lt;='Metrics'!$L$16,IF('Metrics'!$L$16-'Metrics'!$K$16&lt;=0,'Metrics'!$T$16,'Metrics'!$S$16+('Metrics'!$B$16-'Metrics'!$K$16)/('Metrics'!$L$16-'Metrics'!$K$16)*('Metrics'!$T$16-'Metrics'!$S$16)),IF('Metrics'!$M$16-'Metrics'!$L$16&lt;=0,'Metrics'!$U$16,'Metrics'!$T$16+('Metrics'!$B$16-'Metrics'!$L$16)/('Metrics'!$M$16-'Metrics'!$L$16)*('Metrics'!$U$16-'Metrics'!$T$16)))))))))))),"")</f>
        <v/>
      </c>
    </row>
    <row r="17">
      <c r="A17" s="70" t="inlineStr">
        <is>
          <t>Substrate size</t>
        </is>
      </c>
      <c r="B17" s="71">
        <f>IF('DEEP Score'!$E$29="","",'DEEP Score'!$E$29)</f>
        <v/>
      </c>
      <c r="C17" s="71">
        <f>""</f>
        <v/>
      </c>
      <c r="D17" s="71">
        <f>"spring_phab_lsub_dmm|"&amp;'Metrics'!$C$17</f>
        <v/>
      </c>
      <c r="E17" s="71">
        <f>IFERROR(MATCH('Metrics'!$D$17,curve_key,0),MATCH("spring_phab_lsub_dmm|",curve_key,0))</f>
        <v/>
      </c>
      <c r="F17" s="71">
        <f>INDEX(curve_x1,'Metrics'!$E$17)</f>
        <v/>
      </c>
      <c r="G17" s="71">
        <f>INDEX(curve_x2,'Metrics'!$E$17)</f>
        <v/>
      </c>
      <c r="H17" s="71">
        <f>INDEX(curve_x3,'Metrics'!$E$17)</f>
        <v/>
      </c>
      <c r="I17" s="71">
        <f>INDEX(curve_x4,'Metrics'!$E$17)</f>
        <v/>
      </c>
      <c r="J17" s="71">
        <f>INDEX(curve_x5,'Metrics'!$E$17)</f>
        <v/>
      </c>
      <c r="K17" s="71">
        <f>INDEX(curve_x6,'Metrics'!$E$17)</f>
        <v/>
      </c>
      <c r="L17" s="71">
        <f>INDEX(curve_x7,'Metrics'!$E$17)</f>
        <v/>
      </c>
      <c r="M17" s="71">
        <f>INDEX(curve_x8,'Metrics'!$E$17)</f>
        <v/>
      </c>
      <c r="N17" s="71">
        <f>INDEX(curve_y1,'Metrics'!$E$17)</f>
        <v/>
      </c>
      <c r="O17" s="71">
        <f>INDEX(curve_y2,'Metrics'!$E$17)</f>
        <v/>
      </c>
      <c r="P17" s="71">
        <f>INDEX(curve_y3,'Metrics'!$E$17)</f>
        <v/>
      </c>
      <c r="Q17" s="71">
        <f>INDEX(curve_y4,'Metrics'!$E$17)</f>
        <v/>
      </c>
      <c r="R17" s="71">
        <f>INDEX(curve_y5,'Metrics'!$E$17)</f>
        <v/>
      </c>
      <c r="S17" s="71">
        <f>INDEX(curve_y6,'Metrics'!$E$17)</f>
        <v/>
      </c>
      <c r="T17" s="71">
        <f>INDEX(curve_y7,'Metrics'!$E$17)</f>
        <v/>
      </c>
      <c r="U17" s="71">
        <f>INDEX(curve_y8,'Metrics'!$E$17)</f>
        <v/>
      </c>
      <c r="V17" s="72">
        <f>IF(ISNUMBER('Metrics'!$B$17),MAX(0,MIN(1,IF('Metrics'!$B$17&lt;='Metrics'!$F$17,'Metrics'!$N$17,IF('Metrics'!$B$17&gt;='Metrics'!$M$17,'Metrics'!$U$17,IF('Metrics'!$B$17&lt;='Metrics'!$G$17,IF('Metrics'!$G$17-'Metrics'!$F$17&lt;=0,'Metrics'!$O$17,'Metrics'!$N$17+('Metrics'!$B$17-'Metrics'!$F$17)/('Metrics'!$G$17-'Metrics'!$F$17)*('Metrics'!$O$17-'Metrics'!$N$17)),IF('Metrics'!$B$17&lt;='Metrics'!$H$17,IF('Metrics'!$H$17-'Metrics'!$G$17&lt;=0,'Metrics'!$P$17,'Metrics'!$O$17+('Metrics'!$B$17-'Metrics'!$G$17)/('Metrics'!$H$17-'Metrics'!$G$17)*('Metrics'!$P$17-'Metrics'!$O$17)),IF('Metrics'!$B$17&lt;='Metrics'!$I$17,IF('Metrics'!$I$17-'Metrics'!$H$17&lt;=0,'Metrics'!$Q$17,'Metrics'!$P$17+('Metrics'!$B$17-'Metrics'!$H$17)/('Metrics'!$I$17-'Metrics'!$H$17)*('Metrics'!$Q$17-'Metrics'!$P$17)),IF('Metrics'!$B$17&lt;='Metrics'!$J$17,IF('Metrics'!$J$17-'Metrics'!$I$17&lt;=0,'Metrics'!$R$17,'Metrics'!$Q$17+('Metrics'!$B$17-'Metrics'!$I$17)/('Metrics'!$J$17-'Metrics'!$I$17)*('Metrics'!$R$17-'Metrics'!$Q$17)),IF('Metrics'!$B$17&lt;='Metrics'!$K$17,IF('Metrics'!$K$17-'Metrics'!$J$17&lt;=0,'Metrics'!$S$17,'Metrics'!$R$17+('Metrics'!$B$17-'Metrics'!$J$17)/('Metrics'!$K$17-'Metrics'!$J$17)*('Metrics'!$S$17-'Metrics'!$R$17)),IF('Metrics'!$B$17&lt;='Metrics'!$L$17,IF('Metrics'!$L$17-'Metrics'!$K$17&lt;=0,'Metrics'!$T$17,'Metrics'!$S$17+('Metrics'!$B$17-'Metrics'!$K$17)/('Metrics'!$L$17-'Metrics'!$K$17)*('Metrics'!$T$17-'Metrics'!$S$17)),IF('Metrics'!$M$17-'Metrics'!$L$17&lt;=0,'Metrics'!$U$17,'Metrics'!$T$17+('Metrics'!$B$17-'Metrics'!$L$17)/('Metrics'!$M$17-'Metrics'!$L$17)*('Metrics'!$U$17-'Metrics'!$T$17)))))))))))),"")</f>
        <v/>
      </c>
    </row>
    <row r="18">
      <c r="A18" s="70" t="inlineStr">
        <is>
          <t>Large wood volume</t>
        </is>
      </c>
      <c r="B18" s="71">
        <f>IF('DEEP Score'!$E$30="","",'DEEP Score'!$E$30)</f>
        <v/>
      </c>
      <c r="C18" s="71">
        <f>""</f>
        <v/>
      </c>
      <c r="D18" s="71">
        <f>"spring_phab_lwdeqvolm100|"&amp;'Metrics'!$C$18</f>
        <v/>
      </c>
      <c r="E18" s="71">
        <f>IFERROR(MATCH('Metrics'!$D$18,curve_key,0),MATCH("spring_phab_lwdeqvolm100|",curve_key,0))</f>
        <v/>
      </c>
      <c r="F18" s="71">
        <f>INDEX(curve_x1,'Metrics'!$E$18)</f>
        <v/>
      </c>
      <c r="G18" s="71">
        <f>INDEX(curve_x2,'Metrics'!$E$18)</f>
        <v/>
      </c>
      <c r="H18" s="71">
        <f>INDEX(curve_x3,'Metrics'!$E$18)</f>
        <v/>
      </c>
      <c r="I18" s="71">
        <f>INDEX(curve_x4,'Metrics'!$E$18)</f>
        <v/>
      </c>
      <c r="J18" s="71">
        <f>INDEX(curve_x5,'Metrics'!$E$18)</f>
        <v/>
      </c>
      <c r="K18" s="71">
        <f>INDEX(curve_x6,'Metrics'!$E$18)</f>
        <v/>
      </c>
      <c r="L18" s="71">
        <f>INDEX(curve_x7,'Metrics'!$E$18)</f>
        <v/>
      </c>
      <c r="M18" s="71">
        <f>INDEX(curve_x8,'Metrics'!$E$18)</f>
        <v/>
      </c>
      <c r="N18" s="71">
        <f>INDEX(curve_y1,'Metrics'!$E$18)</f>
        <v/>
      </c>
      <c r="O18" s="71">
        <f>INDEX(curve_y2,'Metrics'!$E$18)</f>
        <v/>
      </c>
      <c r="P18" s="71">
        <f>INDEX(curve_y3,'Metrics'!$E$18)</f>
        <v/>
      </c>
      <c r="Q18" s="71">
        <f>INDEX(curve_y4,'Metrics'!$E$18)</f>
        <v/>
      </c>
      <c r="R18" s="71">
        <f>INDEX(curve_y5,'Metrics'!$E$18)</f>
        <v/>
      </c>
      <c r="S18" s="71">
        <f>INDEX(curve_y6,'Metrics'!$E$18)</f>
        <v/>
      </c>
      <c r="T18" s="71">
        <f>INDEX(curve_y7,'Metrics'!$E$18)</f>
        <v/>
      </c>
      <c r="U18" s="71">
        <f>INDEX(curve_y8,'Metrics'!$E$18)</f>
        <v/>
      </c>
      <c r="V18" s="72">
        <f>IF(ISNUMBER('Metrics'!$B$18),MAX(0,MIN(1,IF('Metrics'!$B$18&lt;='Metrics'!$F$18,'Metrics'!$N$18,IF('Metrics'!$B$18&gt;='Metrics'!$M$18,'Metrics'!$U$18,IF('Metrics'!$B$18&lt;='Metrics'!$G$18,IF('Metrics'!$G$18-'Metrics'!$F$18&lt;=0,'Metrics'!$O$18,'Metrics'!$N$18+('Metrics'!$B$18-'Metrics'!$F$18)/('Metrics'!$G$18-'Metrics'!$F$18)*('Metrics'!$O$18-'Metrics'!$N$18)),IF('Metrics'!$B$18&lt;='Metrics'!$H$18,IF('Metrics'!$H$18-'Metrics'!$G$18&lt;=0,'Metrics'!$P$18,'Metrics'!$O$18+('Metrics'!$B$18-'Metrics'!$G$18)/('Metrics'!$H$18-'Metrics'!$G$18)*('Metrics'!$P$18-'Metrics'!$O$18)),IF('Metrics'!$B$18&lt;='Metrics'!$I$18,IF('Metrics'!$I$18-'Metrics'!$H$18&lt;=0,'Metrics'!$Q$18,'Metrics'!$P$18+('Metrics'!$B$18-'Metrics'!$H$18)/('Metrics'!$I$18-'Metrics'!$H$18)*('Metrics'!$Q$18-'Metrics'!$P$18)),IF('Metrics'!$B$18&lt;='Metrics'!$J$18,IF('Metrics'!$J$18-'Metrics'!$I$18&lt;=0,'Metrics'!$R$18,'Metrics'!$Q$18+('Metrics'!$B$18-'Metrics'!$I$18)/('Metrics'!$J$18-'Metrics'!$I$18)*('Metrics'!$R$18-'Metrics'!$Q$18)),IF('Metrics'!$B$18&lt;='Metrics'!$K$18,IF('Metrics'!$K$18-'Metrics'!$J$18&lt;=0,'Metrics'!$S$18,'Metrics'!$R$18+('Metrics'!$B$18-'Metrics'!$J$18)/('Metrics'!$K$18-'Metrics'!$J$18)*('Metrics'!$S$18-'Metrics'!$R$18)),IF('Metrics'!$B$18&lt;='Metrics'!$L$18,IF('Metrics'!$L$18-'Metrics'!$K$18&lt;=0,'Metrics'!$T$18,'Metrics'!$S$18+('Metrics'!$B$18-'Metrics'!$K$18)/('Metrics'!$L$18-'Metrics'!$K$18)*('Metrics'!$T$18-'Metrics'!$S$18)),IF('Metrics'!$M$18-'Metrics'!$L$18&lt;=0,'Metrics'!$U$18,'Metrics'!$T$18+('Metrics'!$B$18-'Metrics'!$L$18)/('Metrics'!$M$18-'Metrics'!$L$18)*('Metrics'!$U$18-'Metrics'!$T$18)))))))))))),"")</f>
        <v/>
      </c>
    </row>
    <row r="19">
      <c r="A19" s="70" t="inlineStr">
        <is>
          <t>Chlorophyll a</t>
        </is>
      </c>
      <c r="B19" s="71">
        <f>IF('DEEP Score'!$E$31="","",'DEEP Score'!$E$31)</f>
        <v/>
      </c>
      <c r="C19" s="71">
        <f>""</f>
        <v/>
      </c>
      <c r="D19" s="71">
        <f>"spring_chem_chla|"&amp;'Metrics'!$C$19</f>
        <v/>
      </c>
      <c r="E19" s="71">
        <f>IFERROR(MATCH('Metrics'!$D$19,curve_key,0),MATCH("spring_chem_chla|",curve_key,0))</f>
        <v/>
      </c>
      <c r="F19" s="71">
        <f>INDEX(curve_x1,'Metrics'!$E$19)</f>
        <v/>
      </c>
      <c r="G19" s="71">
        <f>INDEX(curve_x2,'Metrics'!$E$19)</f>
        <v/>
      </c>
      <c r="H19" s="71">
        <f>INDEX(curve_x3,'Metrics'!$E$19)</f>
        <v/>
      </c>
      <c r="I19" s="71">
        <f>INDEX(curve_x4,'Metrics'!$E$19)</f>
        <v/>
      </c>
      <c r="J19" s="71">
        <f>INDEX(curve_x5,'Metrics'!$E$19)</f>
        <v/>
      </c>
      <c r="K19" s="71">
        <f>INDEX(curve_x6,'Metrics'!$E$19)</f>
        <v/>
      </c>
      <c r="L19" s="71">
        <f>INDEX(curve_x7,'Metrics'!$E$19)</f>
        <v/>
      </c>
      <c r="M19" s="71">
        <f>INDEX(curve_x8,'Metrics'!$E$19)</f>
        <v/>
      </c>
      <c r="N19" s="71">
        <f>INDEX(curve_y1,'Metrics'!$E$19)</f>
        <v/>
      </c>
      <c r="O19" s="71">
        <f>INDEX(curve_y2,'Metrics'!$E$19)</f>
        <v/>
      </c>
      <c r="P19" s="71">
        <f>INDEX(curve_y3,'Metrics'!$E$19)</f>
        <v/>
      </c>
      <c r="Q19" s="71">
        <f>INDEX(curve_y4,'Metrics'!$E$19)</f>
        <v/>
      </c>
      <c r="R19" s="71">
        <f>INDEX(curve_y5,'Metrics'!$E$19)</f>
        <v/>
      </c>
      <c r="S19" s="71">
        <f>INDEX(curve_y6,'Metrics'!$E$19)</f>
        <v/>
      </c>
      <c r="T19" s="71">
        <f>INDEX(curve_y7,'Metrics'!$E$19)</f>
        <v/>
      </c>
      <c r="U19" s="71">
        <f>INDEX(curve_y8,'Metrics'!$E$19)</f>
        <v/>
      </c>
      <c r="V19" s="72">
        <f>IF(ISNUMBER('Metrics'!$B$19),MAX(0,MIN(1,IF('Metrics'!$B$19&lt;='Metrics'!$F$19,'Metrics'!$N$19,IF('Metrics'!$B$19&gt;='Metrics'!$M$19,'Metrics'!$U$19,IF('Metrics'!$B$19&lt;='Metrics'!$G$19,IF('Metrics'!$G$19-'Metrics'!$F$19&lt;=0,'Metrics'!$O$19,'Metrics'!$N$19+('Metrics'!$B$19-'Metrics'!$F$19)/('Metrics'!$G$19-'Metrics'!$F$19)*('Metrics'!$O$19-'Metrics'!$N$19)),IF('Metrics'!$B$19&lt;='Metrics'!$H$19,IF('Metrics'!$H$19-'Metrics'!$G$19&lt;=0,'Metrics'!$P$19,'Metrics'!$O$19+('Metrics'!$B$19-'Metrics'!$G$19)/('Metrics'!$H$19-'Metrics'!$G$19)*('Metrics'!$P$19-'Metrics'!$O$19)),IF('Metrics'!$B$19&lt;='Metrics'!$I$19,IF('Metrics'!$I$19-'Metrics'!$H$19&lt;=0,'Metrics'!$Q$19,'Metrics'!$P$19+('Metrics'!$B$19-'Metrics'!$H$19)/('Metrics'!$I$19-'Metrics'!$H$19)*('Metrics'!$Q$19-'Metrics'!$P$19)),IF('Metrics'!$B$19&lt;='Metrics'!$J$19,IF('Metrics'!$J$19-'Metrics'!$I$19&lt;=0,'Metrics'!$R$19,'Metrics'!$Q$19+('Metrics'!$B$19-'Metrics'!$I$19)/('Metrics'!$J$19-'Metrics'!$I$19)*('Metrics'!$R$19-'Metrics'!$Q$19)),IF('Metrics'!$B$19&lt;='Metrics'!$K$19,IF('Metrics'!$K$19-'Metrics'!$J$19&lt;=0,'Metrics'!$S$19,'Metrics'!$R$19+('Metrics'!$B$19-'Metrics'!$J$19)/('Metrics'!$K$19-'Metrics'!$J$19)*('Metrics'!$S$19-'Metrics'!$R$19)),IF('Metrics'!$B$19&lt;='Metrics'!$L$19,IF('Metrics'!$L$19-'Metrics'!$K$19&lt;=0,'Metrics'!$T$19,'Metrics'!$S$19+('Metrics'!$B$19-'Metrics'!$K$19)/('Metrics'!$L$19-'Metrics'!$K$19)*('Metrics'!$T$19-'Metrics'!$S$19)),IF('Metrics'!$M$19-'Metrics'!$L$19&lt;=0,'Metrics'!$U$19,'Metrics'!$T$19+('Metrics'!$B$19-'Metrics'!$L$19)/('Metrics'!$M$19-'Metrics'!$L$19)*('Metrics'!$U$19-'Metrics'!$T$19)))))))))))),"")</f>
        <v/>
      </c>
    </row>
    <row r="20">
      <c r="A20" s="70" t="inlineStr">
        <is>
          <t>Canopy density, mid-channel</t>
        </is>
      </c>
      <c r="B20" s="71">
        <f>IF('DEEP Score'!$E$32="","",'DEEP Score'!$E$32)</f>
        <v/>
      </c>
      <c r="C20" s="71">
        <f>IF('DEEP Score'!$F$32="","All streams (pooled)",'DEEP Score'!$F$32)</f>
        <v/>
      </c>
      <c r="D20" s="71">
        <f>"spring_phab_xcdenmid|"&amp;'Metrics'!$C$20</f>
        <v/>
      </c>
      <c r="E20" s="71">
        <f>IFERROR(MATCH('Metrics'!$D$20,curve_key,0),MATCH("spring_phab_xcdenmid|All streams (pooled)",curve_key,0))</f>
        <v/>
      </c>
      <c r="F20" s="71">
        <f>INDEX(curve_x1,'Metrics'!$E$20)</f>
        <v/>
      </c>
      <c r="G20" s="71">
        <f>INDEX(curve_x2,'Metrics'!$E$20)</f>
        <v/>
      </c>
      <c r="H20" s="71">
        <f>INDEX(curve_x3,'Metrics'!$E$20)</f>
        <v/>
      </c>
      <c r="I20" s="71">
        <f>INDEX(curve_x4,'Metrics'!$E$20)</f>
        <v/>
      </c>
      <c r="J20" s="71">
        <f>INDEX(curve_x5,'Metrics'!$E$20)</f>
        <v/>
      </c>
      <c r="K20" s="71">
        <f>INDEX(curve_x6,'Metrics'!$E$20)</f>
        <v/>
      </c>
      <c r="L20" s="71">
        <f>INDEX(curve_x7,'Metrics'!$E$20)</f>
        <v/>
      </c>
      <c r="M20" s="71">
        <f>INDEX(curve_x8,'Metrics'!$E$20)</f>
        <v/>
      </c>
      <c r="N20" s="71">
        <f>INDEX(curve_y1,'Metrics'!$E$20)</f>
        <v/>
      </c>
      <c r="O20" s="71">
        <f>INDEX(curve_y2,'Metrics'!$E$20)</f>
        <v/>
      </c>
      <c r="P20" s="71">
        <f>INDEX(curve_y3,'Metrics'!$E$20)</f>
        <v/>
      </c>
      <c r="Q20" s="71">
        <f>INDEX(curve_y4,'Metrics'!$E$20)</f>
        <v/>
      </c>
      <c r="R20" s="71">
        <f>INDEX(curve_y5,'Metrics'!$E$20)</f>
        <v/>
      </c>
      <c r="S20" s="71">
        <f>INDEX(curve_y6,'Metrics'!$E$20)</f>
        <v/>
      </c>
      <c r="T20" s="71">
        <f>INDEX(curve_y7,'Metrics'!$E$20)</f>
        <v/>
      </c>
      <c r="U20" s="71">
        <f>INDEX(curve_y8,'Metrics'!$E$20)</f>
        <v/>
      </c>
      <c r="V20" s="72">
        <f>IF(ISNUMBER('Metrics'!$B$20),MAX(0,MIN(1,IF('Metrics'!$B$20&lt;='Metrics'!$F$20,'Metrics'!$N$20,IF('Metrics'!$B$20&gt;='Metrics'!$M$20,'Metrics'!$U$20,IF('Metrics'!$B$20&lt;='Metrics'!$G$20,IF('Metrics'!$G$20-'Metrics'!$F$20&lt;=0,'Metrics'!$O$20,'Metrics'!$N$20+('Metrics'!$B$20-'Metrics'!$F$20)/('Metrics'!$G$20-'Metrics'!$F$20)*('Metrics'!$O$20-'Metrics'!$N$20)),IF('Metrics'!$B$20&lt;='Metrics'!$H$20,IF('Metrics'!$H$20-'Metrics'!$G$20&lt;=0,'Metrics'!$P$20,'Metrics'!$O$20+('Metrics'!$B$20-'Metrics'!$G$20)/('Metrics'!$H$20-'Metrics'!$G$20)*('Metrics'!$P$20-'Metrics'!$O$20)),IF('Metrics'!$B$20&lt;='Metrics'!$I$20,IF('Metrics'!$I$20-'Metrics'!$H$20&lt;=0,'Metrics'!$Q$20,'Metrics'!$P$20+('Metrics'!$B$20-'Metrics'!$H$20)/('Metrics'!$I$20-'Metrics'!$H$20)*('Metrics'!$Q$20-'Metrics'!$P$20)),IF('Metrics'!$B$20&lt;='Metrics'!$J$20,IF('Metrics'!$J$20-'Metrics'!$I$20&lt;=0,'Metrics'!$R$20,'Metrics'!$Q$20+('Metrics'!$B$20-'Metrics'!$I$20)/('Metrics'!$J$20-'Metrics'!$I$20)*('Metrics'!$R$20-'Metrics'!$Q$20)),IF('Metrics'!$B$20&lt;='Metrics'!$K$20,IF('Metrics'!$K$20-'Metrics'!$J$20&lt;=0,'Metrics'!$S$20,'Metrics'!$R$20+('Metrics'!$B$20-'Metrics'!$J$20)/('Metrics'!$K$20-'Metrics'!$J$20)*('Metrics'!$S$20-'Metrics'!$R$20)),IF('Metrics'!$B$20&lt;='Metrics'!$L$20,IF('Metrics'!$L$20-'Metrics'!$K$20&lt;=0,'Metrics'!$T$20,'Metrics'!$S$20+('Metrics'!$B$20-'Metrics'!$K$20)/('Metrics'!$L$20-'Metrics'!$K$20)*('Metrics'!$T$20-'Metrics'!$S$20)),IF('Metrics'!$M$20-'Metrics'!$L$20&lt;=0,'Metrics'!$U$20,'Metrics'!$T$20+('Metrics'!$B$20-'Metrics'!$L$20)/('Metrics'!$M$20-'Metrics'!$L$20)*('Metrics'!$U$20-'Metrics'!$T$20)))))))))))),"")</f>
        <v/>
      </c>
    </row>
    <row r="21">
      <c r="A21" s="70" t="inlineStr">
        <is>
          <t>Riparian veg cover, woody</t>
        </is>
      </c>
      <c r="B21" s="71">
        <f>IF('DEEP Score'!$E$33="","",'DEEP Score'!$E$33)</f>
        <v/>
      </c>
      <c r="C21" s="71">
        <f>""</f>
        <v/>
      </c>
      <c r="D21" s="71">
        <f>"spring_phab_xcmgw|"&amp;'Metrics'!$C$21</f>
        <v/>
      </c>
      <c r="E21" s="71">
        <f>IFERROR(MATCH('Metrics'!$D$21,curve_key,0),MATCH("spring_phab_xcmgw|",curve_key,0))</f>
        <v/>
      </c>
      <c r="F21" s="71">
        <f>INDEX(curve_x1,'Metrics'!$E$21)</f>
        <v/>
      </c>
      <c r="G21" s="71">
        <f>INDEX(curve_x2,'Metrics'!$E$21)</f>
        <v/>
      </c>
      <c r="H21" s="71">
        <f>INDEX(curve_x3,'Metrics'!$E$21)</f>
        <v/>
      </c>
      <c r="I21" s="71">
        <f>INDEX(curve_x4,'Metrics'!$E$21)</f>
        <v/>
      </c>
      <c r="J21" s="71">
        <f>INDEX(curve_x5,'Metrics'!$E$21)</f>
        <v/>
      </c>
      <c r="K21" s="71">
        <f>INDEX(curve_x6,'Metrics'!$E$21)</f>
        <v/>
      </c>
      <c r="L21" s="71">
        <f>INDEX(curve_x7,'Metrics'!$E$21)</f>
        <v/>
      </c>
      <c r="M21" s="71">
        <f>INDEX(curve_x8,'Metrics'!$E$21)</f>
        <v/>
      </c>
      <c r="N21" s="71">
        <f>INDEX(curve_y1,'Metrics'!$E$21)</f>
        <v/>
      </c>
      <c r="O21" s="71">
        <f>INDEX(curve_y2,'Metrics'!$E$21)</f>
        <v/>
      </c>
      <c r="P21" s="71">
        <f>INDEX(curve_y3,'Metrics'!$E$21)</f>
        <v/>
      </c>
      <c r="Q21" s="71">
        <f>INDEX(curve_y4,'Metrics'!$E$21)</f>
        <v/>
      </c>
      <c r="R21" s="71">
        <f>INDEX(curve_y5,'Metrics'!$E$21)</f>
        <v/>
      </c>
      <c r="S21" s="71">
        <f>INDEX(curve_y6,'Metrics'!$E$21)</f>
        <v/>
      </c>
      <c r="T21" s="71">
        <f>INDEX(curve_y7,'Metrics'!$E$21)</f>
        <v/>
      </c>
      <c r="U21" s="71">
        <f>INDEX(curve_y8,'Metrics'!$E$21)</f>
        <v/>
      </c>
      <c r="V21" s="72">
        <f>IF(ISNUMBER('Metrics'!$B$21),MAX(0,MIN(1,IF('Metrics'!$B$21&lt;='Metrics'!$F$21,'Metrics'!$N$21,IF('Metrics'!$B$21&gt;='Metrics'!$M$21,'Metrics'!$U$21,IF('Metrics'!$B$21&lt;='Metrics'!$G$21,IF('Metrics'!$G$21-'Metrics'!$F$21&lt;=0,'Metrics'!$O$21,'Metrics'!$N$21+('Metrics'!$B$21-'Metrics'!$F$21)/('Metrics'!$G$21-'Metrics'!$F$21)*('Metrics'!$O$21-'Metrics'!$N$21)),IF('Metrics'!$B$21&lt;='Metrics'!$H$21,IF('Metrics'!$H$21-'Metrics'!$G$21&lt;=0,'Metrics'!$P$21,'Metrics'!$O$21+('Metrics'!$B$21-'Metrics'!$G$21)/('Metrics'!$H$21-'Metrics'!$G$21)*('Metrics'!$P$21-'Metrics'!$O$21)),IF('Metrics'!$B$21&lt;='Metrics'!$I$21,IF('Metrics'!$I$21-'Metrics'!$H$21&lt;=0,'Metrics'!$Q$21,'Metrics'!$P$21+('Metrics'!$B$21-'Metrics'!$H$21)/('Metrics'!$I$21-'Metrics'!$H$21)*('Metrics'!$Q$21-'Metrics'!$P$21)),IF('Metrics'!$B$21&lt;='Metrics'!$J$21,IF('Metrics'!$J$21-'Metrics'!$I$21&lt;=0,'Metrics'!$R$21,'Metrics'!$Q$21+('Metrics'!$B$21-'Metrics'!$I$21)/('Metrics'!$J$21-'Metrics'!$I$21)*('Metrics'!$R$21-'Metrics'!$Q$21)),IF('Metrics'!$B$21&lt;='Metrics'!$K$21,IF('Metrics'!$K$21-'Metrics'!$J$21&lt;=0,'Metrics'!$S$21,'Metrics'!$R$21+('Metrics'!$B$21-'Metrics'!$J$21)/('Metrics'!$K$21-'Metrics'!$J$21)*('Metrics'!$S$21-'Metrics'!$R$21)),IF('Metrics'!$B$21&lt;='Metrics'!$L$21,IF('Metrics'!$L$21-'Metrics'!$K$21&lt;=0,'Metrics'!$T$21,'Metrics'!$S$21+('Metrics'!$B$21-'Metrics'!$K$21)/('Metrics'!$L$21-'Metrics'!$K$21)*('Metrics'!$T$21-'Metrics'!$S$21)),IF('Metrics'!$M$21-'Metrics'!$L$21&lt;=0,'Metrics'!$U$21,'Metrics'!$T$21+('Metrics'!$B$21-'Metrics'!$L$21)/('Metrics'!$M$21-'Metrics'!$L$21)*('Metrics'!$U$21-'Metrics'!$T$21)))))))))))),"")</f>
        <v/>
      </c>
    </row>
    <row r="22">
      <c r="A22" s="70" t="inlineStr">
        <is>
          <t>Total nitrogen</t>
        </is>
      </c>
      <c r="B22" s="71">
        <f>IF('DEEP Score'!$E$34="","",'DEEP Score'!$E$34)</f>
        <v/>
      </c>
      <c r="C22" s="71">
        <f>""</f>
        <v/>
      </c>
      <c r="D22" s="71">
        <f>"spring_chem_ntl|"&amp;'Metrics'!$C$22</f>
        <v/>
      </c>
      <c r="E22" s="71">
        <f>IFERROR(MATCH('Metrics'!$D$22,curve_key,0),MATCH("spring_chem_ntl|",curve_key,0))</f>
        <v/>
      </c>
      <c r="F22" s="71">
        <f>INDEX(curve_x1,'Metrics'!$E$22)</f>
        <v/>
      </c>
      <c r="G22" s="71">
        <f>INDEX(curve_x2,'Metrics'!$E$22)</f>
        <v/>
      </c>
      <c r="H22" s="71">
        <f>INDEX(curve_x3,'Metrics'!$E$22)</f>
        <v/>
      </c>
      <c r="I22" s="71">
        <f>INDEX(curve_x4,'Metrics'!$E$22)</f>
        <v/>
      </c>
      <c r="J22" s="71">
        <f>INDEX(curve_x5,'Metrics'!$E$22)</f>
        <v/>
      </c>
      <c r="K22" s="71">
        <f>INDEX(curve_x6,'Metrics'!$E$22)</f>
        <v/>
      </c>
      <c r="L22" s="71">
        <f>INDEX(curve_x7,'Metrics'!$E$22)</f>
        <v/>
      </c>
      <c r="M22" s="71">
        <f>INDEX(curve_x8,'Metrics'!$E$22)</f>
        <v/>
      </c>
      <c r="N22" s="71">
        <f>INDEX(curve_y1,'Metrics'!$E$22)</f>
        <v/>
      </c>
      <c r="O22" s="71">
        <f>INDEX(curve_y2,'Metrics'!$E$22)</f>
        <v/>
      </c>
      <c r="P22" s="71">
        <f>INDEX(curve_y3,'Metrics'!$E$22)</f>
        <v/>
      </c>
      <c r="Q22" s="71">
        <f>INDEX(curve_y4,'Metrics'!$E$22)</f>
        <v/>
      </c>
      <c r="R22" s="71">
        <f>INDEX(curve_y5,'Metrics'!$E$22)</f>
        <v/>
      </c>
      <c r="S22" s="71">
        <f>INDEX(curve_y6,'Metrics'!$E$22)</f>
        <v/>
      </c>
      <c r="T22" s="71">
        <f>INDEX(curve_y7,'Metrics'!$E$22)</f>
        <v/>
      </c>
      <c r="U22" s="71">
        <f>INDEX(curve_y8,'Metrics'!$E$22)</f>
        <v/>
      </c>
      <c r="V22" s="72">
        <f>IF(ISNUMBER('Metrics'!$B$22),MAX(0,MIN(1,IF('Metrics'!$B$22&lt;='Metrics'!$F$22,'Metrics'!$N$22,IF('Metrics'!$B$22&gt;='Metrics'!$M$22,'Metrics'!$U$22,IF('Metrics'!$B$22&lt;='Metrics'!$G$22,IF('Metrics'!$G$22-'Metrics'!$F$22&lt;=0,'Metrics'!$O$22,'Metrics'!$N$22+('Metrics'!$B$22-'Metrics'!$F$22)/('Metrics'!$G$22-'Metrics'!$F$22)*('Metrics'!$O$22-'Metrics'!$N$22)),IF('Metrics'!$B$22&lt;='Metrics'!$H$22,IF('Metrics'!$H$22-'Metrics'!$G$22&lt;=0,'Metrics'!$P$22,'Metrics'!$O$22+('Metrics'!$B$22-'Metrics'!$G$22)/('Metrics'!$H$22-'Metrics'!$G$22)*('Metrics'!$P$22-'Metrics'!$O$22)),IF('Metrics'!$B$22&lt;='Metrics'!$I$22,IF('Metrics'!$I$22-'Metrics'!$H$22&lt;=0,'Metrics'!$Q$22,'Metrics'!$P$22+('Metrics'!$B$22-'Metrics'!$H$22)/('Metrics'!$I$22-'Metrics'!$H$22)*('Metrics'!$Q$22-'Metrics'!$P$22)),IF('Metrics'!$B$22&lt;='Metrics'!$J$22,IF('Metrics'!$J$22-'Metrics'!$I$22&lt;=0,'Metrics'!$R$22,'Metrics'!$Q$22+('Metrics'!$B$22-'Metrics'!$I$22)/('Metrics'!$J$22-'Metrics'!$I$22)*('Metrics'!$R$22-'Metrics'!$Q$22)),IF('Metrics'!$B$22&lt;='Metrics'!$K$22,IF('Metrics'!$K$22-'Metrics'!$J$22&lt;=0,'Metrics'!$S$22,'Metrics'!$R$22+('Metrics'!$B$22-'Metrics'!$J$22)/('Metrics'!$K$22-'Metrics'!$J$22)*('Metrics'!$S$22-'Metrics'!$R$22)),IF('Metrics'!$B$22&lt;='Metrics'!$L$22,IF('Metrics'!$L$22-'Metrics'!$K$22&lt;=0,'Metrics'!$T$22,'Metrics'!$S$22+('Metrics'!$B$22-'Metrics'!$K$22)/('Metrics'!$L$22-'Metrics'!$K$22)*('Metrics'!$T$22-'Metrics'!$S$22)),IF('Metrics'!$M$22-'Metrics'!$L$22&lt;=0,'Metrics'!$U$22,'Metrics'!$T$22+('Metrics'!$B$22-'Metrics'!$L$22)/('Metrics'!$M$22-'Metrics'!$L$22)*('Metrics'!$U$22-'Metrics'!$T$22)))))))))))),"")</f>
        <v/>
      </c>
    </row>
    <row r="23">
      <c r="A23" s="70" t="inlineStr">
        <is>
          <t>Total phosphorus</t>
        </is>
      </c>
      <c r="B23" s="71">
        <f>IF('DEEP Score'!$E$35="","",'DEEP Score'!$E$35)</f>
        <v/>
      </c>
      <c r="C23" s="71">
        <f>""</f>
        <v/>
      </c>
      <c r="D23" s="71">
        <f>"spring_chem_ptl|"&amp;'Metrics'!$C$23</f>
        <v/>
      </c>
      <c r="E23" s="71">
        <f>IFERROR(MATCH('Metrics'!$D$23,curve_key,0),MATCH("spring_chem_ptl|",curve_key,0))</f>
        <v/>
      </c>
      <c r="F23" s="71">
        <f>INDEX(curve_x1,'Metrics'!$E$23)</f>
        <v/>
      </c>
      <c r="G23" s="71">
        <f>INDEX(curve_x2,'Metrics'!$E$23)</f>
        <v/>
      </c>
      <c r="H23" s="71">
        <f>INDEX(curve_x3,'Metrics'!$E$23)</f>
        <v/>
      </c>
      <c r="I23" s="71">
        <f>INDEX(curve_x4,'Metrics'!$E$23)</f>
        <v/>
      </c>
      <c r="J23" s="71">
        <f>INDEX(curve_x5,'Metrics'!$E$23)</f>
        <v/>
      </c>
      <c r="K23" s="71">
        <f>INDEX(curve_x6,'Metrics'!$E$23)</f>
        <v/>
      </c>
      <c r="L23" s="71">
        <f>INDEX(curve_x7,'Metrics'!$E$23)</f>
        <v/>
      </c>
      <c r="M23" s="71">
        <f>INDEX(curve_x8,'Metrics'!$E$23)</f>
        <v/>
      </c>
      <c r="N23" s="71">
        <f>INDEX(curve_y1,'Metrics'!$E$23)</f>
        <v/>
      </c>
      <c r="O23" s="71">
        <f>INDEX(curve_y2,'Metrics'!$E$23)</f>
        <v/>
      </c>
      <c r="P23" s="71">
        <f>INDEX(curve_y3,'Metrics'!$E$23)</f>
        <v/>
      </c>
      <c r="Q23" s="71">
        <f>INDEX(curve_y4,'Metrics'!$E$23)</f>
        <v/>
      </c>
      <c r="R23" s="71">
        <f>INDEX(curve_y5,'Metrics'!$E$23)</f>
        <v/>
      </c>
      <c r="S23" s="71">
        <f>INDEX(curve_y6,'Metrics'!$E$23)</f>
        <v/>
      </c>
      <c r="T23" s="71">
        <f>INDEX(curve_y7,'Metrics'!$E$23)</f>
        <v/>
      </c>
      <c r="U23" s="71">
        <f>INDEX(curve_y8,'Metrics'!$E$23)</f>
        <v/>
      </c>
      <c r="V23" s="72">
        <f>IF(ISNUMBER('Metrics'!$B$23),MAX(0,MIN(1,IF('Metrics'!$B$23&lt;='Metrics'!$F$23,'Metrics'!$N$23,IF('Metrics'!$B$23&gt;='Metrics'!$M$23,'Metrics'!$U$23,IF('Metrics'!$B$23&lt;='Metrics'!$G$23,IF('Metrics'!$G$23-'Metrics'!$F$23&lt;=0,'Metrics'!$O$23,'Metrics'!$N$23+('Metrics'!$B$23-'Metrics'!$F$23)/('Metrics'!$G$23-'Metrics'!$F$23)*('Metrics'!$O$23-'Metrics'!$N$23)),IF('Metrics'!$B$23&lt;='Metrics'!$H$23,IF('Metrics'!$H$23-'Metrics'!$G$23&lt;=0,'Metrics'!$P$23,'Metrics'!$O$23+('Metrics'!$B$23-'Metrics'!$G$23)/('Metrics'!$H$23-'Metrics'!$G$23)*('Metrics'!$P$23-'Metrics'!$O$23)),IF('Metrics'!$B$23&lt;='Metrics'!$I$23,IF('Metrics'!$I$23-'Metrics'!$H$23&lt;=0,'Metrics'!$Q$23,'Metrics'!$P$23+('Metrics'!$B$23-'Metrics'!$H$23)/('Metrics'!$I$23-'Metrics'!$H$23)*('Metrics'!$Q$23-'Metrics'!$P$23)),IF('Metrics'!$B$23&lt;='Metrics'!$J$23,IF('Metrics'!$J$23-'Metrics'!$I$23&lt;=0,'Metrics'!$R$23,'Metrics'!$Q$23+('Metrics'!$B$23-'Metrics'!$I$23)/('Metrics'!$J$23-'Metrics'!$I$23)*('Metrics'!$R$23-'Metrics'!$Q$23)),IF('Metrics'!$B$23&lt;='Metrics'!$K$23,IF('Metrics'!$K$23-'Metrics'!$J$23&lt;=0,'Metrics'!$S$23,'Metrics'!$R$23+('Metrics'!$B$23-'Metrics'!$J$23)/('Metrics'!$K$23-'Metrics'!$J$23)*('Metrics'!$S$23-'Metrics'!$R$23)),IF('Metrics'!$B$23&lt;='Metrics'!$L$23,IF('Metrics'!$L$23-'Metrics'!$K$23&lt;=0,'Metrics'!$T$23,'Metrics'!$S$23+('Metrics'!$B$23-'Metrics'!$K$23)/('Metrics'!$L$23-'Metrics'!$K$23)*('Metrics'!$T$23-'Metrics'!$S$23)),IF('Metrics'!$M$23-'Metrics'!$L$23&lt;=0,'Metrics'!$U$23,'Metrics'!$T$23+('Metrics'!$B$23-'Metrics'!$L$23)/('Metrics'!$M$23-'Metrics'!$L$23)*('Metrics'!$U$23-'Metrics'!$T$23)))))))))))),"")</f>
        <v/>
      </c>
    </row>
    <row r="24">
      <c r="A24" s="70" t="inlineStr">
        <is>
          <t>Specific conductivity</t>
        </is>
      </c>
      <c r="B24" s="71">
        <f>IF('DEEP Score'!$E$36="","",'DEEP Score'!$E$36)</f>
        <v/>
      </c>
      <c r="C24" s="71">
        <f>""</f>
        <v/>
      </c>
      <c r="D24" s="71">
        <f>"spring_chem_cond|"&amp;'Metrics'!$C$24</f>
        <v/>
      </c>
      <c r="E24" s="71">
        <f>IFERROR(MATCH('Metrics'!$D$24,curve_key,0),MATCH("spring_chem_cond|",curve_key,0))</f>
        <v/>
      </c>
      <c r="F24" s="71">
        <f>INDEX(curve_x1,'Metrics'!$E$24)</f>
        <v/>
      </c>
      <c r="G24" s="71">
        <f>INDEX(curve_x2,'Metrics'!$E$24)</f>
        <v/>
      </c>
      <c r="H24" s="71">
        <f>INDEX(curve_x3,'Metrics'!$E$24)</f>
        <v/>
      </c>
      <c r="I24" s="71">
        <f>INDEX(curve_x4,'Metrics'!$E$24)</f>
        <v/>
      </c>
      <c r="J24" s="71">
        <f>INDEX(curve_x5,'Metrics'!$E$24)</f>
        <v/>
      </c>
      <c r="K24" s="71">
        <f>INDEX(curve_x6,'Metrics'!$E$24)</f>
        <v/>
      </c>
      <c r="L24" s="71">
        <f>INDEX(curve_x7,'Metrics'!$E$24)</f>
        <v/>
      </c>
      <c r="M24" s="71">
        <f>INDEX(curve_x8,'Metrics'!$E$24)</f>
        <v/>
      </c>
      <c r="N24" s="71">
        <f>INDEX(curve_y1,'Metrics'!$E$24)</f>
        <v/>
      </c>
      <c r="O24" s="71">
        <f>INDEX(curve_y2,'Metrics'!$E$24)</f>
        <v/>
      </c>
      <c r="P24" s="71">
        <f>INDEX(curve_y3,'Metrics'!$E$24)</f>
        <v/>
      </c>
      <c r="Q24" s="71">
        <f>INDEX(curve_y4,'Metrics'!$E$24)</f>
        <v/>
      </c>
      <c r="R24" s="71">
        <f>INDEX(curve_y5,'Metrics'!$E$24)</f>
        <v/>
      </c>
      <c r="S24" s="71">
        <f>INDEX(curve_y6,'Metrics'!$E$24)</f>
        <v/>
      </c>
      <c r="T24" s="71">
        <f>INDEX(curve_y7,'Metrics'!$E$24)</f>
        <v/>
      </c>
      <c r="U24" s="71">
        <f>INDEX(curve_y8,'Metrics'!$E$24)</f>
        <v/>
      </c>
      <c r="V24" s="72">
        <f>IF(ISNUMBER('Metrics'!$B$24),MAX(0,MIN(1,IF('Metrics'!$B$24&lt;='Metrics'!$F$24,'Metrics'!$N$24,IF('Metrics'!$B$24&gt;='Metrics'!$M$24,'Metrics'!$U$24,IF('Metrics'!$B$24&lt;='Metrics'!$G$24,IF('Metrics'!$G$24-'Metrics'!$F$24&lt;=0,'Metrics'!$O$24,'Metrics'!$N$24+('Metrics'!$B$24-'Metrics'!$F$24)/('Metrics'!$G$24-'Metrics'!$F$24)*('Metrics'!$O$24-'Metrics'!$N$24)),IF('Metrics'!$B$24&lt;='Metrics'!$H$24,IF('Metrics'!$H$24-'Metrics'!$G$24&lt;=0,'Metrics'!$P$24,'Metrics'!$O$24+('Metrics'!$B$24-'Metrics'!$G$24)/('Metrics'!$H$24-'Metrics'!$G$24)*('Metrics'!$P$24-'Metrics'!$O$24)),IF('Metrics'!$B$24&lt;='Metrics'!$I$24,IF('Metrics'!$I$24-'Metrics'!$H$24&lt;=0,'Metrics'!$Q$24,'Metrics'!$P$24+('Metrics'!$B$24-'Metrics'!$H$24)/('Metrics'!$I$24-'Metrics'!$H$24)*('Metrics'!$Q$24-'Metrics'!$P$24)),IF('Metrics'!$B$24&lt;='Metrics'!$J$24,IF('Metrics'!$J$24-'Metrics'!$I$24&lt;=0,'Metrics'!$R$24,'Metrics'!$Q$24+('Metrics'!$B$24-'Metrics'!$I$24)/('Metrics'!$J$24-'Metrics'!$I$24)*('Metrics'!$R$24-'Metrics'!$Q$24)),IF('Metrics'!$B$24&lt;='Metrics'!$K$24,IF('Metrics'!$K$24-'Metrics'!$J$24&lt;=0,'Metrics'!$S$24,'Metrics'!$R$24+('Metrics'!$B$24-'Metrics'!$J$24)/('Metrics'!$K$24-'Metrics'!$J$24)*('Metrics'!$S$24-'Metrics'!$R$24)),IF('Metrics'!$B$24&lt;='Metrics'!$L$24,IF('Metrics'!$L$24-'Metrics'!$K$24&lt;=0,'Metrics'!$T$24,'Metrics'!$S$24+('Metrics'!$B$24-'Metrics'!$K$24)/('Metrics'!$L$24-'Metrics'!$K$24)*('Metrics'!$T$24-'Metrics'!$S$24)),IF('Metrics'!$M$24-'Metrics'!$L$24&lt;=0,'Metrics'!$U$24,'Metrics'!$T$24+('Metrics'!$B$24-'Metrics'!$L$24)/('Metrics'!$M$24-'Metrics'!$L$24)*('Metrics'!$U$24-'Metrics'!$T$24)))))))))))),"")</f>
        <v/>
      </c>
    </row>
    <row r="25">
      <c r="A25" s="70" t="inlineStr">
        <is>
          <t>pH</t>
        </is>
      </c>
      <c r="B25" s="71">
        <f>IF('DEEP Score'!$E$37="","",'DEEP Score'!$E$37)</f>
        <v/>
      </c>
      <c r="C25" s="71">
        <f>""</f>
        <v/>
      </c>
      <c r="D25" s="71">
        <f>"spring_chem_ph|"&amp;'Metrics'!$C$25</f>
        <v/>
      </c>
      <c r="E25" s="71">
        <f>IFERROR(MATCH('Metrics'!$D$25,curve_key,0),MATCH("spring_chem_ph|",curve_key,0))</f>
        <v/>
      </c>
      <c r="F25" s="71">
        <f>INDEX(curve_x1,'Metrics'!$E$25)</f>
        <v/>
      </c>
      <c r="G25" s="71">
        <f>INDEX(curve_x2,'Metrics'!$E$25)</f>
        <v/>
      </c>
      <c r="H25" s="71">
        <f>INDEX(curve_x3,'Metrics'!$E$25)</f>
        <v/>
      </c>
      <c r="I25" s="71">
        <f>INDEX(curve_x4,'Metrics'!$E$25)</f>
        <v/>
      </c>
      <c r="J25" s="71">
        <f>INDEX(curve_x5,'Metrics'!$E$25)</f>
        <v/>
      </c>
      <c r="K25" s="71">
        <f>INDEX(curve_x6,'Metrics'!$E$25)</f>
        <v/>
      </c>
      <c r="L25" s="71">
        <f>INDEX(curve_x7,'Metrics'!$E$25)</f>
        <v/>
      </c>
      <c r="M25" s="71">
        <f>INDEX(curve_x8,'Metrics'!$E$25)</f>
        <v/>
      </c>
      <c r="N25" s="71">
        <f>INDEX(curve_y1,'Metrics'!$E$25)</f>
        <v/>
      </c>
      <c r="O25" s="71">
        <f>INDEX(curve_y2,'Metrics'!$E$25)</f>
        <v/>
      </c>
      <c r="P25" s="71">
        <f>INDEX(curve_y3,'Metrics'!$E$25)</f>
        <v/>
      </c>
      <c r="Q25" s="71">
        <f>INDEX(curve_y4,'Metrics'!$E$25)</f>
        <v/>
      </c>
      <c r="R25" s="71">
        <f>INDEX(curve_y5,'Metrics'!$E$25)</f>
        <v/>
      </c>
      <c r="S25" s="71">
        <f>INDEX(curve_y6,'Metrics'!$E$25)</f>
        <v/>
      </c>
      <c r="T25" s="71">
        <f>INDEX(curve_y7,'Metrics'!$E$25)</f>
        <v/>
      </c>
      <c r="U25" s="71">
        <f>INDEX(curve_y8,'Metrics'!$E$25)</f>
        <v/>
      </c>
      <c r="V25" s="72">
        <f>IF(ISNUMBER('Metrics'!$B$25),MAX(0,MIN(1,IF('Metrics'!$B$25&lt;='Metrics'!$F$25,'Metrics'!$N$25,IF('Metrics'!$B$25&gt;='Metrics'!$M$25,'Metrics'!$U$25,IF('Metrics'!$B$25&lt;='Metrics'!$G$25,IF('Metrics'!$G$25-'Metrics'!$F$25&lt;=0,'Metrics'!$O$25,'Metrics'!$N$25+('Metrics'!$B$25-'Metrics'!$F$25)/('Metrics'!$G$25-'Metrics'!$F$25)*('Metrics'!$O$25-'Metrics'!$N$25)),IF('Metrics'!$B$25&lt;='Metrics'!$H$25,IF('Metrics'!$H$25-'Metrics'!$G$25&lt;=0,'Metrics'!$P$25,'Metrics'!$O$25+('Metrics'!$B$25-'Metrics'!$G$25)/('Metrics'!$H$25-'Metrics'!$G$25)*('Metrics'!$P$25-'Metrics'!$O$25)),IF('Metrics'!$B$25&lt;='Metrics'!$I$25,IF('Metrics'!$I$25-'Metrics'!$H$25&lt;=0,'Metrics'!$Q$25,'Metrics'!$P$25+('Metrics'!$B$25-'Metrics'!$H$25)/('Metrics'!$I$25-'Metrics'!$H$25)*('Metrics'!$Q$25-'Metrics'!$P$25)),IF('Metrics'!$B$25&lt;='Metrics'!$J$25,IF('Metrics'!$J$25-'Metrics'!$I$25&lt;=0,'Metrics'!$R$25,'Metrics'!$Q$25+('Metrics'!$B$25-'Metrics'!$I$25)/('Metrics'!$J$25-'Metrics'!$I$25)*('Metrics'!$R$25-'Metrics'!$Q$25)),IF('Metrics'!$B$25&lt;='Metrics'!$K$25,IF('Metrics'!$K$25-'Metrics'!$J$25&lt;=0,'Metrics'!$S$25,'Metrics'!$R$25+('Metrics'!$B$25-'Metrics'!$J$25)/('Metrics'!$K$25-'Metrics'!$J$25)*('Metrics'!$S$25-'Metrics'!$R$25)),IF('Metrics'!$B$25&lt;='Metrics'!$L$25,IF('Metrics'!$L$25-'Metrics'!$K$25&lt;=0,'Metrics'!$T$25,'Metrics'!$S$25+('Metrics'!$B$25-'Metrics'!$K$25)/('Metrics'!$L$25-'Metrics'!$K$25)*('Metrics'!$T$25-'Metrics'!$S$25)),IF('Metrics'!$M$25-'Metrics'!$L$25&lt;=0,'Metrics'!$U$25,'Metrics'!$T$25+('Metrics'!$B$25-'Metrics'!$L$25)/('Metrics'!$M$25-'Metrics'!$L$25)*('Metrics'!$U$25-'Metrics'!$T$25)))))))))))),"")</f>
        <v/>
      </c>
    </row>
    <row r="26">
      <c r="A26" s="70" t="inlineStr">
        <is>
          <t>Fast-water / riffle habitat</t>
        </is>
      </c>
      <c r="B26" s="71">
        <f>IF('DEEP Score'!$E$38="","",'DEEP Score'!$E$38)</f>
        <v/>
      </c>
      <c r="C26" s="71">
        <f>IF('DEEP Score'!$F$38="","All streams (pooled)",'DEEP Score'!$F$38)</f>
        <v/>
      </c>
      <c r="D26" s="71">
        <f>"spring_phab_pct_fast|"&amp;'Metrics'!$C$26</f>
        <v/>
      </c>
      <c r="E26" s="71">
        <f>IFERROR(MATCH('Metrics'!$D$26,curve_key,0),MATCH("spring_phab_pct_fast|All streams (pooled)",curve_key,0))</f>
        <v/>
      </c>
      <c r="F26" s="71">
        <f>INDEX(curve_x1,'Metrics'!$E$26)</f>
        <v/>
      </c>
      <c r="G26" s="71">
        <f>INDEX(curve_x2,'Metrics'!$E$26)</f>
        <v/>
      </c>
      <c r="H26" s="71">
        <f>INDEX(curve_x3,'Metrics'!$E$26)</f>
        <v/>
      </c>
      <c r="I26" s="71">
        <f>INDEX(curve_x4,'Metrics'!$E$26)</f>
        <v/>
      </c>
      <c r="J26" s="71">
        <f>INDEX(curve_x5,'Metrics'!$E$26)</f>
        <v/>
      </c>
      <c r="K26" s="71">
        <f>INDEX(curve_x6,'Metrics'!$E$26)</f>
        <v/>
      </c>
      <c r="L26" s="71">
        <f>INDEX(curve_x7,'Metrics'!$E$26)</f>
        <v/>
      </c>
      <c r="M26" s="71">
        <f>INDEX(curve_x8,'Metrics'!$E$26)</f>
        <v/>
      </c>
      <c r="N26" s="71">
        <f>INDEX(curve_y1,'Metrics'!$E$26)</f>
        <v/>
      </c>
      <c r="O26" s="71">
        <f>INDEX(curve_y2,'Metrics'!$E$26)</f>
        <v/>
      </c>
      <c r="P26" s="71">
        <f>INDEX(curve_y3,'Metrics'!$E$26)</f>
        <v/>
      </c>
      <c r="Q26" s="71">
        <f>INDEX(curve_y4,'Metrics'!$E$26)</f>
        <v/>
      </c>
      <c r="R26" s="71">
        <f>INDEX(curve_y5,'Metrics'!$E$26)</f>
        <v/>
      </c>
      <c r="S26" s="71">
        <f>INDEX(curve_y6,'Metrics'!$E$26)</f>
        <v/>
      </c>
      <c r="T26" s="71">
        <f>INDEX(curve_y7,'Metrics'!$E$26)</f>
        <v/>
      </c>
      <c r="U26" s="71">
        <f>INDEX(curve_y8,'Metrics'!$E$26)</f>
        <v/>
      </c>
      <c r="V26" s="72">
        <f>IF(ISNUMBER('Metrics'!$B$26),MAX(0,MIN(1,IF('Metrics'!$B$26&lt;='Metrics'!$F$26,'Metrics'!$N$26,IF('Metrics'!$B$26&gt;='Metrics'!$M$26,'Metrics'!$U$26,IF('Metrics'!$B$26&lt;='Metrics'!$G$26,IF('Metrics'!$G$26-'Metrics'!$F$26&lt;=0,'Metrics'!$O$26,'Metrics'!$N$26+('Metrics'!$B$26-'Metrics'!$F$26)/('Metrics'!$G$26-'Metrics'!$F$26)*('Metrics'!$O$26-'Metrics'!$N$26)),IF('Metrics'!$B$26&lt;='Metrics'!$H$26,IF('Metrics'!$H$26-'Metrics'!$G$26&lt;=0,'Metrics'!$P$26,'Metrics'!$O$26+('Metrics'!$B$26-'Metrics'!$G$26)/('Metrics'!$H$26-'Metrics'!$G$26)*('Metrics'!$P$26-'Metrics'!$O$26)),IF('Metrics'!$B$26&lt;='Metrics'!$I$26,IF('Metrics'!$I$26-'Metrics'!$H$26&lt;=0,'Metrics'!$Q$26,'Metrics'!$P$26+('Metrics'!$B$26-'Metrics'!$H$26)/('Metrics'!$I$26-'Metrics'!$H$26)*('Metrics'!$Q$26-'Metrics'!$P$26)),IF('Metrics'!$B$26&lt;='Metrics'!$J$26,IF('Metrics'!$J$26-'Metrics'!$I$26&lt;=0,'Metrics'!$R$26,'Metrics'!$Q$26+('Metrics'!$B$26-'Metrics'!$I$26)/('Metrics'!$J$26-'Metrics'!$I$26)*('Metrics'!$R$26-'Metrics'!$Q$26)),IF('Metrics'!$B$26&lt;='Metrics'!$K$26,IF('Metrics'!$K$26-'Metrics'!$J$26&lt;=0,'Metrics'!$S$26,'Metrics'!$R$26+('Metrics'!$B$26-'Metrics'!$J$26)/('Metrics'!$K$26-'Metrics'!$J$26)*('Metrics'!$S$26-'Metrics'!$R$26)),IF('Metrics'!$B$26&lt;='Metrics'!$L$26,IF('Metrics'!$L$26-'Metrics'!$K$26&lt;=0,'Metrics'!$T$26,'Metrics'!$S$26+('Metrics'!$B$26-'Metrics'!$K$26)/('Metrics'!$L$26-'Metrics'!$K$26)*('Metrics'!$T$26-'Metrics'!$S$26)),IF('Metrics'!$M$26-'Metrics'!$L$26&lt;=0,'Metrics'!$U$26,'Metrics'!$T$26+('Metrics'!$B$26-'Metrics'!$L$26)/('Metrics'!$M$26-'Metrics'!$L$26)*('Metrics'!$U$26-'Metrics'!$T$26)))))))))))),"")</f>
        <v/>
      </c>
    </row>
    <row r="27">
      <c r="A27" s="70" t="inlineStr">
        <is>
          <t>Natural fish cover</t>
        </is>
      </c>
      <c r="B27" s="71">
        <f>IF('DEEP Score'!$E$39="","",'DEEP Score'!$E$39)</f>
        <v/>
      </c>
      <c r="C27" s="71">
        <f>""</f>
        <v/>
      </c>
      <c r="D27" s="71">
        <f>"spring_phab_xfc_nat|"&amp;'Metrics'!$C$27</f>
        <v/>
      </c>
      <c r="E27" s="71">
        <f>IFERROR(MATCH('Metrics'!$D$27,curve_key,0),MATCH("spring_phab_xfc_nat|",curve_key,0))</f>
        <v/>
      </c>
      <c r="F27" s="71">
        <f>INDEX(curve_x1,'Metrics'!$E$27)</f>
        <v/>
      </c>
      <c r="G27" s="71">
        <f>INDEX(curve_x2,'Metrics'!$E$27)</f>
        <v/>
      </c>
      <c r="H27" s="71">
        <f>INDEX(curve_x3,'Metrics'!$E$27)</f>
        <v/>
      </c>
      <c r="I27" s="71">
        <f>INDEX(curve_x4,'Metrics'!$E$27)</f>
        <v/>
      </c>
      <c r="J27" s="71">
        <f>INDEX(curve_x5,'Metrics'!$E$27)</f>
        <v/>
      </c>
      <c r="K27" s="71">
        <f>INDEX(curve_x6,'Metrics'!$E$27)</f>
        <v/>
      </c>
      <c r="L27" s="71">
        <f>INDEX(curve_x7,'Metrics'!$E$27)</f>
        <v/>
      </c>
      <c r="M27" s="71">
        <f>INDEX(curve_x8,'Metrics'!$E$27)</f>
        <v/>
      </c>
      <c r="N27" s="71">
        <f>INDEX(curve_y1,'Metrics'!$E$27)</f>
        <v/>
      </c>
      <c r="O27" s="71">
        <f>INDEX(curve_y2,'Metrics'!$E$27)</f>
        <v/>
      </c>
      <c r="P27" s="71">
        <f>INDEX(curve_y3,'Metrics'!$E$27)</f>
        <v/>
      </c>
      <c r="Q27" s="71">
        <f>INDEX(curve_y4,'Metrics'!$E$27)</f>
        <v/>
      </c>
      <c r="R27" s="71">
        <f>INDEX(curve_y5,'Metrics'!$E$27)</f>
        <v/>
      </c>
      <c r="S27" s="71">
        <f>INDEX(curve_y6,'Metrics'!$E$27)</f>
        <v/>
      </c>
      <c r="T27" s="71">
        <f>INDEX(curve_y7,'Metrics'!$E$27)</f>
        <v/>
      </c>
      <c r="U27" s="71">
        <f>INDEX(curve_y8,'Metrics'!$E$27)</f>
        <v/>
      </c>
      <c r="V27" s="72">
        <f>IF(ISNUMBER('Metrics'!$B$27),MAX(0,MIN(1,IF('Metrics'!$B$27&lt;='Metrics'!$F$27,'Metrics'!$N$27,IF('Metrics'!$B$27&gt;='Metrics'!$M$27,'Metrics'!$U$27,IF('Metrics'!$B$27&lt;='Metrics'!$G$27,IF('Metrics'!$G$27-'Metrics'!$F$27&lt;=0,'Metrics'!$O$27,'Metrics'!$N$27+('Metrics'!$B$27-'Metrics'!$F$27)/('Metrics'!$G$27-'Metrics'!$F$27)*('Metrics'!$O$27-'Metrics'!$N$27)),IF('Metrics'!$B$27&lt;='Metrics'!$H$27,IF('Metrics'!$H$27-'Metrics'!$G$27&lt;=0,'Metrics'!$P$27,'Metrics'!$O$27+('Metrics'!$B$27-'Metrics'!$G$27)/('Metrics'!$H$27-'Metrics'!$G$27)*('Metrics'!$P$27-'Metrics'!$O$27)),IF('Metrics'!$B$27&lt;='Metrics'!$I$27,IF('Metrics'!$I$27-'Metrics'!$H$27&lt;=0,'Metrics'!$Q$27,'Metrics'!$P$27+('Metrics'!$B$27-'Metrics'!$H$27)/('Metrics'!$I$27-'Metrics'!$H$27)*('Metrics'!$Q$27-'Metrics'!$P$27)),IF('Metrics'!$B$27&lt;='Metrics'!$J$27,IF('Metrics'!$J$27-'Metrics'!$I$27&lt;=0,'Metrics'!$R$27,'Metrics'!$Q$27+('Metrics'!$B$27-'Metrics'!$I$27)/('Metrics'!$J$27-'Metrics'!$I$27)*('Metrics'!$R$27-'Metrics'!$Q$27)),IF('Metrics'!$B$27&lt;='Metrics'!$K$27,IF('Metrics'!$K$27-'Metrics'!$J$27&lt;=0,'Metrics'!$S$27,'Metrics'!$R$27+('Metrics'!$B$27-'Metrics'!$J$27)/('Metrics'!$K$27-'Metrics'!$J$27)*('Metrics'!$S$27-'Metrics'!$R$27)),IF('Metrics'!$B$27&lt;='Metrics'!$L$27,IF('Metrics'!$L$27-'Metrics'!$K$27&lt;=0,'Metrics'!$T$27,'Metrics'!$S$27+('Metrics'!$B$27-'Metrics'!$K$27)/('Metrics'!$L$27-'Metrics'!$K$27)*('Metrics'!$T$27-'Metrics'!$S$27)),IF('Metrics'!$M$27-'Metrics'!$L$27&lt;=0,'Metrics'!$U$27,'Metrics'!$T$27+('Metrics'!$B$27-'Metrics'!$L$27)/('Metrics'!$M$27-'Metrics'!$L$27)*('Metrics'!$U$27-'Metrics'!$T$27)))))))))))),"")</f>
        <v/>
      </c>
    </row>
    <row r="28">
      <c r="A28" s="70" t="inlineStr">
        <is>
          <t>Benthic total taxa richness</t>
        </is>
      </c>
      <c r="B28" s="71">
        <f>IF('DEEP Score'!$E$40="","",'DEEP Score'!$E$40)</f>
        <v/>
      </c>
      <c r="C28" s="71">
        <f>""</f>
        <v/>
      </c>
      <c r="D28" s="71">
        <f>"spring_bent_totlntax|"&amp;'Metrics'!$C$28</f>
        <v/>
      </c>
      <c r="E28" s="71">
        <f>IFERROR(MATCH('Metrics'!$D$28,curve_key,0),MATCH("spring_bent_totlntax|",curve_key,0))</f>
        <v/>
      </c>
      <c r="F28" s="71">
        <f>INDEX(curve_x1,'Metrics'!$E$28)</f>
        <v/>
      </c>
      <c r="G28" s="71">
        <f>INDEX(curve_x2,'Metrics'!$E$28)</f>
        <v/>
      </c>
      <c r="H28" s="71">
        <f>INDEX(curve_x3,'Metrics'!$E$28)</f>
        <v/>
      </c>
      <c r="I28" s="71">
        <f>INDEX(curve_x4,'Metrics'!$E$28)</f>
        <v/>
      </c>
      <c r="J28" s="71">
        <f>INDEX(curve_x5,'Metrics'!$E$28)</f>
        <v/>
      </c>
      <c r="K28" s="71">
        <f>INDEX(curve_x6,'Metrics'!$E$28)</f>
        <v/>
      </c>
      <c r="L28" s="71">
        <f>INDEX(curve_x7,'Metrics'!$E$28)</f>
        <v/>
      </c>
      <c r="M28" s="71">
        <f>INDEX(curve_x8,'Metrics'!$E$28)</f>
        <v/>
      </c>
      <c r="N28" s="71">
        <f>INDEX(curve_y1,'Metrics'!$E$28)</f>
        <v/>
      </c>
      <c r="O28" s="71">
        <f>INDEX(curve_y2,'Metrics'!$E$28)</f>
        <v/>
      </c>
      <c r="P28" s="71">
        <f>INDEX(curve_y3,'Metrics'!$E$28)</f>
        <v/>
      </c>
      <c r="Q28" s="71">
        <f>INDEX(curve_y4,'Metrics'!$E$28)</f>
        <v/>
      </c>
      <c r="R28" s="71">
        <f>INDEX(curve_y5,'Metrics'!$E$28)</f>
        <v/>
      </c>
      <c r="S28" s="71">
        <f>INDEX(curve_y6,'Metrics'!$E$28)</f>
        <v/>
      </c>
      <c r="T28" s="71">
        <f>INDEX(curve_y7,'Metrics'!$E$28)</f>
        <v/>
      </c>
      <c r="U28" s="71">
        <f>INDEX(curve_y8,'Metrics'!$E$28)</f>
        <v/>
      </c>
      <c r="V28" s="72">
        <f>IF(ISNUMBER('Metrics'!$B$28),MAX(0,MIN(1,IF('Metrics'!$B$28&lt;='Metrics'!$F$28,'Metrics'!$N$28,IF('Metrics'!$B$28&gt;='Metrics'!$M$28,'Metrics'!$U$28,IF('Metrics'!$B$28&lt;='Metrics'!$G$28,IF('Metrics'!$G$28-'Metrics'!$F$28&lt;=0,'Metrics'!$O$28,'Metrics'!$N$28+('Metrics'!$B$28-'Metrics'!$F$28)/('Metrics'!$G$28-'Metrics'!$F$28)*('Metrics'!$O$28-'Metrics'!$N$28)),IF('Metrics'!$B$28&lt;='Metrics'!$H$28,IF('Metrics'!$H$28-'Metrics'!$G$28&lt;=0,'Metrics'!$P$28,'Metrics'!$O$28+('Metrics'!$B$28-'Metrics'!$G$28)/('Metrics'!$H$28-'Metrics'!$G$28)*('Metrics'!$P$28-'Metrics'!$O$28)),IF('Metrics'!$B$28&lt;='Metrics'!$I$28,IF('Metrics'!$I$28-'Metrics'!$H$28&lt;=0,'Metrics'!$Q$28,'Metrics'!$P$28+('Metrics'!$B$28-'Metrics'!$H$28)/('Metrics'!$I$28-'Metrics'!$H$28)*('Metrics'!$Q$28-'Metrics'!$P$28)),IF('Metrics'!$B$28&lt;='Metrics'!$J$28,IF('Metrics'!$J$28-'Metrics'!$I$28&lt;=0,'Metrics'!$R$28,'Metrics'!$Q$28+('Metrics'!$B$28-'Metrics'!$I$28)/('Metrics'!$J$28-'Metrics'!$I$28)*('Metrics'!$R$28-'Metrics'!$Q$28)),IF('Metrics'!$B$28&lt;='Metrics'!$K$28,IF('Metrics'!$K$28-'Metrics'!$J$28&lt;=0,'Metrics'!$S$28,'Metrics'!$R$28+('Metrics'!$B$28-'Metrics'!$J$28)/('Metrics'!$K$28-'Metrics'!$J$28)*('Metrics'!$S$28-'Metrics'!$R$28)),IF('Metrics'!$B$28&lt;='Metrics'!$L$28,IF('Metrics'!$L$28-'Metrics'!$K$28&lt;=0,'Metrics'!$T$28,'Metrics'!$S$28+('Metrics'!$B$28-'Metrics'!$K$28)/('Metrics'!$L$28-'Metrics'!$K$28)*('Metrics'!$T$28-'Metrics'!$S$28)),IF('Metrics'!$M$28-'Metrics'!$L$28&lt;=0,'Metrics'!$U$28,'Metrics'!$T$28+('Metrics'!$B$28-'Metrics'!$L$28)/('Metrics'!$M$28-'Metrics'!$L$28)*('Metrics'!$U$28-'Metrics'!$T$28)))))))))))),"")</f>
        <v/>
      </c>
    </row>
    <row r="29">
      <c r="A29" s="70" t="inlineStr">
        <is>
          <t>Native fish taxa richness</t>
        </is>
      </c>
      <c r="B29" s="71">
        <f>IF('DEEP Score'!$E$41="","",'DEEP Score'!$E$41)</f>
        <v/>
      </c>
      <c r="C29" s="71">
        <f>""</f>
        <v/>
      </c>
      <c r="D29" s="71">
        <f>"spring_fish_nat_totlntax|"&amp;'Metrics'!$C$29</f>
        <v/>
      </c>
      <c r="E29" s="71">
        <f>IFERROR(MATCH('Metrics'!$D$29,curve_key,0),MATCH("spring_fish_nat_totlntax|",curve_key,0))</f>
        <v/>
      </c>
      <c r="F29" s="71">
        <f>INDEX(curve_x1,'Metrics'!$E$29)</f>
        <v/>
      </c>
      <c r="G29" s="71">
        <f>INDEX(curve_x2,'Metrics'!$E$29)</f>
        <v/>
      </c>
      <c r="H29" s="71">
        <f>INDEX(curve_x3,'Metrics'!$E$29)</f>
        <v/>
      </c>
      <c r="I29" s="71">
        <f>INDEX(curve_x4,'Metrics'!$E$29)</f>
        <v/>
      </c>
      <c r="J29" s="71">
        <f>INDEX(curve_x5,'Metrics'!$E$29)</f>
        <v/>
      </c>
      <c r="K29" s="71">
        <f>INDEX(curve_x6,'Metrics'!$E$29)</f>
        <v/>
      </c>
      <c r="L29" s="71">
        <f>INDEX(curve_x7,'Metrics'!$E$29)</f>
        <v/>
      </c>
      <c r="M29" s="71">
        <f>INDEX(curve_x8,'Metrics'!$E$29)</f>
        <v/>
      </c>
      <c r="N29" s="71">
        <f>INDEX(curve_y1,'Metrics'!$E$29)</f>
        <v/>
      </c>
      <c r="O29" s="71">
        <f>INDEX(curve_y2,'Metrics'!$E$29)</f>
        <v/>
      </c>
      <c r="P29" s="71">
        <f>INDEX(curve_y3,'Metrics'!$E$29)</f>
        <v/>
      </c>
      <c r="Q29" s="71">
        <f>INDEX(curve_y4,'Metrics'!$E$29)</f>
        <v/>
      </c>
      <c r="R29" s="71">
        <f>INDEX(curve_y5,'Metrics'!$E$29)</f>
        <v/>
      </c>
      <c r="S29" s="71">
        <f>INDEX(curve_y6,'Metrics'!$E$29)</f>
        <v/>
      </c>
      <c r="T29" s="71">
        <f>INDEX(curve_y7,'Metrics'!$E$29)</f>
        <v/>
      </c>
      <c r="U29" s="71">
        <f>INDEX(curve_y8,'Metrics'!$E$29)</f>
        <v/>
      </c>
      <c r="V29" s="72">
        <f>IF(ISNUMBER('Metrics'!$B$29),MAX(0,MIN(1,IF('Metrics'!$B$29&lt;='Metrics'!$F$29,'Metrics'!$N$29,IF('Metrics'!$B$29&gt;='Metrics'!$M$29,'Metrics'!$U$29,IF('Metrics'!$B$29&lt;='Metrics'!$G$29,IF('Metrics'!$G$29-'Metrics'!$F$29&lt;=0,'Metrics'!$O$29,'Metrics'!$N$29+('Metrics'!$B$29-'Metrics'!$F$29)/('Metrics'!$G$29-'Metrics'!$F$29)*('Metrics'!$O$29-'Metrics'!$N$29)),IF('Metrics'!$B$29&lt;='Metrics'!$H$29,IF('Metrics'!$H$29-'Metrics'!$G$29&lt;=0,'Metrics'!$P$29,'Metrics'!$O$29+('Metrics'!$B$29-'Metrics'!$G$29)/('Metrics'!$H$29-'Metrics'!$G$29)*('Metrics'!$P$29-'Metrics'!$O$29)),IF('Metrics'!$B$29&lt;='Metrics'!$I$29,IF('Metrics'!$I$29-'Metrics'!$H$29&lt;=0,'Metrics'!$Q$29,'Metrics'!$P$29+('Metrics'!$B$29-'Metrics'!$H$29)/('Metrics'!$I$29-'Metrics'!$H$29)*('Metrics'!$Q$29-'Metrics'!$P$29)),IF('Metrics'!$B$29&lt;='Metrics'!$J$29,IF('Metrics'!$J$29-'Metrics'!$I$29&lt;=0,'Metrics'!$R$29,'Metrics'!$Q$29+('Metrics'!$B$29-'Metrics'!$I$29)/('Metrics'!$J$29-'Metrics'!$I$29)*('Metrics'!$R$29-'Metrics'!$Q$29)),IF('Metrics'!$B$29&lt;='Metrics'!$K$29,IF('Metrics'!$K$29-'Metrics'!$J$29&lt;=0,'Metrics'!$S$29,'Metrics'!$R$29+('Metrics'!$B$29-'Metrics'!$J$29)/('Metrics'!$K$29-'Metrics'!$J$29)*('Metrics'!$S$29-'Metrics'!$R$29)),IF('Metrics'!$B$29&lt;='Metrics'!$L$29,IF('Metrics'!$L$29-'Metrics'!$K$29&lt;=0,'Metrics'!$T$29,'Metrics'!$S$29+('Metrics'!$B$29-'Metrics'!$K$29)/('Metrics'!$L$29-'Metrics'!$K$29)*('Metrics'!$T$29-'Metrics'!$S$29)),IF('Metrics'!$M$29-'Metrics'!$L$29&lt;=0,'Metrics'!$U$29,'Metrics'!$T$29+('Metrics'!$B$29-'Metrics'!$L$29)/('Metrics'!$M$29-'Metrics'!$L$29)*('Metrics'!$U$29-'Metrics'!$T$29)))))))))))),"")</f>
        <v/>
      </c>
    </row>
    <row r="30">
      <c r="A30" s="70" t="inlineStr">
        <is>
          <t>EPT taxa richness</t>
        </is>
      </c>
      <c r="B30" s="71">
        <f>IF('DEEP Score'!$E$42="","",'DEEP Score'!$E$42)</f>
        <v/>
      </c>
      <c r="C30" s="71">
        <f>""</f>
        <v/>
      </c>
      <c r="D30" s="71">
        <f>"spring_bent_ept_ntax|"&amp;'Metrics'!$C$30</f>
        <v/>
      </c>
      <c r="E30" s="71">
        <f>IFERROR(MATCH('Metrics'!$D$30,curve_key,0),MATCH("spring_bent_ept_ntax|",curve_key,0))</f>
        <v/>
      </c>
      <c r="F30" s="71">
        <f>INDEX(curve_x1,'Metrics'!$E$30)</f>
        <v/>
      </c>
      <c r="G30" s="71">
        <f>INDEX(curve_x2,'Metrics'!$E$30)</f>
        <v/>
      </c>
      <c r="H30" s="71">
        <f>INDEX(curve_x3,'Metrics'!$E$30)</f>
        <v/>
      </c>
      <c r="I30" s="71">
        <f>INDEX(curve_x4,'Metrics'!$E$30)</f>
        <v/>
      </c>
      <c r="J30" s="71">
        <f>INDEX(curve_x5,'Metrics'!$E$30)</f>
        <v/>
      </c>
      <c r="K30" s="71">
        <f>INDEX(curve_x6,'Metrics'!$E$30)</f>
        <v/>
      </c>
      <c r="L30" s="71">
        <f>INDEX(curve_x7,'Metrics'!$E$30)</f>
        <v/>
      </c>
      <c r="M30" s="71">
        <f>INDEX(curve_x8,'Metrics'!$E$30)</f>
        <v/>
      </c>
      <c r="N30" s="71">
        <f>INDEX(curve_y1,'Metrics'!$E$30)</f>
        <v/>
      </c>
      <c r="O30" s="71">
        <f>INDEX(curve_y2,'Metrics'!$E$30)</f>
        <v/>
      </c>
      <c r="P30" s="71">
        <f>INDEX(curve_y3,'Metrics'!$E$30)</f>
        <v/>
      </c>
      <c r="Q30" s="71">
        <f>INDEX(curve_y4,'Metrics'!$E$30)</f>
        <v/>
      </c>
      <c r="R30" s="71">
        <f>INDEX(curve_y5,'Metrics'!$E$30)</f>
        <v/>
      </c>
      <c r="S30" s="71">
        <f>INDEX(curve_y6,'Metrics'!$E$30)</f>
        <v/>
      </c>
      <c r="T30" s="71">
        <f>INDEX(curve_y7,'Metrics'!$E$30)</f>
        <v/>
      </c>
      <c r="U30" s="71">
        <f>INDEX(curve_y8,'Metrics'!$E$30)</f>
        <v/>
      </c>
      <c r="V30" s="72">
        <f>IF(ISNUMBER('Metrics'!$B$30),MAX(0,MIN(1,IF('Metrics'!$B$30&lt;='Metrics'!$F$30,'Metrics'!$N$30,IF('Metrics'!$B$30&gt;='Metrics'!$M$30,'Metrics'!$U$30,IF('Metrics'!$B$30&lt;='Metrics'!$G$30,IF('Metrics'!$G$30-'Metrics'!$F$30&lt;=0,'Metrics'!$O$30,'Metrics'!$N$30+('Metrics'!$B$30-'Metrics'!$F$30)/('Metrics'!$G$30-'Metrics'!$F$30)*('Metrics'!$O$30-'Metrics'!$N$30)),IF('Metrics'!$B$30&lt;='Metrics'!$H$30,IF('Metrics'!$H$30-'Metrics'!$G$30&lt;=0,'Metrics'!$P$30,'Metrics'!$O$30+('Metrics'!$B$30-'Metrics'!$G$30)/('Metrics'!$H$30-'Metrics'!$G$30)*('Metrics'!$P$30-'Metrics'!$O$30)),IF('Metrics'!$B$30&lt;='Metrics'!$I$30,IF('Metrics'!$I$30-'Metrics'!$H$30&lt;=0,'Metrics'!$Q$30,'Metrics'!$P$30+('Metrics'!$B$30-'Metrics'!$H$30)/('Metrics'!$I$30-'Metrics'!$H$30)*('Metrics'!$Q$30-'Metrics'!$P$30)),IF('Metrics'!$B$30&lt;='Metrics'!$J$30,IF('Metrics'!$J$30-'Metrics'!$I$30&lt;=0,'Metrics'!$R$30,'Metrics'!$Q$30+('Metrics'!$B$30-'Metrics'!$I$30)/('Metrics'!$J$30-'Metrics'!$I$30)*('Metrics'!$R$30-'Metrics'!$Q$30)),IF('Metrics'!$B$30&lt;='Metrics'!$K$30,IF('Metrics'!$K$30-'Metrics'!$J$30&lt;=0,'Metrics'!$S$30,'Metrics'!$R$30+('Metrics'!$B$30-'Metrics'!$J$30)/('Metrics'!$K$30-'Metrics'!$J$30)*('Metrics'!$S$30-'Metrics'!$R$30)),IF('Metrics'!$B$30&lt;='Metrics'!$L$30,IF('Metrics'!$L$30-'Metrics'!$K$30&lt;=0,'Metrics'!$T$30,'Metrics'!$S$30+('Metrics'!$B$30-'Metrics'!$K$30)/('Metrics'!$L$30-'Metrics'!$K$30)*('Metrics'!$T$30-'Metrics'!$S$30)),IF('Metrics'!$M$30-'Metrics'!$L$30&lt;=0,'Metrics'!$U$30,'Metrics'!$T$30+('Metrics'!$B$30-'Metrics'!$L$30)/('Metrics'!$M$30-'Metrics'!$L$30)*('Metrics'!$U$30-'Metrics'!$T$30)))))))))))),"")</f>
        <v/>
      </c>
    </row>
    <row r="31">
      <c r="A31" s="70" t="inlineStr">
        <is>
          <t>Shannon diversity (H')</t>
        </is>
      </c>
      <c r="B31" s="71">
        <f>IF('DEEP Score'!$E$43="","",'DEEP Score'!$E$43)</f>
        <v/>
      </c>
      <c r="C31" s="71">
        <f>""</f>
        <v/>
      </c>
      <c r="D31" s="71">
        <f>"spring_bent_hprime|"&amp;'Metrics'!$C$31</f>
        <v/>
      </c>
      <c r="E31" s="71">
        <f>IFERROR(MATCH('Metrics'!$D$31,curve_key,0),MATCH("spring_bent_hprime|",curve_key,0))</f>
        <v/>
      </c>
      <c r="F31" s="71">
        <f>INDEX(curve_x1,'Metrics'!$E$31)</f>
        <v/>
      </c>
      <c r="G31" s="71">
        <f>INDEX(curve_x2,'Metrics'!$E$31)</f>
        <v/>
      </c>
      <c r="H31" s="71">
        <f>INDEX(curve_x3,'Metrics'!$E$31)</f>
        <v/>
      </c>
      <c r="I31" s="71">
        <f>INDEX(curve_x4,'Metrics'!$E$31)</f>
        <v/>
      </c>
      <c r="J31" s="71">
        <f>INDEX(curve_x5,'Metrics'!$E$31)</f>
        <v/>
      </c>
      <c r="K31" s="71">
        <f>INDEX(curve_x6,'Metrics'!$E$31)</f>
        <v/>
      </c>
      <c r="L31" s="71">
        <f>INDEX(curve_x7,'Metrics'!$E$31)</f>
        <v/>
      </c>
      <c r="M31" s="71">
        <f>INDEX(curve_x8,'Metrics'!$E$31)</f>
        <v/>
      </c>
      <c r="N31" s="71">
        <f>INDEX(curve_y1,'Metrics'!$E$31)</f>
        <v/>
      </c>
      <c r="O31" s="71">
        <f>INDEX(curve_y2,'Metrics'!$E$31)</f>
        <v/>
      </c>
      <c r="P31" s="71">
        <f>INDEX(curve_y3,'Metrics'!$E$31)</f>
        <v/>
      </c>
      <c r="Q31" s="71">
        <f>INDEX(curve_y4,'Metrics'!$E$31)</f>
        <v/>
      </c>
      <c r="R31" s="71">
        <f>INDEX(curve_y5,'Metrics'!$E$31)</f>
        <v/>
      </c>
      <c r="S31" s="71">
        <f>INDEX(curve_y6,'Metrics'!$E$31)</f>
        <v/>
      </c>
      <c r="T31" s="71">
        <f>INDEX(curve_y7,'Metrics'!$E$31)</f>
        <v/>
      </c>
      <c r="U31" s="71">
        <f>INDEX(curve_y8,'Metrics'!$E$31)</f>
        <v/>
      </c>
      <c r="V31" s="72">
        <f>IF(ISNUMBER('Metrics'!$B$31),MAX(0,MIN(1,IF('Metrics'!$B$31&lt;='Metrics'!$F$31,'Metrics'!$N$31,IF('Metrics'!$B$31&gt;='Metrics'!$M$31,'Metrics'!$U$31,IF('Metrics'!$B$31&lt;='Metrics'!$G$31,IF('Metrics'!$G$31-'Metrics'!$F$31&lt;=0,'Metrics'!$O$31,'Metrics'!$N$31+('Metrics'!$B$31-'Metrics'!$F$31)/('Metrics'!$G$31-'Metrics'!$F$31)*('Metrics'!$O$31-'Metrics'!$N$31)),IF('Metrics'!$B$31&lt;='Metrics'!$H$31,IF('Metrics'!$H$31-'Metrics'!$G$31&lt;=0,'Metrics'!$P$31,'Metrics'!$O$31+('Metrics'!$B$31-'Metrics'!$G$31)/('Metrics'!$H$31-'Metrics'!$G$31)*('Metrics'!$P$31-'Metrics'!$O$31)),IF('Metrics'!$B$31&lt;='Metrics'!$I$31,IF('Metrics'!$I$31-'Metrics'!$H$31&lt;=0,'Metrics'!$Q$31,'Metrics'!$P$31+('Metrics'!$B$31-'Metrics'!$H$31)/('Metrics'!$I$31-'Metrics'!$H$31)*('Metrics'!$Q$31-'Metrics'!$P$31)),IF('Metrics'!$B$31&lt;='Metrics'!$J$31,IF('Metrics'!$J$31-'Metrics'!$I$31&lt;=0,'Metrics'!$R$31,'Metrics'!$Q$31+('Metrics'!$B$31-'Metrics'!$I$31)/('Metrics'!$J$31-'Metrics'!$I$31)*('Metrics'!$R$31-'Metrics'!$Q$31)),IF('Metrics'!$B$31&lt;='Metrics'!$K$31,IF('Metrics'!$K$31-'Metrics'!$J$31&lt;=0,'Metrics'!$S$31,'Metrics'!$R$31+('Metrics'!$B$31-'Metrics'!$J$31)/('Metrics'!$K$31-'Metrics'!$J$31)*('Metrics'!$S$31-'Metrics'!$R$31)),IF('Metrics'!$B$31&lt;='Metrics'!$L$31,IF('Metrics'!$L$31-'Metrics'!$K$31&lt;=0,'Metrics'!$T$31,'Metrics'!$S$31+('Metrics'!$B$31-'Metrics'!$K$31)/('Metrics'!$L$31-'Metrics'!$K$31)*('Metrics'!$T$31-'Metrics'!$S$31)),IF('Metrics'!$M$31-'Metrics'!$L$31&lt;=0,'Metrics'!$U$31,'Metrics'!$T$31+('Metrics'!$B$31-'Metrics'!$L$31)/('Metrics'!$M$31-'Metrics'!$L$31)*('Metrics'!$U$31-'Metrics'!$T$31)))))))))))),"")</f>
        <v/>
      </c>
    </row>
    <row r="32">
      <c r="A32" s="70" t="inlineStr">
        <is>
          <t>Mapped dams within one mile</t>
        </is>
      </c>
      <c r="B32" s="71">
        <f>IF('DEEP Score'!$E$44="","",'DEEP Score'!$E$44)</f>
        <v/>
      </c>
      <c r="C32" s="71">
        <f>""</f>
        <v/>
      </c>
      <c r="D32" s="71">
        <f>"spring_nid_dams_1mi|"&amp;'Metrics'!$C$32</f>
        <v/>
      </c>
      <c r="E32" s="71">
        <f>IFERROR(MATCH('Metrics'!$D$32,curve_key,0),MATCH("spring_nid_dams_1mi|",curve_key,0))</f>
        <v/>
      </c>
      <c r="F32" s="71">
        <f>INDEX(curve_x1,'Metrics'!$E$32)</f>
        <v/>
      </c>
      <c r="G32" s="71">
        <f>INDEX(curve_x2,'Metrics'!$E$32)</f>
        <v/>
      </c>
      <c r="H32" s="71">
        <f>INDEX(curve_x3,'Metrics'!$E$32)</f>
        <v/>
      </c>
      <c r="I32" s="71">
        <f>INDEX(curve_x4,'Metrics'!$E$32)</f>
        <v/>
      </c>
      <c r="J32" s="71">
        <f>INDEX(curve_x5,'Metrics'!$E$32)</f>
        <v/>
      </c>
      <c r="K32" s="71">
        <f>INDEX(curve_x6,'Metrics'!$E$32)</f>
        <v/>
      </c>
      <c r="L32" s="71">
        <f>INDEX(curve_x7,'Metrics'!$E$32)</f>
        <v/>
      </c>
      <c r="M32" s="71">
        <f>INDEX(curve_x8,'Metrics'!$E$32)</f>
        <v/>
      </c>
      <c r="N32" s="71">
        <f>INDEX(curve_y1,'Metrics'!$E$32)</f>
        <v/>
      </c>
      <c r="O32" s="71">
        <f>INDEX(curve_y2,'Metrics'!$E$32)</f>
        <v/>
      </c>
      <c r="P32" s="71">
        <f>INDEX(curve_y3,'Metrics'!$E$32)</f>
        <v/>
      </c>
      <c r="Q32" s="71">
        <f>INDEX(curve_y4,'Metrics'!$E$32)</f>
        <v/>
      </c>
      <c r="R32" s="71">
        <f>INDEX(curve_y5,'Metrics'!$E$32)</f>
        <v/>
      </c>
      <c r="S32" s="71">
        <f>INDEX(curve_y6,'Metrics'!$E$32)</f>
        <v/>
      </c>
      <c r="T32" s="71">
        <f>INDEX(curve_y7,'Metrics'!$E$32)</f>
        <v/>
      </c>
      <c r="U32" s="71">
        <f>INDEX(curve_y8,'Metrics'!$E$32)</f>
        <v/>
      </c>
      <c r="V32" s="72">
        <f>IF(ISNUMBER('Metrics'!$B$32),MAX(0,MIN(1,IF('Metrics'!$B$32&lt;='Metrics'!$F$32,'Metrics'!$N$32,IF('Metrics'!$B$32&gt;='Metrics'!$M$32,'Metrics'!$U$32,IF('Metrics'!$B$32&lt;='Metrics'!$G$32,IF('Metrics'!$G$32-'Metrics'!$F$32&lt;=0,'Metrics'!$O$32,'Metrics'!$N$32+('Metrics'!$B$32-'Metrics'!$F$32)/('Metrics'!$G$32-'Metrics'!$F$32)*('Metrics'!$O$32-'Metrics'!$N$32)),IF('Metrics'!$B$32&lt;='Metrics'!$H$32,IF('Metrics'!$H$32-'Metrics'!$G$32&lt;=0,'Metrics'!$P$32,'Metrics'!$O$32+('Metrics'!$B$32-'Metrics'!$G$32)/('Metrics'!$H$32-'Metrics'!$G$32)*('Metrics'!$P$32-'Metrics'!$O$32)),IF('Metrics'!$B$32&lt;='Metrics'!$I$32,IF('Metrics'!$I$32-'Metrics'!$H$32&lt;=0,'Metrics'!$Q$32,'Metrics'!$P$32+('Metrics'!$B$32-'Metrics'!$H$32)/('Metrics'!$I$32-'Metrics'!$H$32)*('Metrics'!$Q$32-'Metrics'!$P$32)),IF('Metrics'!$B$32&lt;='Metrics'!$J$32,IF('Metrics'!$J$32-'Metrics'!$I$32&lt;=0,'Metrics'!$R$32,'Metrics'!$Q$32+('Metrics'!$B$32-'Metrics'!$I$32)/('Metrics'!$J$32-'Metrics'!$I$32)*('Metrics'!$R$32-'Metrics'!$Q$32)),IF('Metrics'!$B$32&lt;='Metrics'!$K$32,IF('Metrics'!$K$32-'Metrics'!$J$32&lt;=0,'Metrics'!$S$32,'Metrics'!$R$32+('Metrics'!$B$32-'Metrics'!$J$32)/('Metrics'!$K$32-'Metrics'!$J$32)*('Metrics'!$S$32-'Metrics'!$R$32)),IF('Metrics'!$B$32&lt;='Metrics'!$L$32,IF('Metrics'!$L$32-'Metrics'!$K$32&lt;=0,'Metrics'!$T$32,'Metrics'!$S$32+('Metrics'!$B$32-'Metrics'!$K$32)/('Metrics'!$L$32-'Metrics'!$K$32)*('Metrics'!$T$32-'Metrics'!$S$32)),IF('Metrics'!$M$32-'Metrics'!$L$32&lt;=0,'Metrics'!$U$32,'Metrics'!$T$32+('Metrics'!$B$32-'Metrics'!$L$32)/('Metrics'!$M$32-'Metrics'!$L$32)*('Metrics'!$U$32-'Metrics'!$T$32)))))))))))),"")</f>
        <v/>
      </c>
    </row>
  </sheetData>
  <sheetProtection selectLockedCells="0" selectUnlockedCells="0" sheet="1" objects="0" insertRows="1" insertHyperlinks="1" autoFilter="1" scenarios="0" formatColumns="1" deleteColumns="1" insertColumns="1" pivotTables="1" deleteRows="1" formatCells="1" formatRows="1" sort="1" password="CB3B"/>
  <mergeCells count="1">
    <mergeCell ref="A3:D3"/>
  </mergeCells>
  <pageMargins left="0.75" right="0.75" top="1" bottom="1" header="0.5" footer="0.5"/>
  <headerFooter>
    <oddHeader>&amp;C&amp;"Calibri,Bold"&amp;K475569Assessment status: Draft._x000a_For research and regional assessment development only.</oddHeader>
    <oddFooter/>
    <evenHeader/>
    <evenFooter/>
    <firstHeader/>
    <firstFooter/>
  </headerFooter>
</worksheet>
</file>

<file path=xl/worksheets/sheet4.xml><?xml version="1.0" encoding="utf-8"?>
<worksheet xmlns="http://schemas.openxmlformats.org/spreadsheetml/2006/main">
  <sheetPr>
    <tabColor rgb="00475569"/>
    <outlinePr summaryBelow="1" summaryRight="1"/>
    <pageSetUpPr/>
  </sheetPr>
  <dimension ref="A1:K29"/>
  <sheetViews>
    <sheetView tabSelected="0" workbookViewId="0">
      <selection activeCell="A1" sqref="A1"/>
    </sheetView>
  </sheetViews>
  <sheetFormatPr baseColWidth="8" defaultRowHeight="15"/>
  <cols>
    <col width="40" customWidth="1" min="1" max="1"/>
  </cols>
  <sheetData>
    <row r="1">
      <c r="A1" s="69" t="inlineStr">
        <is>
          <t>Function scores and the outcome rollup</t>
        </is>
      </c>
    </row>
    <row r="3">
      <c r="A3" s="6" t="inlineStr">
        <is>
          <t>Function</t>
        </is>
      </c>
      <c r="B3" s="6" t="inlineStr">
        <is>
          <t>Score</t>
        </is>
      </c>
      <c r="C3" s="6" t="inlineStr">
        <is>
          <t>Physical weight</t>
        </is>
      </c>
      <c r="D3" s="6" t="inlineStr">
        <is>
          <t>Chemical weight</t>
        </is>
      </c>
      <c r="E3" s="6" t="inlineStr">
        <is>
          <t>Biological weight</t>
        </is>
      </c>
      <c r="F3" s="6" t="inlineStr">
        <is>
          <t>Physical weighted</t>
        </is>
      </c>
      <c r="G3" s="6" t="inlineStr">
        <is>
          <t>Chemical weighted</t>
        </is>
      </c>
      <c r="H3" s="6" t="inlineStr">
        <is>
          <t>Biological weighted</t>
        </is>
      </c>
      <c r="I3" s="6" t="inlineStr">
        <is>
          <t>Physical maximum</t>
        </is>
      </c>
      <c r="J3" s="6" t="inlineStr">
        <is>
          <t>Chemical maximum</t>
        </is>
      </c>
      <c r="K3" s="6" t="inlineStr">
        <is>
          <t>Biological maximum</t>
        </is>
      </c>
    </row>
    <row r="4">
      <c r="A4" s="70" t="inlineStr">
        <is>
          <t>Catchment hydrology</t>
        </is>
      </c>
      <c r="B4" s="71">
        <f>IF(COUNT('DEEP Score'!G12:G13)=0,"",SUM('DEEP Score'!G12:G13)/COUNT('DEEP Score'!G12:G13)*15)</f>
        <v/>
      </c>
      <c r="C4" s="70" t="n">
        <v>1</v>
      </c>
      <c r="D4" s="70" t="n">
        <v>0.1</v>
      </c>
      <c r="E4" s="70" t="n">
        <v>0.1</v>
      </c>
      <c r="F4" s="71">
        <f>IF(ISNUMBER('Results'!$B$4),'Results'!$B$4*'Results'!$C$4,0)</f>
        <v/>
      </c>
      <c r="G4" s="71">
        <f>IF(ISNUMBER('Results'!$B$4),'Results'!$B$4*'Results'!$D$4,0)</f>
        <v/>
      </c>
      <c r="H4" s="71">
        <f>IF(ISNUMBER('Results'!$B$4),'Results'!$B$4*'Results'!$E$4,0)</f>
        <v/>
      </c>
      <c r="I4" s="71">
        <f>IF(ISNUMBER('Results'!$B$4),15*'Results'!$C$4,0)</f>
        <v/>
      </c>
      <c r="J4" s="71">
        <f>IF(ISNUMBER('Results'!$B$4),15*'Results'!$D$4,0)</f>
        <v/>
      </c>
      <c r="K4" s="71">
        <f>IF(ISNUMBER('Results'!$B$4),15*'Results'!$E$4,0)</f>
        <v/>
      </c>
    </row>
    <row r="5">
      <c r="A5" s="70" t="inlineStr">
        <is>
          <t>Surface water storage</t>
        </is>
      </c>
      <c r="B5" s="71">
        <f>IF(COUNT('DEEP Score'!G14:G14)=0,"",SUM('DEEP Score'!G14:G14)/COUNT('DEEP Score'!G14:G14)*15)</f>
        <v/>
      </c>
      <c r="C5" s="70" t="n">
        <v>1</v>
      </c>
      <c r="D5" s="70" t="n">
        <v>0.1</v>
      </c>
      <c r="E5" s="70" t="n">
        <v>0.1</v>
      </c>
      <c r="F5" s="71">
        <f>IF(ISNUMBER('Results'!$B$5),'Results'!$B$5*'Results'!$C$5,0)</f>
        <v/>
      </c>
      <c r="G5" s="71">
        <f>IF(ISNUMBER('Results'!$B$5),'Results'!$B$5*'Results'!$D$5,0)</f>
        <v/>
      </c>
      <c r="H5" s="71">
        <f>IF(ISNUMBER('Results'!$B$5),'Results'!$B$5*'Results'!$E$5,0)</f>
        <v/>
      </c>
      <c r="I5" s="71">
        <f>IF(ISNUMBER('Results'!$B$5),15*'Results'!$C$5,0)</f>
        <v/>
      </c>
      <c r="J5" s="71">
        <f>IF(ISNUMBER('Results'!$B$5),15*'Results'!$D$5,0)</f>
        <v/>
      </c>
      <c r="K5" s="71">
        <f>IF(ISNUMBER('Results'!$B$5),15*'Results'!$E$5,0)</f>
        <v/>
      </c>
    </row>
    <row r="6">
      <c r="A6" s="70" t="inlineStr">
        <is>
          <t>Reach inflow</t>
        </is>
      </c>
      <c r="B6" s="71">
        <f>IF(COUNT('DEEP Score'!G15:G15)=0,"",SUM('DEEP Score'!G15:G15)/COUNT('DEEP Score'!G15:G15)*15)</f>
        <v/>
      </c>
      <c r="C6" s="70" t="n">
        <v>1</v>
      </c>
      <c r="D6" s="70" t="n">
        <v>0.1</v>
      </c>
      <c r="E6" s="70" t="n">
        <v>0.1</v>
      </c>
      <c r="F6" s="71">
        <f>IF(ISNUMBER('Results'!$B$6),'Results'!$B$6*'Results'!$C$6,0)</f>
        <v/>
      </c>
      <c r="G6" s="71">
        <f>IF(ISNUMBER('Results'!$B$6),'Results'!$B$6*'Results'!$D$6,0)</f>
        <v/>
      </c>
      <c r="H6" s="71">
        <f>IF(ISNUMBER('Results'!$B$6),'Results'!$B$6*'Results'!$E$6,0)</f>
        <v/>
      </c>
      <c r="I6" s="71">
        <f>IF(ISNUMBER('Results'!$B$6),15*'Results'!$C$6,0)</f>
        <v/>
      </c>
      <c r="J6" s="71">
        <f>IF(ISNUMBER('Results'!$B$6),15*'Results'!$D$6,0)</f>
        <v/>
      </c>
      <c r="K6" s="71">
        <f>IF(ISNUMBER('Results'!$B$6),15*'Results'!$E$6,0)</f>
        <v/>
      </c>
    </row>
    <row r="7">
      <c r="A7" s="70" t="inlineStr">
        <is>
          <t>Streamflow regime</t>
        </is>
      </c>
      <c r="B7" s="71">
        <f>IF(COUNT('DEEP Score'!G16:G17)=0,"",SUM('DEEP Score'!G16:G17)/COUNT('DEEP Score'!G16:G17)*15)</f>
        <v/>
      </c>
      <c r="C7" s="70" t="n">
        <v>1</v>
      </c>
      <c r="D7" s="70" t="n">
        <v>0.1</v>
      </c>
      <c r="E7" s="70" t="n">
        <v>0.1</v>
      </c>
      <c r="F7" s="71">
        <f>IF(ISNUMBER('Results'!$B$7),'Results'!$B$7*'Results'!$C$7,0)</f>
        <v/>
      </c>
      <c r="G7" s="71">
        <f>IF(ISNUMBER('Results'!$B$7),'Results'!$B$7*'Results'!$D$7,0)</f>
        <v/>
      </c>
      <c r="H7" s="71">
        <f>IF(ISNUMBER('Results'!$B$7),'Results'!$B$7*'Results'!$E$7,0)</f>
        <v/>
      </c>
      <c r="I7" s="71">
        <f>IF(ISNUMBER('Results'!$B$7),15*'Results'!$C$7,0)</f>
        <v/>
      </c>
      <c r="J7" s="71">
        <f>IF(ISNUMBER('Results'!$B$7),15*'Results'!$D$7,0)</f>
        <v/>
      </c>
      <c r="K7" s="71">
        <f>IF(ISNUMBER('Results'!$B$7),15*'Results'!$E$7,0)</f>
        <v/>
      </c>
    </row>
    <row r="8">
      <c r="A8" s="70" t="inlineStr">
        <is>
          <t>Low flow and baseflow dynamics</t>
        </is>
      </c>
      <c r="B8" s="71">
        <f>IF(COUNT('DEEP Score'!G18:G19)=0,"",SUM('DEEP Score'!G18:G19)/COUNT('DEEP Score'!G18:G19)*15)</f>
        <v/>
      </c>
      <c r="C8" s="70" t="n">
        <v>1</v>
      </c>
      <c r="D8" s="70" t="n">
        <v>0.1</v>
      </c>
      <c r="E8" s="70" t="n">
        <v>0.1</v>
      </c>
      <c r="F8" s="71">
        <f>IF(ISNUMBER('Results'!$B$8),'Results'!$B$8*'Results'!$C$8,0)</f>
        <v/>
      </c>
      <c r="G8" s="71">
        <f>IF(ISNUMBER('Results'!$B$8),'Results'!$B$8*'Results'!$D$8,0)</f>
        <v/>
      </c>
      <c r="H8" s="71">
        <f>IF(ISNUMBER('Results'!$B$8),'Results'!$B$8*'Results'!$E$8,0)</f>
        <v/>
      </c>
      <c r="I8" s="71">
        <f>IF(ISNUMBER('Results'!$B$8),15*'Results'!$C$8,0)</f>
        <v/>
      </c>
      <c r="J8" s="71">
        <f>IF(ISNUMBER('Results'!$B$8),15*'Results'!$D$8,0)</f>
        <v/>
      </c>
      <c r="K8" s="71">
        <f>IF(ISNUMBER('Results'!$B$8),15*'Results'!$E$8,0)</f>
        <v/>
      </c>
    </row>
    <row r="9">
      <c r="A9" s="70" t="inlineStr">
        <is>
          <t>High flow dynamics</t>
        </is>
      </c>
      <c r="B9" s="71">
        <f>IF(COUNT('DEEP Score'!G20:G20)=0,"",SUM('DEEP Score'!G20:G20)/COUNT('DEEP Score'!G20:G20)*15)</f>
        <v/>
      </c>
      <c r="C9" s="70" t="n">
        <v>1</v>
      </c>
      <c r="D9" s="70" t="n">
        <v>0.1</v>
      </c>
      <c r="E9" s="70" t="n">
        <v>0.1</v>
      </c>
      <c r="F9" s="71">
        <f>IF(ISNUMBER('Results'!$B$9),'Results'!$B$9*'Results'!$C$9,0)</f>
        <v/>
      </c>
      <c r="G9" s="71">
        <f>IF(ISNUMBER('Results'!$B$9),'Results'!$B$9*'Results'!$D$9,0)</f>
        <v/>
      </c>
      <c r="H9" s="71">
        <f>IF(ISNUMBER('Results'!$B$9),'Results'!$B$9*'Results'!$E$9,0)</f>
        <v/>
      </c>
      <c r="I9" s="71">
        <f>IF(ISNUMBER('Results'!$B$9),15*'Results'!$C$9,0)</f>
        <v/>
      </c>
      <c r="J9" s="71">
        <f>IF(ISNUMBER('Results'!$B$9),15*'Results'!$D$9,0)</f>
        <v/>
      </c>
      <c r="K9" s="71">
        <f>IF(ISNUMBER('Results'!$B$9),15*'Results'!$E$9,0)</f>
        <v/>
      </c>
    </row>
    <row r="10">
      <c r="A10" s="70" t="inlineStr">
        <is>
          <t>Floodplain connectivity</t>
        </is>
      </c>
      <c r="B10" s="71">
        <f>IF(COUNT('DEEP Score'!G21:G22)=0,"",SUM('DEEP Score'!G21:G22)/COUNT('DEEP Score'!G21:G22)*15)</f>
        <v/>
      </c>
      <c r="C10" s="70" t="n">
        <v>1</v>
      </c>
      <c r="D10" s="70" t="n">
        <v>0.1</v>
      </c>
      <c r="E10" s="70" t="n">
        <v>0.1</v>
      </c>
      <c r="F10" s="71">
        <f>IF(ISNUMBER('Results'!$B$10),'Results'!$B$10*'Results'!$C$10,0)</f>
        <v/>
      </c>
      <c r="G10" s="71">
        <f>IF(ISNUMBER('Results'!$B$10),'Results'!$B$10*'Results'!$D$10,0)</f>
        <v/>
      </c>
      <c r="H10" s="71">
        <f>IF(ISNUMBER('Results'!$B$10),'Results'!$B$10*'Results'!$E$10,0)</f>
        <v/>
      </c>
      <c r="I10" s="71">
        <f>IF(ISNUMBER('Results'!$B$10),15*'Results'!$C$10,0)</f>
        <v/>
      </c>
      <c r="J10" s="71">
        <f>IF(ISNUMBER('Results'!$B$10),15*'Results'!$D$10,0)</f>
        <v/>
      </c>
      <c r="K10" s="71">
        <f>IF(ISNUMBER('Results'!$B$10),15*'Results'!$E$10,0)</f>
        <v/>
      </c>
    </row>
    <row r="11">
      <c r="A11" s="70" t="inlineStr">
        <is>
          <t>Hyporheic connectivity</t>
        </is>
      </c>
      <c r="B11" s="71">
        <f>IF(COUNT('DEEP Score'!G23:G23)=0,"",SUM('DEEP Score'!G23:G23)/COUNT('DEEP Score'!G23:G23)*15)</f>
        <v/>
      </c>
      <c r="C11" s="70" t="n">
        <v>1</v>
      </c>
      <c r="D11" s="70" t="n">
        <v>0.1</v>
      </c>
      <c r="E11" s="70" t="n">
        <v>0.1</v>
      </c>
      <c r="F11" s="71">
        <f>IF(ISNUMBER('Results'!$B$11),'Results'!$B$11*'Results'!$C$11,0)</f>
        <v/>
      </c>
      <c r="G11" s="71">
        <f>IF(ISNUMBER('Results'!$B$11),'Results'!$B$11*'Results'!$D$11,0)</f>
        <v/>
      </c>
      <c r="H11" s="71">
        <f>IF(ISNUMBER('Results'!$B$11),'Results'!$B$11*'Results'!$E$11,0)</f>
        <v/>
      </c>
      <c r="I11" s="71">
        <f>IF(ISNUMBER('Results'!$B$11),15*'Results'!$C$11,0)</f>
        <v/>
      </c>
      <c r="J11" s="71">
        <f>IF(ISNUMBER('Results'!$B$11),15*'Results'!$D$11,0)</f>
        <v/>
      </c>
      <c r="K11" s="71">
        <f>IF(ISNUMBER('Results'!$B$11),15*'Results'!$E$11,0)</f>
        <v/>
      </c>
    </row>
    <row r="12">
      <c r="A12" s="70" t="inlineStr">
        <is>
          <t>Channel evolution</t>
        </is>
      </c>
      <c r="B12" s="71">
        <f>IF(COUNT('DEEP Score'!G24:G25)=0,"",SUM('DEEP Score'!G24:G25)/COUNT('DEEP Score'!G24:G25)*15)</f>
        <v/>
      </c>
      <c r="C12" s="70" t="n">
        <v>1</v>
      </c>
      <c r="D12" s="70" t="n">
        <v>0.1</v>
      </c>
      <c r="E12" s="70" t="n">
        <v>0.1</v>
      </c>
      <c r="F12" s="71">
        <f>IF(ISNUMBER('Results'!$B$12),'Results'!$B$12*'Results'!$C$12,0)</f>
        <v/>
      </c>
      <c r="G12" s="71">
        <f>IF(ISNUMBER('Results'!$B$12),'Results'!$B$12*'Results'!$D$12,0)</f>
        <v/>
      </c>
      <c r="H12" s="71">
        <f>IF(ISNUMBER('Results'!$B$12),'Results'!$B$12*'Results'!$E$12,0)</f>
        <v/>
      </c>
      <c r="I12" s="71">
        <f>IF(ISNUMBER('Results'!$B$12),15*'Results'!$C$12,0)</f>
        <v/>
      </c>
      <c r="J12" s="71">
        <f>IF(ISNUMBER('Results'!$B$12),15*'Results'!$D$12,0)</f>
        <v/>
      </c>
      <c r="K12" s="71">
        <f>IF(ISNUMBER('Results'!$B$12),15*'Results'!$E$12,0)</f>
        <v/>
      </c>
    </row>
    <row r="13">
      <c r="A13" s="70" t="inlineStr">
        <is>
          <t>Channel and floodplain dynamics</t>
        </is>
      </c>
      <c r="B13" s="71">
        <f>IF(COUNT('DEEP Score'!G26:G26)=0,"",SUM('DEEP Score'!G26:G26)/COUNT('DEEP Score'!G26:G26)*15)</f>
        <v/>
      </c>
      <c r="C13" s="70" t="n">
        <v>1</v>
      </c>
      <c r="D13" s="70" t="n">
        <v>0.1</v>
      </c>
      <c r="E13" s="70" t="n">
        <v>0.1</v>
      </c>
      <c r="F13" s="71">
        <f>IF(ISNUMBER('Results'!$B$13),'Results'!$B$13*'Results'!$C$13,0)</f>
        <v/>
      </c>
      <c r="G13" s="71">
        <f>IF(ISNUMBER('Results'!$B$13),'Results'!$B$13*'Results'!$D$13,0)</f>
        <v/>
      </c>
      <c r="H13" s="71">
        <f>IF(ISNUMBER('Results'!$B$13),'Results'!$B$13*'Results'!$E$13,0)</f>
        <v/>
      </c>
      <c r="I13" s="71">
        <f>IF(ISNUMBER('Results'!$B$13),15*'Results'!$C$13,0)</f>
        <v/>
      </c>
      <c r="J13" s="71">
        <f>IF(ISNUMBER('Results'!$B$13),15*'Results'!$D$13,0)</f>
        <v/>
      </c>
      <c r="K13" s="71">
        <f>IF(ISNUMBER('Results'!$B$13),15*'Results'!$E$13,0)</f>
        <v/>
      </c>
    </row>
    <row r="14">
      <c r="A14" s="70" t="inlineStr">
        <is>
          <t>Sediment continuity</t>
        </is>
      </c>
      <c r="B14" s="71">
        <f>IF(COUNT('DEEP Score'!G27:G28)=0,"",SUM('DEEP Score'!G27:G28)/COUNT('DEEP Score'!G27:G28)*15)</f>
        <v/>
      </c>
      <c r="C14" s="70" t="n">
        <v>1</v>
      </c>
      <c r="D14" s="70" t="n">
        <v>0.1</v>
      </c>
      <c r="E14" s="70" t="n">
        <v>0.1</v>
      </c>
      <c r="F14" s="71">
        <f>IF(ISNUMBER('Results'!$B$14),'Results'!$B$14*'Results'!$C$14,0)</f>
        <v/>
      </c>
      <c r="G14" s="71">
        <f>IF(ISNUMBER('Results'!$B$14),'Results'!$B$14*'Results'!$D$14,0)</f>
        <v/>
      </c>
      <c r="H14" s="71">
        <f>IF(ISNUMBER('Results'!$B$14),'Results'!$B$14*'Results'!$E$14,0)</f>
        <v/>
      </c>
      <c r="I14" s="71">
        <f>IF(ISNUMBER('Results'!$B$14),15*'Results'!$C$14,0)</f>
        <v/>
      </c>
      <c r="J14" s="71">
        <f>IF(ISNUMBER('Results'!$B$14),15*'Results'!$D$14,0)</f>
        <v/>
      </c>
      <c r="K14" s="71">
        <f>IF(ISNUMBER('Results'!$B$14),15*'Results'!$E$14,0)</f>
        <v/>
      </c>
    </row>
    <row r="15">
      <c r="A15" s="70" t="inlineStr">
        <is>
          <t>Bed composition and bedform dynamics</t>
        </is>
      </c>
      <c r="B15" s="71">
        <f>IF(COUNT('DEEP Score'!G29:G30)=0,"",SUM('DEEP Score'!G29:G30)/COUNT('DEEP Score'!G29:G30)*15)</f>
        <v/>
      </c>
      <c r="C15" s="70" t="n">
        <v>1</v>
      </c>
      <c r="D15" s="70" t="n">
        <v>0.1</v>
      </c>
      <c r="E15" s="70" t="n">
        <v>0.1</v>
      </c>
      <c r="F15" s="71">
        <f>IF(ISNUMBER('Results'!$B$15),'Results'!$B$15*'Results'!$C$15,0)</f>
        <v/>
      </c>
      <c r="G15" s="71">
        <f>IF(ISNUMBER('Results'!$B$15),'Results'!$B$15*'Results'!$D$15,0)</f>
        <v/>
      </c>
      <c r="H15" s="71">
        <f>IF(ISNUMBER('Results'!$B$15),'Results'!$B$15*'Results'!$E$15,0)</f>
        <v/>
      </c>
      <c r="I15" s="71">
        <f>IF(ISNUMBER('Results'!$B$15),15*'Results'!$C$15,0)</f>
        <v/>
      </c>
      <c r="J15" s="71">
        <f>IF(ISNUMBER('Results'!$B$15),15*'Results'!$D$15,0)</f>
        <v/>
      </c>
      <c r="K15" s="71">
        <f>IF(ISNUMBER('Results'!$B$15),15*'Results'!$E$15,0)</f>
        <v/>
      </c>
    </row>
    <row r="16">
      <c r="A16" s="70" t="inlineStr">
        <is>
          <t>Light &amp; thermal regime</t>
        </is>
      </c>
      <c r="B16" s="71">
        <f>IF(COUNT('DEEP Score'!G31:G32)=0,"",SUM('DEEP Score'!G31:G32)/COUNT('DEEP Score'!G31:G32)*15)</f>
        <v/>
      </c>
      <c r="C16" s="70" t="n">
        <v>0</v>
      </c>
      <c r="D16" s="70" t="n">
        <v>1</v>
      </c>
      <c r="E16" s="70" t="n">
        <v>0.1</v>
      </c>
      <c r="F16" s="71">
        <f>IF(ISNUMBER('Results'!$B$16),'Results'!$B$16*'Results'!$C$16,0)</f>
        <v/>
      </c>
      <c r="G16" s="71">
        <f>IF(ISNUMBER('Results'!$B$16),'Results'!$B$16*'Results'!$D$16,0)</f>
        <v/>
      </c>
      <c r="H16" s="71">
        <f>IF(ISNUMBER('Results'!$B$16),'Results'!$B$16*'Results'!$E$16,0)</f>
        <v/>
      </c>
      <c r="I16" s="71">
        <f>IF(ISNUMBER('Results'!$B$16),15*'Results'!$C$16,0)</f>
        <v/>
      </c>
      <c r="J16" s="71">
        <f>IF(ISNUMBER('Results'!$B$16),15*'Results'!$D$16,0)</f>
        <v/>
      </c>
      <c r="K16" s="71">
        <f>IF(ISNUMBER('Results'!$B$16),15*'Results'!$E$16,0)</f>
        <v/>
      </c>
    </row>
    <row r="17">
      <c r="A17" s="70" t="inlineStr">
        <is>
          <t>Carbon processing</t>
        </is>
      </c>
      <c r="B17" s="71">
        <f>IF(COUNT('DEEP Score'!G33:G33)=0,"",SUM('DEEP Score'!G33:G33)/COUNT('DEEP Score'!G33:G33)*15)</f>
        <v/>
      </c>
      <c r="C17" s="70" t="n">
        <v>0</v>
      </c>
      <c r="D17" s="70" t="n">
        <v>1</v>
      </c>
      <c r="E17" s="70" t="n">
        <v>0.1</v>
      </c>
      <c r="F17" s="71">
        <f>IF(ISNUMBER('Results'!$B$17),'Results'!$B$17*'Results'!$C$17,0)</f>
        <v/>
      </c>
      <c r="G17" s="71">
        <f>IF(ISNUMBER('Results'!$B$17),'Results'!$B$17*'Results'!$D$17,0)</f>
        <v/>
      </c>
      <c r="H17" s="71">
        <f>IF(ISNUMBER('Results'!$B$17),'Results'!$B$17*'Results'!$E$17,0)</f>
        <v/>
      </c>
      <c r="I17" s="71">
        <f>IF(ISNUMBER('Results'!$B$17),15*'Results'!$C$17,0)</f>
        <v/>
      </c>
      <c r="J17" s="71">
        <f>IF(ISNUMBER('Results'!$B$17),15*'Results'!$D$17,0)</f>
        <v/>
      </c>
      <c r="K17" s="71">
        <f>IF(ISNUMBER('Results'!$B$17),15*'Results'!$E$17,0)</f>
        <v/>
      </c>
    </row>
    <row r="18">
      <c r="A18" s="70" t="inlineStr">
        <is>
          <t>Nutrient cycling</t>
        </is>
      </c>
      <c r="B18" s="71">
        <f>IF(COUNT('DEEP Score'!G34:G35)=0,"",SUM('DEEP Score'!G34:G35)/COUNT('DEEP Score'!G34:G35)*15)</f>
        <v/>
      </c>
      <c r="C18" s="70" t="n">
        <v>0.1</v>
      </c>
      <c r="D18" s="70" t="n">
        <v>1</v>
      </c>
      <c r="E18" s="70" t="n">
        <v>0.1</v>
      </c>
      <c r="F18" s="71">
        <f>IF(ISNUMBER('Results'!$B$18),'Results'!$B$18*'Results'!$C$18,0)</f>
        <v/>
      </c>
      <c r="G18" s="71">
        <f>IF(ISNUMBER('Results'!$B$18),'Results'!$B$18*'Results'!$D$18,0)</f>
        <v/>
      </c>
      <c r="H18" s="71">
        <f>IF(ISNUMBER('Results'!$B$18),'Results'!$B$18*'Results'!$E$18,0)</f>
        <v/>
      </c>
      <c r="I18" s="71">
        <f>IF(ISNUMBER('Results'!$B$18),15*'Results'!$C$18,0)</f>
        <v/>
      </c>
      <c r="J18" s="71">
        <f>IF(ISNUMBER('Results'!$B$18),15*'Results'!$D$18,0)</f>
        <v/>
      </c>
      <c r="K18" s="71">
        <f>IF(ISNUMBER('Results'!$B$18),15*'Results'!$E$18,0)</f>
        <v/>
      </c>
    </row>
    <row r="19">
      <c r="A19" s="70" t="inlineStr">
        <is>
          <t>Water &amp; soil quality</t>
        </is>
      </c>
      <c r="B19" s="71">
        <f>IF(COUNT('DEEP Score'!G36:G37)=0,"",SUM('DEEP Score'!G36:G37)/COUNT('DEEP Score'!G36:G37)*15)</f>
        <v/>
      </c>
      <c r="C19" s="70" t="n">
        <v>0.1</v>
      </c>
      <c r="D19" s="70" t="n">
        <v>1</v>
      </c>
      <c r="E19" s="70" t="n">
        <v>0.1</v>
      </c>
      <c r="F19" s="71">
        <f>IF(ISNUMBER('Results'!$B$19),'Results'!$B$19*'Results'!$C$19,0)</f>
        <v/>
      </c>
      <c r="G19" s="71">
        <f>IF(ISNUMBER('Results'!$B$19),'Results'!$B$19*'Results'!$D$19,0)</f>
        <v/>
      </c>
      <c r="H19" s="71">
        <f>IF(ISNUMBER('Results'!$B$19),'Results'!$B$19*'Results'!$E$19,0)</f>
        <v/>
      </c>
      <c r="I19" s="71">
        <f>IF(ISNUMBER('Results'!$B$19),15*'Results'!$C$19,0)</f>
        <v/>
      </c>
      <c r="J19" s="71">
        <f>IF(ISNUMBER('Results'!$B$19),15*'Results'!$D$19,0)</f>
        <v/>
      </c>
      <c r="K19" s="71">
        <f>IF(ISNUMBER('Results'!$B$19),15*'Results'!$E$19,0)</f>
        <v/>
      </c>
    </row>
    <row r="20">
      <c r="A20" s="70" t="inlineStr">
        <is>
          <t>Habitat provision</t>
        </is>
      </c>
      <c r="B20" s="71">
        <f>IF(COUNT('DEEP Score'!G38:G39)=0,"",SUM('DEEP Score'!G38:G39)/COUNT('DEEP Score'!G38:G39)*15)</f>
        <v/>
      </c>
      <c r="C20" s="70" t="n">
        <v>0</v>
      </c>
      <c r="D20" s="70" t="n">
        <v>0</v>
      </c>
      <c r="E20" s="70" t="n">
        <v>1</v>
      </c>
      <c r="F20" s="71">
        <f>IF(ISNUMBER('Results'!$B$20),'Results'!$B$20*'Results'!$C$20,0)</f>
        <v/>
      </c>
      <c r="G20" s="71">
        <f>IF(ISNUMBER('Results'!$B$20),'Results'!$B$20*'Results'!$D$20,0)</f>
        <v/>
      </c>
      <c r="H20" s="71">
        <f>IF(ISNUMBER('Results'!$B$20),'Results'!$B$20*'Results'!$E$20,0)</f>
        <v/>
      </c>
      <c r="I20" s="71">
        <f>IF(ISNUMBER('Results'!$B$20),15*'Results'!$C$20,0)</f>
        <v/>
      </c>
      <c r="J20" s="71">
        <f>IF(ISNUMBER('Results'!$B$20),15*'Results'!$D$20,0)</f>
        <v/>
      </c>
      <c r="K20" s="71">
        <f>IF(ISNUMBER('Results'!$B$20),15*'Results'!$E$20,0)</f>
        <v/>
      </c>
    </row>
    <row r="21">
      <c r="A21" s="70" t="inlineStr">
        <is>
          <t>Population support</t>
        </is>
      </c>
      <c r="B21" s="71">
        <f>IF(COUNT('DEEP Score'!G40:G41)=0,"",SUM('DEEP Score'!G40:G41)/COUNT('DEEP Score'!G40:G41)*15)</f>
        <v/>
      </c>
      <c r="C21" s="70" t="n">
        <v>0.1</v>
      </c>
      <c r="D21" s="70" t="n">
        <v>0.1</v>
      </c>
      <c r="E21" s="70" t="n">
        <v>1</v>
      </c>
      <c r="F21" s="71">
        <f>IF(ISNUMBER('Results'!$B$21),'Results'!$B$21*'Results'!$C$21,0)</f>
        <v/>
      </c>
      <c r="G21" s="71">
        <f>IF(ISNUMBER('Results'!$B$21),'Results'!$B$21*'Results'!$D$21,0)</f>
        <v/>
      </c>
      <c r="H21" s="71">
        <f>IF(ISNUMBER('Results'!$B$21),'Results'!$B$21*'Results'!$E$21,0)</f>
        <v/>
      </c>
      <c r="I21" s="71">
        <f>IF(ISNUMBER('Results'!$B$21),15*'Results'!$C$21,0)</f>
        <v/>
      </c>
      <c r="J21" s="71">
        <f>IF(ISNUMBER('Results'!$B$21),15*'Results'!$D$21,0)</f>
        <v/>
      </c>
      <c r="K21" s="71">
        <f>IF(ISNUMBER('Results'!$B$21),15*'Results'!$E$21,0)</f>
        <v/>
      </c>
    </row>
    <row r="22">
      <c r="A22" s="70" t="inlineStr">
        <is>
          <t>Community dynamics</t>
        </is>
      </c>
      <c r="B22" s="71">
        <f>IF(COUNT('DEEP Score'!G42:G43)=0,"",SUM('DEEP Score'!G42:G43)/COUNT('DEEP Score'!G42:G43)*15)</f>
        <v/>
      </c>
      <c r="C22" s="70" t="n">
        <v>0.1</v>
      </c>
      <c r="D22" s="70" t="n">
        <v>0.1</v>
      </c>
      <c r="E22" s="70" t="n">
        <v>1</v>
      </c>
      <c r="F22" s="71">
        <f>IF(ISNUMBER('Results'!$B$22),'Results'!$B$22*'Results'!$C$22,0)</f>
        <v/>
      </c>
      <c r="G22" s="71">
        <f>IF(ISNUMBER('Results'!$B$22),'Results'!$B$22*'Results'!$D$22,0)</f>
        <v/>
      </c>
      <c r="H22" s="71">
        <f>IF(ISNUMBER('Results'!$B$22),'Results'!$B$22*'Results'!$E$22,0)</f>
        <v/>
      </c>
      <c r="I22" s="71">
        <f>IF(ISNUMBER('Results'!$B$22),15*'Results'!$C$22,0)</f>
        <v/>
      </c>
      <c r="J22" s="71">
        <f>IF(ISNUMBER('Results'!$B$22),15*'Results'!$D$22,0)</f>
        <v/>
      </c>
      <c r="K22" s="71">
        <f>IF(ISNUMBER('Results'!$B$22),15*'Results'!$E$22,0)</f>
        <v/>
      </c>
    </row>
    <row r="23">
      <c r="A23" s="70" t="inlineStr">
        <is>
          <t>Watershed connectivity</t>
        </is>
      </c>
      <c r="B23" s="71">
        <f>IF(COUNT('DEEP Score'!G44:G44)=0,"",SUM('DEEP Score'!G44:G44)/COUNT('DEEP Score'!G44:G44)*15)</f>
        <v/>
      </c>
      <c r="C23" s="70" t="n">
        <v>0.1</v>
      </c>
      <c r="D23" s="70" t="n">
        <v>0</v>
      </c>
      <c r="E23" s="70" t="n">
        <v>1</v>
      </c>
      <c r="F23" s="71">
        <f>IF(ISNUMBER('Results'!$B$23),'Results'!$B$23*'Results'!$C$23,0)</f>
        <v/>
      </c>
      <c r="G23" s="71">
        <f>IF(ISNUMBER('Results'!$B$23),'Results'!$B$23*'Results'!$D$23,0)</f>
        <v/>
      </c>
      <c r="H23" s="71">
        <f>IF(ISNUMBER('Results'!$B$23),'Results'!$B$23*'Results'!$E$23,0)</f>
        <v/>
      </c>
      <c r="I23" s="71">
        <f>IF(ISNUMBER('Results'!$B$23),15*'Results'!$C$23,0)</f>
        <v/>
      </c>
      <c r="J23" s="71">
        <f>IF(ISNUMBER('Results'!$B$23),15*'Results'!$D$23,0)</f>
        <v/>
      </c>
      <c r="K23" s="71">
        <f>IF(ISNUMBER('Results'!$B$23),15*'Results'!$E$23,0)</f>
        <v/>
      </c>
    </row>
    <row r="25">
      <c r="A25" s="6" t="inlineStr">
        <is>
          <t>Outcome</t>
        </is>
      </c>
      <c r="B25" s="6" t="inlineStr">
        <is>
          <t>Sub-index</t>
        </is>
      </c>
    </row>
    <row r="26">
      <c r="A26" s="70" t="inlineStr">
        <is>
          <t>Physical</t>
        </is>
      </c>
      <c r="B26" s="71">
        <f>IF(SUM('Results'!$I$4:$I$23)=0,0,SUM('Results'!$F$4:$F$23)/SUM('Results'!$I$4:$I$23))</f>
        <v/>
      </c>
    </row>
    <row r="27">
      <c r="A27" s="70" t="inlineStr">
        <is>
          <t>Chemical</t>
        </is>
      </c>
      <c r="B27" s="71">
        <f>IF(SUM('Results'!$J$4:$J$23)=0,0,SUM('Results'!$G$4:$G$23)/SUM('Results'!$J$4:$J$23))</f>
        <v/>
      </c>
    </row>
    <row r="28">
      <c r="A28" s="70" t="inlineStr">
        <is>
          <t>Biological</t>
        </is>
      </c>
      <c r="B28" s="71">
        <f>IF(SUM('Results'!$K$4:$K$23)=0,0,SUM('Results'!$H$4:$H$23)/SUM('Results'!$K$4:$K$23))</f>
        <v/>
      </c>
    </row>
    <row r="29">
      <c r="A29" s="54" t="inlineStr">
        <is>
          <t>Ecosystem Condition Index</t>
        </is>
      </c>
      <c r="B29" s="71">
        <f>('Results'!$B$26+'Results'!$B$27+'Results'!$B$28)/3</f>
        <v/>
      </c>
    </row>
  </sheetData>
  <sheetProtection selectLockedCells="0" selectUnlockedCells="0" sheet="1" objects="0" insertRows="1" insertHyperlinks="1" autoFilter="1" scenarios="0" formatColumns="1" deleteColumns="1" insertColumns="1" pivotTables="1" deleteRows="1" formatCells="1" formatRows="1" sort="1" password="CB3B"/>
  <pageMargins left="0.75" right="0.75" top="1" bottom="1" header="0.5" footer="0.5"/>
  <headerFooter>
    <oddHeader>&amp;C&amp;"Calibri,Bold"&amp;K475569Assessment status: Draft._x000a_For research and regional assessment development only.</oddHeader>
    <oddFooter/>
    <evenHeader/>
    <evenFooter/>
    <firstHeader/>
    <firstFooter/>
  </headerFooter>
</worksheet>
</file>

<file path=xl/worksheets/sheet5.xml><?xml version="1.0" encoding="utf-8"?>
<worksheet xmlns="http://schemas.openxmlformats.org/spreadsheetml/2006/main">
  <sheetPr>
    <tabColor rgb="00475569"/>
    <outlinePr summaryBelow="1" summaryRight="1"/>
    <pageSetUpPr/>
  </sheetPr>
  <dimension ref="A1:V56"/>
  <sheetViews>
    <sheetView tabSelected="0" workbookViewId="0">
      <selection activeCell="A1" sqref="A1"/>
    </sheetView>
  </sheetViews>
  <sheetFormatPr baseColWidth="8" defaultRowHeight="15"/>
  <cols>
    <col width="58" customWidth="1" min="1" max="1"/>
    <col width="34" customWidth="1" min="2" max="2"/>
    <col width="34" customWidth="1" min="3" max="3"/>
    <col width="40" customWidth="1" min="4" max="4"/>
    <col width="60" customWidth="1" min="6" max="6"/>
  </cols>
  <sheetData>
    <row r="1">
      <c r="A1" s="69" t="inlineStr">
        <is>
          <t>Reference curves, bands and weights</t>
        </is>
      </c>
    </row>
    <row r="2">
      <c r="A2" s="5" t="inlineStr">
        <is>
          <t>One row per metric and curve set. Knots in ascending x, the last knot repeated to fill eight. The DEEP Score sheet reads these rows.</t>
        </is>
      </c>
    </row>
    <row r="3" ht="21" customHeight="1">
      <c r="A3" s="3" t="inlineStr">
        <is>
          <t>Assessment status: Draft. For research and regional assessment development only.</t>
        </is>
      </c>
    </row>
    <row r="4">
      <c r="A4" s="6" t="inlineStr">
        <is>
          <t>Curve key</t>
        </is>
      </c>
      <c r="B4" s="6" t="inlineStr">
        <is>
          <t>Metric id</t>
        </is>
      </c>
      <c r="C4" s="6" t="inlineStr">
        <is>
          <t>Metric</t>
        </is>
      </c>
      <c r="D4" s="6" t="inlineStr">
        <is>
          <t>Curve set</t>
        </is>
      </c>
      <c r="E4" s="6" t="inlineStr">
        <is>
          <t>Knots</t>
        </is>
      </c>
      <c r="F4" s="6" t="inlineStr">
        <is>
          <t>Scored against</t>
        </is>
      </c>
      <c r="G4" s="6" t="inlineStr">
        <is>
          <t>x1</t>
        </is>
      </c>
      <c r="H4" s="6" t="inlineStr">
        <is>
          <t>x2</t>
        </is>
      </c>
      <c r="I4" s="6" t="inlineStr">
        <is>
          <t>x3</t>
        </is>
      </c>
      <c r="J4" s="6" t="inlineStr">
        <is>
          <t>x4</t>
        </is>
      </c>
      <c r="K4" s="6" t="inlineStr">
        <is>
          <t>x5</t>
        </is>
      </c>
      <c r="L4" s="6" t="inlineStr">
        <is>
          <t>x6</t>
        </is>
      </c>
      <c r="M4" s="6" t="inlineStr">
        <is>
          <t>x7</t>
        </is>
      </c>
      <c r="N4" s="6" t="inlineStr">
        <is>
          <t>x8</t>
        </is>
      </c>
      <c r="O4" s="6" t="inlineStr">
        <is>
          <t>y1</t>
        </is>
      </c>
      <c r="P4" s="6" t="inlineStr">
        <is>
          <t>y2</t>
        </is>
      </c>
      <c r="Q4" s="6" t="inlineStr">
        <is>
          <t>y3</t>
        </is>
      </c>
      <c r="R4" s="6" t="inlineStr">
        <is>
          <t>y4</t>
        </is>
      </c>
      <c r="S4" s="6" t="inlineStr">
        <is>
          <t>y5</t>
        </is>
      </c>
      <c r="T4" s="6" t="inlineStr">
        <is>
          <t>y6</t>
        </is>
      </c>
      <c r="U4" s="6" t="inlineStr">
        <is>
          <t>y7</t>
        </is>
      </c>
      <c r="V4" s="6" t="inlineStr">
        <is>
          <t>y8</t>
        </is>
      </c>
    </row>
    <row r="5">
      <c r="A5" s="70" t="inlineStr">
        <is>
          <t>spring_pctimp2019ws|</t>
        </is>
      </c>
      <c r="B5" s="70" t="inlineStr">
        <is>
          <t>spring-pctimp2019ws</t>
        </is>
      </c>
      <c r="C5" s="70" t="inlineStr">
        <is>
          <t>Impervious surface</t>
        </is>
      </c>
      <c r="D5" s="70" t="inlineStr"/>
      <c r="E5" s="70" t="n">
        <v>4</v>
      </c>
      <c r="F5" s="70" t="inlineStr">
        <is>
          <t>Fixed criteria, the same in every region</t>
        </is>
      </c>
      <c r="G5" s="70" t="n">
        <v>0</v>
      </c>
      <c r="H5" s="70" t="n">
        <v>10</v>
      </c>
      <c r="I5" s="70" t="n">
        <v>25.005</v>
      </c>
      <c r="J5" s="70" t="n">
        <v>44.5115</v>
      </c>
      <c r="K5" s="70" t="n">
        <v>44.5115</v>
      </c>
      <c r="L5" s="70" t="n">
        <v>44.5115</v>
      </c>
      <c r="M5" s="70" t="n">
        <v>44.5115</v>
      </c>
      <c r="N5" s="70" t="n">
        <v>44.5115</v>
      </c>
      <c r="O5" s="70" t="n">
        <v>1</v>
      </c>
      <c r="P5" s="70" t="n">
        <v>0.6899999999999999</v>
      </c>
      <c r="Q5" s="70" t="n">
        <v>0.39</v>
      </c>
      <c r="R5" s="70" t="n">
        <v>0</v>
      </c>
      <c r="S5" s="70" t="n">
        <v>0</v>
      </c>
      <c r="T5" s="70" t="n">
        <v>0</v>
      </c>
      <c r="U5" s="70" t="n">
        <v>0</v>
      </c>
      <c r="V5" s="70" t="n">
        <v>0</v>
      </c>
    </row>
    <row r="6">
      <c r="A6" s="70" t="inlineStr">
        <is>
          <t>spring_pctag2019ws|</t>
        </is>
      </c>
      <c r="B6" s="70" t="inlineStr">
        <is>
          <t>spring-pctag2019ws</t>
        </is>
      </c>
      <c r="C6" s="70" t="inlineStr">
        <is>
          <t>Agriculture, crop and hay</t>
        </is>
      </c>
      <c r="D6" s="70" t="inlineStr"/>
      <c r="E6" s="70" t="n">
        <v>4</v>
      </c>
      <c r="F6" s="70" t="inlineStr">
        <is>
          <t>Fixed criteria, the same in every region</t>
        </is>
      </c>
      <c r="G6" s="70" t="n">
        <v>0</v>
      </c>
      <c r="H6" s="70" t="n">
        <v>30</v>
      </c>
      <c r="I6" s="70" t="n">
        <v>50.005</v>
      </c>
      <c r="J6" s="70" t="n">
        <v>76.0115</v>
      </c>
      <c r="K6" s="70" t="n">
        <v>76.0115</v>
      </c>
      <c r="L6" s="70" t="n">
        <v>76.0115</v>
      </c>
      <c r="M6" s="70" t="n">
        <v>76.0115</v>
      </c>
      <c r="N6" s="70" t="n">
        <v>76.0115</v>
      </c>
      <c r="O6" s="70" t="n">
        <v>1</v>
      </c>
      <c r="P6" s="70" t="n">
        <v>0.6899999999999999</v>
      </c>
      <c r="Q6" s="70" t="n">
        <v>0.39</v>
      </c>
      <c r="R6" s="70" t="n">
        <v>0</v>
      </c>
      <c r="S6" s="70" t="n">
        <v>0</v>
      </c>
      <c r="T6" s="70" t="n">
        <v>0</v>
      </c>
      <c r="U6" s="70" t="n">
        <v>0</v>
      </c>
      <c r="V6" s="70" t="n">
        <v>0</v>
      </c>
    </row>
    <row r="7">
      <c r="A7" s="70" t="inlineStr">
        <is>
          <t>spring_pctwet2019ws|</t>
        </is>
      </c>
      <c r="B7" s="70" t="inlineStr">
        <is>
          <t>spring-pctwet2019ws</t>
        </is>
      </c>
      <c r="C7" s="70" t="inlineStr">
        <is>
          <t>Wetland</t>
        </is>
      </c>
      <c r="D7" s="70" t="inlineStr"/>
      <c r="E7" s="70" t="n">
        <v>5</v>
      </c>
      <c r="F7" s="70" t="inlineStr">
        <is>
          <t>22 least-disturbed streams of this ecoregion under the regional screen (agriculture at most 25 percent). Scored on a reference pool whose transfer to this ecoregion was not confirmed by the recovery test (class agreement 0.57 of evaluation regions; two thirds required); confidence capped at 39.</t>
        </is>
      </c>
      <c r="G7" s="70" t="n">
        <v>0</v>
      </c>
      <c r="H7" s="70" t="n">
        <v>4.034999999999999</v>
      </c>
      <c r="I7" s="70" t="n">
        <v>9.414999999999999</v>
      </c>
      <c r="J7" s="70" t="n">
        <v>21.955</v>
      </c>
      <c r="K7" s="70" t="n">
        <v>28.225</v>
      </c>
      <c r="L7" s="70" t="n">
        <v>28.225</v>
      </c>
      <c r="M7" s="70" t="n">
        <v>28.225</v>
      </c>
      <c r="N7" s="70" t="n">
        <v>28.225</v>
      </c>
      <c r="O7" s="70" t="n">
        <v>0</v>
      </c>
      <c r="P7" s="70" t="n">
        <v>0.3</v>
      </c>
      <c r="Q7" s="70" t="n">
        <v>0.7</v>
      </c>
      <c r="R7" s="70" t="n">
        <v>1</v>
      </c>
      <c r="S7" s="70" t="n">
        <v>1</v>
      </c>
      <c r="T7" s="70" t="n">
        <v>1</v>
      </c>
      <c r="U7" s="70" t="n">
        <v>1</v>
      </c>
      <c r="V7" s="70" t="n">
        <v>1</v>
      </c>
    </row>
    <row r="8">
      <c r="A8" s="70" t="inlineStr">
        <is>
          <t>spring_rddensws|</t>
        </is>
      </c>
      <c r="B8" s="70" t="inlineStr">
        <is>
          <t>spring-rddensws</t>
        </is>
      </c>
      <c r="C8" s="70" t="inlineStr">
        <is>
          <t>Road density</t>
        </is>
      </c>
      <c r="D8" s="70" t="inlineStr"/>
      <c r="E8" s="70" t="n">
        <v>4</v>
      </c>
      <c r="F8" s="70" t="inlineStr">
        <is>
          <t>Fixed criteria, the same in every region</t>
        </is>
      </c>
      <c r="G8" s="70" t="n">
        <v>0</v>
      </c>
      <c r="H8" s="70" t="n">
        <v>1</v>
      </c>
      <c r="I8" s="70" t="n">
        <v>3</v>
      </c>
      <c r="J8" s="70" t="n">
        <v>5.6</v>
      </c>
      <c r="K8" s="70" t="n">
        <v>5.6</v>
      </c>
      <c r="L8" s="70" t="n">
        <v>5.6</v>
      </c>
      <c r="M8" s="70" t="n">
        <v>5.6</v>
      </c>
      <c r="N8" s="70" t="n">
        <v>5.6</v>
      </c>
      <c r="O8" s="70" t="n">
        <v>1</v>
      </c>
      <c r="P8" s="70" t="n">
        <v>0.6899999999999999</v>
      </c>
      <c r="Q8" s="70" t="n">
        <v>0.39</v>
      </c>
      <c r="R8" s="70" t="n">
        <v>0</v>
      </c>
      <c r="S8" s="70" t="n">
        <v>0</v>
      </c>
      <c r="T8" s="70" t="n">
        <v>0</v>
      </c>
      <c r="U8" s="70" t="n">
        <v>0</v>
      </c>
      <c r="V8" s="70" t="n">
        <v>0</v>
      </c>
    </row>
    <row r="9">
      <c r="A9" s="70" t="inlineStr">
        <is>
          <t>spring_bfiws|</t>
        </is>
      </c>
      <c r="B9" s="70" t="inlineStr">
        <is>
          <t>spring-bfiws</t>
        </is>
      </c>
      <c r="C9" s="70" t="inlineStr">
        <is>
          <t>Base flow index</t>
        </is>
      </c>
      <c r="D9" s="70" t="inlineStr"/>
      <c r="E9" s="70" t="n">
        <v>5</v>
      </c>
      <c r="F9" s="70" t="inlineStr">
        <is>
          <t>13 least-disturbed stations of this ecoregion</t>
        </is>
      </c>
      <c r="G9" s="70" t="n">
        <v>0</v>
      </c>
      <c r="H9" s="70" t="n">
        <v>21.52825714285714</v>
      </c>
      <c r="I9" s="70" t="n">
        <v>50.2326</v>
      </c>
      <c r="J9" s="70" t="n">
        <v>54</v>
      </c>
      <c r="K9" s="70" t="n">
        <v>55.8837</v>
      </c>
      <c r="L9" s="70" t="n">
        <v>55.8837</v>
      </c>
      <c r="M9" s="70" t="n">
        <v>55.8837</v>
      </c>
      <c r="N9" s="70" t="n">
        <v>55.8837</v>
      </c>
      <c r="O9" s="70" t="n">
        <v>0</v>
      </c>
      <c r="P9" s="70" t="n">
        <v>0.3</v>
      </c>
      <c r="Q9" s="70" t="n">
        <v>0.7</v>
      </c>
      <c r="R9" s="70" t="n">
        <v>1</v>
      </c>
      <c r="S9" s="70" t="n">
        <v>1</v>
      </c>
      <c r="T9" s="70" t="n">
        <v>1</v>
      </c>
      <c r="U9" s="70" t="n">
        <v>1</v>
      </c>
      <c r="V9" s="70" t="n">
        <v>1</v>
      </c>
    </row>
    <row r="10">
      <c r="A10" s="70" t="inlineStr">
        <is>
          <t>spring_dorws|</t>
        </is>
      </c>
      <c r="B10" s="70" t="inlineStr">
        <is>
          <t>spring-dorws</t>
        </is>
      </c>
      <c r="C10" s="70" t="inlineStr">
        <is>
          <t>Degree of regulation</t>
        </is>
      </c>
      <c r="D10" s="70" t="inlineStr"/>
      <c r="E10" s="70" t="n">
        <v>4</v>
      </c>
      <c r="F10" s="70" t="inlineStr">
        <is>
          <t>Fixed criteria, the same in every region</t>
        </is>
      </c>
      <c r="G10" s="70" t="n">
        <v>0</v>
      </c>
      <c r="H10" s="70" t="n">
        <v>2</v>
      </c>
      <c r="I10" s="70" t="n">
        <v>15.005</v>
      </c>
      <c r="J10" s="70" t="n">
        <v>31.9115</v>
      </c>
      <c r="K10" s="70" t="n">
        <v>31.9115</v>
      </c>
      <c r="L10" s="70" t="n">
        <v>31.9115</v>
      </c>
      <c r="M10" s="70" t="n">
        <v>31.9115</v>
      </c>
      <c r="N10" s="70" t="n">
        <v>31.9115</v>
      </c>
      <c r="O10" s="70" t="n">
        <v>1</v>
      </c>
      <c r="P10" s="70" t="n">
        <v>0.6899999999999999</v>
      </c>
      <c r="Q10" s="70" t="n">
        <v>0.39</v>
      </c>
      <c r="R10" s="70" t="n">
        <v>0</v>
      </c>
      <c r="S10" s="70" t="n">
        <v>0</v>
      </c>
      <c r="T10" s="70" t="n">
        <v>0</v>
      </c>
      <c r="U10" s="70" t="n">
        <v>0</v>
      </c>
      <c r="V10" s="70" t="n">
        <v>0</v>
      </c>
    </row>
    <row r="11">
      <c r="A11" s="70" t="inlineStr">
        <is>
          <t>spring_phab_rp100_cm|</t>
        </is>
      </c>
      <c r="B11" s="70" t="inlineStr">
        <is>
          <t>spring-phab-rp100-cm</t>
        </is>
      </c>
      <c r="C11" s="70" t="inlineStr">
        <is>
          <t>Residual pool depth</t>
        </is>
      </c>
      <c r="D11" s="70" t="inlineStr"/>
      <c r="E11" s="70" t="n">
        <v>5</v>
      </c>
      <c r="F11" s="70" t="inlineStr">
        <is>
          <t>44 least-disturbed stations borrowed from Level II ecoregion 8.1 (Mixed Wood Plains) under the regional screen (agriculture at most 25 percent), transfer risk moderate</t>
        </is>
      </c>
      <c r="G11" s="70" t="n">
        <v>0</v>
      </c>
      <c r="H11" s="70" t="n">
        <v>4.299341133662632</v>
      </c>
      <c r="I11" s="70" t="n">
        <v>10.03179597854614</v>
      </c>
      <c r="J11" s="70" t="n">
        <v>28.62714815139771</v>
      </c>
      <c r="K11" s="70" t="n">
        <v>37.92482423782349</v>
      </c>
      <c r="L11" s="70" t="n">
        <v>37.92482423782349</v>
      </c>
      <c r="M11" s="70" t="n">
        <v>37.92482423782349</v>
      </c>
      <c r="N11" s="70" t="n">
        <v>37.92482423782349</v>
      </c>
      <c r="O11" s="70" t="n">
        <v>0</v>
      </c>
      <c r="P11" s="70" t="n">
        <v>0.3</v>
      </c>
      <c r="Q11" s="70" t="n">
        <v>0.7</v>
      </c>
      <c r="R11" s="70" t="n">
        <v>1</v>
      </c>
      <c r="S11" s="70" t="n">
        <v>1</v>
      </c>
      <c r="T11" s="70" t="n">
        <v>1</v>
      </c>
      <c r="U11" s="70" t="n">
        <v>1</v>
      </c>
      <c r="V11" s="70" t="n">
        <v>1</v>
      </c>
    </row>
    <row r="12">
      <c r="A12" s="70" t="inlineStr">
        <is>
          <t>spring_phab_bfwd_rat|</t>
        </is>
      </c>
      <c r="B12" s="70" t="inlineStr">
        <is>
          <t>spring-phab-bfwd-rat</t>
        </is>
      </c>
      <c r="C12" s="70" t="inlineStr">
        <is>
          <t>Bankfull width:depth ratio</t>
        </is>
      </c>
      <c r="D12" s="70" t="inlineStr"/>
      <c r="E12" s="70" t="n">
        <v>7</v>
      </c>
      <c r="F12" s="70" t="inlineStr">
        <is>
          <t>22 least-disturbed streams of this ecoregion under the regional screen (agriculture at most 25 percent). Scored on a reference pool whose transfer to this ecoregion was not confirmed by the recovery test (class agreement 0.57 of evaluation regions; two thirds required; net optimism +0.14, at most 0.05 allowed); confidence capped at 39.</t>
        </is>
      </c>
      <c r="G12" s="70" t="n">
        <v>0</v>
      </c>
      <c r="H12" s="70" t="n">
        <v>4.845873165130616</v>
      </c>
      <c r="I12" s="70" t="n">
        <v>9.167708396911621</v>
      </c>
      <c r="J12" s="70" t="n">
        <v>21.51580905914307</v>
      </c>
      <c r="K12" s="70" t="n">
        <v>25.83764429092407</v>
      </c>
      <c r="L12" s="70" t="n">
        <v>33.86390972137451</v>
      </c>
      <c r="M12" s="70" t="n">
        <v>46.21201038360596</v>
      </c>
      <c r="N12" s="70" t="n">
        <v>46.21201038360596</v>
      </c>
      <c r="O12" s="70" t="n">
        <v>0</v>
      </c>
      <c r="P12" s="70" t="n">
        <v>0.7</v>
      </c>
      <c r="Q12" s="70" t="n">
        <v>1</v>
      </c>
      <c r="R12" s="70" t="n">
        <v>1</v>
      </c>
      <c r="S12" s="70" t="n">
        <v>0.7</v>
      </c>
      <c r="T12" s="70" t="n">
        <v>0.3</v>
      </c>
      <c r="U12" s="70" t="n">
        <v>0</v>
      </c>
      <c r="V12" s="70" t="n">
        <v>0</v>
      </c>
    </row>
    <row r="13">
      <c r="A13" s="70" t="inlineStr">
        <is>
          <t>spring_phab_xbkf_h|</t>
        </is>
      </c>
      <c r="B13" s="70" t="inlineStr">
        <is>
          <t>spring-phab-xbkf-h</t>
        </is>
      </c>
      <c r="C13" s="70" t="inlineStr">
        <is>
          <t>Bankfull height above channel</t>
        </is>
      </c>
      <c r="D13" s="70" t="inlineStr"/>
      <c r="E13" s="70" t="n">
        <v>5</v>
      </c>
      <c r="F13" s="70" t="inlineStr">
        <is>
          <t>13 least-disturbed stations of this ecoregion</t>
        </is>
      </c>
      <c r="G13" s="70" t="n">
        <v>0</v>
      </c>
      <c r="H13" s="70" t="n">
        <v>0.3090909123420715</v>
      </c>
      <c r="I13" s="70" t="n">
        <v>0.4172727316617966</v>
      </c>
      <c r="J13" s="70" t="n">
        <v>0.6181818246841431</v>
      </c>
      <c r="K13" s="70" t="n">
        <v>0.9272727370262146</v>
      </c>
      <c r="L13" s="70" t="n">
        <v>0.9272727370262146</v>
      </c>
      <c r="M13" s="70" t="n">
        <v>0.9272727370262146</v>
      </c>
      <c r="N13" s="70" t="n">
        <v>0.9272727370262146</v>
      </c>
      <c r="O13" s="70" t="n">
        <v>0</v>
      </c>
      <c r="P13" s="70" t="n">
        <v>1</v>
      </c>
      <c r="Q13" s="70" t="n">
        <v>0.7</v>
      </c>
      <c r="R13" s="70" t="n">
        <v>0.3</v>
      </c>
      <c r="S13" s="70" t="n">
        <v>0</v>
      </c>
      <c r="T13" s="70" t="n">
        <v>0</v>
      </c>
      <c r="U13" s="70" t="n">
        <v>0</v>
      </c>
      <c r="V13" s="70" t="n">
        <v>0</v>
      </c>
    </row>
    <row r="14">
      <c r="A14" s="70" t="inlineStr">
        <is>
          <t>spring_phab_pct_safn|</t>
        </is>
      </c>
      <c r="B14" s="70" t="inlineStr">
        <is>
          <t>spring-phab-pct-safn</t>
        </is>
      </c>
      <c r="C14" s="70" t="inlineStr">
        <is>
          <t>Sand + fines</t>
        </is>
      </c>
      <c r="D14" s="70" t="inlineStr"/>
      <c r="E14" s="70" t="n">
        <v>4</v>
      </c>
      <c r="F14" s="70" t="inlineStr">
        <is>
          <t>45 least-disturbed stations borrowed from Level II ecoregion 8.1 (Mixed Wood Plains) under the regional screen (agriculture at most 25 percent), transfer risk low</t>
        </is>
      </c>
      <c r="G14" s="70" t="n">
        <v>0</v>
      </c>
      <c r="H14" s="70" t="n">
        <v>9.166666984558105</v>
      </c>
      <c r="I14" s="70" t="n">
        <v>83.80952453613281</v>
      </c>
      <c r="J14" s="70" t="n">
        <v>100</v>
      </c>
      <c r="K14" s="70" t="n">
        <v>100</v>
      </c>
      <c r="L14" s="70" t="n">
        <v>100</v>
      </c>
      <c r="M14" s="70" t="n">
        <v>100</v>
      </c>
      <c r="N14" s="70" t="n">
        <v>100</v>
      </c>
      <c r="O14" s="70" t="n">
        <v>1</v>
      </c>
      <c r="P14" s="70" t="n">
        <v>1</v>
      </c>
      <c r="Q14" s="70" t="n">
        <v>0.7</v>
      </c>
      <c r="R14" s="70" t="n">
        <v>0</v>
      </c>
      <c r="S14" s="70" t="n">
        <v>0</v>
      </c>
      <c r="T14" s="70" t="n">
        <v>0</v>
      </c>
      <c r="U14" s="70" t="n">
        <v>0</v>
      </c>
      <c r="V14" s="70" t="n">
        <v>0</v>
      </c>
    </row>
    <row r="15">
      <c r="A15" s="70" t="inlineStr">
        <is>
          <t>spring_phab_sinu|</t>
        </is>
      </c>
      <c r="B15" s="70" t="inlineStr">
        <is>
          <t>spring-phab-sinu</t>
        </is>
      </c>
      <c r="C15" s="70" t="inlineStr">
        <is>
          <t>Sinuosity</t>
        </is>
      </c>
      <c r="D15" s="70" t="inlineStr"/>
      <c r="E15" s="70" t="n">
        <v>4</v>
      </c>
      <c r="F15" s="70" t="inlineStr">
        <is>
          <t>30 least-disturbed stations borrowed from Level II ecoregion 8.1 (Mixed Wood Plains) under the regional screen (agriculture at most 25 percent), transfer risk moderate</t>
        </is>
      </c>
      <c r="G15" s="70" t="n">
        <v>1</v>
      </c>
      <c r="H15" s="70" t="n">
        <v>1.083651453256607</v>
      </c>
      <c r="I15" s="70" t="n">
        <v>1.252000391483307</v>
      </c>
      <c r="J15" s="70" t="n">
        <v>1.336174860596657</v>
      </c>
      <c r="K15" s="70" t="n">
        <v>1.336174860596657</v>
      </c>
      <c r="L15" s="70" t="n">
        <v>1.336174860596657</v>
      </c>
      <c r="M15" s="70" t="n">
        <v>1.336174860596657</v>
      </c>
      <c r="N15" s="70" t="n">
        <v>1.336174860596657</v>
      </c>
      <c r="O15" s="70" t="n">
        <v>0</v>
      </c>
      <c r="P15" s="70" t="n">
        <v>0.7</v>
      </c>
      <c r="Q15" s="70" t="n">
        <v>1</v>
      </c>
      <c r="R15" s="70" t="n">
        <v>1</v>
      </c>
      <c r="S15" s="70" t="n">
        <v>1</v>
      </c>
      <c r="T15" s="70" t="n">
        <v>1</v>
      </c>
      <c r="U15" s="70" t="n">
        <v>1</v>
      </c>
      <c r="V15" s="70" t="n">
        <v>1</v>
      </c>
    </row>
    <row r="16">
      <c r="A16" s="70" t="inlineStr">
        <is>
          <t>spring_phab_lrbs_use|All streams (pooled)</t>
        </is>
      </c>
      <c r="B16" s="70" t="inlineStr">
        <is>
          <t>spring-phab-lrbs-use</t>
        </is>
      </c>
      <c r="C16" s="70" t="inlineStr">
        <is>
          <t>Relative bed stability</t>
        </is>
      </c>
      <c r="D16" s="70" t="inlineStr">
        <is>
          <t>All streams (pooled)</t>
        </is>
      </c>
      <c r="E16" s="70" t="n">
        <v>8</v>
      </c>
      <c r="F16" s="70" t="inlineStr">
        <is>
          <t>47 least-disturbed stations borrowed from Level I ecoregion 8 (Eastern Temperate Forests) under the regional screen (agriculture at most 25 percent), transfer risk high</t>
        </is>
      </c>
      <c r="G16" s="70" t="n">
        <v>-3.509163916110992</v>
      </c>
      <c r="H16" s="70" t="n">
        <v>-2.209280923008919</v>
      </c>
      <c r="I16" s="70" t="n">
        <v>-1.364356977492571</v>
      </c>
      <c r="J16" s="70" t="n">
        <v>-0.9093979299068451</v>
      </c>
      <c r="K16" s="70" t="n">
        <v>0.3904850631952286</v>
      </c>
      <c r="L16" s="70" t="n">
        <v>0.8454441107809543</v>
      </c>
      <c r="M16" s="70" t="n">
        <v>1.690368056297302</v>
      </c>
      <c r="N16" s="70" t="n">
        <v>2.990251049399376</v>
      </c>
      <c r="O16" s="70" t="n">
        <v>0</v>
      </c>
      <c r="P16" s="70" t="n">
        <v>0.3</v>
      </c>
      <c r="Q16" s="70" t="n">
        <v>0.7</v>
      </c>
      <c r="R16" s="70" t="n">
        <v>1</v>
      </c>
      <c r="S16" s="70" t="n">
        <v>1</v>
      </c>
      <c r="T16" s="70" t="n">
        <v>0.7</v>
      </c>
      <c r="U16" s="70" t="n">
        <v>0.3</v>
      </c>
      <c r="V16" s="70" t="n">
        <v>0</v>
      </c>
    </row>
    <row r="17">
      <c r="A17" s="70" t="inlineStr">
        <is>
          <t>spring_phab_lrbs_use|Small stream (10 to 100 km2)</t>
        </is>
      </c>
      <c r="B17" s="70" t="inlineStr">
        <is>
          <t>spring-phab-lrbs-use</t>
        </is>
      </c>
      <c r="C17" s="70" t="inlineStr">
        <is>
          <t>Relative bed stability</t>
        </is>
      </c>
      <c r="D17" s="70" t="inlineStr">
        <is>
          <t>Small stream (10 to 100 km2)</t>
        </is>
      </c>
      <c r="E17" s="70" t="n">
        <v>8</v>
      </c>
      <c r="F17" s="70" t="inlineStr">
        <is>
          <t>47 least-disturbed stations borrowed from Level I ecoregion 8 (Eastern Temperate Forests) under the regional screen (agriculture at most 25 percent), transfer risk high</t>
        </is>
      </c>
      <c r="G17" s="70" t="n">
        <v>-3.550366580486298</v>
      </c>
      <c r="H17" s="70" t="n">
        <v>-2.229876466095448</v>
      </c>
      <c r="I17" s="70" t="n">
        <v>-1.371557891741395</v>
      </c>
      <c r="J17" s="70" t="n">
        <v>-0.9093863517045975</v>
      </c>
      <c r="K17" s="70" t="n">
        <v>0.4111037626862526</v>
      </c>
      <c r="L17" s="70" t="n">
        <v>0.8732753027230501</v>
      </c>
      <c r="M17" s="70" t="n">
        <v>1.731593877077103</v>
      </c>
      <c r="N17" s="70" t="n">
        <v>3.052083991467953</v>
      </c>
      <c r="O17" s="70" t="n">
        <v>0</v>
      </c>
      <c r="P17" s="70" t="n">
        <v>0.3</v>
      </c>
      <c r="Q17" s="70" t="n">
        <v>0.7</v>
      </c>
      <c r="R17" s="70" t="n">
        <v>1</v>
      </c>
      <c r="S17" s="70" t="n">
        <v>1</v>
      </c>
      <c r="T17" s="70" t="n">
        <v>0.7</v>
      </c>
      <c r="U17" s="70" t="n">
        <v>0.3</v>
      </c>
      <c r="V17" s="70" t="n">
        <v>0</v>
      </c>
    </row>
    <row r="18">
      <c r="A18" s="70" t="inlineStr">
        <is>
          <t>spring_phab_lrbs_use|Large stream (over 100 km2)</t>
        </is>
      </c>
      <c r="B18" s="70" t="inlineStr">
        <is>
          <t>spring-phab-lrbs-use</t>
        </is>
      </c>
      <c r="C18" s="70" t="inlineStr">
        <is>
          <t>Relative bed stability</t>
        </is>
      </c>
      <c r="D18" s="70" t="inlineStr">
        <is>
          <t>Large stream (over 100 km2)</t>
        </is>
      </c>
      <c r="E18" s="70" t="n">
        <v>8</v>
      </c>
      <c r="F18" s="70" t="inlineStr">
        <is>
          <t>47 least-disturbed stations borrowed from Level I ecoregion 8 (Eastern Temperate Forests) under the regional screen (agriculture at most 25 percent), transfer risk high</t>
        </is>
      </c>
      <c r="G18" s="70" t="n">
        <v>-3.76850526034832</v>
      </c>
      <c r="H18" s="70" t="n">
        <v>-2.328000143170357</v>
      </c>
      <c r="I18" s="70" t="n">
        <v>-1.39167181700468</v>
      </c>
      <c r="J18" s="70" t="n">
        <v>-0.8874950259923935</v>
      </c>
      <c r="K18" s="70" t="n">
        <v>0.5530100911855698</v>
      </c>
      <c r="L18" s="70" t="n">
        <v>1.057186882197857</v>
      </c>
      <c r="M18" s="70" t="n">
        <v>1.993515208363533</v>
      </c>
      <c r="N18" s="70" t="n">
        <v>3.434020325541496</v>
      </c>
      <c r="O18" s="70" t="n">
        <v>0</v>
      </c>
      <c r="P18" s="70" t="n">
        <v>0.3</v>
      </c>
      <c r="Q18" s="70" t="n">
        <v>0.7</v>
      </c>
      <c r="R18" s="70" t="n">
        <v>1</v>
      </c>
      <c r="S18" s="70" t="n">
        <v>1</v>
      </c>
      <c r="T18" s="70" t="n">
        <v>0.7</v>
      </c>
      <c r="U18" s="70" t="n">
        <v>0.3</v>
      </c>
      <c r="V18" s="70" t="n">
        <v>0</v>
      </c>
    </row>
    <row r="19">
      <c r="A19" s="70" t="inlineStr">
        <is>
          <t>spring_phab_lsub_dmm|</t>
        </is>
      </c>
      <c r="B19" s="70" t="inlineStr">
        <is>
          <t>spring-phab-lsub-dmm</t>
        </is>
      </c>
      <c r="C19" s="70" t="inlineStr">
        <is>
          <t>Substrate size</t>
        </is>
      </c>
      <c r="D19" s="70" t="inlineStr"/>
      <c r="E19" s="70" t="n">
        <v>5</v>
      </c>
      <c r="F19" s="70" t="inlineStr">
        <is>
          <t>45 least-disturbed stations borrowed from Level II ecoregion 8.1 (Mixed Wood Plains) under the regional screen (agriculture at most 25 percent), transfer risk unvalidated (transfer not confirmed by the recovery test). Scored on a reference pool whose transfer to this ecoregion was not confirmed by the recovery test (class agreement 0.56 of evaluation regions; two thirds required); confidence capped at 39.</t>
        </is>
      </c>
      <c r="G19" s="70" t="n">
        <v>-5.989625617861748</v>
      </c>
      <c r="H19" s="70" t="n">
        <v>-3.768137231469154</v>
      </c>
      <c r="I19" s="70" t="n">
        <v>-0.4359046518802643</v>
      </c>
      <c r="J19" s="70" t="n">
        <v>1.785583734512329</v>
      </c>
      <c r="K19" s="70" t="n">
        <v>2.896327927708626</v>
      </c>
      <c r="L19" s="70" t="n">
        <v>2.896327927708626</v>
      </c>
      <c r="M19" s="70" t="n">
        <v>2.896327927708626</v>
      </c>
      <c r="N19" s="70" t="n">
        <v>2.896327927708626</v>
      </c>
      <c r="O19" s="70" t="n">
        <v>0</v>
      </c>
      <c r="P19" s="70" t="n">
        <v>0.3</v>
      </c>
      <c r="Q19" s="70" t="n">
        <v>0.7</v>
      </c>
      <c r="R19" s="70" t="n">
        <v>1</v>
      </c>
      <c r="S19" s="70" t="n">
        <v>1</v>
      </c>
      <c r="T19" s="70" t="n">
        <v>1</v>
      </c>
      <c r="U19" s="70" t="n">
        <v>1</v>
      </c>
      <c r="V19" s="70" t="n">
        <v>1</v>
      </c>
    </row>
    <row r="20">
      <c r="A20" s="70" t="inlineStr">
        <is>
          <t>spring_phab_lwdeqvolm100|</t>
        </is>
      </c>
      <c r="B20" s="70" t="inlineStr">
        <is>
          <t>spring-phab-lwdeqvolm100</t>
        </is>
      </c>
      <c r="C20" s="70" t="inlineStr">
        <is>
          <t>Large wood volume</t>
        </is>
      </c>
      <c r="D20" s="70" t="inlineStr"/>
      <c r="E20" s="70" t="n">
        <v>5</v>
      </c>
      <c r="F20" s="70" t="inlineStr">
        <is>
          <t>Reference curve fitted to comparable least-disturbed stations drawn from the national pool, because this ecoregion and its parents hold too few of their own.</t>
        </is>
      </c>
      <c r="G20" s="70" t="n">
        <v>0</v>
      </c>
      <c r="H20" s="70" t="n">
        <v>0.404657210622515</v>
      </c>
      <c r="I20" s="70" t="n">
        <v>0.9442001581192017</v>
      </c>
      <c r="J20" s="70" t="n">
        <v>18.53000068664551</v>
      </c>
      <c r="K20" s="70" t="n">
        <v>27.32290095090866</v>
      </c>
      <c r="L20" s="70" t="n">
        <v>27.32290095090866</v>
      </c>
      <c r="M20" s="70" t="n">
        <v>27.32290095090866</v>
      </c>
      <c r="N20" s="70" t="n">
        <v>27.32290095090866</v>
      </c>
      <c r="O20" s="70" t="n">
        <v>0</v>
      </c>
      <c r="P20" s="70" t="n">
        <v>0.3</v>
      </c>
      <c r="Q20" s="70" t="n">
        <v>0.7</v>
      </c>
      <c r="R20" s="70" t="n">
        <v>1</v>
      </c>
      <c r="S20" s="70" t="n">
        <v>1</v>
      </c>
      <c r="T20" s="70" t="n">
        <v>1</v>
      </c>
      <c r="U20" s="70" t="n">
        <v>1</v>
      </c>
      <c r="V20" s="70" t="n">
        <v>1</v>
      </c>
    </row>
    <row r="21">
      <c r="A21" s="70" t="inlineStr">
        <is>
          <t>spring_chem_chla|</t>
        </is>
      </c>
      <c r="B21" s="70" t="inlineStr">
        <is>
          <t>spring-chem-chla</t>
        </is>
      </c>
      <c r="C21" s="70" t="inlineStr">
        <is>
          <t>Chlorophyll a</t>
        </is>
      </c>
      <c r="D21" s="70" t="inlineStr"/>
      <c r="E21" s="70" t="n">
        <v>5</v>
      </c>
      <c r="F21" s="70" t="inlineStr">
        <is>
          <t>22 least-disturbed streams of this ecoregion under the regional screen (agriculture at most 25 percent). Scored on a reference pool whose transfer to this ecoregion was not confirmed by the recovery test (class agreement 0.57 of evaluation regions; two thirds required; net optimism +0.24, at most 0.05 allowed); confidence capped at 39.</t>
        </is>
      </c>
      <c r="G21" s="70" t="n">
        <v>0</v>
      </c>
      <c r="H21" s="70" t="n">
        <v>0.7239999771118164</v>
      </c>
      <c r="I21" s="70" t="n">
        <v>2.539999961853027</v>
      </c>
      <c r="J21" s="70" t="n">
        <v>5.263999938964844</v>
      </c>
      <c r="K21" s="70" t="n">
        <v>7.079999923706055</v>
      </c>
      <c r="L21" s="70" t="n">
        <v>7.079999923706055</v>
      </c>
      <c r="M21" s="70" t="n">
        <v>7.079999923706055</v>
      </c>
      <c r="N21" s="70" t="n">
        <v>7.079999923706055</v>
      </c>
      <c r="O21" s="70" t="n">
        <v>1</v>
      </c>
      <c r="P21" s="70" t="n">
        <v>1</v>
      </c>
      <c r="Q21" s="70" t="n">
        <v>0.7</v>
      </c>
      <c r="R21" s="70" t="n">
        <v>0.3</v>
      </c>
      <c r="S21" s="70" t="n">
        <v>0</v>
      </c>
      <c r="T21" s="70" t="n">
        <v>0</v>
      </c>
      <c r="U21" s="70" t="n">
        <v>0</v>
      </c>
      <c r="V21" s="70" t="n">
        <v>0</v>
      </c>
    </row>
    <row r="22">
      <c r="A22" s="70" t="inlineStr">
        <is>
          <t>spring_phab_xcdenmid|All streams (pooled)</t>
        </is>
      </c>
      <c r="B22" s="70" t="inlineStr">
        <is>
          <t>spring-phab-xcdenmid</t>
        </is>
      </c>
      <c r="C22" s="70" t="inlineStr">
        <is>
          <t>Canopy density, mid-channel</t>
        </is>
      </c>
      <c r="D22" s="70" t="inlineStr">
        <is>
          <t>All streams (pooled)</t>
        </is>
      </c>
      <c r="E22" s="70" t="n">
        <v>5</v>
      </c>
      <c r="F22" s="70" t="inlineStr">
        <is>
          <t>104 least-disturbed stations borrowed from Level I ecoregion 8 (Eastern Temperate Forests) under the regional screen (agriculture at most 25 percent), transfer risk unvalidated (transfer not confirmed by the recovery test). Scored on a reference pool whose transfer to this ecoregion was not confirmed by the recovery test (class agreement 0.56 of evaluation regions; two thirds required; net optimism +0.17, at most 0.05 allowed); confidence capped at 39.</t>
        </is>
      </c>
      <c r="G22" s="70" t="n">
        <v>0</v>
      </c>
      <c r="H22" s="70" t="n">
        <v>24.73739433288574</v>
      </c>
      <c r="I22" s="70" t="n">
        <v>57.7205867767334</v>
      </c>
      <c r="J22" s="70" t="n">
        <v>90.3074836730957</v>
      </c>
      <c r="K22" s="70" t="n">
        <v>100</v>
      </c>
      <c r="L22" s="70" t="n">
        <v>100</v>
      </c>
      <c r="M22" s="70" t="n">
        <v>100</v>
      </c>
      <c r="N22" s="70" t="n">
        <v>100</v>
      </c>
      <c r="O22" s="70" t="n">
        <v>0</v>
      </c>
      <c r="P22" s="70" t="n">
        <v>0.3</v>
      </c>
      <c r="Q22" s="70" t="n">
        <v>0.7</v>
      </c>
      <c r="R22" s="70" t="n">
        <v>1</v>
      </c>
      <c r="S22" s="70" t="n">
        <v>1</v>
      </c>
      <c r="T22" s="70" t="n">
        <v>1</v>
      </c>
      <c r="U22" s="70" t="n">
        <v>1</v>
      </c>
      <c r="V22" s="70" t="n">
        <v>1</v>
      </c>
    </row>
    <row r="23">
      <c r="A23" s="70" t="inlineStr">
        <is>
          <t>spring_phab_xcdenmid|Headwater (10 km2 and under)</t>
        </is>
      </c>
      <c r="B23" s="70" t="inlineStr">
        <is>
          <t>spring-phab-xcdenmid</t>
        </is>
      </c>
      <c r="C23" s="70" t="inlineStr">
        <is>
          <t>Canopy density, mid-channel</t>
        </is>
      </c>
      <c r="D23" s="70" t="inlineStr">
        <is>
          <t>Headwater (10 km2 and under)</t>
        </is>
      </c>
      <c r="E23" s="70" t="n">
        <v>5</v>
      </c>
      <c r="F23" s="70" t="inlineStr">
        <is>
          <t>104 least-disturbed stations borrowed from Level I ecoregion 8 (Eastern Temperate Forests) under the regional screen (agriculture at most 25 percent), transfer risk unvalidated (transfer not confirmed by the recovery test). Scored on a reference pool whose transfer to this ecoregion was not confirmed by the recovery test (class agreement 0.56 of evaluation regions; two thirds required; net optimism +0.17, at most 0.05 allowed); confidence capped at 39.</t>
        </is>
      </c>
      <c r="G23" s="70" t="n">
        <v>0</v>
      </c>
      <c r="H23" s="70" t="n">
        <v>33.60389654976981</v>
      </c>
      <c r="I23" s="70" t="n">
        <v>78.40909194946289</v>
      </c>
      <c r="J23" s="70" t="n">
        <v>96.3569507598877</v>
      </c>
      <c r="K23" s="70" t="n">
        <v>100</v>
      </c>
      <c r="L23" s="70" t="n">
        <v>100</v>
      </c>
      <c r="M23" s="70" t="n">
        <v>100</v>
      </c>
      <c r="N23" s="70" t="n">
        <v>100</v>
      </c>
      <c r="O23" s="70" t="n">
        <v>0</v>
      </c>
      <c r="P23" s="70" t="n">
        <v>0.3</v>
      </c>
      <c r="Q23" s="70" t="n">
        <v>0.7</v>
      </c>
      <c r="R23" s="70" t="n">
        <v>1</v>
      </c>
      <c r="S23" s="70" t="n">
        <v>1</v>
      </c>
      <c r="T23" s="70" t="n">
        <v>1</v>
      </c>
      <c r="U23" s="70" t="n">
        <v>1</v>
      </c>
      <c r="V23" s="70" t="n">
        <v>1</v>
      </c>
    </row>
    <row r="24">
      <c r="A24" s="70" t="inlineStr">
        <is>
          <t>spring_phab_xcdenmid|Small stream (10 to 100 km2)</t>
        </is>
      </c>
      <c r="B24" s="70" t="inlineStr">
        <is>
          <t>spring-phab-xcdenmid</t>
        </is>
      </c>
      <c r="C24" s="70" t="inlineStr">
        <is>
          <t>Canopy density, mid-channel</t>
        </is>
      </c>
      <c r="D24" s="70" t="inlineStr">
        <is>
          <t>Small stream (10 to 100 km2)</t>
        </is>
      </c>
      <c r="E24" s="70" t="n">
        <v>5</v>
      </c>
      <c r="F24" s="70" t="inlineStr">
        <is>
          <t>104 least-disturbed stations borrowed from Level I ecoregion 8 (Eastern Temperate Forests) under the regional screen (agriculture at most 25 percent), transfer risk unvalidated (transfer not confirmed by the recovery test). Scored on a reference pool whose transfer to this ecoregion was not confirmed by the recovery test (class agreement 0.56 of evaluation regions; two thirds required; net optimism +0.17, at most 0.05 allowed); confidence capped at 39.</t>
        </is>
      </c>
      <c r="G24" s="70" t="n">
        <v>0</v>
      </c>
      <c r="H24" s="70" t="n">
        <v>27.21543175833566</v>
      </c>
      <c r="I24" s="70" t="n">
        <v>63.5026741027832</v>
      </c>
      <c r="J24" s="70" t="n">
        <v>89.83956909179688</v>
      </c>
      <c r="K24" s="70" t="n">
        <v>100</v>
      </c>
      <c r="L24" s="70" t="n">
        <v>100</v>
      </c>
      <c r="M24" s="70" t="n">
        <v>100</v>
      </c>
      <c r="N24" s="70" t="n">
        <v>100</v>
      </c>
      <c r="O24" s="70" t="n">
        <v>0</v>
      </c>
      <c r="P24" s="70" t="n">
        <v>0.3</v>
      </c>
      <c r="Q24" s="70" t="n">
        <v>0.7</v>
      </c>
      <c r="R24" s="70" t="n">
        <v>1</v>
      </c>
      <c r="S24" s="70" t="n">
        <v>1</v>
      </c>
      <c r="T24" s="70" t="n">
        <v>1</v>
      </c>
      <c r="U24" s="70" t="n">
        <v>1</v>
      </c>
      <c r="V24" s="70" t="n">
        <v>1</v>
      </c>
    </row>
    <row r="25">
      <c r="A25" s="70" t="inlineStr">
        <is>
          <t>spring_phab_xcdenmid|Large stream (over 100 km2)</t>
        </is>
      </c>
      <c r="B25" s="70" t="inlineStr">
        <is>
          <t>spring-phab-xcdenmid</t>
        </is>
      </c>
      <c r="C25" s="70" t="inlineStr">
        <is>
          <t>Canopy density, mid-channel</t>
        </is>
      </c>
      <c r="D25" s="70" t="inlineStr">
        <is>
          <t>Large stream (over 100 km2)</t>
        </is>
      </c>
      <c r="E25" s="70" t="n">
        <v>5</v>
      </c>
      <c r="F25" s="70" t="inlineStr">
        <is>
          <t>104 least-disturbed stations borrowed from Level I ecoregion 8 (Eastern Temperate Forests) under the regional screen (agriculture at most 25 percent), transfer risk unvalidated (transfer not confirmed by the recovery test). Scored on a reference pool whose transfer to this ecoregion was not confirmed by the recovery test (class agreement 0.56 of evaluation regions; two thirds required; net optimism +0.17, at most 0.05 allowed); confidence capped at 39.</t>
        </is>
      </c>
      <c r="G25" s="70" t="n">
        <v>0</v>
      </c>
      <c r="H25" s="70" t="n">
        <v>12.26126820700509</v>
      </c>
      <c r="I25" s="70" t="n">
        <v>28.60962581634521</v>
      </c>
      <c r="J25" s="70" t="n">
        <v>81.55080413818359</v>
      </c>
      <c r="K25" s="70" t="n">
        <v>100</v>
      </c>
      <c r="L25" s="70" t="n">
        <v>100</v>
      </c>
      <c r="M25" s="70" t="n">
        <v>100</v>
      </c>
      <c r="N25" s="70" t="n">
        <v>100</v>
      </c>
      <c r="O25" s="70" t="n">
        <v>0</v>
      </c>
      <c r="P25" s="70" t="n">
        <v>0.3</v>
      </c>
      <c r="Q25" s="70" t="n">
        <v>0.7</v>
      </c>
      <c r="R25" s="70" t="n">
        <v>1</v>
      </c>
      <c r="S25" s="70" t="n">
        <v>1</v>
      </c>
      <c r="T25" s="70" t="n">
        <v>1</v>
      </c>
      <c r="U25" s="70" t="n">
        <v>1</v>
      </c>
      <c r="V25" s="70" t="n">
        <v>1</v>
      </c>
    </row>
    <row r="26">
      <c r="A26" s="70" t="inlineStr">
        <is>
          <t>spring_phab_xcmgw|</t>
        </is>
      </c>
      <c r="B26" s="70" t="inlineStr">
        <is>
          <t>spring-phab-xcmgw</t>
        </is>
      </c>
      <c r="C26" s="70" t="inlineStr">
        <is>
          <t>Riparian veg cover, woody</t>
        </is>
      </c>
      <c r="D26" s="70" t="inlineStr"/>
      <c r="E26" s="70" t="n">
        <v>5</v>
      </c>
      <c r="F26" s="70" t="inlineStr">
        <is>
          <t>47 least-disturbed stations borrowed from Level II ecoregion 8.1 (Mixed Wood Plains) under the regional screen (agriculture at most 25 percent), transfer risk unvalidated (transfer not confirmed by the recovery test). Scored on a reference pool whose transfer to this ecoregion was not confirmed by the recovery test (class agreement 0.50 of evaluation regions; two thirds required; net optimism +0.10, at most 0.05 allowed); confidence capped at 39.</t>
        </is>
      </c>
      <c r="G26" s="70" t="n">
        <v>0</v>
      </c>
      <c r="H26" s="70" t="n">
        <v>0.2705357117312295</v>
      </c>
      <c r="I26" s="70" t="n">
        <v>0.6312499940395355</v>
      </c>
      <c r="J26" s="70" t="n">
        <v>1.582386374473572</v>
      </c>
      <c r="K26" s="70" t="n">
        <v>2.05795456469059</v>
      </c>
      <c r="L26" s="70" t="n">
        <v>2.05795456469059</v>
      </c>
      <c r="M26" s="70" t="n">
        <v>2.05795456469059</v>
      </c>
      <c r="N26" s="70" t="n">
        <v>2.05795456469059</v>
      </c>
      <c r="O26" s="70" t="n">
        <v>0</v>
      </c>
      <c r="P26" s="70" t="n">
        <v>0.3</v>
      </c>
      <c r="Q26" s="70" t="n">
        <v>0.7</v>
      </c>
      <c r="R26" s="70" t="n">
        <v>1</v>
      </c>
      <c r="S26" s="70" t="n">
        <v>1</v>
      </c>
      <c r="T26" s="70" t="n">
        <v>1</v>
      </c>
      <c r="U26" s="70" t="n">
        <v>1</v>
      </c>
      <c r="V26" s="70" t="n">
        <v>1</v>
      </c>
    </row>
    <row r="27">
      <c r="A27" s="70" t="inlineStr">
        <is>
          <t>spring_chem_ntl|</t>
        </is>
      </c>
      <c r="B27" s="70" t="inlineStr">
        <is>
          <t>spring-chem-ntl</t>
        </is>
      </c>
      <c r="C27" s="70" t="inlineStr">
        <is>
          <t>Total nitrogen</t>
        </is>
      </c>
      <c r="D27" s="70" t="inlineStr"/>
      <c r="E27" s="70" t="n">
        <v>4</v>
      </c>
      <c r="F27" s="70" t="inlineStr">
        <is>
          <t>Scored against a published criterion rather than against stations from this ecoregion. The criterion carries its own definition of reference, which need not match this assessment's.</t>
        </is>
      </c>
      <c r="G27" s="70" t="n">
        <v>0</v>
      </c>
      <c r="H27" s="70" t="n">
        <v>0.3455</v>
      </c>
      <c r="I27" s="70" t="n">
        <v>0.482</v>
      </c>
      <c r="J27" s="70" t="n">
        <v>0.65945</v>
      </c>
      <c r="K27" s="70" t="n">
        <v>0.65945</v>
      </c>
      <c r="L27" s="70" t="n">
        <v>0.65945</v>
      </c>
      <c r="M27" s="70" t="n">
        <v>0.65945</v>
      </c>
      <c r="N27" s="70" t="n">
        <v>0.65945</v>
      </c>
      <c r="O27" s="70" t="n">
        <v>1</v>
      </c>
      <c r="P27" s="70" t="n">
        <v>0.6899999999999999</v>
      </c>
      <c r="Q27" s="70" t="n">
        <v>0.39</v>
      </c>
      <c r="R27" s="70" t="n">
        <v>0</v>
      </c>
      <c r="S27" s="70" t="n">
        <v>0</v>
      </c>
      <c r="T27" s="70" t="n">
        <v>0</v>
      </c>
      <c r="U27" s="70" t="n">
        <v>0</v>
      </c>
      <c r="V27" s="70" t="n">
        <v>0</v>
      </c>
    </row>
    <row r="28">
      <c r="A28" s="70" t="inlineStr">
        <is>
          <t>spring_chem_ptl|</t>
        </is>
      </c>
      <c r="B28" s="70" t="inlineStr">
        <is>
          <t>spring-chem-ptl</t>
        </is>
      </c>
      <c r="C28" s="70" t="inlineStr">
        <is>
          <t>Total phosphorus</t>
        </is>
      </c>
      <c r="D28" s="70" t="inlineStr"/>
      <c r="E28" s="70" t="n">
        <v>4</v>
      </c>
      <c r="F28" s="70" t="inlineStr">
        <is>
          <t>Scored against a published criterion rather than against stations from this ecoregion. The criterion carries its own definition of reference, which need not match this assessment's.</t>
        </is>
      </c>
      <c r="G28" s="70" t="n">
        <v>0</v>
      </c>
      <c r="H28" s="70" t="n">
        <v>17.15</v>
      </c>
      <c r="I28" s="70" t="n">
        <v>32.6</v>
      </c>
      <c r="J28" s="70" t="n">
        <v>52.685</v>
      </c>
      <c r="K28" s="70" t="n">
        <v>52.685</v>
      </c>
      <c r="L28" s="70" t="n">
        <v>52.685</v>
      </c>
      <c r="M28" s="70" t="n">
        <v>52.685</v>
      </c>
      <c r="N28" s="70" t="n">
        <v>52.685</v>
      </c>
      <c r="O28" s="70" t="n">
        <v>1</v>
      </c>
      <c r="P28" s="70" t="n">
        <v>0.6899999999999999</v>
      </c>
      <c r="Q28" s="70" t="n">
        <v>0.39</v>
      </c>
      <c r="R28" s="70" t="n">
        <v>0</v>
      </c>
      <c r="S28" s="70" t="n">
        <v>0</v>
      </c>
      <c r="T28" s="70" t="n">
        <v>0</v>
      </c>
      <c r="U28" s="70" t="n">
        <v>0</v>
      </c>
      <c r="V28" s="70" t="n">
        <v>0</v>
      </c>
    </row>
    <row r="29">
      <c r="A29" s="70" t="inlineStr">
        <is>
          <t>spring_chem_cond|</t>
        </is>
      </c>
      <c r="B29" s="70" t="inlineStr">
        <is>
          <t>spring-chem-cond</t>
        </is>
      </c>
      <c r="C29" s="70" t="inlineStr">
        <is>
          <t>Specific conductivity</t>
        </is>
      </c>
      <c r="D29" s="70" t="inlineStr"/>
      <c r="E29" s="70" t="n">
        <v>5</v>
      </c>
      <c r="F29" s="70" t="inlineStr">
        <is>
          <t>13 least-disturbed stations of this ecoregion</t>
        </is>
      </c>
      <c r="G29" s="70" t="n">
        <v>18.10000133514404</v>
      </c>
      <c r="H29" s="70" t="n">
        <v>31.10000038146973</v>
      </c>
      <c r="I29" s="70" t="n">
        <v>57.09999847412109</v>
      </c>
      <c r="J29" s="70" t="n">
        <v>96.09999561309814</v>
      </c>
      <c r="K29" s="70" t="n">
        <v>122.0999937057495</v>
      </c>
      <c r="L29" s="70" t="n">
        <v>122.0999937057495</v>
      </c>
      <c r="M29" s="70" t="n">
        <v>122.0999937057495</v>
      </c>
      <c r="N29" s="70" t="n">
        <v>122.0999937057495</v>
      </c>
      <c r="O29" s="70" t="n">
        <v>1</v>
      </c>
      <c r="P29" s="70" t="n">
        <v>1</v>
      </c>
      <c r="Q29" s="70" t="n">
        <v>0.7</v>
      </c>
      <c r="R29" s="70" t="n">
        <v>0.3</v>
      </c>
      <c r="S29" s="70" t="n">
        <v>0</v>
      </c>
      <c r="T29" s="70" t="n">
        <v>0</v>
      </c>
      <c r="U29" s="70" t="n">
        <v>0</v>
      </c>
      <c r="V29" s="70" t="n">
        <v>0</v>
      </c>
    </row>
    <row r="30">
      <c r="A30" s="70" t="inlineStr">
        <is>
          <t>spring_chem_ph|</t>
        </is>
      </c>
      <c r="B30" s="70" t="inlineStr">
        <is>
          <t>spring-chem-ph</t>
        </is>
      </c>
      <c r="C30" s="70" t="inlineStr">
        <is>
          <t>pH</t>
        </is>
      </c>
      <c r="D30" s="70" t="inlineStr"/>
      <c r="E30" s="70" t="n">
        <v>8</v>
      </c>
      <c r="F30" s="70" t="inlineStr">
        <is>
          <t>36 least-disturbed stations borrowed from Level II ecoregion 8.1 (Mixed Wood Plains) under the regional screen (agriculture at most 25 percent), transfer risk low</t>
        </is>
      </c>
      <c r="G30" s="70" t="n">
        <v>4.915000200271606</v>
      </c>
      <c r="H30" s="70" t="n">
        <v>5.827500104904175</v>
      </c>
      <c r="I30" s="70" t="n">
        <v>6.420625042915344</v>
      </c>
      <c r="J30" s="70" t="n">
        <v>6.740000009536743</v>
      </c>
      <c r="K30" s="70" t="n">
        <v>7.652499914169312</v>
      </c>
      <c r="L30" s="70" t="n">
        <v>7.97187488079071</v>
      </c>
      <c r="M30" s="70" t="n">
        <v>8.56499981880188</v>
      </c>
      <c r="N30" s="70" t="n">
        <v>9.477499723434448</v>
      </c>
      <c r="O30" s="70" t="n">
        <v>0</v>
      </c>
      <c r="P30" s="70" t="n">
        <v>0.3</v>
      </c>
      <c r="Q30" s="70" t="n">
        <v>0.7</v>
      </c>
      <c r="R30" s="70" t="n">
        <v>1</v>
      </c>
      <c r="S30" s="70" t="n">
        <v>1</v>
      </c>
      <c r="T30" s="70" t="n">
        <v>0.7</v>
      </c>
      <c r="U30" s="70" t="n">
        <v>0.3</v>
      </c>
      <c r="V30" s="70" t="n">
        <v>0</v>
      </c>
    </row>
    <row r="31">
      <c r="A31" s="70" t="inlineStr">
        <is>
          <t>spring_phab_pct_fast|All streams (pooled)</t>
        </is>
      </c>
      <c r="B31" s="70" t="inlineStr">
        <is>
          <t>spring-phab-pct-fast</t>
        </is>
      </c>
      <c r="C31" s="70" t="inlineStr">
        <is>
          <t>Fast-water / riffle habitat</t>
        </is>
      </c>
      <c r="D31" s="70" t="inlineStr">
        <is>
          <t>All streams (pooled)</t>
        </is>
      </c>
      <c r="E31" s="70" t="n">
        <v>5</v>
      </c>
      <c r="F31" s="70" t="inlineStr">
        <is>
          <t>113 least-disturbed stations borrowed from NARS-9 region NAP under the regional screen (agriculture at most 25 percent), transfer risk unvalidated (transfer not confirmed by the recovery test). Scored on a reference pool whose transfer to this ecoregion was not confirmed by the recovery test (class agreement 0.68 of evaluation regions; two thirds required; net optimism +0.08, at most 0.05 allowed); confidence capped at 39.</t>
        </is>
      </c>
      <c r="G31" s="70" t="n">
        <v>0</v>
      </c>
      <c r="H31" s="70" t="n">
        <v>0.8571428571428571</v>
      </c>
      <c r="I31" s="70" t="n">
        <v>2</v>
      </c>
      <c r="J31" s="70" t="n">
        <v>50</v>
      </c>
      <c r="K31" s="70" t="n">
        <v>74</v>
      </c>
      <c r="L31" s="70" t="n">
        <v>74</v>
      </c>
      <c r="M31" s="70" t="n">
        <v>74</v>
      </c>
      <c r="N31" s="70" t="n">
        <v>74</v>
      </c>
      <c r="O31" s="70" t="n">
        <v>0</v>
      </c>
      <c r="P31" s="70" t="n">
        <v>0.3</v>
      </c>
      <c r="Q31" s="70" t="n">
        <v>0.7</v>
      </c>
      <c r="R31" s="70" t="n">
        <v>1</v>
      </c>
      <c r="S31" s="70" t="n">
        <v>1</v>
      </c>
      <c r="T31" s="70" t="n">
        <v>1</v>
      </c>
      <c r="U31" s="70" t="n">
        <v>1</v>
      </c>
      <c r="V31" s="70" t="n">
        <v>1</v>
      </c>
    </row>
    <row r="32">
      <c r="A32" s="70" t="inlineStr">
        <is>
          <t>spring_phab_pct_fast|Moderate gradient (0.5 to 2 percent)</t>
        </is>
      </c>
      <c r="B32" s="70" t="inlineStr">
        <is>
          <t>spring-phab-pct-fast</t>
        </is>
      </c>
      <c r="C32" s="70" t="inlineStr">
        <is>
          <t>Fast-water / riffle habitat</t>
        </is>
      </c>
      <c r="D32" s="70" t="inlineStr">
        <is>
          <t>Moderate gradient (0.5 to 2 percent)</t>
        </is>
      </c>
      <c r="E32" s="70" t="n">
        <v>5</v>
      </c>
      <c r="F32" s="70" t="inlineStr">
        <is>
          <t>113 least-disturbed stations borrowed from NARS-9 region NAP under the regional screen (agriculture at most 25 percent), transfer risk unvalidated (transfer not confirmed by the recovery test). Scored on a reference pool whose transfer to this ecoregion was not confirmed by the recovery test (class agreement 0.68 of evaluation regions; two thirds required; net optimism +0.08, at most 0.05 allowed); confidence capped at 39.</t>
        </is>
      </c>
      <c r="G32" s="70" t="n">
        <v>0</v>
      </c>
      <c r="H32" s="70" t="n">
        <v>6.61224501473563</v>
      </c>
      <c r="I32" s="70" t="n">
        <v>15.4285717010498</v>
      </c>
      <c r="J32" s="70" t="n">
        <v>61.0722599029541</v>
      </c>
      <c r="K32" s="70" t="n">
        <v>83.89410400390625</v>
      </c>
      <c r="L32" s="70" t="n">
        <v>83.89410400390625</v>
      </c>
      <c r="M32" s="70" t="n">
        <v>83.89410400390625</v>
      </c>
      <c r="N32" s="70" t="n">
        <v>83.89410400390625</v>
      </c>
      <c r="O32" s="70" t="n">
        <v>0</v>
      </c>
      <c r="P32" s="70" t="n">
        <v>0.3</v>
      </c>
      <c r="Q32" s="70" t="n">
        <v>0.7</v>
      </c>
      <c r="R32" s="70" t="n">
        <v>1</v>
      </c>
      <c r="S32" s="70" t="n">
        <v>1</v>
      </c>
      <c r="T32" s="70" t="n">
        <v>1</v>
      </c>
      <c r="U32" s="70" t="n">
        <v>1</v>
      </c>
      <c r="V32" s="70" t="n">
        <v>1</v>
      </c>
    </row>
    <row r="33">
      <c r="A33" s="70" t="inlineStr">
        <is>
          <t>spring_phab_xfc_nat|</t>
        </is>
      </c>
      <c r="B33" s="70" t="inlineStr">
        <is>
          <t>spring-phab-xfc-nat</t>
        </is>
      </c>
      <c r="C33" s="70" t="inlineStr">
        <is>
          <t>Natural fish cover</t>
        </is>
      </c>
      <c r="D33" s="70" t="inlineStr"/>
      <c r="E33" s="70" t="n">
        <v>5</v>
      </c>
      <c r="F33" s="70" t="inlineStr">
        <is>
          <t>13 least-disturbed stations of this ecoregion</t>
        </is>
      </c>
      <c r="G33" s="70" t="n">
        <v>0</v>
      </c>
      <c r="H33" s="70" t="n">
        <v>0.03116883018187114</v>
      </c>
      <c r="I33" s="70" t="n">
        <v>0.072727270424366</v>
      </c>
      <c r="J33" s="70" t="n">
        <v>0.6625000238418579</v>
      </c>
      <c r="K33" s="70" t="n">
        <v>0.9573864005506039</v>
      </c>
      <c r="L33" s="70" t="n">
        <v>0.9573864005506039</v>
      </c>
      <c r="M33" s="70" t="n">
        <v>0.9573864005506039</v>
      </c>
      <c r="N33" s="70" t="n">
        <v>0.9573864005506039</v>
      </c>
      <c r="O33" s="70" t="n">
        <v>0</v>
      </c>
      <c r="P33" s="70" t="n">
        <v>0.3</v>
      </c>
      <c r="Q33" s="70" t="n">
        <v>0.7</v>
      </c>
      <c r="R33" s="70" t="n">
        <v>1</v>
      </c>
      <c r="S33" s="70" t="n">
        <v>1</v>
      </c>
      <c r="T33" s="70" t="n">
        <v>1</v>
      </c>
      <c r="U33" s="70" t="n">
        <v>1</v>
      </c>
      <c r="V33" s="70" t="n">
        <v>1</v>
      </c>
    </row>
    <row r="34">
      <c r="A34" s="70" t="inlineStr">
        <is>
          <t>spring_bent_totlntax|</t>
        </is>
      </c>
      <c r="B34" s="70" t="inlineStr">
        <is>
          <t>spring-bent-totlntax</t>
        </is>
      </c>
      <c r="C34" s="70" t="inlineStr">
        <is>
          <t>Benthic total taxa richness</t>
        </is>
      </c>
      <c r="D34" s="70" t="inlineStr"/>
      <c r="E34" s="70" t="n">
        <v>5</v>
      </c>
      <c r="F34" s="70" t="inlineStr">
        <is>
          <t>Reference curve fitted to comparable least-disturbed stations drawn from the national pool, because this ecoregion and its parents hold too few of their own.</t>
        </is>
      </c>
      <c r="G34" s="70" t="n">
        <v>0</v>
      </c>
      <c r="H34" s="70" t="n">
        <v>14.89285714285714</v>
      </c>
      <c r="I34" s="70" t="n">
        <v>34.75</v>
      </c>
      <c r="J34" s="70" t="n">
        <v>50.25</v>
      </c>
      <c r="K34" s="70" t="n">
        <v>58</v>
      </c>
      <c r="L34" s="70" t="n">
        <v>58</v>
      </c>
      <c r="M34" s="70" t="n">
        <v>58</v>
      </c>
      <c r="N34" s="70" t="n">
        <v>58</v>
      </c>
      <c r="O34" s="70" t="n">
        <v>0</v>
      </c>
      <c r="P34" s="70" t="n">
        <v>0.3</v>
      </c>
      <c r="Q34" s="70" t="n">
        <v>0.7</v>
      </c>
      <c r="R34" s="70" t="n">
        <v>1</v>
      </c>
      <c r="S34" s="70" t="n">
        <v>1</v>
      </c>
      <c r="T34" s="70" t="n">
        <v>1</v>
      </c>
      <c r="U34" s="70" t="n">
        <v>1</v>
      </c>
      <c r="V34" s="70" t="n">
        <v>1</v>
      </c>
    </row>
    <row r="35">
      <c r="A35" s="70" t="inlineStr">
        <is>
          <t>spring_fish_nat_totlntax|</t>
        </is>
      </c>
      <c r="B35" s="70" t="inlineStr">
        <is>
          <t>spring-fish-nat-totlntax</t>
        </is>
      </c>
      <c r="C35" s="70" t="inlineStr">
        <is>
          <t>Native fish taxa richness</t>
        </is>
      </c>
      <c r="D35" s="70" t="inlineStr"/>
      <c r="E35" s="70" t="n">
        <v>5</v>
      </c>
      <c r="F35" s="70" t="inlineStr">
        <is>
          <t>Reference curve fitted to comparable least-disturbed stations drawn from the national pool, because this ecoregion and its parents hold too few of their own. Scored on a reference pool whose transfer to this ecoregion was not confirmed by the recovery test (class agreement 0.63 of evaluation regions; two thirds required); confidence capped at 39.</t>
        </is>
      </c>
      <c r="G35" s="70" t="n">
        <v>0</v>
      </c>
      <c r="H35" s="70" t="n">
        <v>2.464285714285714</v>
      </c>
      <c r="I35" s="70" t="n">
        <v>5.75</v>
      </c>
      <c r="J35" s="70" t="n">
        <v>8</v>
      </c>
      <c r="K35" s="70" t="n">
        <v>9.125</v>
      </c>
      <c r="L35" s="70" t="n">
        <v>9.125</v>
      </c>
      <c r="M35" s="70" t="n">
        <v>9.125</v>
      </c>
      <c r="N35" s="70" t="n">
        <v>9.125</v>
      </c>
      <c r="O35" s="70" t="n">
        <v>0</v>
      </c>
      <c r="P35" s="70" t="n">
        <v>0.3</v>
      </c>
      <c r="Q35" s="70" t="n">
        <v>0.7</v>
      </c>
      <c r="R35" s="70" t="n">
        <v>1</v>
      </c>
      <c r="S35" s="70" t="n">
        <v>1</v>
      </c>
      <c r="T35" s="70" t="n">
        <v>1</v>
      </c>
      <c r="U35" s="70" t="n">
        <v>1</v>
      </c>
      <c r="V35" s="70" t="n">
        <v>1</v>
      </c>
    </row>
    <row r="36">
      <c r="A36" s="70" t="inlineStr">
        <is>
          <t>spring_bent_ept_ntax|</t>
        </is>
      </c>
      <c r="B36" s="70" t="inlineStr">
        <is>
          <t>spring-bent-ept-ntax</t>
        </is>
      </c>
      <c r="C36" s="70" t="inlineStr">
        <is>
          <t>EPT taxa richness</t>
        </is>
      </c>
      <c r="D36" s="70" t="inlineStr"/>
      <c r="E36" s="70" t="n">
        <v>5</v>
      </c>
      <c r="F36" s="70" t="inlineStr">
        <is>
          <t>21 least-disturbed streams of this ecoregion under the regional screen (agriculture at most 25 percent). Scored on a reference pool whose transfer to this ecoregion was not confirmed by the recovery test (class agreement 0.43 of evaluation regions; two thirds required); confidence capped at 39.</t>
        </is>
      </c>
      <c r="G36" s="70" t="n">
        <v>0</v>
      </c>
      <c r="H36" s="70" t="n">
        <v>3</v>
      </c>
      <c r="I36" s="70" t="n">
        <v>7</v>
      </c>
      <c r="J36" s="70" t="n">
        <v>21</v>
      </c>
      <c r="K36" s="70" t="n">
        <v>28</v>
      </c>
      <c r="L36" s="70" t="n">
        <v>28</v>
      </c>
      <c r="M36" s="70" t="n">
        <v>28</v>
      </c>
      <c r="N36" s="70" t="n">
        <v>28</v>
      </c>
      <c r="O36" s="70" t="n">
        <v>0</v>
      </c>
      <c r="P36" s="70" t="n">
        <v>0.3</v>
      </c>
      <c r="Q36" s="70" t="n">
        <v>0.7</v>
      </c>
      <c r="R36" s="70" t="n">
        <v>1</v>
      </c>
      <c r="S36" s="70" t="n">
        <v>1</v>
      </c>
      <c r="T36" s="70" t="n">
        <v>1</v>
      </c>
      <c r="U36" s="70" t="n">
        <v>1</v>
      </c>
      <c r="V36" s="70" t="n">
        <v>1</v>
      </c>
    </row>
    <row r="37">
      <c r="A37" s="70" t="inlineStr">
        <is>
          <t>spring_bent_hprime|</t>
        </is>
      </c>
      <c r="B37" s="70" t="inlineStr">
        <is>
          <t>spring-bent-hprime</t>
        </is>
      </c>
      <c r="C37" s="70" t="inlineStr">
        <is>
          <t>Shannon diversity (H')</t>
        </is>
      </c>
      <c r="D37" s="70" t="inlineStr"/>
      <c r="E37" s="70" t="n">
        <v>5</v>
      </c>
      <c r="F37" s="70" t="inlineStr">
        <is>
          <t>12 least-disturbed stations of this ecoregion</t>
        </is>
      </c>
      <c r="G37" s="70" t="n">
        <v>0</v>
      </c>
      <c r="H37" s="70" t="n">
        <v>1.111071467399597</v>
      </c>
      <c r="I37" s="70" t="n">
        <v>2.59250009059906</v>
      </c>
      <c r="J37" s="70" t="n">
        <v>3.104999959468842</v>
      </c>
      <c r="K37" s="70" t="n">
        <v>3.361249893903732</v>
      </c>
      <c r="L37" s="70" t="n">
        <v>3.361249893903732</v>
      </c>
      <c r="M37" s="70" t="n">
        <v>3.361249893903732</v>
      </c>
      <c r="N37" s="70" t="n">
        <v>3.361249893903732</v>
      </c>
      <c r="O37" s="70" t="n">
        <v>0</v>
      </c>
      <c r="P37" s="70" t="n">
        <v>0.3</v>
      </c>
      <c r="Q37" s="70" t="n">
        <v>0.7</v>
      </c>
      <c r="R37" s="70" t="n">
        <v>1</v>
      </c>
      <c r="S37" s="70" t="n">
        <v>1</v>
      </c>
      <c r="T37" s="70" t="n">
        <v>1</v>
      </c>
      <c r="U37" s="70" t="n">
        <v>1</v>
      </c>
      <c r="V37" s="70" t="n">
        <v>1</v>
      </c>
    </row>
    <row r="38">
      <c r="A38" s="70" t="inlineStr">
        <is>
          <t>spring_nid_dams_1mi|</t>
        </is>
      </c>
      <c r="B38" s="70" t="inlineStr">
        <is>
          <t>spring-nid-dams-1mi</t>
        </is>
      </c>
      <c r="C38" s="70" t="inlineStr">
        <is>
          <t>Mapped dams within one mile</t>
        </is>
      </c>
      <c r="D38" s="70" t="inlineStr"/>
      <c r="E38" s="70" t="n">
        <v>4</v>
      </c>
      <c r="F38" s="70" t="inlineStr">
        <is>
          <t>Fixed criteria, the same in every region</t>
        </is>
      </c>
      <c r="G38" s="70" t="n">
        <v>0</v>
      </c>
      <c r="H38" s="70" t="n">
        <v>1</v>
      </c>
      <c r="I38" s="70" t="n">
        <v>2</v>
      </c>
      <c r="J38" s="70" t="n">
        <v>3</v>
      </c>
      <c r="K38" s="70" t="n">
        <v>3</v>
      </c>
      <c r="L38" s="70" t="n">
        <v>3</v>
      </c>
      <c r="M38" s="70" t="n">
        <v>3</v>
      </c>
      <c r="N38" s="70" t="n">
        <v>3</v>
      </c>
      <c r="O38" s="70" t="n">
        <v>1</v>
      </c>
      <c r="P38" s="70" t="n">
        <v>0.545</v>
      </c>
      <c r="Q38" s="70" t="n">
        <v>0.195</v>
      </c>
      <c r="R38" s="70" t="n">
        <v>0</v>
      </c>
      <c r="S38" s="70" t="n">
        <v>0</v>
      </c>
      <c r="T38" s="70" t="n">
        <v>0</v>
      </c>
      <c r="U38" s="70" t="n">
        <v>0</v>
      </c>
      <c r="V38" s="70" t="n">
        <v>0</v>
      </c>
    </row>
    <row r="41">
      <c r="A41" s="59" t="inlineStr">
        <is>
          <t>Curve sets by metric</t>
        </is>
      </c>
    </row>
    <row r="42">
      <c r="A42" s="70" t="inlineStr">
        <is>
          <t>All streams (pooled)</t>
        </is>
      </c>
      <c r="B42" s="5" t="inlineStr">
        <is>
          <t>Relative bed stability</t>
        </is>
      </c>
    </row>
    <row r="43">
      <c r="A43" s="70" t="inlineStr">
        <is>
          <t>Small stream (10 to 100 km2)</t>
        </is>
      </c>
      <c r="B43" s="5" t="inlineStr">
        <is>
          <t>Relative bed stability</t>
        </is>
      </c>
    </row>
    <row r="44">
      <c r="A44" s="70" t="inlineStr">
        <is>
          <t>Large stream (over 100 km2)</t>
        </is>
      </c>
      <c r="B44" s="5" t="inlineStr">
        <is>
          <t>Relative bed stability</t>
        </is>
      </c>
    </row>
    <row r="45">
      <c r="A45" s="70" t="inlineStr">
        <is>
          <t>All streams (pooled)</t>
        </is>
      </c>
      <c r="B45" s="5" t="inlineStr">
        <is>
          <t>Canopy density, mid-channel</t>
        </is>
      </c>
    </row>
    <row r="46">
      <c r="A46" s="70" t="inlineStr">
        <is>
          <t>Headwater (10 km2 and under)</t>
        </is>
      </c>
      <c r="B46" s="5" t="inlineStr">
        <is>
          <t>Canopy density, mid-channel</t>
        </is>
      </c>
    </row>
    <row r="47">
      <c r="A47" s="70" t="inlineStr">
        <is>
          <t>Small stream (10 to 100 km2)</t>
        </is>
      </c>
      <c r="B47" s="5" t="inlineStr">
        <is>
          <t>Canopy density, mid-channel</t>
        </is>
      </c>
    </row>
    <row r="48">
      <c r="A48" s="70" t="inlineStr">
        <is>
          <t>Large stream (over 100 km2)</t>
        </is>
      </c>
      <c r="B48" s="5" t="inlineStr">
        <is>
          <t>Canopy density, mid-channel</t>
        </is>
      </c>
    </row>
    <row r="49">
      <c r="A49" s="70" t="inlineStr">
        <is>
          <t>All streams (pooled)</t>
        </is>
      </c>
      <c r="B49" s="5" t="inlineStr">
        <is>
          <t>Fast-water / riffle habitat</t>
        </is>
      </c>
    </row>
    <row r="50">
      <c r="A50" s="70" t="inlineStr">
        <is>
          <t>Moderate gradient (0.5 to 2 percent)</t>
        </is>
      </c>
      <c r="B50" s="5" t="inlineStr">
        <is>
          <t>Fast-water / riffle habitat</t>
        </is>
      </c>
    </row>
    <row r="53">
      <c r="A53" s="59" t="inlineStr">
        <is>
          <t>Condition classes</t>
        </is>
      </c>
    </row>
    <row r="54">
      <c r="A54" t="inlineStr">
        <is>
          <t>Metric index: at or below 0.39 Non-Functioning, at or below 0.69 Functioning At-Risk, above Functioning.</t>
        </is>
      </c>
    </row>
    <row r="55">
      <c r="A55" t="inlineStr">
        <is>
          <t>Function score (0 to 15): at or below 5 Non-Functioning, at or below 10 Functioning At-Risk, above Functioning.</t>
        </is>
      </c>
    </row>
    <row r="56">
      <c r="A56" t="inlineStr">
        <is>
          <t>Outcome weights: a direct contribution counts 1, an indirect one 0.1.</t>
        </is>
      </c>
    </row>
  </sheetData>
  <sheetProtection selectLockedCells="0" selectUnlockedCells="0" sheet="1" objects="0" insertRows="1" insertHyperlinks="1" autoFilter="1" scenarios="0" formatColumns="1" deleteColumns="1" insertColumns="1" pivotTables="1" deleteRows="1" formatCells="1" formatRows="1" sort="1" password="CB3B"/>
  <mergeCells count="1">
    <mergeCell ref="A3:D3"/>
  </mergeCells>
  <pageMargins left="0.75" right="0.75" top="1" bottom="1" header="0.5" footer="0.5"/>
  <headerFooter>
    <oddHeader>&amp;C&amp;"Calibri,Bold"&amp;K475569Assessment status: Draft._x000a_For research and regional assessment development only.</oddHeader>
    <oddFooter/>
    <evenHeader/>
    <evenFooter/>
    <firstHeader/>
    <firstFooter/>
  </headerFooter>
</worksheet>
</file>

<file path=xl/worksheets/sheet6.xml><?xml version="1.0" encoding="utf-8"?>
<worksheet xmlns="http://schemas.openxmlformats.org/spreadsheetml/2006/main">
  <sheetPr>
    <tabColor rgb="00475569"/>
    <outlinePr summaryBelow="1" summaryRight="1"/>
    <pageSetUpPr/>
  </sheetPr>
  <dimension ref="A1:B19"/>
  <sheetViews>
    <sheetView showGridLines="0" tabSelected="0" workbookViewId="0">
      <selection activeCell="A1" sqref="A1"/>
    </sheetView>
  </sheetViews>
  <sheetFormatPr baseColWidth="8" defaultRowHeight="15"/>
  <cols>
    <col width="26" customWidth="1" min="1" max="1"/>
    <col width="100" customWidth="1" min="2" max="2"/>
  </cols>
  <sheetData>
    <row r="1">
      <c r="A1" s="69" t="inlineStr">
        <is>
          <t>Metadata and version information</t>
        </is>
      </c>
    </row>
    <row r="2" ht="21" customHeight="1">
      <c r="A2" s="3" t="inlineStr">
        <is>
          <t>Assessment status: Draft. For research and regional assessment development only.</t>
        </is>
      </c>
    </row>
    <row r="3">
      <c r="A3" s="6" t="inlineStr">
        <is>
          <t>Item</t>
        </is>
      </c>
      <c r="B3" s="6" t="inlineStr">
        <is>
          <t>Value</t>
        </is>
      </c>
    </row>
    <row r="4">
      <c r="A4" s="70" t="inlineStr">
        <is>
          <t>Assessment id</t>
        </is>
      </c>
      <c r="B4" s="70" t="inlineStr">
        <is>
          <t>acadian-plains-and-hills</t>
        </is>
      </c>
    </row>
    <row r="5">
      <c r="A5" s="70" t="inlineStr">
        <is>
          <t>Assessment name</t>
        </is>
      </c>
      <c r="B5" s="70" t="inlineStr">
        <is>
          <t>Acadian Plains and Hills reference assessment</t>
        </is>
      </c>
    </row>
    <row r="6">
      <c r="A6" s="70" t="inlineStr">
        <is>
          <t>Version</t>
        </is>
      </c>
      <c r="B6" s="70" t="n">
        <v>1</v>
      </c>
    </row>
    <row r="7">
      <c r="A7" s="70" t="inlineStr">
        <is>
          <t>Lifecycle status</t>
        </is>
      </c>
      <c r="B7" s="70" t="inlineStr">
        <is>
          <t>Draft</t>
        </is>
      </c>
    </row>
    <row r="8">
      <c r="A8" s="70" t="inlineStr">
        <is>
          <t>Content digest</t>
        </is>
      </c>
      <c r="B8" s="70" t="inlineStr">
        <is>
          <t>sha256:c3e8edf06ed458480ab2ea0387e6a2e90ccceee15e8809591dbf7d1fe58f75ae</t>
        </is>
      </c>
    </row>
    <row r="9">
      <c r="A9" s="70" t="inlineStr">
        <is>
          <t>Region</t>
        </is>
      </c>
      <c r="B9" s="70" t="inlineStr">
        <is>
          <t>ecoregion 82 Acadian Plains and Hills</t>
        </is>
      </c>
    </row>
    <row r="10">
      <c r="A10" s="70" t="inlineStr">
        <is>
          <t>Source</t>
        </is>
      </c>
      <c r="B10" s="70" t="inlineStr">
        <is>
          <t>USEPA NRSA 2013-24 (L3 ecoregion 82), StreamCurves regional analysis, methodology 0.16-provisional</t>
        </is>
      </c>
    </row>
    <row r="11">
      <c r="A11" s="70" t="inlineStr">
        <is>
          <t>Reference method</t>
        </is>
      </c>
      <c r="B11" s="70" t="inlineStr">
        <is>
          <t>pressure-screen</t>
        </is>
      </c>
    </row>
    <row r="12">
      <c r="A12" s="70" t="inlineStr">
        <is>
          <t>Reference screen</t>
        </is>
      </c>
      <c r="B12" s="70" t="inlineStr">
        <is>
          <t>least-disturbed-v1 (strict), wadeable non-canal frame</t>
        </is>
      </c>
    </row>
    <row r="13">
      <c r="A13" s="70" t="inlineStr">
        <is>
          <t>Scoring method</t>
        </is>
      </c>
      <c r="B13" s="70" t="inlineStr">
        <is>
          <t>iqr-seed-v2</t>
        </is>
      </c>
    </row>
    <row r="14">
      <c r="A14" s="70" t="inlineStr">
        <is>
          <t>Functions scored</t>
        </is>
      </c>
      <c r="B14" s="70" t="n">
        <v>20</v>
      </c>
    </row>
    <row r="15">
      <c r="A15" s="70" t="inlineStr">
        <is>
          <t>Metrics</t>
        </is>
      </c>
      <c r="B15" s="70" t="n">
        <v>28</v>
      </c>
    </row>
    <row r="16">
      <c r="A16" s="70" t="inlineStr">
        <is>
          <t>Function coverage</t>
        </is>
      </c>
      <c r="B16" s="70" t="inlineStr">
        <is>
          <t>This assessment covers 20 of 20 STAF functions.</t>
        </is>
      </c>
    </row>
    <row r="17">
      <c r="A17" s="70" t="inlineStr">
        <is>
          <t>Generator</t>
        </is>
      </c>
      <c r="B17" s="70" t="inlineStr">
        <is>
          <t>streamcurves.deep_calculator</t>
        </is>
      </c>
    </row>
    <row r="18">
      <c r="A18" s="70" t="inlineStr">
        <is>
          <t>Generator version</t>
        </is>
      </c>
      <c r="B18" s="70" t="inlineStr">
        <is>
          <t>1.1</t>
        </is>
      </c>
    </row>
    <row r="19">
      <c r="A19" s="70" t="inlineStr">
        <is>
          <t>Formula vocabulary</t>
        </is>
      </c>
      <c r="B19" s="70" t="inlineStr">
        <is>
          <t>IF AND MIN MAX INDEX MATCH IFERROR ISNUMBER COUNT SUM NA</t>
        </is>
      </c>
    </row>
  </sheetData>
  <sheetProtection selectLockedCells="0" selectUnlockedCells="0" sheet="1" objects="0" insertRows="1" insertHyperlinks="1" autoFilter="1" scenarios="0" formatColumns="1" deleteColumns="1" insertColumns="1" pivotTables="1" deleteRows="1" formatCells="1" formatRows="1" sort="1" password="CB3B"/>
  <mergeCells count="1">
    <mergeCell ref="A2:B2"/>
  </mergeCells>
  <pageMargins left="0.75" right="0.75" top="1" bottom="1" header="0.5" footer="0.5"/>
  <headerFooter>
    <oddHeader>&amp;C&amp;"Calibri,Bold"&amp;K475569Assessment status: Draft._x000a_For research and regional assessment development only.</oddHeader>
    <oddFooter/>
    <evenHeader/>
    <evenFooter/>
    <firstHeader/>
    <firstFooter/>
  </headerFooter>
</worksheet>
</file>

<file path=xl/worksheets/sheet7.xml><?xml version="1.0" encoding="utf-8"?>
<worksheet xmlns="http://schemas.openxmlformats.org/spreadsheetml/2006/main">
  <sheetPr>
    <tabColor rgb="00475569"/>
    <outlinePr summaryBelow="1" summaryRight="1"/>
    <pageSetUpPr/>
  </sheetPr>
  <dimension ref="A1:E27"/>
  <sheetViews>
    <sheetView tabSelected="0" workbookViewId="0">
      <selection activeCell="A1" sqref="A1"/>
    </sheetView>
  </sheetViews>
  <sheetFormatPr baseColWidth="8" defaultRowHeight="15"/>
  <cols>
    <col width="38" customWidth="1" min="1" max="1"/>
  </cols>
  <sheetData>
    <row r="1">
      <c r="A1" s="5" t="inlineStr">
        <is>
          <t>Chart series (hidden). One column per class so each bar takes the class colour.</t>
        </is>
      </c>
    </row>
    <row r="2">
      <c r="A2" s="59" t="inlineStr">
        <is>
          <t>Function</t>
        </is>
      </c>
      <c r="B2" s="59" t="inlineStr">
        <is>
          <t>Score</t>
        </is>
      </c>
      <c r="C2" s="59" t="inlineStr">
        <is>
          <t>Non-Functioning (0-5)</t>
        </is>
      </c>
      <c r="D2" s="59" t="inlineStr">
        <is>
          <t>Functioning At-Risk (6-10)</t>
        </is>
      </c>
      <c r="E2" s="59" t="inlineStr">
        <is>
          <t>Functioning (11-15)</t>
        </is>
      </c>
    </row>
    <row r="3">
      <c r="A3" t="inlineStr">
        <is>
          <t>Catchment hydrology</t>
        </is>
      </c>
      <c r="B3">
        <f>IF('Results'!$B$4="","",'Results'!$B$4)</f>
        <v/>
      </c>
      <c r="C3" s="73">
        <f>IF(ISNUMBER('ChartData'!$B$3),IF('ChartData'!$B$3&lt;=5,'ChartData'!$B$3,NA()),NA())</f>
        <v/>
      </c>
      <c r="D3" s="73">
        <f>IF(ISNUMBER('ChartData'!$B$3),IF(AND('ChartData'!$B$3&gt;5,'ChartData'!$B$3&lt;=10),'ChartData'!$B$3,NA()),NA())</f>
        <v/>
      </c>
      <c r="E3" s="73">
        <f>IF(ISNUMBER('ChartData'!$B$3),IF('ChartData'!$B$3&gt;10,'ChartData'!$B$3,NA()),NA())</f>
        <v/>
      </c>
    </row>
    <row r="4">
      <c r="A4" t="inlineStr">
        <is>
          <t>Surface water storage</t>
        </is>
      </c>
      <c r="B4">
        <f>IF('Results'!$B$5="","",'Results'!$B$5)</f>
        <v/>
      </c>
      <c r="C4" s="73">
        <f>IF(ISNUMBER('ChartData'!$B$4),IF('ChartData'!$B$4&lt;=5,'ChartData'!$B$4,NA()),NA())</f>
        <v/>
      </c>
      <c r="D4" s="73">
        <f>IF(ISNUMBER('ChartData'!$B$4),IF(AND('ChartData'!$B$4&gt;5,'ChartData'!$B$4&lt;=10),'ChartData'!$B$4,NA()),NA())</f>
        <v/>
      </c>
      <c r="E4" s="73">
        <f>IF(ISNUMBER('ChartData'!$B$4),IF('ChartData'!$B$4&gt;10,'ChartData'!$B$4,NA()),NA())</f>
        <v/>
      </c>
    </row>
    <row r="5">
      <c r="A5" t="inlineStr">
        <is>
          <t>Reach inflow</t>
        </is>
      </c>
      <c r="B5">
        <f>IF('Results'!$B$6="","",'Results'!$B$6)</f>
        <v/>
      </c>
      <c r="C5" s="73">
        <f>IF(ISNUMBER('ChartData'!$B$5),IF('ChartData'!$B$5&lt;=5,'ChartData'!$B$5,NA()),NA())</f>
        <v/>
      </c>
      <c r="D5" s="73">
        <f>IF(ISNUMBER('ChartData'!$B$5),IF(AND('ChartData'!$B$5&gt;5,'ChartData'!$B$5&lt;=10),'ChartData'!$B$5,NA()),NA())</f>
        <v/>
      </c>
      <c r="E5" s="73">
        <f>IF(ISNUMBER('ChartData'!$B$5),IF('ChartData'!$B$5&gt;10,'ChartData'!$B$5,NA()),NA())</f>
        <v/>
      </c>
    </row>
    <row r="6">
      <c r="A6" t="inlineStr">
        <is>
          <t>Streamflow regime</t>
        </is>
      </c>
      <c r="B6">
        <f>IF('Results'!$B$7="","",'Results'!$B$7)</f>
        <v/>
      </c>
      <c r="C6" s="73">
        <f>IF(ISNUMBER('ChartData'!$B$6),IF('ChartData'!$B$6&lt;=5,'ChartData'!$B$6,NA()),NA())</f>
        <v/>
      </c>
      <c r="D6" s="73">
        <f>IF(ISNUMBER('ChartData'!$B$6),IF(AND('ChartData'!$B$6&gt;5,'ChartData'!$B$6&lt;=10),'ChartData'!$B$6,NA()),NA())</f>
        <v/>
      </c>
      <c r="E6" s="73">
        <f>IF(ISNUMBER('ChartData'!$B$6),IF('ChartData'!$B$6&gt;10,'ChartData'!$B$6,NA()),NA())</f>
        <v/>
      </c>
    </row>
    <row r="7">
      <c r="A7" t="inlineStr">
        <is>
          <t>Low flow and baseflow dynamics</t>
        </is>
      </c>
      <c r="B7">
        <f>IF('Results'!$B$8="","",'Results'!$B$8)</f>
        <v/>
      </c>
      <c r="C7" s="73">
        <f>IF(ISNUMBER('ChartData'!$B$7),IF('ChartData'!$B$7&lt;=5,'ChartData'!$B$7,NA()),NA())</f>
        <v/>
      </c>
      <c r="D7" s="73">
        <f>IF(ISNUMBER('ChartData'!$B$7),IF(AND('ChartData'!$B$7&gt;5,'ChartData'!$B$7&lt;=10),'ChartData'!$B$7,NA()),NA())</f>
        <v/>
      </c>
      <c r="E7" s="73">
        <f>IF(ISNUMBER('ChartData'!$B$7),IF('ChartData'!$B$7&gt;10,'ChartData'!$B$7,NA()),NA())</f>
        <v/>
      </c>
    </row>
    <row r="8">
      <c r="A8" t="inlineStr">
        <is>
          <t>High flow dynamics</t>
        </is>
      </c>
      <c r="B8">
        <f>IF('Results'!$B$9="","",'Results'!$B$9)</f>
        <v/>
      </c>
      <c r="C8" s="73">
        <f>IF(ISNUMBER('ChartData'!$B$8),IF('ChartData'!$B$8&lt;=5,'ChartData'!$B$8,NA()),NA())</f>
        <v/>
      </c>
      <c r="D8" s="73">
        <f>IF(ISNUMBER('ChartData'!$B$8),IF(AND('ChartData'!$B$8&gt;5,'ChartData'!$B$8&lt;=10),'ChartData'!$B$8,NA()),NA())</f>
        <v/>
      </c>
      <c r="E8" s="73">
        <f>IF(ISNUMBER('ChartData'!$B$8),IF('ChartData'!$B$8&gt;10,'ChartData'!$B$8,NA()),NA())</f>
        <v/>
      </c>
    </row>
    <row r="9">
      <c r="A9" t="inlineStr">
        <is>
          <t>Floodplain connectivity</t>
        </is>
      </c>
      <c r="B9">
        <f>IF('Results'!$B$10="","",'Results'!$B$10)</f>
        <v/>
      </c>
      <c r="C9" s="73">
        <f>IF(ISNUMBER('ChartData'!$B$9),IF('ChartData'!$B$9&lt;=5,'ChartData'!$B$9,NA()),NA())</f>
        <v/>
      </c>
      <c r="D9" s="73">
        <f>IF(ISNUMBER('ChartData'!$B$9),IF(AND('ChartData'!$B$9&gt;5,'ChartData'!$B$9&lt;=10),'ChartData'!$B$9,NA()),NA())</f>
        <v/>
      </c>
      <c r="E9" s="73">
        <f>IF(ISNUMBER('ChartData'!$B$9),IF('ChartData'!$B$9&gt;10,'ChartData'!$B$9,NA()),NA())</f>
        <v/>
      </c>
    </row>
    <row r="10">
      <c r="A10" t="inlineStr">
        <is>
          <t>Hyporheic connectivity</t>
        </is>
      </c>
      <c r="B10">
        <f>IF('Results'!$B$11="","",'Results'!$B$11)</f>
        <v/>
      </c>
      <c r="C10" s="73">
        <f>IF(ISNUMBER('ChartData'!$B$10),IF('ChartData'!$B$10&lt;=5,'ChartData'!$B$10,NA()),NA())</f>
        <v/>
      </c>
      <c r="D10" s="73">
        <f>IF(ISNUMBER('ChartData'!$B$10),IF(AND('ChartData'!$B$10&gt;5,'ChartData'!$B$10&lt;=10),'ChartData'!$B$10,NA()),NA())</f>
        <v/>
      </c>
      <c r="E10" s="73">
        <f>IF(ISNUMBER('ChartData'!$B$10),IF('ChartData'!$B$10&gt;10,'ChartData'!$B$10,NA()),NA())</f>
        <v/>
      </c>
    </row>
    <row r="11">
      <c r="A11" t="inlineStr">
        <is>
          <t>Channel evolution</t>
        </is>
      </c>
      <c r="B11">
        <f>IF('Results'!$B$12="","",'Results'!$B$12)</f>
        <v/>
      </c>
      <c r="C11" s="73">
        <f>IF(ISNUMBER('ChartData'!$B$11),IF('ChartData'!$B$11&lt;=5,'ChartData'!$B$11,NA()),NA())</f>
        <v/>
      </c>
      <c r="D11" s="73">
        <f>IF(ISNUMBER('ChartData'!$B$11),IF(AND('ChartData'!$B$11&gt;5,'ChartData'!$B$11&lt;=10),'ChartData'!$B$11,NA()),NA())</f>
        <v/>
      </c>
      <c r="E11" s="73">
        <f>IF(ISNUMBER('ChartData'!$B$11),IF('ChartData'!$B$11&gt;10,'ChartData'!$B$11,NA()),NA())</f>
        <v/>
      </c>
    </row>
    <row r="12">
      <c r="A12" t="inlineStr">
        <is>
          <t>Channel and floodplain dynamics</t>
        </is>
      </c>
      <c r="B12">
        <f>IF('Results'!$B$13="","",'Results'!$B$13)</f>
        <v/>
      </c>
      <c r="C12" s="73">
        <f>IF(ISNUMBER('ChartData'!$B$12),IF('ChartData'!$B$12&lt;=5,'ChartData'!$B$12,NA()),NA())</f>
        <v/>
      </c>
      <c r="D12" s="73">
        <f>IF(ISNUMBER('ChartData'!$B$12),IF(AND('ChartData'!$B$12&gt;5,'ChartData'!$B$12&lt;=10),'ChartData'!$B$12,NA()),NA())</f>
        <v/>
      </c>
      <c r="E12" s="73">
        <f>IF(ISNUMBER('ChartData'!$B$12),IF('ChartData'!$B$12&gt;10,'ChartData'!$B$12,NA()),NA())</f>
        <v/>
      </c>
    </row>
    <row r="13">
      <c r="A13" t="inlineStr">
        <is>
          <t>Sediment continuity</t>
        </is>
      </c>
      <c r="B13">
        <f>IF('Results'!$B$14="","",'Results'!$B$14)</f>
        <v/>
      </c>
      <c r="C13" s="73">
        <f>IF(ISNUMBER('ChartData'!$B$13),IF('ChartData'!$B$13&lt;=5,'ChartData'!$B$13,NA()),NA())</f>
        <v/>
      </c>
      <c r="D13" s="73">
        <f>IF(ISNUMBER('ChartData'!$B$13),IF(AND('ChartData'!$B$13&gt;5,'ChartData'!$B$13&lt;=10),'ChartData'!$B$13,NA()),NA())</f>
        <v/>
      </c>
      <c r="E13" s="73">
        <f>IF(ISNUMBER('ChartData'!$B$13),IF('ChartData'!$B$13&gt;10,'ChartData'!$B$13,NA()),NA())</f>
        <v/>
      </c>
    </row>
    <row r="14">
      <c r="A14" t="inlineStr">
        <is>
          <t>Bed composition and bedform dynamics</t>
        </is>
      </c>
      <c r="B14">
        <f>IF('Results'!$B$15="","",'Results'!$B$15)</f>
        <v/>
      </c>
      <c r="C14" s="73">
        <f>IF(ISNUMBER('ChartData'!$B$14),IF('ChartData'!$B$14&lt;=5,'ChartData'!$B$14,NA()),NA())</f>
        <v/>
      </c>
      <c r="D14" s="73">
        <f>IF(ISNUMBER('ChartData'!$B$14),IF(AND('ChartData'!$B$14&gt;5,'ChartData'!$B$14&lt;=10),'ChartData'!$B$14,NA()),NA())</f>
        <v/>
      </c>
      <c r="E14" s="73">
        <f>IF(ISNUMBER('ChartData'!$B$14),IF('ChartData'!$B$14&gt;10,'ChartData'!$B$14,NA()),NA())</f>
        <v/>
      </c>
    </row>
    <row r="15">
      <c r="A15" t="inlineStr">
        <is>
          <t>Light &amp; thermal regime</t>
        </is>
      </c>
      <c r="B15">
        <f>IF('Results'!$B$16="","",'Results'!$B$16)</f>
        <v/>
      </c>
      <c r="C15" s="73">
        <f>IF(ISNUMBER('ChartData'!$B$15),IF('ChartData'!$B$15&lt;=5,'ChartData'!$B$15,NA()),NA())</f>
        <v/>
      </c>
      <c r="D15" s="73">
        <f>IF(ISNUMBER('ChartData'!$B$15),IF(AND('ChartData'!$B$15&gt;5,'ChartData'!$B$15&lt;=10),'ChartData'!$B$15,NA()),NA())</f>
        <v/>
      </c>
      <c r="E15" s="73">
        <f>IF(ISNUMBER('ChartData'!$B$15),IF('ChartData'!$B$15&gt;10,'ChartData'!$B$15,NA()),NA())</f>
        <v/>
      </c>
    </row>
    <row r="16">
      <c r="A16" t="inlineStr">
        <is>
          <t>Carbon processing</t>
        </is>
      </c>
      <c r="B16">
        <f>IF('Results'!$B$17="","",'Results'!$B$17)</f>
        <v/>
      </c>
      <c r="C16" s="73">
        <f>IF(ISNUMBER('ChartData'!$B$16),IF('ChartData'!$B$16&lt;=5,'ChartData'!$B$16,NA()),NA())</f>
        <v/>
      </c>
      <c r="D16" s="73">
        <f>IF(ISNUMBER('ChartData'!$B$16),IF(AND('ChartData'!$B$16&gt;5,'ChartData'!$B$16&lt;=10),'ChartData'!$B$16,NA()),NA())</f>
        <v/>
      </c>
      <c r="E16" s="73">
        <f>IF(ISNUMBER('ChartData'!$B$16),IF('ChartData'!$B$16&gt;10,'ChartData'!$B$16,NA()),NA())</f>
        <v/>
      </c>
    </row>
    <row r="17">
      <c r="A17" t="inlineStr">
        <is>
          <t>Nutrient cycling</t>
        </is>
      </c>
      <c r="B17">
        <f>IF('Results'!$B$18="","",'Results'!$B$18)</f>
        <v/>
      </c>
      <c r="C17" s="73">
        <f>IF(ISNUMBER('ChartData'!$B$17),IF('ChartData'!$B$17&lt;=5,'ChartData'!$B$17,NA()),NA())</f>
        <v/>
      </c>
      <c r="D17" s="73">
        <f>IF(ISNUMBER('ChartData'!$B$17),IF(AND('ChartData'!$B$17&gt;5,'ChartData'!$B$17&lt;=10),'ChartData'!$B$17,NA()),NA())</f>
        <v/>
      </c>
      <c r="E17" s="73">
        <f>IF(ISNUMBER('ChartData'!$B$17),IF('ChartData'!$B$17&gt;10,'ChartData'!$B$17,NA()),NA())</f>
        <v/>
      </c>
    </row>
    <row r="18">
      <c r="A18" t="inlineStr">
        <is>
          <t>Water &amp; soil quality</t>
        </is>
      </c>
      <c r="B18">
        <f>IF('Results'!$B$19="","",'Results'!$B$19)</f>
        <v/>
      </c>
      <c r="C18" s="73">
        <f>IF(ISNUMBER('ChartData'!$B$18),IF('ChartData'!$B$18&lt;=5,'ChartData'!$B$18,NA()),NA())</f>
        <v/>
      </c>
      <c r="D18" s="73">
        <f>IF(ISNUMBER('ChartData'!$B$18),IF(AND('ChartData'!$B$18&gt;5,'ChartData'!$B$18&lt;=10),'ChartData'!$B$18,NA()),NA())</f>
        <v/>
      </c>
      <c r="E18" s="73">
        <f>IF(ISNUMBER('ChartData'!$B$18),IF('ChartData'!$B$18&gt;10,'ChartData'!$B$18,NA()),NA())</f>
        <v/>
      </c>
    </row>
    <row r="19">
      <c r="A19" t="inlineStr">
        <is>
          <t>Habitat provision</t>
        </is>
      </c>
      <c r="B19">
        <f>IF('Results'!$B$20="","",'Results'!$B$20)</f>
        <v/>
      </c>
      <c r="C19" s="73">
        <f>IF(ISNUMBER('ChartData'!$B$19),IF('ChartData'!$B$19&lt;=5,'ChartData'!$B$19,NA()),NA())</f>
        <v/>
      </c>
      <c r="D19" s="73">
        <f>IF(ISNUMBER('ChartData'!$B$19),IF(AND('ChartData'!$B$19&gt;5,'ChartData'!$B$19&lt;=10),'ChartData'!$B$19,NA()),NA())</f>
        <v/>
      </c>
      <c r="E19" s="73">
        <f>IF(ISNUMBER('ChartData'!$B$19),IF('ChartData'!$B$19&gt;10,'ChartData'!$B$19,NA()),NA())</f>
        <v/>
      </c>
    </row>
    <row r="20">
      <c r="A20" t="inlineStr">
        <is>
          <t>Population support</t>
        </is>
      </c>
      <c r="B20">
        <f>IF('Results'!$B$21="","",'Results'!$B$21)</f>
        <v/>
      </c>
      <c r="C20" s="73">
        <f>IF(ISNUMBER('ChartData'!$B$20),IF('ChartData'!$B$20&lt;=5,'ChartData'!$B$20,NA()),NA())</f>
        <v/>
      </c>
      <c r="D20" s="73">
        <f>IF(ISNUMBER('ChartData'!$B$20),IF(AND('ChartData'!$B$20&gt;5,'ChartData'!$B$20&lt;=10),'ChartData'!$B$20,NA()),NA())</f>
        <v/>
      </c>
      <c r="E20" s="73">
        <f>IF(ISNUMBER('ChartData'!$B$20),IF('ChartData'!$B$20&gt;10,'ChartData'!$B$20,NA()),NA())</f>
        <v/>
      </c>
    </row>
    <row r="21">
      <c r="A21" t="inlineStr">
        <is>
          <t>Community dynamics</t>
        </is>
      </c>
      <c r="B21">
        <f>IF('Results'!$B$22="","",'Results'!$B$22)</f>
        <v/>
      </c>
      <c r="C21" s="73">
        <f>IF(ISNUMBER('ChartData'!$B$21),IF('ChartData'!$B$21&lt;=5,'ChartData'!$B$21,NA()),NA())</f>
        <v/>
      </c>
      <c r="D21" s="73">
        <f>IF(ISNUMBER('ChartData'!$B$21),IF(AND('ChartData'!$B$21&gt;5,'ChartData'!$B$21&lt;=10),'ChartData'!$B$21,NA()),NA())</f>
        <v/>
      </c>
      <c r="E21" s="73">
        <f>IF(ISNUMBER('ChartData'!$B$21),IF('ChartData'!$B$21&gt;10,'ChartData'!$B$21,NA()),NA())</f>
        <v/>
      </c>
    </row>
    <row r="22">
      <c r="A22" t="inlineStr">
        <is>
          <t>Watershed connectivity</t>
        </is>
      </c>
      <c r="B22">
        <f>IF('Results'!$B$23="","",'Results'!$B$23)</f>
        <v/>
      </c>
      <c r="C22" s="73">
        <f>IF(ISNUMBER('ChartData'!$B$22),IF('ChartData'!$B$22&lt;=5,'ChartData'!$B$22,NA()),NA())</f>
        <v/>
      </c>
      <c r="D22" s="73">
        <f>IF(ISNUMBER('ChartData'!$B$22),IF(AND('ChartData'!$B$22&gt;5,'ChartData'!$B$22&lt;=10),'ChartData'!$B$22,NA()),NA())</f>
        <v/>
      </c>
      <c r="E22" s="73">
        <f>IF(ISNUMBER('ChartData'!$B$22),IF('ChartData'!$B$22&gt;10,'ChartData'!$B$22,NA()),NA())</f>
        <v/>
      </c>
    </row>
    <row r="24">
      <c r="A24" s="59" t="inlineStr">
        <is>
          <t>Outcome</t>
        </is>
      </c>
      <c r="B24" s="59" t="inlineStr">
        <is>
          <t>Score</t>
        </is>
      </c>
      <c r="C24" s="59" t="inlineStr">
        <is>
          <t>Non-Functioning (0.00-0.39)</t>
        </is>
      </c>
      <c r="D24" s="59" t="inlineStr">
        <is>
          <t>Functioning At-Risk (0.40-0.69)</t>
        </is>
      </c>
      <c r="E24" s="59" t="inlineStr">
        <is>
          <t>Functioning (0.70-1.00)</t>
        </is>
      </c>
    </row>
    <row r="25">
      <c r="A25" t="inlineStr">
        <is>
          <t>Physical</t>
        </is>
      </c>
      <c r="B25">
        <f>'Results'!$B$26</f>
        <v/>
      </c>
      <c r="C25" s="74">
        <f>IF('ChartData'!$B$25&lt;=0.39,'ChartData'!$B$25,NA())</f>
        <v/>
      </c>
      <c r="D25" s="74">
        <f>IF(AND('ChartData'!$B$25&gt;0.39,'ChartData'!$B$25&lt;=0.69),'ChartData'!$B$25,NA())</f>
        <v/>
      </c>
      <c r="E25" s="74">
        <f>IF('ChartData'!$B$25&gt;0.69,'ChartData'!$B$25,NA())</f>
        <v/>
      </c>
    </row>
    <row r="26">
      <c r="A26" t="inlineStr">
        <is>
          <t>Chemical</t>
        </is>
      </c>
      <c r="B26">
        <f>'Results'!$B$27</f>
        <v/>
      </c>
      <c r="C26" s="74">
        <f>IF('ChartData'!$B$26&lt;=0.39,'ChartData'!$B$26,NA())</f>
        <v/>
      </c>
      <c r="D26" s="74">
        <f>IF(AND('ChartData'!$B$26&gt;0.39,'ChartData'!$B$26&lt;=0.69),'ChartData'!$B$26,NA())</f>
        <v/>
      </c>
      <c r="E26" s="74">
        <f>IF('ChartData'!$B$26&gt;0.69,'ChartData'!$B$26,NA())</f>
        <v/>
      </c>
    </row>
    <row r="27">
      <c r="A27" t="inlineStr">
        <is>
          <t>Biological</t>
        </is>
      </c>
      <c r="B27">
        <f>'Results'!$B$28</f>
        <v/>
      </c>
      <c r="C27" s="74">
        <f>IF('ChartData'!$B$27&lt;=0.39,'ChartData'!$B$27,NA())</f>
        <v/>
      </c>
      <c r="D27" s="74">
        <f>IF(AND('ChartData'!$B$27&gt;0.39,'ChartData'!$B$27&lt;=0.69),'ChartData'!$B$27,NA())</f>
        <v/>
      </c>
      <c r="E27" s="74">
        <f>IF('ChartData'!$B$27&gt;0.69,'ChartData'!$B$27,NA())</f>
        <v/>
      </c>
    </row>
  </sheetData>
  <sheetProtection selectLockedCells="0" selectUnlockedCells="0" sheet="1" objects="0" insertRows="1" insertHyperlinks="1" autoFilter="1" scenarios="0" formatColumns="1" deleteColumns="1" insertColumns="1" pivotTables="1" deleteRows="1" formatCells="1" formatRows="1" sort="1" password="CB3B"/>
  <pageMargins left="0.75" right="0.75" top="1" bottom="1" header="0.5" footer="0.5"/>
  <headerFooter>
    <oddHeader>&amp;C&amp;"Calibri,Bold"&amp;K475569Assessment status: Draft._x000a_For research and regional assessment development only.</oddHeader>
    <oddFooter/>
    <evenHeader/>
    <evenFooter/>
    <firstHeader/>
    <firstFooter/>
  </headerFooter>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DEEP</dc:creator>
  <dc:title xmlns:dc="http://purl.org/dc/elements/1.1/">DEEP calculator</dc:title>
  <dc:subject xmlns:dc="http://purl.org/dc/elements/1.1/">Assessment status: Draft. For research and regional assessment development only.</dc:subject>
  <dcterms:created xmlns:dcterms="http://purl.org/dc/terms/" xmlns:xsi="http://www.w3.org/2001/XMLSchema-instance" xsi:type="dcterms:W3CDTF">2026-09-30T07:04:39Z</dcterms:created>
  <dcterms:modified xmlns:dcterms="http://purl.org/dc/terms/" xmlns:xsi="http://www.w3.org/2001/XMLSchema-instance" xsi:type="dcterms:W3CDTF">2026-09-30T07:04:39Z</dcterms:modified>
  <cp:lastModifiedBy>DEEP</cp:lastModifiedBy>
  <cp:contentStatus>Draft</cp:contentStatus>
</cp:coreProperties>
</file>