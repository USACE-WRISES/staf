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ctwet2019ws">'Reference'!$A$49:$A$51</definedName>
    <definedName name="strata_spring_phab_bfwd_rat">'Reference'!$A$52:$A$55</definedName>
    <definedName name="strata_spring_phab_xbkf_h">'Reference'!$A$56:$A$59</definedName>
    <definedName name="strata_spring_phab_lrbs_use">'Reference'!$A$60:$A$63</definedName>
    <definedName name="strata_spring_phab_pct_fast">'Reference'!$A$64:$A$66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lithpind">'Metrics'!$V$28</definedName>
    <definedName name="idx_spring_fish_nat_ntolp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fish_nat_lithpind">'DEEP Score'!$E$42</definedName>
    <definedName name="in_spring_fish_nat_ntolp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Northeastern Coastal Zone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5 curves are fitted to this ecoregion's own streams under the documented regional screen, which relaxes agriculture only. 19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Northeastern Coastal Zone reference assessment</t>
        </is>
      </c>
    </row>
    <row r="3">
      <c r="A3" s="5" t="inlineStr">
        <is>
          <t>Version 1 | Draft | USEPA NRSA 2013-24 (L3 ecoregion 59),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39">
        <f>IF('DEEP Score'!$E$19="","",'DEEP Score'!$E$19)</f>
        <v/>
      </c>
      <c r="F21" s="40">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IF('Metrics'!$V$12="","",'Metrics'!$V$12)</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5" t="inlineStr">
        <is>
          <t>Geomorphology</t>
        </is>
      </c>
      <c r="B25" s="12" t="inlineStr">
        <is>
          <t>Channel evolution</t>
        </is>
      </c>
      <c r="C25" s="13" t="inlineStr">
        <is>
          <t>Bankfull width:depth ratio</t>
        </is>
      </c>
      <c r="D25" s="14" t="inlineStr"/>
      <c r="E25" s="39">
        <f>IF('DEEP Score'!$E$19="","",'DEEP Score'!$E$19)</f>
        <v/>
      </c>
      <c r="F25" s="40">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IF('Metrics'!$V$12="","",'Metrics'!$V$12)</f>
        <v/>
      </c>
      <c r="H26" s="21" t="n"/>
      <c r="I26" s="27" t="n"/>
    </row>
    <row r="27">
      <c r="A27" s="45"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5" t="inlineStr">
        <is>
          <t>Geomorphology</t>
        </is>
      </c>
      <c r="B29" s="12" t="inlineStr">
        <is>
          <t>Sediment continuity</t>
        </is>
      </c>
      <c r="C29" s="13" t="inlineStr">
        <is>
          <t>Relative bed stability</t>
        </is>
      </c>
      <c r="D29" s="14" t="inlineStr">
        <is>
          <t>log</t>
        </is>
      </c>
      <c r="E29" s="15" t="n"/>
      <c r="F29" s="48"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IF('Metrics'!$V$13="","",'Metrics'!$V$13)</f>
        <v/>
      </c>
      <c r="H30" s="21" t="n"/>
      <c r="I30" s="27" t="n"/>
    </row>
    <row r="31">
      <c r="A31" s="45" t="inlineStr">
        <is>
          <t>Geomorphology</t>
        </is>
      </c>
      <c r="B31" s="12" t="inlineStr">
        <is>
          <t>Bed composition and bedform dynamics</t>
        </is>
      </c>
      <c r="C31" s="13" t="inlineStr">
        <is>
          <t>Embeddedness</t>
        </is>
      </c>
      <c r="D31" s="14" t="inlineStr">
        <is>
          <t>%</t>
        </is>
      </c>
      <c r="E31" s="39">
        <f>IF('DEEP Score'!$E$24="","",'DEEP Score'!$E$24)</f>
        <v/>
      </c>
      <c r="F31" s="40"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IF('Metrics'!$V$21="","",'Metrics'!$V$21)</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9"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1" t="inlineStr">
        <is>
          <t>Biology</t>
        </is>
      </c>
      <c r="B40" s="12" t="inlineStr">
        <is>
          <t>Habitat provision</t>
        </is>
      </c>
      <c r="C40" s="13" t="inlineStr">
        <is>
          <t>Fast-water / riffle habitat</t>
        </is>
      </c>
      <c r="D40" s="14" t="inlineStr">
        <is>
          <t>%</t>
        </is>
      </c>
      <c r="E40" s="15" t="n"/>
      <c r="F40" s="48"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51" t="inlineStr">
        <is>
          <t>Biology</t>
        </is>
      </c>
      <c r="B42" s="12" t="inlineStr">
        <is>
          <t>Population support</t>
        </is>
      </c>
      <c r="C42" s="13" t="inlineStr">
        <is>
          <t>Simple lithophil fish individuals</t>
        </is>
      </c>
      <c r="D42" s="14" t="inlineStr">
        <is>
          <t>%</t>
        </is>
      </c>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Native non-tolerant fish taxa</t>
        </is>
      </c>
      <c r="D43" s="23" t="inlineStr">
        <is>
          <t>%</t>
        </is>
      </c>
      <c r="E43" s="24" t="n"/>
      <c r="F43" s="25" t="inlineStr"/>
      <c r="G43" s="26">
        <f>IF('Metrics'!$V$29="","",'Metrics'!$V$29)</f>
        <v/>
      </c>
      <c r="H43" s="21" t="n"/>
      <c r="I43" s="27" t="n"/>
    </row>
    <row r="44">
      <c r="A44" s="51" t="inlineStr">
        <is>
          <t>Biology</t>
        </is>
      </c>
      <c r="B44" s="12" t="inlineStr">
        <is>
          <t>Community dynamics</t>
        </is>
      </c>
      <c r="C44" s="13" t="inlineStr">
        <is>
          <t>Shannon diversity (H')</t>
        </is>
      </c>
      <c r="D44" s="14" t="inlineStr">
        <is>
          <t>H'</t>
        </is>
      </c>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IF('Metrics'!$V$31="","",'Metrics'!$V$31)</f>
        <v/>
      </c>
      <c r="H45" s="21" t="n"/>
      <c r="I45" s="27" t="n"/>
    </row>
    <row r="46">
      <c r="A46" s="52" t="inlineStr">
        <is>
          <t>Biology</t>
        </is>
      </c>
      <c r="B46" s="29" t="inlineStr">
        <is>
          <t>Watershed connectivity</t>
        </is>
      </c>
      <c r="C46" s="30" t="inlineStr">
        <is>
          <t>Mapped dams within one mile</t>
        </is>
      </c>
      <c r="D46" s="31" t="inlineStr">
        <is>
          <t>dams</t>
        </is>
      </c>
      <c r="E46" s="32" t="n"/>
      <c r="F46" s="37" t="inlineStr"/>
      <c r="G46" s="34">
        <f>IF('Metrics'!$V$32="","",'Metrics'!$V$32)</f>
        <v/>
      </c>
      <c r="H46" s="35">
        <f>IF('Results'!$B$23="","",'Results'!$B$23)</f>
        <v/>
      </c>
      <c r="I46" s="36">
        <f>IF('DEEP Score'!$H$46="","",IF('DEEP Score'!$H$46&lt;=5,"Non-Functioning",IF('DEEP Score'!$H$46&lt;=10,"Functioning At-Risk","Functioning")))</f>
        <v/>
      </c>
    </row>
    <row r="48">
      <c r="A48" s="53" t="inlineStr">
        <is>
          <t>Summary</t>
        </is>
      </c>
    </row>
    <row r="49">
      <c r="A49" s="10" t="inlineStr">
        <is>
          <t>Outcome</t>
        </is>
      </c>
      <c r="B49" s="10" t="inlineStr">
        <is>
          <t>Sub-index (0 to 1)</t>
        </is>
      </c>
      <c r="C49" s="10" t="inlineStr">
        <is>
          <t>Condition</t>
        </is>
      </c>
    </row>
    <row r="50">
      <c r="A50" s="54" t="inlineStr">
        <is>
          <t>Physical</t>
        </is>
      </c>
      <c r="B50" s="55">
        <f>'Results'!$B$26</f>
        <v/>
      </c>
      <c r="C50" s="56">
        <f>IF('DEEP Score'!$B$50&lt;=0.39,"Non-Functioning",IF('DEEP Score'!$B$50&lt;=0.69,"Functioning At-Risk","Functioning"))</f>
        <v/>
      </c>
    </row>
    <row r="51">
      <c r="A51" s="54" t="inlineStr">
        <is>
          <t>Chemical</t>
        </is>
      </c>
      <c r="B51" s="55">
        <f>'Results'!$B$27</f>
        <v/>
      </c>
      <c r="C51" s="56">
        <f>IF('DEEP Score'!$B$51&lt;=0.39,"Non-Functioning",IF('DEEP Score'!$B$51&lt;=0.69,"Functioning At-Risk","Functioning"))</f>
        <v/>
      </c>
    </row>
    <row r="52">
      <c r="A52" s="54" t="inlineStr">
        <is>
          <t>Biological</t>
        </is>
      </c>
      <c r="B52" s="55">
        <f>'Results'!$B$28</f>
        <v/>
      </c>
      <c r="C52" s="56">
        <f>IF('DEEP Score'!$B$52&lt;=0.39,"Non-Functioning",IF('DEEP Score'!$B$52&lt;=0.69,"Functioning At-Risk","Functioning"))</f>
        <v/>
      </c>
    </row>
    <row r="53" ht="30" customHeight="1">
      <c r="A53" s="57" t="inlineStr">
        <is>
          <t>Ecosystem Condition Index</t>
        </is>
      </c>
      <c r="B53" s="58">
        <f>'Results'!$B$29</f>
        <v/>
      </c>
      <c r="C53" s="56">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9" t="inlineStr">
        <is>
          <t>Withheld for insufficient reference support (not scored)</t>
        </is>
      </c>
    </row>
    <row r="58">
      <c r="A58" t="inlineStr">
        <is>
          <t>Native fish taxa richness</t>
        </is>
      </c>
      <c r="C58" s="5" t="inlineStr">
        <is>
          <t>Population support</t>
        </is>
      </c>
    </row>
    <row r="60">
      <c r="A60" s="6" t="inlineStr">
        <is>
          <t>Notes</t>
        </is>
      </c>
    </row>
    <row r="61">
      <c r="A61" s="60" t="n"/>
      <c r="B61" s="61" t="n"/>
      <c r="C61" s="61" t="n"/>
      <c r="D61" s="61" t="n"/>
      <c r="E61" s="61" t="n"/>
      <c r="F61" s="61" t="n"/>
      <c r="G61" s="61" t="n"/>
      <c r="H61" s="61" t="n"/>
      <c r="I61" s="62"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3" t="n"/>
      <c r="B65" s="64" t="n"/>
      <c r="C65" s="64" t="n"/>
      <c r="D65" s="64" t="n"/>
      <c r="E65" s="64" t="n"/>
      <c r="F65" s="64" t="n"/>
      <c r="G65" s="64" t="n"/>
      <c r="H65" s="64" t="n"/>
      <c r="I65" s="65" t="n"/>
    </row>
    <row r="66">
      <c r="A66" s="66" t="n"/>
      <c r="B66" s="67" t="n"/>
      <c r="C66" s="67" t="n"/>
      <c r="D66" s="67" t="n"/>
      <c r="E66" s="67" t="n"/>
      <c r="F66" s="67" t="n"/>
      <c r="G66" s="67" t="n"/>
      <c r="H66" s="67" t="n"/>
      <c r="I66" s="68"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Bankfull width:depth ratio</t>
        </is>
      </c>
      <c r="B11" s="71">
        <f>IF('DEEP Score'!$E$19="","",'DEEP Score'!$E$19)</f>
        <v/>
      </c>
      <c r="C11" s="71">
        <f>IF('DEEP Score'!$F$19="","All streams (pooled)",'DEEP Score'!$F$19)</f>
        <v/>
      </c>
      <c r="D11" s="71">
        <f>"spring_phab_bfwd_rat|"&amp;'Metrics'!$C$11</f>
        <v/>
      </c>
      <c r="E11" s="71">
        <f>IFERROR(MATCH('Metrics'!$D$11,curve_key,0),MATCH("spring_phab_bfwd_rat|All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height above channel</t>
        </is>
      </c>
      <c r="B12" s="71">
        <f>IF('DEEP Score'!$E$22="","",'DEEP Score'!$E$22)</f>
        <v/>
      </c>
      <c r="C12" s="71">
        <f>IF('DEEP Score'!$F$22="","All streams (pooled)",'DEEP Score'!$F$22)</f>
        <v/>
      </c>
      <c r="D12" s="71">
        <f>"spring_phab_xbkf_h|"&amp;'Metrics'!$C$12</f>
        <v/>
      </c>
      <c r="E12" s="71">
        <f>IFERROR(MATCH('Metrics'!$D$12,curve_key,0),MATCH("spring_phab_xbkf_h|All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Sand + fines</t>
        </is>
      </c>
      <c r="B13" s="71">
        <f>IF('DEEP Score'!$E$23="","",'DEEP Score'!$E$23)</f>
        <v/>
      </c>
      <c r="C13" s="71">
        <f>""</f>
        <v/>
      </c>
      <c r="D13" s="71">
        <f>"spring_phab_pct_safn|"&amp;'Metrics'!$C$13</f>
        <v/>
      </c>
      <c r="E13" s="71">
        <f>IFERROR(MATCH('Metrics'!$D$13,curve_key,0),MATCH("spring_phab_pct_safn|",curve_key,0))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Embeddedness</t>
        </is>
      </c>
      <c r="B14" s="71">
        <f>IF('DEEP Score'!$E$24="","",'DEEP Score'!$E$24)</f>
        <v/>
      </c>
      <c r="C14" s="71">
        <f>""</f>
        <v/>
      </c>
      <c r="D14" s="71">
        <f>"spring_phab_xembed|"&amp;'Metrics'!$C$14</f>
        <v/>
      </c>
      <c r="E14" s="71">
        <f>IFERROR(MATCH('Metrics'!$D$14,curve_key,0),MATCH("spring_phab_xembed|",curve_key,0))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Sinuosity</t>
        </is>
      </c>
      <c r="B15" s="71">
        <f>IF('DEEP Score'!$E$27="","",'DEEP Score'!$E$27)</f>
        <v/>
      </c>
      <c r="C15" s="71">
        <f>""</f>
        <v/>
      </c>
      <c r="D15" s="71">
        <f>"spring_phab_sinu|"&amp;'Metrics'!$C$15</f>
        <v/>
      </c>
      <c r="E15" s="71">
        <f>IFERROR(MATCH('Metrics'!$D$15,curve_key,0),MATCH("spring_phab_sinu|",curve_key,0))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Bank angle</t>
        </is>
      </c>
      <c r="B16" s="71">
        <f>IF('DEEP Score'!$E$28="","",'DEEP Score'!$E$28)</f>
        <v/>
      </c>
      <c r="C16" s="71">
        <f>""</f>
        <v/>
      </c>
      <c r="D16" s="71">
        <f>"spring_phab_xbka|"&amp;'Metrics'!$C$16</f>
        <v/>
      </c>
      <c r="E16" s="71">
        <f>IFERROR(MATCH('Metrics'!$D$16,curve_key,0),MATCH("spring_phab_xbka|",curve_key,0))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Relative bed stability</t>
        </is>
      </c>
      <c r="B17" s="71">
        <f>IF('DEEP Score'!$E$29="","",'DEEP Score'!$E$29)</f>
        <v/>
      </c>
      <c r="C17" s="71">
        <f>IF('DEEP Score'!$F$29="","All streams (pooled)",'DEEP Score'!$F$29)</f>
        <v/>
      </c>
      <c r="D17" s="71">
        <f>"spring_phab_lrbs_use|"&amp;'Metrics'!$C$17</f>
        <v/>
      </c>
      <c r="E17" s="71">
        <f>IFERROR(MATCH('Metrics'!$D$17,curve_key,0),MATCH("spring_phab_lrbs_use|All streams (pooled)",curve_key,0))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Large wood volume</t>
        </is>
      </c>
      <c r="B18" s="71">
        <f>IF('DEEP Score'!$E$32="","",'DEEP Score'!$E$32)</f>
        <v/>
      </c>
      <c r="C18" s="71">
        <f>""</f>
        <v/>
      </c>
      <c r="D18" s="71">
        <f>"spring_phab_lwdeqvolm100|"&amp;'Metrics'!$C$18</f>
        <v/>
      </c>
      <c r="E18" s="71">
        <f>IFERROR(MATCH('Metrics'!$D$18,curve_key,0),MATCH("spring_phab_lwdeqvolm100|",curve_key,0))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Chlorophyll a</t>
        </is>
      </c>
      <c r="B19" s="71">
        <f>IF('DEEP Score'!$E$33="","",'DEEP Score'!$E$33)</f>
        <v/>
      </c>
      <c r="C19" s="71">
        <f>""</f>
        <v/>
      </c>
      <c r="D19" s="71">
        <f>"spring_chem_chla|"&amp;'Metrics'!$C$19</f>
        <v/>
      </c>
      <c r="E19" s="71">
        <f>IFERROR(MATCH('Metrics'!$D$19,curve_key,0),MATCH("spring_chem_chla|",curve_key,0))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Score'!$E$34="","",'DEEP Score'!$E$34)</f>
        <v/>
      </c>
      <c r="C20" s="71">
        <f>""</f>
        <v/>
      </c>
      <c r="D20" s="71">
        <f>"spring_phab_xcdenmid|"&amp;'Metrics'!$C$20</f>
        <v/>
      </c>
      <c r="E20" s="71">
        <f>IFERROR(MATCH('Metrics'!$D$20,curve_key,0),MATCH("spring_phab_xcdenmid|",curve_key,0))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Score'!$E$35="","",'DEEP Score'!$E$35)</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Score'!$E$36="","",'DEEP Score'!$E$36)</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Score'!$E$37="","",'DEEP Score'!$E$37)</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pH</t>
        </is>
      </c>
      <c r="B24" s="71">
        <f>IF('DEEP Score'!$E$38="","",'DEEP Score'!$E$38)</f>
        <v/>
      </c>
      <c r="C24" s="71">
        <f>""</f>
        <v/>
      </c>
      <c r="D24" s="71">
        <f>"spring_chem_ph|"&amp;'Metrics'!$C$24</f>
        <v/>
      </c>
      <c r="E24" s="71">
        <f>IFERROR(MATCH('Metrics'!$D$24,curve_key,0),MATCH("spring_chem_ph|",curve_key,0))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Score'!$E$39="","",'DEEP Score'!$E$39)</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Fast-water / riffle habitat</t>
        </is>
      </c>
      <c r="B26" s="71">
        <f>IF('DEEP Score'!$E$40="","",'DEEP Score'!$E$40)</f>
        <v/>
      </c>
      <c r="C26" s="71">
        <f>IF('DEEP Score'!$F$40="","All streams (pooled)",'DEEP Score'!$F$40)</f>
        <v/>
      </c>
      <c r="D26" s="71">
        <f>"spring_phab_pct_fast|"&amp;'Metrics'!$C$26</f>
        <v/>
      </c>
      <c r="E26" s="71">
        <f>IFERROR(MATCH('Metrics'!$D$26,curve_key,0),MATCH("spring_phab_pct_fast|All streams (pooled)",curve_key,0))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Score'!$E$41="","",'DEEP Score'!$E$41)</f>
        <v/>
      </c>
      <c r="C27" s="71">
        <f>""</f>
        <v/>
      </c>
      <c r="D27" s="71">
        <f>"spring_phab_xfc_nat|"&amp;'Metrics'!$C$27</f>
        <v/>
      </c>
      <c r="E27" s="71">
        <f>IFERROR(MATCH('Metrics'!$D$27,curve_key,0),MATCH("spring_phab_xfc_nat|",curve_key,0))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Simple lithophil fish individuals</t>
        </is>
      </c>
      <c r="B28" s="71">
        <f>IF('DEEP Score'!$E$42="","",'DEEP Score'!$E$42)</f>
        <v/>
      </c>
      <c r="C28" s="71">
        <f>""</f>
        <v/>
      </c>
      <c r="D28" s="71">
        <f>"spring_fish_nat_lithpind|"&amp;'Metrics'!$C$28</f>
        <v/>
      </c>
      <c r="E28" s="71">
        <f>IFERROR(MATCH('Metrics'!$D$28,curve_key,0),MATCH("spring_fish_nat_lithpind|",curve_key,0))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Native non-tolerant fish taxa</t>
        </is>
      </c>
      <c r="B29" s="71">
        <f>IF('DEEP Score'!$E$43="","",'DEEP Score'!$E$43)</f>
        <v/>
      </c>
      <c r="C29" s="71">
        <f>""</f>
        <v/>
      </c>
      <c r="D29" s="71">
        <f>"spring_fish_nat_ntolptax|"&amp;'Metrics'!$C$29</f>
        <v/>
      </c>
      <c r="E29" s="71">
        <f>IFERROR(MATCH('Metrics'!$D$29,curve_key,0),MATCH("spring_fish_nat_ntolptax|",curve_key,0))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Shannon diversity (H')</t>
        </is>
      </c>
      <c r="B30" s="71">
        <f>IF('DEEP Score'!$E$44="","",'DEEP Score'!$E$44)</f>
        <v/>
      </c>
      <c r="C30" s="71">
        <f>""</f>
        <v/>
      </c>
      <c r="D30" s="71">
        <f>"spring_bent_hprime|"&amp;'Metrics'!$C$30</f>
        <v/>
      </c>
      <c r="E30" s="71">
        <f>IFERROR(MATCH('Metrics'!$D$30,curve_key,0),MATCH("spring_bent_hprime|",curve_key,0))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Tolerant individuals (%) ~ HBI</t>
        </is>
      </c>
      <c r="B31" s="71">
        <f>IF('DEEP Score'!$E$45="","",'DEEP Score'!$E$45)</f>
        <v/>
      </c>
      <c r="C31" s="71">
        <f>""</f>
        <v/>
      </c>
      <c r="D31" s="71">
        <f>"spring_bent_tolrpind|"&amp;'Metrics'!$C$31</f>
        <v/>
      </c>
      <c r="E31" s="71">
        <f>IFERROR(MATCH('Metrics'!$D$31,curve_key,0),MATCH("spring_bent_tolrpind|",curve_key,0))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70" t="inlineStr">
        <is>
          <t>Mapped dams within one mile</t>
        </is>
      </c>
      <c r="B32" s="71">
        <f>IF('DEEP Score'!$E$46="","",'DEEP Score'!$E$46)</f>
        <v/>
      </c>
      <c r="C32" s="71">
        <f>""</f>
        <v/>
      </c>
      <c r="D32" s="71">
        <f>"spring_nid_dams_1mi|"&amp;'Metrics'!$C$32</f>
        <v/>
      </c>
      <c r="E32" s="71">
        <f>IFERROR(MATCH('Metrics'!$D$32,curve_key,0),MATCH("spring_nid_dams_1mi|",curve_key,0))</f>
        <v/>
      </c>
      <c r="F32" s="71">
        <f>INDEX(curve_x1,'Metrics'!$E$32)</f>
        <v/>
      </c>
      <c r="G32" s="71">
        <f>INDEX(curve_x2,'Metrics'!$E$32)</f>
        <v/>
      </c>
      <c r="H32" s="71">
        <f>INDEX(curve_x3,'Metrics'!$E$32)</f>
        <v/>
      </c>
      <c r="I32" s="71">
        <f>INDEX(curve_x4,'Metrics'!$E$32)</f>
        <v/>
      </c>
      <c r="J32" s="71">
        <f>INDEX(curve_x5,'Metrics'!$E$32)</f>
        <v/>
      </c>
      <c r="K32" s="71">
        <f>INDEX(curve_x6,'Metrics'!$E$32)</f>
        <v/>
      </c>
      <c r="L32" s="71">
        <f>INDEX(curve_x7,'Metrics'!$E$32)</f>
        <v/>
      </c>
      <c r="M32" s="71">
        <f>INDEX(curve_x8,'Metrics'!$E$32)</f>
        <v/>
      </c>
      <c r="N32" s="71">
        <f>INDEX(curve_y1,'Metrics'!$E$32)</f>
        <v/>
      </c>
      <c r="O32" s="71">
        <f>INDEX(curve_y2,'Metrics'!$E$32)</f>
        <v/>
      </c>
      <c r="P32" s="71">
        <f>INDEX(curve_y3,'Metrics'!$E$32)</f>
        <v/>
      </c>
      <c r="Q32" s="71">
        <f>INDEX(curve_y4,'Metrics'!$E$32)</f>
        <v/>
      </c>
      <c r="R32" s="71">
        <f>INDEX(curve_y5,'Metrics'!$E$32)</f>
        <v/>
      </c>
      <c r="S32" s="71">
        <f>INDEX(curve_y6,'Metrics'!$E$32)</f>
        <v/>
      </c>
      <c r="T32" s="71">
        <f>INDEX(curve_y7,'Metrics'!$E$32)</f>
        <v/>
      </c>
      <c r="U32" s="71">
        <f>INDEX(curve_y8,'Metrics'!$E$32)</f>
        <v/>
      </c>
      <c r="V32" s="72">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Score'!G40:G41)=0,"",SUM('DEEP Score'!G40:G41)/COUNT('DEEP Score'!G40:G41)*15)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Score'!G42:G43)=0,"",SUM('DEEP Score'!G42:G43)/COUNT('DEEP Score'!G42:G43)*15)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Score'!G44:G45)=0,"",SUM('DEEP Score'!G44:G45)/COUNT('DEEP Score'!G44:G45)*15)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Score'!G46:G46)=0,"",SUM('DEEP Score'!G46:G46)/COUNT('DEEP Score'!G46:G46)*15)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70" t="n">
        <v>0</v>
      </c>
      <c r="H7" s="70" t="n">
        <v>2.94</v>
      </c>
      <c r="I7" s="70" t="n">
        <v>6.859999999999999</v>
      </c>
      <c r="J7" s="70" t="n">
        <v>16.83</v>
      </c>
      <c r="K7" s="70" t="n">
        <v>21.815</v>
      </c>
      <c r="L7" s="70" t="n">
        <v>21.815</v>
      </c>
      <c r="M7" s="70" t="n">
        <v>21.815</v>
      </c>
      <c r="N7" s="70" t="n">
        <v>21.815</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70" t="n">
        <v>0</v>
      </c>
      <c r="H8" s="70" t="n">
        <v>3.471428571428571</v>
      </c>
      <c r="I8" s="70" t="n">
        <v>8.1</v>
      </c>
      <c r="J8" s="70" t="n">
        <v>16.61</v>
      </c>
      <c r="K8" s="70" t="n">
        <v>20.865</v>
      </c>
      <c r="L8" s="70" t="n">
        <v>20.865</v>
      </c>
      <c r="M8" s="70" t="n">
        <v>20.865</v>
      </c>
      <c r="N8" s="70" t="n">
        <v>20.865</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70" t="n">
        <v>0</v>
      </c>
      <c r="H9" s="70" t="n">
        <v>3.458571428571429</v>
      </c>
      <c r="I9" s="70" t="n">
        <v>8.07</v>
      </c>
      <c r="J9" s="70" t="n">
        <v>18.795</v>
      </c>
      <c r="K9" s="70" t="n">
        <v>24.1575</v>
      </c>
      <c r="L9" s="70" t="n">
        <v>24.1575</v>
      </c>
      <c r="M9" s="70" t="n">
        <v>24.1575</v>
      </c>
      <c r="N9" s="70" t="n">
        <v>24.1575</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14 least-disturbed streams of this ecoregion under the regional screen (agriculture at most 25 percent)</t>
        </is>
      </c>
      <c r="G11" s="70" t="n">
        <v>0</v>
      </c>
      <c r="H11" s="70" t="n">
        <v>22.34043214285714</v>
      </c>
      <c r="I11" s="70" t="n">
        <v>52.127675</v>
      </c>
      <c r="J11" s="70" t="n">
        <v>63.96485</v>
      </c>
      <c r="K11" s="70" t="n">
        <v>69.8834375</v>
      </c>
      <c r="L11" s="70" t="n">
        <v>69.8834375</v>
      </c>
      <c r="M11" s="70" t="n">
        <v>69.8834375</v>
      </c>
      <c r="N11" s="70" t="n">
        <v>69.8834375</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spring_phab_bfwd_rat|All streams (pooled)</t>
        </is>
      </c>
      <c r="B13" s="70" t="inlineStr">
        <is>
          <t>spring-phab-bfwd-rat</t>
        </is>
      </c>
      <c r="C13" s="70" t="inlineStr">
        <is>
          <t>Bankfull width:depth ratio</t>
        </is>
      </c>
      <c r="D13" s="70" t="inlineStr">
        <is>
          <t>All streams (pooled)</t>
        </is>
      </c>
      <c r="E13" s="70" t="n">
        <v>7</v>
      </c>
      <c r="F13"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70" t="n">
        <v>0</v>
      </c>
      <c r="H13" s="70" t="n">
        <v>5.505919766426087</v>
      </c>
      <c r="I13" s="70" t="n">
        <v>8.822371006011963</v>
      </c>
      <c r="J13" s="70" t="n">
        <v>18.29794597625732</v>
      </c>
      <c r="K13" s="70" t="n">
        <v>21.6143972158432</v>
      </c>
      <c r="L13" s="70" t="n">
        <v>27.77352094650269</v>
      </c>
      <c r="M13" s="70" t="n">
        <v>37.24909591674805</v>
      </c>
      <c r="N13" s="70" t="n">
        <v>37.24909591674805</v>
      </c>
      <c r="O13" s="70" t="n">
        <v>0</v>
      </c>
      <c r="P13" s="70" t="n">
        <v>0.7</v>
      </c>
      <c r="Q13" s="70" t="n">
        <v>1</v>
      </c>
      <c r="R13" s="70" t="n">
        <v>1</v>
      </c>
      <c r="S13" s="70" t="n">
        <v>0.7</v>
      </c>
      <c r="T13" s="70" t="n">
        <v>0.3</v>
      </c>
      <c r="U13" s="70" t="n">
        <v>0</v>
      </c>
      <c r="V13" s="70" t="n">
        <v>0</v>
      </c>
    </row>
    <row r="14">
      <c r="A14" s="70" t="inlineStr">
        <is>
          <t>spring_phab_bfwd_rat|Headwater (10 km2 and under)</t>
        </is>
      </c>
      <c r="B14" s="70" t="inlineStr">
        <is>
          <t>spring-phab-bfwd-rat</t>
        </is>
      </c>
      <c r="C14" s="70" t="inlineStr">
        <is>
          <t>Bankfull width:depth ratio</t>
        </is>
      </c>
      <c r="D14" s="70" t="inlineStr">
        <is>
          <t>Headwater (10 km2 and under)</t>
        </is>
      </c>
      <c r="E14" s="70" t="n">
        <v>7</v>
      </c>
      <c r="F14"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70" t="n">
        <v>0</v>
      </c>
      <c r="H14" s="70" t="n">
        <v>4.332704830169678</v>
      </c>
      <c r="I14" s="70" t="n">
        <v>6.783554315567017</v>
      </c>
      <c r="J14" s="70" t="n">
        <v>13.78598141670227</v>
      </c>
      <c r="K14" s="70" t="n">
        <v>16.23683090209961</v>
      </c>
      <c r="L14" s="70" t="n">
        <v>20.78840851783752</v>
      </c>
      <c r="M14" s="70" t="n">
        <v>27.79083561897278</v>
      </c>
      <c r="N14" s="70" t="n">
        <v>27.79083561897278</v>
      </c>
      <c r="O14" s="70" t="n">
        <v>0</v>
      </c>
      <c r="P14" s="70" t="n">
        <v>0.7</v>
      </c>
      <c r="Q14" s="70" t="n">
        <v>1</v>
      </c>
      <c r="R14" s="70" t="n">
        <v>1</v>
      </c>
      <c r="S14" s="70" t="n">
        <v>0.7</v>
      </c>
      <c r="T14" s="70" t="n">
        <v>0.3</v>
      </c>
      <c r="U14" s="70" t="n">
        <v>0</v>
      </c>
      <c r="V14" s="70" t="n">
        <v>0</v>
      </c>
    </row>
    <row r="15">
      <c r="A15" s="70" t="inlineStr">
        <is>
          <t>spring_phab_bfwd_rat|Small stream (10 to 100 km2)</t>
        </is>
      </c>
      <c r="B15" s="70" t="inlineStr">
        <is>
          <t>spring-phab-bfwd-rat</t>
        </is>
      </c>
      <c r="C15" s="70" t="inlineStr">
        <is>
          <t>Bankfull width:depth ratio</t>
        </is>
      </c>
      <c r="D15" s="70" t="inlineStr">
        <is>
          <t>Small stream (10 to 100 km2)</t>
        </is>
      </c>
      <c r="E15" s="70" t="n">
        <v>8</v>
      </c>
      <c r="F15"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70" t="n">
        <v>0</v>
      </c>
      <c r="H15" s="70" t="n">
        <v>2.959388256072998</v>
      </c>
      <c r="I15" s="70" t="n">
        <v>7.536901533603668</v>
      </c>
      <c r="J15" s="70" t="n">
        <v>10.00171637535095</v>
      </c>
      <c r="K15" s="70" t="n">
        <v>17.04404449462891</v>
      </c>
      <c r="L15" s="70" t="n">
        <v>19.50885933637619</v>
      </c>
      <c r="M15" s="70" t="n">
        <v>24.08637261390686</v>
      </c>
      <c r="N15" s="70" t="n">
        <v>31.12870073318481</v>
      </c>
      <c r="O15" s="70" t="n">
        <v>0</v>
      </c>
      <c r="P15" s="70" t="n">
        <v>0.3</v>
      </c>
      <c r="Q15" s="70" t="n">
        <v>0.7</v>
      </c>
      <c r="R15" s="70" t="n">
        <v>1</v>
      </c>
      <c r="S15" s="70" t="n">
        <v>1</v>
      </c>
      <c r="T15" s="70" t="n">
        <v>0.7</v>
      </c>
      <c r="U15" s="70" t="n">
        <v>0.3</v>
      </c>
      <c r="V15" s="70" t="n">
        <v>0</v>
      </c>
    </row>
    <row r="16">
      <c r="A16" s="70" t="inlineStr">
        <is>
          <t>spring_phab_bfwd_rat|Large stream (over 100 km2)</t>
        </is>
      </c>
      <c r="B16" s="70" t="inlineStr">
        <is>
          <t>spring-phab-bfwd-rat</t>
        </is>
      </c>
      <c r="C16" s="70" t="inlineStr">
        <is>
          <t>Bankfull width:depth ratio</t>
        </is>
      </c>
      <c r="D16" s="70" t="inlineStr">
        <is>
          <t>Large stream (over 100 km2)</t>
        </is>
      </c>
      <c r="E16" s="70" t="n">
        <v>7</v>
      </c>
      <c r="F16"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70" t="n">
        <v>0</v>
      </c>
      <c r="H16" s="70" t="n">
        <v>7.353948032855988</v>
      </c>
      <c r="I16" s="70" t="n">
        <v>12.69133830070496</v>
      </c>
      <c r="J16" s="70" t="n">
        <v>27.94102478027344</v>
      </c>
      <c r="K16" s="70" t="n">
        <v>33.2784150481224</v>
      </c>
      <c r="L16" s="70" t="n">
        <v>43.19071125984192</v>
      </c>
      <c r="M16" s="70" t="n">
        <v>58.4403977394104</v>
      </c>
      <c r="N16" s="70" t="n">
        <v>58.4403977394104</v>
      </c>
      <c r="O16" s="70" t="n">
        <v>0</v>
      </c>
      <c r="P16" s="70" t="n">
        <v>0.7</v>
      </c>
      <c r="Q16" s="70" t="n">
        <v>1</v>
      </c>
      <c r="R16" s="70" t="n">
        <v>1</v>
      </c>
      <c r="S16" s="70" t="n">
        <v>0.7</v>
      </c>
      <c r="T16" s="70" t="n">
        <v>0.3</v>
      </c>
      <c r="U16" s="70" t="n">
        <v>0</v>
      </c>
      <c r="V16" s="70" t="n">
        <v>0</v>
      </c>
    </row>
    <row r="17">
      <c r="A17" s="70" t="inlineStr">
        <is>
          <t>spring_phab_xbkf_h|All streams (pooled)</t>
        </is>
      </c>
      <c r="B17" s="70" t="inlineStr">
        <is>
          <t>spring-phab-xbkf-h</t>
        </is>
      </c>
      <c r="C17" s="70" t="inlineStr">
        <is>
          <t>Bankfull height above channel</t>
        </is>
      </c>
      <c r="D17" s="70" t="inlineStr">
        <is>
          <t>All streams (pooled)</t>
        </is>
      </c>
      <c r="E17" s="70" t="n">
        <v>7</v>
      </c>
      <c r="F17"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70" t="n">
        <v>0</v>
      </c>
      <c r="H17" s="70" t="n">
        <v>0.09521477445960046</v>
      </c>
      <c r="I17" s="70" t="n">
        <v>0.2000000029802322</v>
      </c>
      <c r="J17" s="70" t="n">
        <v>0.4993863701820374</v>
      </c>
      <c r="K17" s="70" t="n">
        <v>0.6041715987026691</v>
      </c>
      <c r="L17" s="70" t="n">
        <v>0.7987727373838425</v>
      </c>
      <c r="M17" s="70" t="n">
        <v>1.098159104585648</v>
      </c>
      <c r="N17" s="70" t="n">
        <v>1.098159104585648</v>
      </c>
      <c r="O17" s="70" t="n">
        <v>0</v>
      </c>
      <c r="P17" s="70" t="n">
        <v>0.7</v>
      </c>
      <c r="Q17" s="70" t="n">
        <v>1</v>
      </c>
      <c r="R17" s="70" t="n">
        <v>1</v>
      </c>
      <c r="S17" s="70" t="n">
        <v>0.7</v>
      </c>
      <c r="T17" s="70" t="n">
        <v>0.3</v>
      </c>
      <c r="U17" s="70" t="n">
        <v>0</v>
      </c>
      <c r="V17" s="70" t="n">
        <v>0</v>
      </c>
    </row>
    <row r="18">
      <c r="A18" s="70" t="inlineStr">
        <is>
          <t>spring_phab_xbkf_h|Headwater (10 km2 and under)</t>
        </is>
      </c>
      <c r="B18" s="70" t="inlineStr">
        <is>
          <t>spring-phab-xbkf-h</t>
        </is>
      </c>
      <c r="C18" s="70" t="inlineStr">
        <is>
          <t>Bankfull height above channel</t>
        </is>
      </c>
      <c r="D18" s="70" t="inlineStr">
        <is>
          <t>Headwater (10 km2 and under)</t>
        </is>
      </c>
      <c r="E18" s="70" t="n">
        <v>8</v>
      </c>
      <c r="F18"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70" t="n">
        <v>0</v>
      </c>
      <c r="H18" s="70" t="n">
        <v>0.05522727966308594</v>
      </c>
      <c r="I18" s="70" t="n">
        <v>0.1506590940058231</v>
      </c>
      <c r="J18" s="70" t="n">
        <v>0.2020454555749893</v>
      </c>
      <c r="K18" s="70" t="n">
        <v>0.3488636314868927</v>
      </c>
      <c r="L18" s="70" t="n">
        <v>0.4002499930560589</v>
      </c>
      <c r="M18" s="70" t="n">
        <v>0.4956818073987961</v>
      </c>
      <c r="N18" s="70" t="n">
        <v>0.6424999833106995</v>
      </c>
      <c r="O18" s="70" t="n">
        <v>0</v>
      </c>
      <c r="P18" s="70" t="n">
        <v>0.3</v>
      </c>
      <c r="Q18" s="70" t="n">
        <v>0.7</v>
      </c>
      <c r="R18" s="70" t="n">
        <v>1</v>
      </c>
      <c r="S18" s="70" t="n">
        <v>1</v>
      </c>
      <c r="T18" s="70" t="n">
        <v>0.7</v>
      </c>
      <c r="U18" s="70" t="n">
        <v>0.3</v>
      </c>
      <c r="V18" s="70" t="n">
        <v>0</v>
      </c>
    </row>
    <row r="19">
      <c r="A19" s="70" t="inlineStr">
        <is>
          <t>spring_phab_xbkf_h|Small stream (10 to 100 km2)</t>
        </is>
      </c>
      <c r="B19" s="70" t="inlineStr">
        <is>
          <t>spring-phab-xbkf-h</t>
        </is>
      </c>
      <c r="C19" s="70" t="inlineStr">
        <is>
          <t>Bankfull height above channel</t>
        </is>
      </c>
      <c r="D19" s="70" t="inlineStr">
        <is>
          <t>Small stream (10 to 100 km2)</t>
        </is>
      </c>
      <c r="E19" s="70" t="n">
        <v>7</v>
      </c>
      <c r="F19"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70" t="n">
        <v>0</v>
      </c>
      <c r="H19" s="70" t="n">
        <v>0.06723863277584315</v>
      </c>
      <c r="I19" s="70" t="n">
        <v>0.1522727273404598</v>
      </c>
      <c r="J19" s="70" t="n">
        <v>0.3952272832393646</v>
      </c>
      <c r="K19" s="70" t="n">
        <v>0.4802613778039813</v>
      </c>
      <c r="L19" s="70" t="n">
        <v>0.6381818391382694</v>
      </c>
      <c r="M19" s="70" t="n">
        <v>0.8811363950371742</v>
      </c>
      <c r="N19" s="70" t="n">
        <v>0.8811363950371742</v>
      </c>
      <c r="O19" s="70" t="n">
        <v>0</v>
      </c>
      <c r="P19" s="70" t="n">
        <v>0.7</v>
      </c>
      <c r="Q19" s="70" t="n">
        <v>1</v>
      </c>
      <c r="R19" s="70" t="n">
        <v>1</v>
      </c>
      <c r="S19" s="70" t="n">
        <v>0.7</v>
      </c>
      <c r="T19" s="70" t="n">
        <v>0.3</v>
      </c>
      <c r="U19" s="70" t="n">
        <v>0</v>
      </c>
      <c r="V19" s="70" t="n">
        <v>0</v>
      </c>
    </row>
    <row r="20">
      <c r="A20" s="70" t="inlineStr">
        <is>
          <t>spring_phab_xbkf_h|Large stream (over 100 km2)</t>
        </is>
      </c>
      <c r="B20" s="70" t="inlineStr">
        <is>
          <t>spring-phab-xbkf-h</t>
        </is>
      </c>
      <c r="C20" s="70" t="inlineStr">
        <is>
          <t>Bankfull height above channel</t>
        </is>
      </c>
      <c r="D20" s="70" t="inlineStr">
        <is>
          <t>Large stream (over 100 km2)</t>
        </is>
      </c>
      <c r="E20" s="70" t="n">
        <v>7</v>
      </c>
      <c r="F20" s="70"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70" t="n">
        <v>0</v>
      </c>
      <c r="H20" s="70" t="n">
        <v>0.1906590856611729</v>
      </c>
      <c r="I20" s="70" t="n">
        <v>0.3486363589763641</v>
      </c>
      <c r="J20" s="70" t="n">
        <v>0.7999999970197678</v>
      </c>
      <c r="K20" s="70" t="n">
        <v>0.9579772703349591</v>
      </c>
      <c r="L20" s="70" t="n">
        <v>1.251363635063171</v>
      </c>
      <c r="M20" s="70" t="n">
        <v>1.702727273106575</v>
      </c>
      <c r="N20" s="70" t="n">
        <v>1.702727273106575</v>
      </c>
      <c r="O20" s="70" t="n">
        <v>0</v>
      </c>
      <c r="P20" s="70" t="n">
        <v>0.7</v>
      </c>
      <c r="Q20" s="70" t="n">
        <v>1</v>
      </c>
      <c r="R20" s="70" t="n">
        <v>1</v>
      </c>
      <c r="S20" s="70" t="n">
        <v>0.7</v>
      </c>
      <c r="T20" s="70" t="n">
        <v>0.3</v>
      </c>
      <c r="U20" s="70" t="n">
        <v>0</v>
      </c>
      <c r="V20" s="70" t="n">
        <v>0</v>
      </c>
    </row>
    <row r="21">
      <c r="A21" s="70" t="inlineStr">
        <is>
          <t>spring_phab_pct_safn|</t>
        </is>
      </c>
      <c r="B21" s="70" t="inlineStr">
        <is>
          <t>spring-phab-pct-safn</t>
        </is>
      </c>
      <c r="C21" s="70" t="inlineStr">
        <is>
          <t>Sand + fines</t>
        </is>
      </c>
      <c r="D21" s="70" t="inlineStr"/>
      <c r="E21" s="70" t="n">
        <v>4</v>
      </c>
      <c r="F21" s="70" t="inlineStr">
        <is>
          <t>64 least-disturbed stations borrowed from Level II ecoregion 8.1 (Mixed Wood Plains) under the regional screen (agriculture at most 25 percent), transfer risk low</t>
        </is>
      </c>
      <c r="G21" s="70" t="n">
        <v>0</v>
      </c>
      <c r="H21" s="70" t="n">
        <v>9.88095235824585</v>
      </c>
      <c r="I21" s="70" t="n">
        <v>85.96154022216797</v>
      </c>
      <c r="J21" s="70" t="n">
        <v>100</v>
      </c>
      <c r="K21" s="70" t="n">
        <v>100</v>
      </c>
      <c r="L21" s="70" t="n">
        <v>100</v>
      </c>
      <c r="M21" s="70" t="n">
        <v>100</v>
      </c>
      <c r="N21" s="70" t="n">
        <v>100</v>
      </c>
      <c r="O21" s="70" t="n">
        <v>1</v>
      </c>
      <c r="P21" s="70" t="n">
        <v>1</v>
      </c>
      <c r="Q21" s="70" t="n">
        <v>0.7</v>
      </c>
      <c r="R21" s="70" t="n">
        <v>0</v>
      </c>
      <c r="S21" s="70" t="n">
        <v>0</v>
      </c>
      <c r="T21" s="70" t="n">
        <v>0</v>
      </c>
      <c r="U21" s="70" t="n">
        <v>0</v>
      </c>
      <c r="V21" s="70" t="n">
        <v>0</v>
      </c>
    </row>
    <row r="22">
      <c r="A22" s="70" t="inlineStr">
        <is>
          <t>spring_phab_xembed|</t>
        </is>
      </c>
      <c r="B22" s="70" t="inlineStr">
        <is>
          <t>spring-phab-xembed</t>
        </is>
      </c>
      <c r="C22" s="70" t="inlineStr">
        <is>
          <t>Embeddedness</t>
        </is>
      </c>
      <c r="D22" s="70" t="inlineStr"/>
      <c r="E22" s="70" t="n">
        <v>4</v>
      </c>
      <c r="F22" s="70" t="inlineStr">
        <is>
          <t>50 least-disturbed stations borrowed from Level II ecoregion 8.1 (Mixed Wood Plains) under the regional screen (agriculture at most 25 percent), transfer risk low</t>
        </is>
      </c>
      <c r="G22" s="70" t="n">
        <v>0</v>
      </c>
      <c r="H22" s="70" t="n">
        <v>28.04545450210571</v>
      </c>
      <c r="I22" s="70" t="n">
        <v>84.36363792419434</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spring_phab_sinu|</t>
        </is>
      </c>
      <c r="B23" s="70" t="inlineStr">
        <is>
          <t>spring-phab-sinu</t>
        </is>
      </c>
      <c r="C23" s="70" t="inlineStr">
        <is>
          <t>Sinuosity</t>
        </is>
      </c>
      <c r="D23" s="70" t="inlineStr"/>
      <c r="E23" s="70" t="n">
        <v>4</v>
      </c>
      <c r="F23" s="70" t="inlineStr">
        <is>
          <t>49 least-disturbed stations borrowed from Level II ecoregion 8.1 (Mixed Wood Plains) under the regional screen (agriculture at most 25 percent), transfer risk moderate</t>
        </is>
      </c>
      <c r="G23" s="70" t="n">
        <v>1</v>
      </c>
      <c r="H23" s="70" t="n">
        <v>1.086560845375061</v>
      </c>
      <c r="I23" s="70" t="n">
        <v>1.255302548408508</v>
      </c>
      <c r="J23" s="70" t="n">
        <v>1.339673399925232</v>
      </c>
      <c r="K23" s="70" t="n">
        <v>1.339673399925232</v>
      </c>
      <c r="L23" s="70" t="n">
        <v>1.339673399925232</v>
      </c>
      <c r="M23" s="70" t="n">
        <v>1.339673399925232</v>
      </c>
      <c r="N23" s="70" t="n">
        <v>1.339673399925232</v>
      </c>
      <c r="O23" s="70" t="n">
        <v>0</v>
      </c>
      <c r="P23" s="70" t="n">
        <v>0.7</v>
      </c>
      <c r="Q23" s="70" t="n">
        <v>1</v>
      </c>
      <c r="R23" s="70" t="n">
        <v>1</v>
      </c>
      <c r="S23" s="70" t="n">
        <v>1</v>
      </c>
      <c r="T23" s="70" t="n">
        <v>1</v>
      </c>
      <c r="U23" s="70" t="n">
        <v>1</v>
      </c>
      <c r="V23" s="70" t="n">
        <v>1</v>
      </c>
    </row>
    <row r="24">
      <c r="A24" s="70" t="inlineStr">
        <is>
          <t>spring_phab_xbka|</t>
        </is>
      </c>
      <c r="B24" s="70" t="inlineStr">
        <is>
          <t>spring-phab-xbka</t>
        </is>
      </c>
      <c r="C24" s="70" t="inlineStr">
        <is>
          <t>Bank angle</t>
        </is>
      </c>
      <c r="D24" s="70" t="inlineStr"/>
      <c r="E24" s="70" t="n">
        <v>7</v>
      </c>
      <c r="F24" s="70" t="inlineStr">
        <is>
          <t>127 least-disturbed stations borrowed from NARS-9 region NAP under the regional screen (agriculture at most 25 percent), transfer risk moderate</t>
        </is>
      </c>
      <c r="G24" s="70" t="n">
        <v>0</v>
      </c>
      <c r="H24" s="70" t="n">
        <v>14.90625023841858</v>
      </c>
      <c r="I24" s="70" t="n">
        <v>22.77272701263428</v>
      </c>
      <c r="J24" s="70" t="n">
        <v>45.24837493896484</v>
      </c>
      <c r="K24" s="70" t="n">
        <v>53.11485171318054</v>
      </c>
      <c r="L24" s="70" t="n">
        <v>67.72402286529541</v>
      </c>
      <c r="M24" s="70" t="n">
        <v>90.19967079162598</v>
      </c>
      <c r="N24" s="70" t="n">
        <v>90.19967079162598</v>
      </c>
      <c r="O24" s="70" t="n">
        <v>0.7</v>
      </c>
      <c r="P24" s="70" t="n">
        <v>0.7</v>
      </c>
      <c r="Q24" s="70" t="n">
        <v>1</v>
      </c>
      <c r="R24" s="70" t="n">
        <v>1</v>
      </c>
      <c r="S24" s="70" t="n">
        <v>0.7</v>
      </c>
      <c r="T24" s="70" t="n">
        <v>0.3</v>
      </c>
      <c r="U24" s="70" t="n">
        <v>0</v>
      </c>
      <c r="V24" s="70" t="n">
        <v>0</v>
      </c>
    </row>
    <row r="25">
      <c r="A25" s="70" t="inlineStr">
        <is>
          <t>spring_phab_lrbs_use|All streams (pooled)</t>
        </is>
      </c>
      <c r="B25" s="70" t="inlineStr">
        <is>
          <t>spring-phab-lrbs-use</t>
        </is>
      </c>
      <c r="C25" s="70" t="inlineStr">
        <is>
          <t>Relative bed stability</t>
        </is>
      </c>
      <c r="D25" s="70" t="inlineStr">
        <is>
          <t>All streams (pooled)</t>
        </is>
      </c>
      <c r="E25" s="70" t="n">
        <v>8</v>
      </c>
      <c r="F25" s="70" t="inlineStr">
        <is>
          <t>66 least-disturbed stations borrowed from Level I ecoregion 8 (Eastern Temperate Forests) under the regional screen (agriculture at most 25 percent), transfer risk high</t>
        </is>
      </c>
      <c r="G25" s="70" t="n">
        <v>-3.788500308990479</v>
      </c>
      <c r="H25" s="70" t="n">
        <v>-2.449740171432495</v>
      </c>
      <c r="I25" s="70" t="n">
        <v>-1.579546082019806</v>
      </c>
      <c r="J25" s="70" t="n">
        <v>-1.110980033874512</v>
      </c>
      <c r="K25" s="70" t="n">
        <v>0.2277801036834717</v>
      </c>
      <c r="L25" s="70" t="n">
        <v>0.6963461518287659</v>
      </c>
      <c r="M25" s="70" t="n">
        <v>1.566540241241455</v>
      </c>
      <c r="N25" s="70" t="n">
        <v>2.905300378799438</v>
      </c>
      <c r="O25" s="70" t="n">
        <v>0</v>
      </c>
      <c r="P25" s="70" t="n">
        <v>0.3</v>
      </c>
      <c r="Q25" s="70" t="n">
        <v>0.7</v>
      </c>
      <c r="R25" s="70" t="n">
        <v>1</v>
      </c>
      <c r="S25" s="70" t="n">
        <v>1</v>
      </c>
      <c r="T25" s="70" t="n">
        <v>0.7</v>
      </c>
      <c r="U25" s="70" t="n">
        <v>0.3</v>
      </c>
      <c r="V25" s="70" t="n">
        <v>0</v>
      </c>
    </row>
    <row r="26">
      <c r="A26" s="70" t="inlineStr">
        <is>
          <t>spring_phab_lrbs_use|Headwater (10 km2 and under)</t>
        </is>
      </c>
      <c r="B26" s="70" t="inlineStr">
        <is>
          <t>spring-phab-lrbs-use</t>
        </is>
      </c>
      <c r="C26" s="70" t="inlineStr">
        <is>
          <t>Relative bed stability</t>
        </is>
      </c>
      <c r="D26" s="70" t="inlineStr">
        <is>
          <t>Headwater (10 km2 and under)</t>
        </is>
      </c>
      <c r="E26" s="70" t="n">
        <v>8</v>
      </c>
      <c r="F26" s="70" t="inlineStr">
        <is>
          <t>66 least-disturbed stations borrowed from Level I ecoregion 8 (Eastern Temperate Forests) under the regional screen (agriculture at most 25 percent), transfer risk high</t>
        </is>
      </c>
      <c r="G26" s="70" t="n">
        <v>-3.625340595841408</v>
      </c>
      <c r="H26" s="70" t="n">
        <v>-2.508888445794582</v>
      </c>
      <c r="I26" s="70" t="n">
        <v>-1.783194548264146</v>
      </c>
      <c r="J26" s="70" t="n">
        <v>-1.392436295747757</v>
      </c>
      <c r="K26" s="70" t="n">
        <v>-0.2759841457009315</v>
      </c>
      <c r="L26" s="70" t="n">
        <v>0.1147741068154573</v>
      </c>
      <c r="M26" s="70" t="n">
        <v>0.8404680043458939</v>
      </c>
      <c r="N26" s="70" t="n">
        <v>1.956920154392719</v>
      </c>
      <c r="O26" s="70" t="n">
        <v>0</v>
      </c>
      <c r="P26" s="70" t="n">
        <v>0.3</v>
      </c>
      <c r="Q26" s="70" t="n">
        <v>0.7</v>
      </c>
      <c r="R26" s="70" t="n">
        <v>1</v>
      </c>
      <c r="S26" s="70" t="n">
        <v>1</v>
      </c>
      <c r="T26" s="70" t="n">
        <v>0.7</v>
      </c>
      <c r="U26" s="70" t="n">
        <v>0.3</v>
      </c>
      <c r="V26" s="70" t="n">
        <v>0</v>
      </c>
    </row>
    <row r="27">
      <c r="A27" s="70" t="inlineStr">
        <is>
          <t>spring_phab_lrbs_use|Small stream (10 to 100 km2)</t>
        </is>
      </c>
      <c r="B27" s="70" t="inlineStr">
        <is>
          <t>spring-phab-lrbs-use</t>
        </is>
      </c>
      <c r="C27" s="70" t="inlineStr">
        <is>
          <t>Relative bed stability</t>
        </is>
      </c>
      <c r="D27" s="70" t="inlineStr">
        <is>
          <t>Small stream (10 to 100 km2)</t>
        </is>
      </c>
      <c r="E27" s="70" t="n">
        <v>8</v>
      </c>
      <c r="F27" s="70" t="inlineStr">
        <is>
          <t>66 least-disturbed stations borrowed from Level I ecoregion 8 (Eastern Temperate Forests) under the regional screen (agriculture at most 25 percent), transfer risk high</t>
        </is>
      </c>
      <c r="G27" s="70" t="n">
        <v>-3.370580289512873</v>
      </c>
      <c r="H27" s="70" t="n">
        <v>-2.186754794791341</v>
      </c>
      <c r="I27" s="70" t="n">
        <v>-1.417268223222345</v>
      </c>
      <c r="J27" s="70" t="n">
        <v>-1.002929300069809</v>
      </c>
      <c r="K27" s="70" t="n">
        <v>0.1808961946517229</v>
      </c>
      <c r="L27" s="70" t="n">
        <v>0.595235117804259</v>
      </c>
      <c r="M27" s="70" t="n">
        <v>1.364721689373255</v>
      </c>
      <c r="N27" s="70" t="n">
        <v>2.548547184094787</v>
      </c>
      <c r="O27" s="70" t="n">
        <v>0</v>
      </c>
      <c r="P27" s="70" t="n">
        <v>0.3</v>
      </c>
      <c r="Q27" s="70" t="n">
        <v>0.7</v>
      </c>
      <c r="R27" s="70" t="n">
        <v>1</v>
      </c>
      <c r="S27" s="70" t="n">
        <v>1</v>
      </c>
      <c r="T27" s="70" t="n">
        <v>0.7</v>
      </c>
      <c r="U27" s="70" t="n">
        <v>0.3</v>
      </c>
      <c r="V27" s="70" t="n">
        <v>0</v>
      </c>
    </row>
    <row r="28">
      <c r="A28" s="70" t="inlineStr">
        <is>
          <t>spring_phab_lrbs_use|Large stream (over 100 km2)</t>
        </is>
      </c>
      <c r="B28" s="70" t="inlineStr">
        <is>
          <t>spring-phab-lrbs-use</t>
        </is>
      </c>
      <c r="C28" s="70" t="inlineStr">
        <is>
          <t>Relative bed stability</t>
        </is>
      </c>
      <c r="D28" s="70" t="inlineStr">
        <is>
          <t>Large stream (over 100 km2)</t>
        </is>
      </c>
      <c r="E28" s="70" t="n">
        <v>8</v>
      </c>
      <c r="F28" s="70" t="inlineStr">
        <is>
          <t>66 least-disturbed stations borrowed from Level I ecoregion 8 (Eastern Temperate Forests) under the regional screen (agriculture at most 25 percent), transfer risk high</t>
        </is>
      </c>
      <c r="G28" s="70" t="n">
        <v>-3.76850526034832</v>
      </c>
      <c r="H28" s="70" t="n">
        <v>-2.328000143170357</v>
      </c>
      <c r="I28" s="70" t="n">
        <v>-1.39167181700468</v>
      </c>
      <c r="J28" s="70" t="n">
        <v>-0.8874950259923935</v>
      </c>
      <c r="K28" s="70" t="n">
        <v>0.5530100911855698</v>
      </c>
      <c r="L28" s="70" t="n">
        <v>1.057186882197857</v>
      </c>
      <c r="M28" s="70" t="n">
        <v>1.993515208363533</v>
      </c>
      <c r="N28" s="70" t="n">
        <v>3.434020325541496</v>
      </c>
      <c r="O28" s="70" t="n">
        <v>0</v>
      </c>
      <c r="P28" s="70" t="n">
        <v>0.3</v>
      </c>
      <c r="Q28" s="70" t="n">
        <v>0.7</v>
      </c>
      <c r="R28" s="70" t="n">
        <v>1</v>
      </c>
      <c r="S28" s="70" t="n">
        <v>1</v>
      </c>
      <c r="T28" s="70" t="n">
        <v>0.7</v>
      </c>
      <c r="U28" s="70" t="n">
        <v>0.3</v>
      </c>
      <c r="V28" s="70" t="n">
        <v>0</v>
      </c>
    </row>
    <row r="29">
      <c r="A29" s="70" t="inlineStr">
        <is>
          <t>spring_phab_lwdeqvolm100|</t>
        </is>
      </c>
      <c r="B29" s="70" t="inlineStr">
        <is>
          <t>spring-phab-lwdeqvolm100</t>
        </is>
      </c>
      <c r="C29" s="70" t="inlineStr">
        <is>
          <t>Large wood volume</t>
        </is>
      </c>
      <c r="D29" s="70" t="inlineStr"/>
      <c r="E29" s="70" t="n">
        <v>5</v>
      </c>
      <c r="F29" s="70" t="inlineStr">
        <is>
          <t>Reference curve fitted to comparable least-disturbed stations drawn from the national pool, because this ecoregion and its parents hold too few of their own.</t>
        </is>
      </c>
      <c r="G29" s="70" t="n">
        <v>0</v>
      </c>
      <c r="H29" s="70" t="n">
        <v>0.09514285836900983</v>
      </c>
      <c r="I29" s="70" t="n">
        <v>0.2220000028610229</v>
      </c>
      <c r="J29" s="70" t="n">
        <v>4.870397806167603</v>
      </c>
      <c r="K29" s="70" t="n">
        <v>7.194596707820892</v>
      </c>
      <c r="L29" s="70" t="n">
        <v>7.194596707820892</v>
      </c>
      <c r="M29" s="70" t="n">
        <v>7.194596707820892</v>
      </c>
      <c r="N29" s="70" t="n">
        <v>7.194596707820892</v>
      </c>
      <c r="O29" s="70" t="n">
        <v>0</v>
      </c>
      <c r="P29" s="70" t="n">
        <v>0.3</v>
      </c>
      <c r="Q29" s="70" t="n">
        <v>0.7</v>
      </c>
      <c r="R29" s="70" t="n">
        <v>1</v>
      </c>
      <c r="S29" s="70" t="n">
        <v>1</v>
      </c>
      <c r="T29" s="70" t="n">
        <v>1</v>
      </c>
      <c r="U29" s="70" t="n">
        <v>1</v>
      </c>
      <c r="V29" s="70" t="n">
        <v>1</v>
      </c>
    </row>
    <row r="30">
      <c r="A30" s="70" t="inlineStr">
        <is>
          <t>spring_chem_chla|</t>
        </is>
      </c>
      <c r="B30" s="70" t="inlineStr">
        <is>
          <t>spring-chem-chla</t>
        </is>
      </c>
      <c r="C30" s="70" t="inlineStr">
        <is>
          <t>Chlorophyll a</t>
        </is>
      </c>
      <c r="D30" s="70" t="inlineStr"/>
      <c r="E30" s="70" t="n">
        <v>5</v>
      </c>
      <c r="F30" s="70"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30" s="70" t="n">
        <v>0</v>
      </c>
      <c r="H30" s="70" t="n">
        <v>0.5799999833106995</v>
      </c>
      <c r="I30" s="70" t="n">
        <v>2.019999980926514</v>
      </c>
      <c r="J30" s="70" t="n">
        <v>4.179999977350235</v>
      </c>
      <c r="K30" s="70" t="n">
        <v>5.619999974966049</v>
      </c>
      <c r="L30" s="70" t="n">
        <v>5.619999974966049</v>
      </c>
      <c r="M30" s="70" t="n">
        <v>5.619999974966049</v>
      </c>
      <c r="N30" s="70" t="n">
        <v>5.619999974966049</v>
      </c>
      <c r="O30" s="70" t="n">
        <v>1</v>
      </c>
      <c r="P30" s="70" t="n">
        <v>1</v>
      </c>
      <c r="Q30" s="70" t="n">
        <v>0.7</v>
      </c>
      <c r="R30" s="70" t="n">
        <v>0.3</v>
      </c>
      <c r="S30" s="70" t="n">
        <v>0</v>
      </c>
      <c r="T30" s="70" t="n">
        <v>0</v>
      </c>
      <c r="U30" s="70" t="n">
        <v>0</v>
      </c>
      <c r="V30" s="70" t="n">
        <v>0</v>
      </c>
    </row>
    <row r="31">
      <c r="A31" s="70" t="inlineStr">
        <is>
          <t>spring_phab_xcdenmid|</t>
        </is>
      </c>
      <c r="B31" s="70" t="inlineStr">
        <is>
          <t>spring-phab-xcdenmid</t>
        </is>
      </c>
      <c r="C31" s="70" t="inlineStr">
        <is>
          <t>Canopy density, mid-channel</t>
        </is>
      </c>
      <c r="D31" s="70" t="inlineStr"/>
      <c r="E31" s="70" t="n">
        <v>5</v>
      </c>
      <c r="F31" s="70" t="inlineStr">
        <is>
          <t>33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70" t="n">
        <v>0</v>
      </c>
      <c r="H31" s="70" t="n">
        <v>16.95951134817941</v>
      </c>
      <c r="I31" s="70" t="n">
        <v>39.57219314575195</v>
      </c>
      <c r="J31" s="70" t="n">
        <v>88.23529052734375</v>
      </c>
      <c r="K31" s="70" t="n">
        <v>100</v>
      </c>
      <c r="L31" s="70" t="n">
        <v>100</v>
      </c>
      <c r="M31" s="70" t="n">
        <v>100</v>
      </c>
      <c r="N31" s="70" t="n">
        <v>100</v>
      </c>
      <c r="O31" s="70" t="n">
        <v>0</v>
      </c>
      <c r="P31" s="70" t="n">
        <v>0.3</v>
      </c>
      <c r="Q31" s="70" t="n">
        <v>0.7</v>
      </c>
      <c r="R31" s="70" t="n">
        <v>1</v>
      </c>
      <c r="S31" s="70" t="n">
        <v>1</v>
      </c>
      <c r="T31" s="70" t="n">
        <v>1</v>
      </c>
      <c r="U31" s="70" t="n">
        <v>1</v>
      </c>
      <c r="V31" s="70" t="n">
        <v>1</v>
      </c>
    </row>
    <row r="32">
      <c r="A32" s="70" t="inlineStr">
        <is>
          <t>spring_phab_xcmgw|</t>
        </is>
      </c>
      <c r="B32" s="70" t="inlineStr">
        <is>
          <t>spring-phab-xcmgw</t>
        </is>
      </c>
      <c r="C32" s="70" t="inlineStr">
        <is>
          <t>Riparian veg cover, woody</t>
        </is>
      </c>
      <c r="D32" s="70" t="inlineStr"/>
      <c r="E32" s="70" t="n">
        <v>5</v>
      </c>
      <c r="F32" s="70" t="inlineStr">
        <is>
          <t>14 least-disturbed streams of this ecoregion under the regional screen (agriculture at most 25 percent)</t>
        </is>
      </c>
      <c r="G32" s="70" t="n">
        <v>0</v>
      </c>
      <c r="H32" s="70" t="n">
        <v>0.6290990454810006</v>
      </c>
      <c r="I32" s="70" t="n">
        <v>1.467897772789001</v>
      </c>
      <c r="J32" s="70" t="n">
        <v>1.876420438289642</v>
      </c>
      <c r="K32" s="70" t="n">
        <v>2.080681771039963</v>
      </c>
      <c r="L32" s="70" t="n">
        <v>2.080681771039963</v>
      </c>
      <c r="M32" s="70" t="n">
        <v>2.080681771039963</v>
      </c>
      <c r="N32" s="70" t="n">
        <v>2.080681771039963</v>
      </c>
      <c r="O32" s="70" t="n">
        <v>0</v>
      </c>
      <c r="P32" s="70" t="n">
        <v>0.3</v>
      </c>
      <c r="Q32" s="70" t="n">
        <v>0.7</v>
      </c>
      <c r="R32" s="70" t="n">
        <v>1</v>
      </c>
      <c r="S32" s="70" t="n">
        <v>1</v>
      </c>
      <c r="T32" s="70" t="n">
        <v>1</v>
      </c>
      <c r="U32" s="70" t="n">
        <v>1</v>
      </c>
      <c r="V32" s="70" t="n">
        <v>1</v>
      </c>
    </row>
    <row r="33">
      <c r="A33" s="70" t="inlineStr">
        <is>
          <t>spring_chem_ntl|</t>
        </is>
      </c>
      <c r="B33" s="70" t="inlineStr">
        <is>
          <t>spring-chem-ntl</t>
        </is>
      </c>
      <c r="C33" s="70" t="inlineStr">
        <is>
          <t>Total nitrogen</t>
        </is>
      </c>
      <c r="D33" s="70" t="inlineStr"/>
      <c r="E33" s="70" t="n">
        <v>4</v>
      </c>
      <c r="F33" s="70" t="inlineStr">
        <is>
          <t>Scored against a published criterion rather than against stations from this ecoregion. The criterion carries its own definition of reference, which need not match this assessment's.</t>
        </is>
      </c>
      <c r="G33" s="70" t="n">
        <v>0</v>
      </c>
      <c r="H33" s="70" t="n">
        <v>0.3455</v>
      </c>
      <c r="I33" s="70" t="n">
        <v>0.482</v>
      </c>
      <c r="J33" s="70" t="n">
        <v>0.65945</v>
      </c>
      <c r="K33" s="70" t="n">
        <v>0.65945</v>
      </c>
      <c r="L33" s="70" t="n">
        <v>0.65945</v>
      </c>
      <c r="M33" s="70" t="n">
        <v>0.65945</v>
      </c>
      <c r="N33" s="70" t="n">
        <v>0.65945</v>
      </c>
      <c r="O33" s="70" t="n">
        <v>1</v>
      </c>
      <c r="P33" s="70" t="n">
        <v>0.6899999999999999</v>
      </c>
      <c r="Q33" s="70" t="n">
        <v>0.39</v>
      </c>
      <c r="R33" s="70" t="n">
        <v>0</v>
      </c>
      <c r="S33" s="70" t="n">
        <v>0</v>
      </c>
      <c r="T33" s="70" t="n">
        <v>0</v>
      </c>
      <c r="U33" s="70" t="n">
        <v>0</v>
      </c>
      <c r="V33" s="70" t="n">
        <v>0</v>
      </c>
    </row>
    <row r="34">
      <c r="A34" s="70" t="inlineStr">
        <is>
          <t>spring_chem_ptl|</t>
        </is>
      </c>
      <c r="B34" s="70" t="inlineStr">
        <is>
          <t>spring-chem-ptl</t>
        </is>
      </c>
      <c r="C34" s="70" t="inlineStr">
        <is>
          <t>Total phosphorus</t>
        </is>
      </c>
      <c r="D34" s="70" t="inlineStr"/>
      <c r="E34" s="70" t="n">
        <v>4</v>
      </c>
      <c r="F34" s="70" t="inlineStr">
        <is>
          <t>Scored against a published criterion rather than against stations from this ecoregion. The criterion carries its own definition of reference, which need not match this assessment's.</t>
        </is>
      </c>
      <c r="G34" s="70" t="n">
        <v>0</v>
      </c>
      <c r="H34" s="70" t="n">
        <v>17.15</v>
      </c>
      <c r="I34" s="70" t="n">
        <v>32.6</v>
      </c>
      <c r="J34" s="70" t="n">
        <v>52.685</v>
      </c>
      <c r="K34" s="70" t="n">
        <v>52.685</v>
      </c>
      <c r="L34" s="70" t="n">
        <v>52.685</v>
      </c>
      <c r="M34" s="70" t="n">
        <v>52.685</v>
      </c>
      <c r="N34" s="70" t="n">
        <v>52.685</v>
      </c>
      <c r="O34" s="70" t="n">
        <v>1</v>
      </c>
      <c r="P34" s="70" t="n">
        <v>0.6899999999999999</v>
      </c>
      <c r="Q34" s="70" t="n">
        <v>0.39</v>
      </c>
      <c r="R34" s="70" t="n">
        <v>0</v>
      </c>
      <c r="S34" s="70" t="n">
        <v>0</v>
      </c>
      <c r="T34" s="70" t="n">
        <v>0</v>
      </c>
      <c r="U34" s="70" t="n">
        <v>0</v>
      </c>
      <c r="V34" s="70" t="n">
        <v>0</v>
      </c>
    </row>
    <row r="35">
      <c r="A35" s="70" t="inlineStr">
        <is>
          <t>spring_chem_ph|</t>
        </is>
      </c>
      <c r="B35" s="70" t="inlineStr">
        <is>
          <t>spring-chem-ph</t>
        </is>
      </c>
      <c r="C35" s="70" t="inlineStr">
        <is>
          <t>pH</t>
        </is>
      </c>
      <c r="D35" s="70" t="inlineStr"/>
      <c r="E35" s="70" t="n">
        <v>8</v>
      </c>
      <c r="F35" s="70" t="inlineStr">
        <is>
          <t>49 least-disturbed stations borrowed from Level II ecoregion 8.1 (Mixed Wood Plains) under the regional screen (agriculture at most 25 percent), transfer risk low</t>
        </is>
      </c>
      <c r="G35" s="70" t="n">
        <v>5.03000020980835</v>
      </c>
      <c r="H35" s="70" t="n">
        <v>5.900000095367432</v>
      </c>
      <c r="I35" s="70" t="n">
        <v>6.465500020980835</v>
      </c>
      <c r="J35" s="70" t="n">
        <v>6.769999980926514</v>
      </c>
      <c r="K35" s="70" t="n">
        <v>7.639999866485596</v>
      </c>
      <c r="L35" s="70" t="n">
        <v>7.944499826431274</v>
      </c>
      <c r="M35" s="70" t="n">
        <v>8.509999752044678</v>
      </c>
      <c r="N35" s="70" t="n">
        <v>9.37999963760376</v>
      </c>
      <c r="O35" s="70" t="n">
        <v>0</v>
      </c>
      <c r="P35" s="70" t="n">
        <v>0.3</v>
      </c>
      <c r="Q35" s="70" t="n">
        <v>0.7</v>
      </c>
      <c r="R35" s="70" t="n">
        <v>1</v>
      </c>
      <c r="S35" s="70" t="n">
        <v>1</v>
      </c>
      <c r="T35" s="70" t="n">
        <v>0.7</v>
      </c>
      <c r="U35" s="70" t="n">
        <v>0.3</v>
      </c>
      <c r="V35" s="70" t="n">
        <v>0</v>
      </c>
    </row>
    <row r="36">
      <c r="A36" s="70" t="inlineStr">
        <is>
          <t>spring_chem_turb|</t>
        </is>
      </c>
      <c r="B36" s="70" t="inlineStr">
        <is>
          <t>spring-chem-turb</t>
        </is>
      </c>
      <c r="C36" s="70" t="inlineStr">
        <is>
          <t>Turbidity</t>
        </is>
      </c>
      <c r="D36" s="70" t="inlineStr"/>
      <c r="E36" s="70" t="n">
        <v>5</v>
      </c>
      <c r="F36" s="70" t="inlineStr">
        <is>
          <t>13 least-disturbed streams of this ecoregion under the regional screen (agriculture at most 25 percent)</t>
        </is>
      </c>
      <c r="G36" s="70" t="n">
        <v>0</v>
      </c>
      <c r="H36" s="70" t="n">
        <v>0.1400000005960464</v>
      </c>
      <c r="I36" s="70" t="n">
        <v>1.720000028610229</v>
      </c>
      <c r="J36" s="70" t="n">
        <v>4.090000070631504</v>
      </c>
      <c r="K36" s="70" t="n">
        <v>5.670000098645687</v>
      </c>
      <c r="L36" s="70" t="n">
        <v>5.670000098645687</v>
      </c>
      <c r="M36" s="70" t="n">
        <v>5.670000098645687</v>
      </c>
      <c r="N36" s="70" t="n">
        <v>5.670000098645687</v>
      </c>
      <c r="O36" s="70" t="n">
        <v>1</v>
      </c>
      <c r="P36" s="70" t="n">
        <v>1</v>
      </c>
      <c r="Q36" s="70" t="n">
        <v>0.7</v>
      </c>
      <c r="R36" s="70" t="n">
        <v>0.3</v>
      </c>
      <c r="S36" s="70" t="n">
        <v>0</v>
      </c>
      <c r="T36" s="70" t="n">
        <v>0</v>
      </c>
      <c r="U36" s="70" t="n">
        <v>0</v>
      </c>
      <c r="V36" s="70" t="n">
        <v>0</v>
      </c>
    </row>
    <row r="37">
      <c r="A37" s="70" t="inlineStr">
        <is>
          <t>spring_phab_pct_fast|All streams (pooled)</t>
        </is>
      </c>
      <c r="B37" s="70" t="inlineStr">
        <is>
          <t>spring-phab-pct-fast</t>
        </is>
      </c>
      <c r="C37" s="70" t="inlineStr">
        <is>
          <t>Fast-water / riffle habitat</t>
        </is>
      </c>
      <c r="D37" s="70" t="inlineStr">
        <is>
          <t>All streams (pooled)</t>
        </is>
      </c>
      <c r="E37" s="70" t="n">
        <v>5</v>
      </c>
      <c r="F37" s="70"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7" s="70" t="n">
        <v>0</v>
      </c>
      <c r="H37" s="70" t="n">
        <v>2.250000051089696</v>
      </c>
      <c r="I37" s="70" t="n">
        <v>5.25000011920929</v>
      </c>
      <c r="J37" s="70" t="n">
        <v>52</v>
      </c>
      <c r="K37" s="70" t="n">
        <v>75.37499994039536</v>
      </c>
      <c r="L37" s="70" t="n">
        <v>75.37499994039536</v>
      </c>
      <c r="M37" s="70" t="n">
        <v>75.37499994039536</v>
      </c>
      <c r="N37" s="70" t="n">
        <v>75.37499994039536</v>
      </c>
      <c r="O37" s="70" t="n">
        <v>0</v>
      </c>
      <c r="P37" s="70" t="n">
        <v>0.3</v>
      </c>
      <c r="Q37" s="70" t="n">
        <v>0.7</v>
      </c>
      <c r="R37" s="70" t="n">
        <v>1</v>
      </c>
      <c r="S37" s="70" t="n">
        <v>1</v>
      </c>
      <c r="T37" s="70" t="n">
        <v>1</v>
      </c>
      <c r="U37" s="70" t="n">
        <v>1</v>
      </c>
      <c r="V37" s="70" t="n">
        <v>1</v>
      </c>
    </row>
    <row r="38">
      <c r="A38" s="70" t="inlineStr">
        <is>
          <t>spring_phab_pct_fast|Moderate gradient (0.5 to 2 percent)</t>
        </is>
      </c>
      <c r="B38" s="70" t="inlineStr">
        <is>
          <t>spring-phab-pct-fast</t>
        </is>
      </c>
      <c r="C38" s="70" t="inlineStr">
        <is>
          <t>Fast-water / riffle habitat</t>
        </is>
      </c>
      <c r="D38" s="70" t="inlineStr">
        <is>
          <t>Moderate gradient (0.5 to 2 percent)</t>
        </is>
      </c>
      <c r="E38" s="70" t="n">
        <v>5</v>
      </c>
      <c r="F38" s="70"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8" s="70" t="n">
        <v>0</v>
      </c>
      <c r="H38" s="70" t="n">
        <v>3.428571428571428</v>
      </c>
      <c r="I38" s="70" t="n">
        <v>8</v>
      </c>
      <c r="J38" s="70" t="n">
        <v>56</v>
      </c>
      <c r="K38" s="70" t="n">
        <v>80</v>
      </c>
      <c r="L38" s="70" t="n">
        <v>80</v>
      </c>
      <c r="M38" s="70" t="n">
        <v>80</v>
      </c>
      <c r="N38" s="70" t="n">
        <v>80</v>
      </c>
      <c r="O38" s="70" t="n">
        <v>0</v>
      </c>
      <c r="P38" s="70" t="n">
        <v>0.3</v>
      </c>
      <c r="Q38" s="70" t="n">
        <v>0.7</v>
      </c>
      <c r="R38" s="70" t="n">
        <v>1</v>
      </c>
      <c r="S38" s="70" t="n">
        <v>1</v>
      </c>
      <c r="T38" s="70" t="n">
        <v>1</v>
      </c>
      <c r="U38" s="70" t="n">
        <v>1</v>
      </c>
      <c r="V38" s="70" t="n">
        <v>1</v>
      </c>
    </row>
    <row r="39">
      <c r="A39" s="70" t="inlineStr">
        <is>
          <t>spring_phab_pct_fast|Steep (2 percent and above)</t>
        </is>
      </c>
      <c r="B39" s="70" t="inlineStr">
        <is>
          <t>spring-phab-pct-fast</t>
        </is>
      </c>
      <c r="C39" s="70" t="inlineStr">
        <is>
          <t>Fast-water / riffle habitat</t>
        </is>
      </c>
      <c r="D39" s="70" t="inlineStr">
        <is>
          <t>Steep (2 percent and above)</t>
        </is>
      </c>
      <c r="E39" s="70" t="n">
        <v>5</v>
      </c>
      <c r="F39" s="70"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70" t="n">
        <v>0</v>
      </c>
      <c r="H39" s="70" t="n">
        <v>11.14285714285714</v>
      </c>
      <c r="I39" s="70" t="n">
        <v>26</v>
      </c>
      <c r="J39" s="70" t="n">
        <v>54</v>
      </c>
      <c r="K39" s="70" t="n">
        <v>68</v>
      </c>
      <c r="L39" s="70" t="n">
        <v>68</v>
      </c>
      <c r="M39" s="70" t="n">
        <v>68</v>
      </c>
      <c r="N39" s="70" t="n">
        <v>68</v>
      </c>
      <c r="O39" s="70" t="n">
        <v>0</v>
      </c>
      <c r="P39" s="70" t="n">
        <v>0.3</v>
      </c>
      <c r="Q39" s="70" t="n">
        <v>0.7</v>
      </c>
      <c r="R39" s="70" t="n">
        <v>1</v>
      </c>
      <c r="S39" s="70" t="n">
        <v>1</v>
      </c>
      <c r="T39" s="70" t="n">
        <v>1</v>
      </c>
      <c r="U39" s="70" t="n">
        <v>1</v>
      </c>
      <c r="V39" s="70" t="n">
        <v>1</v>
      </c>
    </row>
    <row r="40">
      <c r="A40" s="70" t="inlineStr">
        <is>
          <t>spring_phab_xfc_nat|</t>
        </is>
      </c>
      <c r="B40" s="70" t="inlineStr">
        <is>
          <t>spring-phab-xfc-nat</t>
        </is>
      </c>
      <c r="C40" s="70" t="inlineStr">
        <is>
          <t>Natural fish cover</t>
        </is>
      </c>
      <c r="D40" s="70" t="inlineStr"/>
      <c r="E40" s="70" t="n">
        <v>5</v>
      </c>
      <c r="F40" s="70" t="inlineStr">
        <is>
          <t>41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70" t="n">
        <v>0</v>
      </c>
      <c r="H40" s="70" t="n">
        <v>0.08341836716447558</v>
      </c>
      <c r="I40" s="70" t="n">
        <v>0.1946428567171097</v>
      </c>
      <c r="J40" s="70" t="n">
        <v>0.8045454621315002</v>
      </c>
      <c r="K40" s="70" t="n">
        <v>1.109496764838696</v>
      </c>
      <c r="L40" s="70" t="n">
        <v>1.109496764838696</v>
      </c>
      <c r="M40" s="70" t="n">
        <v>1.109496764838696</v>
      </c>
      <c r="N40" s="70" t="n">
        <v>1.109496764838696</v>
      </c>
      <c r="O40" s="70" t="n">
        <v>0</v>
      </c>
      <c r="P40" s="70" t="n">
        <v>0.3</v>
      </c>
      <c r="Q40" s="70" t="n">
        <v>0.7</v>
      </c>
      <c r="R40" s="70" t="n">
        <v>1</v>
      </c>
      <c r="S40" s="70" t="n">
        <v>1</v>
      </c>
      <c r="T40" s="70" t="n">
        <v>1</v>
      </c>
      <c r="U40" s="70" t="n">
        <v>1</v>
      </c>
      <c r="V40" s="70" t="n">
        <v>1</v>
      </c>
    </row>
    <row r="41">
      <c r="A41" s="70" t="inlineStr">
        <is>
          <t>spring_fish_nat_lithpind|</t>
        </is>
      </c>
      <c r="B41" s="70" t="inlineStr">
        <is>
          <t>spring-fish-nat-lithpind</t>
        </is>
      </c>
      <c r="C41" s="70" t="inlineStr">
        <is>
          <t>Simple lithophil fish individuals</t>
        </is>
      </c>
      <c r="D41" s="70" t="inlineStr"/>
      <c r="E41" s="70" t="n">
        <v>5</v>
      </c>
      <c r="F41" s="70" t="inlineStr">
        <is>
          <t>17 least-disturbed stations borrowed from Level II ecoregion 8.1 (Mixed Wood Plains) under the regional screen (agriculture at most 25 percent), transfer risk moderate</t>
        </is>
      </c>
      <c r="G41" s="70" t="n">
        <v>0</v>
      </c>
      <c r="H41" s="70" t="n">
        <v>15.24000058855329</v>
      </c>
      <c r="I41" s="70" t="n">
        <v>35.56000137329102</v>
      </c>
      <c r="J41" s="70" t="n">
        <v>70.75</v>
      </c>
      <c r="K41" s="70" t="n">
        <v>88.34499931335449</v>
      </c>
      <c r="L41" s="70" t="n">
        <v>88.34499931335449</v>
      </c>
      <c r="M41" s="70" t="n">
        <v>88.34499931335449</v>
      </c>
      <c r="N41" s="70" t="n">
        <v>88.34499931335449</v>
      </c>
      <c r="O41" s="70" t="n">
        <v>0</v>
      </c>
      <c r="P41" s="70" t="n">
        <v>0.3</v>
      </c>
      <c r="Q41" s="70" t="n">
        <v>0.7</v>
      </c>
      <c r="R41" s="70" t="n">
        <v>1</v>
      </c>
      <c r="S41" s="70" t="n">
        <v>1</v>
      </c>
      <c r="T41" s="70" t="n">
        <v>1</v>
      </c>
      <c r="U41" s="70" t="n">
        <v>1</v>
      </c>
      <c r="V41" s="70" t="n">
        <v>1</v>
      </c>
    </row>
    <row r="42">
      <c r="A42" s="70" t="inlineStr">
        <is>
          <t>spring_fish_nat_ntolptax|</t>
        </is>
      </c>
      <c r="B42" s="70" t="inlineStr">
        <is>
          <t>spring-fish-nat-ntolptax</t>
        </is>
      </c>
      <c r="C42" s="70" t="inlineStr">
        <is>
          <t>Native non-tolerant fish taxa</t>
        </is>
      </c>
      <c r="D42" s="70" t="inlineStr"/>
      <c r="E42" s="70" t="n">
        <v>5</v>
      </c>
      <c r="F42" s="70" t="inlineStr">
        <is>
          <t>17 least-disturbed stations borrowed from Level II ecoregion 8.1 (Mixed Wood Plains) under the regional screen (agriculture at most 25 percent), transfer risk moderate</t>
        </is>
      </c>
      <c r="G42" s="70" t="n">
        <v>0</v>
      </c>
      <c r="H42" s="70" t="n">
        <v>17.14285714285714</v>
      </c>
      <c r="I42" s="70" t="n">
        <v>40</v>
      </c>
      <c r="J42" s="70" t="n">
        <v>71.43000030517578</v>
      </c>
      <c r="K42" s="70" t="n">
        <v>87.14500045776367</v>
      </c>
      <c r="L42" s="70" t="n">
        <v>87.14500045776367</v>
      </c>
      <c r="M42" s="70" t="n">
        <v>87.14500045776367</v>
      </c>
      <c r="N42" s="70" t="n">
        <v>87.14500045776367</v>
      </c>
      <c r="O42" s="70" t="n">
        <v>0</v>
      </c>
      <c r="P42" s="70" t="n">
        <v>0.3</v>
      </c>
      <c r="Q42" s="70" t="n">
        <v>0.7</v>
      </c>
      <c r="R42" s="70" t="n">
        <v>1</v>
      </c>
      <c r="S42" s="70" t="n">
        <v>1</v>
      </c>
      <c r="T42" s="70" t="n">
        <v>1</v>
      </c>
      <c r="U42" s="70" t="n">
        <v>1</v>
      </c>
      <c r="V42" s="70" t="n">
        <v>1</v>
      </c>
    </row>
    <row r="43">
      <c r="A43" s="70" t="inlineStr">
        <is>
          <t>spring_bent_hprime|</t>
        </is>
      </c>
      <c r="B43" s="70" t="inlineStr">
        <is>
          <t>spring-bent-hprime</t>
        </is>
      </c>
      <c r="C43" s="70" t="inlineStr">
        <is>
          <t>Shannon diversity (H')</t>
        </is>
      </c>
      <c r="D43" s="70" t="inlineStr"/>
      <c r="E43" s="70" t="n">
        <v>5</v>
      </c>
      <c r="F43" s="70" t="inlineStr">
        <is>
          <t>14 least-disturbed streams of this ecoregion under the regional screen (agriculture at most 25 percent)</t>
        </is>
      </c>
      <c r="G43" s="70" t="n">
        <v>0</v>
      </c>
      <c r="H43" s="70" t="n">
        <v>1.111071416309902</v>
      </c>
      <c r="I43" s="70" t="n">
        <v>2.592499971389771</v>
      </c>
      <c r="J43" s="70" t="n">
        <v>3.387500047683716</v>
      </c>
      <c r="K43" s="70" t="n">
        <v>3.785000085830688</v>
      </c>
      <c r="L43" s="70" t="n">
        <v>3.785000085830688</v>
      </c>
      <c r="M43" s="70" t="n">
        <v>3.785000085830688</v>
      </c>
      <c r="N43" s="70" t="n">
        <v>3.785000085830688</v>
      </c>
      <c r="O43" s="70" t="n">
        <v>0</v>
      </c>
      <c r="P43" s="70" t="n">
        <v>0.3</v>
      </c>
      <c r="Q43" s="70" t="n">
        <v>0.7</v>
      </c>
      <c r="R43" s="70" t="n">
        <v>1</v>
      </c>
      <c r="S43" s="70" t="n">
        <v>1</v>
      </c>
      <c r="T43" s="70" t="n">
        <v>1</v>
      </c>
      <c r="U43" s="70" t="n">
        <v>1</v>
      </c>
      <c r="V43" s="70" t="n">
        <v>1</v>
      </c>
    </row>
    <row r="44">
      <c r="A44" s="70" t="inlineStr">
        <is>
          <t>spring_bent_tolrpind|</t>
        </is>
      </c>
      <c r="B44" s="70" t="inlineStr">
        <is>
          <t>spring-bent-tolrpind</t>
        </is>
      </c>
      <c r="C44" s="70" t="inlineStr">
        <is>
          <t>Tolerant individuals (%) ~ HBI</t>
        </is>
      </c>
      <c r="D44" s="70" t="inlineStr"/>
      <c r="E44" s="70" t="n">
        <v>5</v>
      </c>
      <c r="F44" s="70" t="inlineStr">
        <is>
          <t>36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44" s="70" t="n">
        <v>0</v>
      </c>
      <c r="H44" s="70" t="n">
        <v>6.667500019073486</v>
      </c>
      <c r="I44" s="70" t="n">
        <v>22.91499996185303</v>
      </c>
      <c r="J44" s="70" t="n">
        <v>47.28624987602234</v>
      </c>
      <c r="K44" s="70" t="n">
        <v>63.53374981880188</v>
      </c>
      <c r="L44" s="70" t="n">
        <v>63.53374981880188</v>
      </c>
      <c r="M44" s="70" t="n">
        <v>63.53374981880188</v>
      </c>
      <c r="N44" s="70" t="n">
        <v>63.53374981880188</v>
      </c>
      <c r="O44" s="70" t="n">
        <v>1</v>
      </c>
      <c r="P44" s="70" t="n">
        <v>1</v>
      </c>
      <c r="Q44" s="70" t="n">
        <v>0.7</v>
      </c>
      <c r="R44" s="70" t="n">
        <v>0.3</v>
      </c>
      <c r="S44" s="70" t="n">
        <v>0</v>
      </c>
      <c r="T44" s="70" t="n">
        <v>0</v>
      </c>
      <c r="U44" s="70" t="n">
        <v>0</v>
      </c>
      <c r="V44" s="70" t="n">
        <v>0</v>
      </c>
    </row>
    <row r="45">
      <c r="A45" s="70" t="inlineStr">
        <is>
          <t>spring_nid_dams_1mi|</t>
        </is>
      </c>
      <c r="B45" s="70" t="inlineStr">
        <is>
          <t>spring-nid-dams-1mi</t>
        </is>
      </c>
      <c r="C45" s="70" t="inlineStr">
        <is>
          <t>Mapped dams within one mile</t>
        </is>
      </c>
      <c r="D45" s="70" t="inlineStr"/>
      <c r="E45" s="70" t="n">
        <v>4</v>
      </c>
      <c r="F45" s="70" t="inlineStr">
        <is>
          <t>Fixed criteria, the same in every region</t>
        </is>
      </c>
      <c r="G45" s="70" t="n">
        <v>0</v>
      </c>
      <c r="H45" s="70" t="n">
        <v>1</v>
      </c>
      <c r="I45" s="70" t="n">
        <v>2</v>
      </c>
      <c r="J45" s="70" t="n">
        <v>3</v>
      </c>
      <c r="K45" s="70" t="n">
        <v>3</v>
      </c>
      <c r="L45" s="70" t="n">
        <v>3</v>
      </c>
      <c r="M45" s="70" t="n">
        <v>3</v>
      </c>
      <c r="N45" s="70" t="n">
        <v>3</v>
      </c>
      <c r="O45" s="70" t="n">
        <v>1</v>
      </c>
      <c r="P45" s="70" t="n">
        <v>0.545</v>
      </c>
      <c r="Q45" s="70" t="n">
        <v>0.195</v>
      </c>
      <c r="R45" s="70" t="n">
        <v>0</v>
      </c>
      <c r="S45" s="70" t="n">
        <v>0</v>
      </c>
      <c r="T45" s="70" t="n">
        <v>0</v>
      </c>
      <c r="U45" s="70" t="n">
        <v>0</v>
      </c>
      <c r="V45" s="70" t="n">
        <v>0</v>
      </c>
    </row>
    <row r="48">
      <c r="A48" s="59" t="inlineStr">
        <is>
          <t>Curve sets by metric</t>
        </is>
      </c>
    </row>
    <row r="49">
      <c r="A49" s="70" t="inlineStr">
        <is>
          <t>All streams (pooled)</t>
        </is>
      </c>
      <c r="B49" s="5" t="inlineStr">
        <is>
          <t>Wetland</t>
        </is>
      </c>
    </row>
    <row r="50">
      <c r="A50" s="70" t="inlineStr">
        <is>
          <t>Low gradient (under 0.5 percent)</t>
        </is>
      </c>
      <c r="B50" s="5" t="inlineStr">
        <is>
          <t>Wetland</t>
        </is>
      </c>
    </row>
    <row r="51">
      <c r="A51" s="70" t="inlineStr">
        <is>
          <t>Moderate gradient (0.5 to 2 percent)</t>
        </is>
      </c>
      <c r="B51" s="5" t="inlineStr">
        <is>
          <t>Wetland</t>
        </is>
      </c>
    </row>
    <row r="52">
      <c r="A52" s="70" t="inlineStr">
        <is>
          <t>All streams (pooled)</t>
        </is>
      </c>
      <c r="B52" s="5" t="inlineStr">
        <is>
          <t>Bankfull width:depth ratio</t>
        </is>
      </c>
    </row>
    <row r="53">
      <c r="A53" s="70" t="inlineStr">
        <is>
          <t>Headwater (10 km2 and under)</t>
        </is>
      </c>
      <c r="B53" s="5" t="inlineStr">
        <is>
          <t>Bankfull width:depth ratio</t>
        </is>
      </c>
    </row>
    <row r="54">
      <c r="A54" s="70" t="inlineStr">
        <is>
          <t>Small stream (10 to 100 km2)</t>
        </is>
      </c>
      <c r="B54" s="5" t="inlineStr">
        <is>
          <t>Bankfull width:depth ratio</t>
        </is>
      </c>
    </row>
    <row r="55">
      <c r="A55" s="70" t="inlineStr">
        <is>
          <t>Large stream (over 100 km2)</t>
        </is>
      </c>
      <c r="B55" s="5" t="inlineStr">
        <is>
          <t>Bankfull width:depth ratio</t>
        </is>
      </c>
    </row>
    <row r="56">
      <c r="A56" s="70" t="inlineStr">
        <is>
          <t>All streams (pooled)</t>
        </is>
      </c>
      <c r="B56" s="5" t="inlineStr">
        <is>
          <t>Bankfull height above channel</t>
        </is>
      </c>
    </row>
    <row r="57">
      <c r="A57" s="70" t="inlineStr">
        <is>
          <t>Headwater (10 km2 and under)</t>
        </is>
      </c>
      <c r="B57" s="5" t="inlineStr">
        <is>
          <t>Bankfull height above channel</t>
        </is>
      </c>
    </row>
    <row r="58">
      <c r="A58" s="70" t="inlineStr">
        <is>
          <t>Small stream (10 to 100 km2)</t>
        </is>
      </c>
      <c r="B58" s="5" t="inlineStr">
        <is>
          <t>Bankfull height above channel</t>
        </is>
      </c>
    </row>
    <row r="59">
      <c r="A59" s="70" t="inlineStr">
        <is>
          <t>Large stream (over 100 km2)</t>
        </is>
      </c>
      <c r="B59" s="5" t="inlineStr">
        <is>
          <t>Bankfull height above channel</t>
        </is>
      </c>
    </row>
    <row r="60">
      <c r="A60" s="70" t="inlineStr">
        <is>
          <t>All streams (pooled)</t>
        </is>
      </c>
      <c r="B60" s="5" t="inlineStr">
        <is>
          <t>Relative bed stability</t>
        </is>
      </c>
    </row>
    <row r="61">
      <c r="A61" s="70" t="inlineStr">
        <is>
          <t>Headwater (10 km2 and under)</t>
        </is>
      </c>
      <c r="B61" s="5" t="inlineStr">
        <is>
          <t>Relative bed stability</t>
        </is>
      </c>
    </row>
    <row r="62">
      <c r="A62" s="70" t="inlineStr">
        <is>
          <t>Small stream (10 to 100 km2)</t>
        </is>
      </c>
      <c r="B62" s="5" t="inlineStr">
        <is>
          <t>Relative bed stability</t>
        </is>
      </c>
    </row>
    <row r="63">
      <c r="A63" s="70" t="inlineStr">
        <is>
          <t>Large stream (over 100 km2)</t>
        </is>
      </c>
      <c r="B63" s="5" t="inlineStr">
        <is>
          <t>Relative bed stability</t>
        </is>
      </c>
    </row>
    <row r="64">
      <c r="A64" s="70" t="inlineStr">
        <is>
          <t>All streams (pooled)</t>
        </is>
      </c>
      <c r="B64" s="5" t="inlineStr">
        <is>
          <t>Fast-water / riffle habitat</t>
        </is>
      </c>
    </row>
    <row r="65">
      <c r="A65" s="70" t="inlineStr">
        <is>
          <t>Moderate gradient (0.5 to 2 percent)</t>
        </is>
      </c>
      <c r="B65" s="5" t="inlineStr">
        <is>
          <t>Fast-water / riffle habitat</t>
        </is>
      </c>
    </row>
    <row r="66">
      <c r="A66" s="70" t="inlineStr">
        <is>
          <t>Steep (2 percent and above)</t>
        </is>
      </c>
      <c r="B66" s="5" t="inlineStr">
        <is>
          <t>Fast-water / riffle habitat</t>
        </is>
      </c>
    </row>
    <row r="69">
      <c r="A69" s="59" t="inlineStr">
        <is>
          <t>Condition classes</t>
        </is>
      </c>
    </row>
    <row r="70">
      <c r="A70" t="inlineStr">
        <is>
          <t>Metric index: at or below 0.39 Non-Functioning, at or below 0.69 Functioning At-Risk, above Functioning.</t>
        </is>
      </c>
    </row>
    <row r="71">
      <c r="A71" t="inlineStr">
        <is>
          <t>Function score (0 to 15): at or below 5 Non-Functioning, at or below 10 Functioning At-Risk, above Functioning.</t>
        </is>
      </c>
    </row>
    <row r="72">
      <c r="A7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northeastern-coastal-zone</t>
        </is>
      </c>
    </row>
    <row r="5">
      <c r="A5" s="70" t="inlineStr">
        <is>
          <t>Assessment name</t>
        </is>
      </c>
      <c r="B5" s="70" t="inlineStr">
        <is>
          <t>Northeastern Coastal Zone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sha256:c896d50a5c3e71f8877c9d0c06a7b77032900ce3d20235f2793d58ac8eef3c7f</t>
        </is>
      </c>
    </row>
    <row r="9">
      <c r="A9" s="70" t="inlineStr">
        <is>
          <t>Region</t>
        </is>
      </c>
      <c r="B9" s="70" t="inlineStr">
        <is>
          <t>ecoregion 59 Northeastern Coastal Zone</t>
        </is>
      </c>
    </row>
    <row r="10">
      <c r="A10" s="70" t="inlineStr">
        <is>
          <t>Source</t>
        </is>
      </c>
      <c r="B10" s="70" t="inlineStr">
        <is>
          <t>USEPA NRSA 2013-24 (L3 ecoregion 59),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28</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2026-09-30T07:04:29Z</dcterms:created>
  <dcterms:modified xmlns:dcterms="http://purl.org/dc/terms/" xmlns:xsi="http://www.w3.org/2001/XMLSchema-instance" xsi:type="dcterms:W3CDTF">2026-09-30T07:04:29Z</dcterms:modified>
  <cp:lastModifiedBy>DEEP</cp:lastModifiedBy>
  <cp:contentStatus>Draft</cp:contentStatus>
</cp:coreProperties>
</file>