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'Reference'!$A$5:$A$32</definedName>
    <definedName name="curve_x1">'Reference'!$G$5:$G$32</definedName>
    <definedName name="curve_y1">'Reference'!$O$5:$O$32</definedName>
    <definedName name="curve_x2">'Reference'!$H$5:$H$32</definedName>
    <definedName name="curve_y2">'Reference'!$P$5:$P$32</definedName>
    <definedName name="curve_x3">'Reference'!$I$5:$I$32</definedName>
    <definedName name="curve_y3">'Reference'!$Q$5:$Q$32</definedName>
    <definedName name="curve_x4">'Reference'!$J$5:$J$32</definedName>
    <definedName name="curve_y4">'Reference'!$R$5:$R$32</definedName>
    <definedName name="curve_x5">'Reference'!$K$5:$K$32</definedName>
    <definedName name="curve_y5">'Reference'!$S$5:$S$32</definedName>
    <definedName name="curve_x6">'Reference'!$L$5:$L$32</definedName>
    <definedName name="curve_y6">'Reference'!$T$5:$T$32</definedName>
    <definedName name="curve_x7">'Reference'!$M$5:$M$32</definedName>
    <definedName name="curve_y7">'Reference'!$U$5:$U$32</definedName>
    <definedName name="curve_x8">'Reference'!$N$5:$N$32</definedName>
    <definedName name="curve_y8">'Reference'!$V$5:$V$32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fish_nat_totln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Rockies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25 curves are fitted to least-disturbed stations of this ecoregion. 1 curve is fitted to this ecoregion's own streams under the documented regional screen, which relaxes agriculture only. 3 borrow comparable least-disturbed stations from a wider region, stating the region and the transfer risk. 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Rockies reference assessment</t>
        </is>
      </c>
    </row>
    <row r="3">
      <c r="A3" s="5" t="inlineStr">
        <is>
          <t>Version 1 | Draft | USEPA NRSA 2013-24 (L3 ecoregion 15),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Large wood volume</t>
        </is>
      </c>
      <c r="D31" s="14" t="inlineStr">
        <is>
          <t>m3/100m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6"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8" t="inlineStr">
        <is>
          <t>Biology</t>
        </is>
      </c>
      <c r="B42" s="12" t="inlineStr">
        <is>
          <t>Population support</t>
        </is>
      </c>
      <c r="C42" s="13" t="inlineStr">
        <is>
          <t>Benthic total taxa richness</t>
        </is>
      </c>
      <c r="D42" s="14" t="inlineStr"/>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IF('Metrics'!$V$29="","",'Metrics'!$V$29)</f>
        <v/>
      </c>
      <c r="H43" s="21" t="n"/>
      <c r="I43" s="27" t="n"/>
    </row>
    <row r="44">
      <c r="A44" s="48" t="inlineStr">
        <is>
          <t>Biology</t>
        </is>
      </c>
      <c r="B44" s="12" t="inlineStr">
        <is>
          <t>Community dynamics</t>
        </is>
      </c>
      <c r="C44" s="13" t="inlineStr">
        <is>
          <t>Shannon diversity (H')</t>
        </is>
      </c>
      <c r="D44" s="14" t="inlineStr">
        <is>
          <t>H'</t>
        </is>
      </c>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IF('Metrics'!$V$31="","",'Metrics'!$V$31)</f>
        <v/>
      </c>
      <c r="H45" s="21" t="n"/>
      <c r="I45" s="27" t="n"/>
    </row>
    <row r="46">
      <c r="A46" s="49"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0" t="inlineStr">
        <is>
          <t>Summary</t>
        </is>
      </c>
    </row>
    <row r="49">
      <c r="A49" s="10" t="inlineStr">
        <is>
          <t>Outcome</t>
        </is>
      </c>
      <c r="B49" s="10" t="inlineStr">
        <is>
          <t>Sub-index (0 to 1)</t>
        </is>
      </c>
      <c r="C49" s="10" t="inlineStr">
        <is>
          <t>Condition</t>
        </is>
      </c>
    </row>
    <row r="50">
      <c r="A50" s="51" t="inlineStr">
        <is>
          <t>Physical</t>
        </is>
      </c>
      <c r="B50" s="52">
        <f>'Results'!$B$26</f>
        <v/>
      </c>
      <c r="C50" s="53">
        <f>IF('DEEP Score'!$B$50&lt;=0.39,"Non-Functioning",IF('DEEP Score'!$B$50&lt;=0.69,"Functioning At-Risk","Functioning"))</f>
        <v/>
      </c>
    </row>
    <row r="51">
      <c r="A51" s="51" t="inlineStr">
        <is>
          <t>Chemical</t>
        </is>
      </c>
      <c r="B51" s="52">
        <f>'Results'!$B$27</f>
        <v/>
      </c>
      <c r="C51" s="53">
        <f>IF('DEEP Score'!$B$51&lt;=0.39,"Non-Functioning",IF('DEEP Score'!$B$51&lt;=0.69,"Functioning At-Risk","Functioning"))</f>
        <v/>
      </c>
    </row>
    <row r="52">
      <c r="A52" s="51" t="inlineStr">
        <is>
          <t>Biological</t>
        </is>
      </c>
      <c r="B52" s="52">
        <f>'Results'!$B$28</f>
        <v/>
      </c>
      <c r="C52" s="53">
        <f>IF('DEEP Score'!$B$52&lt;=0.39,"Non-Functioning",IF('DEEP Score'!$B$52&lt;=0.69,"Functioning At-Risk","Functioning"))</f>
        <v/>
      </c>
    </row>
    <row r="53" ht="30" customHeight="1">
      <c r="A53" s="54" t="inlineStr">
        <is>
          <t>Ecosystem Condition Index</t>
        </is>
      </c>
      <c r="B53" s="55">
        <f>'Results'!$B$29</f>
        <v/>
      </c>
      <c r="C53" s="53">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6" t="inlineStr">
        <is>
          <t>Withheld for insufficient reference support (not scored)</t>
        </is>
      </c>
    </row>
    <row r="58">
      <c r="A58" t="inlineStr">
        <is>
          <t>Residual pool depth</t>
        </is>
      </c>
      <c r="C58" s="5" t="inlineStr">
        <is>
          <t>Low flow and baseflow dynamics</t>
        </is>
      </c>
    </row>
    <row r="60">
      <c r="A60" s="6"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Large wood volume</t>
        </is>
      </c>
      <c r="B18" s="68">
        <f>IF('DEEP Score'!$E$31="","",'DEEP Score'!$E$31)</f>
        <v/>
      </c>
      <c r="C18" s="68">
        <f>""</f>
        <v/>
      </c>
      <c r="D18" s="68">
        <f>"spring_phab_lwdeqvolm100|"&amp;'Metrics'!$C$18</f>
        <v/>
      </c>
      <c r="E18" s="68">
        <f>IFERROR(MATCH('Metrics'!$D$18,curve_key,0),MATCH("spring_phab_lwdeqvolm100|",curve_key,0))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Specific conductivity</t>
        </is>
      </c>
      <c r="B24" s="68">
        <f>IF('DEEP Score'!$E$38="","",'DEEP Score'!$E$38)</f>
        <v/>
      </c>
      <c r="C24" s="68">
        <f>""</f>
        <v/>
      </c>
      <c r="D24" s="68">
        <f>"spring_chem_cond|"&amp;'Metrics'!$C$24</f>
        <v/>
      </c>
      <c r="E24" s="68">
        <f>IFERROR(MATCH('Metrics'!$D$24,curve_key,0),MATCH("spring_chem_cond|",curve_key,0))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Score'!$E$42="","",'DEEP Score'!$E$42)</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fish taxa richness</t>
        </is>
      </c>
      <c r="B29" s="68">
        <f>IF('DEEP Score'!$E$43="","",'DEEP Score'!$E$43)</f>
        <v/>
      </c>
      <c r="C29" s="68">
        <f>""</f>
        <v/>
      </c>
      <c r="D29" s="68">
        <f>"spring_fish_nat_totlntax|"&amp;'Metrics'!$C$29</f>
        <v/>
      </c>
      <c r="E29" s="68">
        <f>IFERROR(MATCH('Metrics'!$D$29,curve_key,0),MATCH("spring_fish_nat_totlntax|",curve_key,0))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Score'!$E$44="","",'DEEP Score'!$E$44)</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Tolerant individuals (%) ~ HBI</t>
        </is>
      </c>
      <c r="B31" s="68">
        <f>IF('DEEP Score'!$E$45="","",'DEEP Score'!$E$45)</f>
        <v/>
      </c>
      <c r="C31" s="68">
        <f>""</f>
        <v/>
      </c>
      <c r="D31" s="68">
        <f>"spring_bent_tolrpind|"&amp;'Metrics'!$C$31</f>
        <v/>
      </c>
      <c r="E31" s="68">
        <f>IFERROR(MATCH('Metrics'!$D$31,curve_key,0),MATCH("spring_bent_tolrpind|",curve_key,0))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Score'!$E$46="","",'DEEP Score'!$E$46)</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264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26.85476785714286</v>
      </c>
      <c r="I9" s="67" t="n">
        <v>62.661125</v>
      </c>
      <c r="J9" s="67" t="n">
        <v>72.907625</v>
      </c>
      <c r="K9" s="67" t="n">
        <v>78.03087499999999</v>
      </c>
      <c r="L9" s="67" t="n">
        <v>78.03087499999999</v>
      </c>
      <c r="M9" s="67" t="n">
        <v>78.03087499999999</v>
      </c>
      <c r="N9" s="67" t="n">
        <v>78.03087499999999</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30 least-disturbed stations of this ecoregion</t>
        </is>
      </c>
      <c r="G11" s="67" t="n">
        <v>0</v>
      </c>
      <c r="H11" s="67" t="n">
        <v>0.3119316101074219</v>
      </c>
      <c r="I11" s="67" t="n">
        <v>5.875316333770752</v>
      </c>
      <c r="J11" s="67" t="n">
        <v>8.87098503112793</v>
      </c>
      <c r="K11" s="67" t="n">
        <v>17.43003845214844</v>
      </c>
      <c r="L11" s="67" t="n">
        <v>20.42570714950562</v>
      </c>
      <c r="M11" s="67" t="n">
        <v>25.98909187316895</v>
      </c>
      <c r="N11" s="67" t="n">
        <v>34.54814529418945</v>
      </c>
      <c r="O11" s="67" t="n">
        <v>0</v>
      </c>
      <c r="P11" s="67" t="n">
        <v>0.3</v>
      </c>
      <c r="Q11" s="67" t="n">
        <v>0.7</v>
      </c>
      <c r="R11" s="67" t="n">
        <v>1</v>
      </c>
      <c r="S11" s="67" t="n">
        <v>1</v>
      </c>
      <c r="T11" s="67" t="n">
        <v>0.7</v>
      </c>
      <c r="U11" s="67" t="n">
        <v>0.3</v>
      </c>
      <c r="V11" s="67" t="n">
        <v>0</v>
      </c>
    </row>
    <row r="12">
      <c r="A12" s="67" t="inlineStr">
        <is>
          <t>spring_phab_xbkf_h|</t>
        </is>
      </c>
      <c r="B12" s="67" t="inlineStr">
        <is>
          <t>spring-phab-xbkf-h</t>
        </is>
      </c>
      <c r="C12" s="67" t="inlineStr">
        <is>
          <t>Bankfull height above channel</t>
        </is>
      </c>
      <c r="D12" s="67" t="inlineStr"/>
      <c r="E12" s="67" t="n">
        <v>7</v>
      </c>
      <c r="F12" s="67" t="inlineStr">
        <is>
          <t>30 least-disturbed stations of this ecoregion</t>
        </is>
      </c>
      <c r="G12" s="67" t="n">
        <v>0</v>
      </c>
      <c r="H12" s="67" t="n">
        <v>0.2273068036884069</v>
      </c>
      <c r="I12" s="67" t="n">
        <v>0.3618181720376015</v>
      </c>
      <c r="J12" s="67" t="n">
        <v>0.7461363673210144</v>
      </c>
      <c r="K12" s="67" t="n">
        <v>0.8806477356702089</v>
      </c>
      <c r="L12" s="67" t="n">
        <v>1.130454562604427</v>
      </c>
      <c r="M12" s="67" t="n">
        <v>1.51477275788784</v>
      </c>
      <c r="N12" s="67" t="n">
        <v>1.51477275788784</v>
      </c>
      <c r="O12" s="67" t="n">
        <v>0</v>
      </c>
      <c r="P12" s="67" t="n">
        <v>0.7</v>
      </c>
      <c r="Q12" s="67" t="n">
        <v>1</v>
      </c>
      <c r="R12" s="67" t="n">
        <v>1</v>
      </c>
      <c r="S12" s="67" t="n">
        <v>0.7</v>
      </c>
      <c r="T12" s="67" t="n">
        <v>0.3</v>
      </c>
      <c r="U12" s="67" t="n">
        <v>0</v>
      </c>
      <c r="V12" s="67" t="n">
        <v>0</v>
      </c>
    </row>
    <row r="13">
      <c r="A13" s="67" t="inlineStr">
        <is>
          <t>spring_phab_pct_safn|</t>
        </is>
      </c>
      <c r="B13" s="67" t="inlineStr">
        <is>
          <t>spring-phab-pct-safn</t>
        </is>
      </c>
      <c r="C13" s="67" t="inlineStr">
        <is>
          <t>Sand + fines</t>
        </is>
      </c>
      <c r="D13" s="67" t="inlineStr"/>
      <c r="E13" s="67" t="n">
        <v>5</v>
      </c>
      <c r="F13" s="67" t="inlineStr">
        <is>
          <t>30 least-disturbed stations of this ecoregion</t>
        </is>
      </c>
      <c r="G13" s="67" t="n">
        <v>0</v>
      </c>
      <c r="H13" s="67" t="n">
        <v>4.761904716491699</v>
      </c>
      <c r="I13" s="67" t="n">
        <v>26.39999961853027</v>
      </c>
      <c r="J13" s="67" t="n">
        <v>58.85714197158813</v>
      </c>
      <c r="K13" s="67" t="n">
        <v>80.49523687362671</v>
      </c>
      <c r="L13" s="67" t="n">
        <v>80.49523687362671</v>
      </c>
      <c r="M13" s="67" t="n">
        <v>80.49523687362671</v>
      </c>
      <c r="N13" s="67" t="n">
        <v>80.49523687362671</v>
      </c>
      <c r="O13" s="67" t="n">
        <v>1</v>
      </c>
      <c r="P13" s="67" t="n">
        <v>1</v>
      </c>
      <c r="Q13" s="67" t="n">
        <v>0.7</v>
      </c>
      <c r="R13" s="67" t="n">
        <v>0.3</v>
      </c>
      <c r="S13" s="67" t="n">
        <v>0</v>
      </c>
      <c r="T13" s="67" t="n">
        <v>0</v>
      </c>
      <c r="U13" s="67" t="n">
        <v>0</v>
      </c>
      <c r="V13" s="67" t="n">
        <v>0</v>
      </c>
    </row>
    <row r="14">
      <c r="A14" s="67" t="inlineStr">
        <is>
          <t>spring_phab_xembed|</t>
        </is>
      </c>
      <c r="B14" s="67" t="inlineStr">
        <is>
          <t>spring-phab-xembed</t>
        </is>
      </c>
      <c r="C14" s="67" t="inlineStr">
        <is>
          <t>Embeddedness</t>
        </is>
      </c>
      <c r="D14" s="67" t="inlineStr"/>
      <c r="E14" s="67" t="n">
        <v>5</v>
      </c>
      <c r="F14" s="67" t="inlineStr">
        <is>
          <t>21 least-disturbed stations of this ecoregion</t>
        </is>
      </c>
      <c r="G14" s="67" t="n">
        <v>24.18181610107422</v>
      </c>
      <c r="H14" s="67" t="n">
        <v>32.45454406738281</v>
      </c>
      <c r="I14" s="67" t="n">
        <v>49</v>
      </c>
      <c r="J14" s="67" t="n">
        <v>73.81818389892578</v>
      </c>
      <c r="K14" s="67" t="n">
        <v>90.36363983154297</v>
      </c>
      <c r="L14" s="67" t="n">
        <v>90.36363983154297</v>
      </c>
      <c r="M14" s="67" t="n">
        <v>90.36363983154297</v>
      </c>
      <c r="N14" s="67" t="n">
        <v>90.36363983154297</v>
      </c>
      <c r="O14" s="67" t="n">
        <v>1</v>
      </c>
      <c r="P14" s="67" t="n">
        <v>1</v>
      </c>
      <c r="Q14" s="67" t="n">
        <v>0.7</v>
      </c>
      <c r="R14" s="67" t="n">
        <v>0.3</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21 least-disturbed stations of this ecoregion</t>
        </is>
      </c>
      <c r="G15" s="67" t="n">
        <v>1</v>
      </c>
      <c r="H15" s="67" t="n">
        <v>1.062829613685608</v>
      </c>
      <c r="I15" s="67" t="n">
        <v>1.186484694480896</v>
      </c>
      <c r="J15" s="67" t="n">
        <v>1.24831223487854</v>
      </c>
      <c r="K15" s="67" t="n">
        <v>1.24831223487854</v>
      </c>
      <c r="L15" s="67" t="n">
        <v>1.24831223487854</v>
      </c>
      <c r="M15" s="67" t="n">
        <v>1.24831223487854</v>
      </c>
      <c r="N15" s="67" t="n">
        <v>1.24831223487854</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284 least-disturbed stations borrowed from NARS-9 region WMT under the regional screen (agriculture at most 25 percent), transfer risk moderate</t>
        </is>
      </c>
      <c r="G16" s="67" t="n">
        <v>0</v>
      </c>
      <c r="H16" s="67" t="n">
        <v>16.32333881855011</v>
      </c>
      <c r="I16" s="67" t="n">
        <v>22.03409051895142</v>
      </c>
      <c r="J16" s="67" t="n">
        <v>38.35052394866943</v>
      </c>
      <c r="K16" s="67" t="n">
        <v>44.06127564907074</v>
      </c>
      <c r="L16" s="67" t="n">
        <v>54.66695737838745</v>
      </c>
      <c r="M16" s="67" t="n">
        <v>70.98339080810547</v>
      </c>
      <c r="N16" s="67" t="n">
        <v>70.98339080810547</v>
      </c>
      <c r="O16" s="67" t="n">
        <v>0.7</v>
      </c>
      <c r="P16" s="67" t="n">
        <v>0.7</v>
      </c>
      <c r="Q16" s="67" t="n">
        <v>1</v>
      </c>
      <c r="R16" s="67" t="n">
        <v>1</v>
      </c>
      <c r="S16" s="67" t="n">
        <v>0.7</v>
      </c>
      <c r="T16" s="67" t="n">
        <v>0.3</v>
      </c>
      <c r="U16" s="67" t="n">
        <v>0</v>
      </c>
      <c r="V16" s="67" t="n">
        <v>0</v>
      </c>
    </row>
    <row r="17">
      <c r="A17" s="67" t="inlineStr">
        <is>
          <t>spring_phab_lrbs_use|</t>
        </is>
      </c>
      <c r="B17" s="67" t="inlineStr">
        <is>
          <t>spring-phab-lrbs-use</t>
        </is>
      </c>
      <c r="C17" s="67" t="inlineStr">
        <is>
          <t>Relative bed stability</t>
        </is>
      </c>
      <c r="D17" s="67" t="inlineStr"/>
      <c r="E17" s="67" t="n">
        <v>8</v>
      </c>
      <c r="F17" s="67" t="inlineStr">
        <is>
          <t>30 least-disturbed stations of this ecoregion</t>
        </is>
      </c>
      <c r="G17" s="67" t="n">
        <v>-3.182622289285064</v>
      </c>
      <c r="H17" s="67" t="n">
        <v>-2.138895022682846</v>
      </c>
      <c r="I17" s="67" t="n">
        <v>-1.460472299391404</v>
      </c>
      <c r="J17" s="67" t="n">
        <v>-1.095167756080627</v>
      </c>
      <c r="K17" s="67" t="n">
        <v>-0.05144048947840929</v>
      </c>
      <c r="L17" s="67" t="n">
        <v>0.313864053832367</v>
      </c>
      <c r="M17" s="67" t="n">
        <v>0.9922867771238089</v>
      </c>
      <c r="N17" s="67" t="n">
        <v>2.036014043726027</v>
      </c>
      <c r="O17" s="67" t="n">
        <v>0</v>
      </c>
      <c r="P17" s="67" t="n">
        <v>0.3</v>
      </c>
      <c r="Q17" s="67" t="n">
        <v>0.7</v>
      </c>
      <c r="R17" s="67" t="n">
        <v>1</v>
      </c>
      <c r="S17" s="67" t="n">
        <v>1</v>
      </c>
      <c r="T17" s="67" t="n">
        <v>0.7</v>
      </c>
      <c r="U17" s="67" t="n">
        <v>0.3</v>
      </c>
      <c r="V17" s="67" t="n">
        <v>0</v>
      </c>
    </row>
    <row r="18">
      <c r="A18" s="67" t="inlineStr">
        <is>
          <t>spring_phab_lwdeqvolm100|</t>
        </is>
      </c>
      <c r="B18" s="67" t="inlineStr">
        <is>
          <t>spring-phab-lwdeqvolm100</t>
        </is>
      </c>
      <c r="C18" s="67" t="inlineStr">
        <is>
          <t>Large wood volume</t>
        </is>
      </c>
      <c r="D18" s="67" t="inlineStr"/>
      <c r="E18" s="67" t="n">
        <v>5</v>
      </c>
      <c r="F18" s="67" t="inlineStr">
        <is>
          <t>19 least-disturbed stations of this ecoregion</t>
        </is>
      </c>
      <c r="G18" s="67" t="n">
        <v>0</v>
      </c>
      <c r="H18" s="67" t="n">
        <v>0.7586244515010289</v>
      </c>
      <c r="I18" s="67" t="n">
        <v>1.770123720169067</v>
      </c>
      <c r="J18" s="67" t="n">
        <v>19.59124946594238</v>
      </c>
      <c r="K18" s="67" t="n">
        <v>28.50181233882904</v>
      </c>
      <c r="L18" s="67" t="n">
        <v>28.50181233882904</v>
      </c>
      <c r="M18" s="67" t="n">
        <v>28.50181233882904</v>
      </c>
      <c r="N18" s="67" t="n">
        <v>28.50181233882904</v>
      </c>
      <c r="O18" s="67" t="n">
        <v>0</v>
      </c>
      <c r="P18" s="67" t="n">
        <v>0.3</v>
      </c>
      <c r="Q18" s="67" t="n">
        <v>0.7</v>
      </c>
      <c r="R18" s="67" t="n">
        <v>1</v>
      </c>
      <c r="S18" s="67" t="n">
        <v>1</v>
      </c>
      <c r="T18" s="67" t="n">
        <v>1</v>
      </c>
      <c r="U18" s="67" t="n">
        <v>1</v>
      </c>
      <c r="V18" s="67" t="n">
        <v>1</v>
      </c>
    </row>
    <row r="19">
      <c r="A19" s="67" t="inlineStr">
        <is>
          <t>spring_chem_chla|</t>
        </is>
      </c>
      <c r="B19" s="67" t="inlineStr">
        <is>
          <t>spring-chem-chla</t>
        </is>
      </c>
      <c r="C19" s="67" t="inlineStr">
        <is>
          <t>Chlorophyll a</t>
        </is>
      </c>
      <c r="D19" s="67" t="inlineStr"/>
      <c r="E19" s="67" t="n">
        <v>5</v>
      </c>
      <c r="F19" s="67" t="inlineStr">
        <is>
          <t>32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19" s="67" t="n">
        <v>0.1095000170171261</v>
      </c>
      <c r="H19" s="67" t="n">
        <v>0.2890000119805336</v>
      </c>
      <c r="I19" s="67" t="n">
        <v>0.6480000019073486</v>
      </c>
      <c r="J19" s="67" t="n">
        <v>1.186499986797571</v>
      </c>
      <c r="K19" s="67" t="n">
        <v>1.545499976724386</v>
      </c>
      <c r="L19" s="67" t="n">
        <v>1.545499976724386</v>
      </c>
      <c r="M19" s="67" t="n">
        <v>1.545499976724386</v>
      </c>
      <c r="N19" s="67" t="n">
        <v>1.545499976724386</v>
      </c>
      <c r="O19" s="67" t="n">
        <v>1</v>
      </c>
      <c r="P19" s="67" t="n">
        <v>1</v>
      </c>
      <c r="Q19" s="67" t="n">
        <v>0.7</v>
      </c>
      <c r="R19" s="67" t="n">
        <v>0.3</v>
      </c>
      <c r="S19" s="67" t="n">
        <v>0</v>
      </c>
      <c r="T19" s="67" t="n">
        <v>0</v>
      </c>
      <c r="U19" s="67" t="n">
        <v>0</v>
      </c>
      <c r="V19" s="67" t="n">
        <v>0</v>
      </c>
    </row>
    <row r="20">
      <c r="A20" s="67" t="inlineStr">
        <is>
          <t>spring_phab_xcdenmid|</t>
        </is>
      </c>
      <c r="B20" s="67" t="inlineStr">
        <is>
          <t>spring-phab-xcdenmid</t>
        </is>
      </c>
      <c r="C20" s="67" t="inlineStr">
        <is>
          <t>Canopy density, mid-channel</t>
        </is>
      </c>
      <c r="D20" s="67" t="inlineStr"/>
      <c r="E20" s="67" t="n">
        <v>5</v>
      </c>
      <c r="F20" s="67" t="inlineStr">
        <is>
          <t>21 least-disturbed stations of this ecoregion</t>
        </is>
      </c>
      <c r="G20" s="67" t="n">
        <v>0</v>
      </c>
      <c r="H20" s="67" t="n">
        <v>30.08021327427455</v>
      </c>
      <c r="I20" s="67" t="n">
        <v>70.18716430664062</v>
      </c>
      <c r="J20" s="67" t="n">
        <v>93.43891143798828</v>
      </c>
      <c r="K20" s="67" t="n">
        <v>100</v>
      </c>
      <c r="L20" s="67" t="n">
        <v>100</v>
      </c>
      <c r="M20" s="67" t="n">
        <v>100</v>
      </c>
      <c r="N20" s="67" t="n">
        <v>100</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30 least-disturbed stations of this ecoregion</t>
        </is>
      </c>
      <c r="G21" s="67" t="n">
        <v>0</v>
      </c>
      <c r="H21" s="67" t="n">
        <v>0.3229926249810627</v>
      </c>
      <c r="I21" s="67" t="n">
        <v>0.7536494582891464</v>
      </c>
      <c r="J21" s="67" t="n">
        <v>1.298579514026642</v>
      </c>
      <c r="K21" s="67" t="n">
        <v>1.57104454189539</v>
      </c>
      <c r="L21" s="67" t="n">
        <v>1.57104454189539</v>
      </c>
      <c r="M21" s="67" t="n">
        <v>1.57104454189539</v>
      </c>
      <c r="N21" s="67" t="n">
        <v>1.57104454189539</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5</v>
      </c>
      <c r="F22" s="67" t="inlineStr">
        <is>
          <t>30 least-disturbed stations of this ecoregion</t>
        </is>
      </c>
      <c r="G22" s="67" t="n">
        <v>0.034124999307096</v>
      </c>
      <c r="H22" s="67" t="n">
        <v>0.06849999912083149</v>
      </c>
      <c r="I22" s="67" t="n">
        <v>0.1372499987483025</v>
      </c>
      <c r="J22" s="67" t="n">
        <v>0.2403749981895089</v>
      </c>
      <c r="K22" s="67" t="n">
        <v>0.3091249978169799</v>
      </c>
      <c r="L22" s="67" t="n">
        <v>0.3091249978169799</v>
      </c>
      <c r="M22" s="67" t="n">
        <v>0.3091249978169799</v>
      </c>
      <c r="N22" s="67" t="n">
        <v>0.3091249978169799</v>
      </c>
      <c r="O22" s="67" t="n">
        <v>1</v>
      </c>
      <c r="P22" s="67" t="n">
        <v>1</v>
      </c>
      <c r="Q22" s="67" t="n">
        <v>0.7</v>
      </c>
      <c r="R22" s="67" t="n">
        <v>0.3</v>
      </c>
      <c r="S22" s="67" t="n">
        <v>0</v>
      </c>
      <c r="T22" s="67" t="n">
        <v>0</v>
      </c>
      <c r="U22" s="67" t="n">
        <v>0</v>
      </c>
      <c r="V22" s="67" t="n">
        <v>0</v>
      </c>
    </row>
    <row r="23">
      <c r="A23" s="67" t="inlineStr">
        <is>
          <t>spring_chem_ptl|</t>
        </is>
      </c>
      <c r="B23" s="67" t="inlineStr">
        <is>
          <t>spring-chem-ptl</t>
        </is>
      </c>
      <c r="C23" s="67" t="inlineStr">
        <is>
          <t>Total phosphorus</t>
        </is>
      </c>
      <c r="D23" s="67" t="inlineStr"/>
      <c r="E23" s="67" t="n">
        <v>5</v>
      </c>
      <c r="F23" s="67" t="inlineStr">
        <is>
          <t>30 least-disturbed stations of this ecoregion</t>
        </is>
      </c>
      <c r="G23" s="67" t="n">
        <v>0</v>
      </c>
      <c r="H23" s="67" t="n">
        <v>9.121000051498413</v>
      </c>
      <c r="I23" s="67" t="n">
        <v>33</v>
      </c>
      <c r="J23" s="67" t="n">
        <v>68.81849992275238</v>
      </c>
      <c r="K23" s="67" t="n">
        <v>92.69749987125397</v>
      </c>
      <c r="L23" s="67" t="n">
        <v>92.69749987125397</v>
      </c>
      <c r="M23" s="67" t="n">
        <v>92.69749987125397</v>
      </c>
      <c r="N23" s="67" t="n">
        <v>92.69749987125397</v>
      </c>
      <c r="O23" s="67" t="n">
        <v>1</v>
      </c>
      <c r="P23" s="67" t="n">
        <v>1</v>
      </c>
      <c r="Q23" s="67" t="n">
        <v>0.7</v>
      </c>
      <c r="R23" s="67" t="n">
        <v>0.3</v>
      </c>
      <c r="S23" s="67" t="n">
        <v>0</v>
      </c>
      <c r="T23" s="67" t="n">
        <v>0</v>
      </c>
      <c r="U23" s="67" t="n">
        <v>0</v>
      </c>
      <c r="V23" s="67" t="n">
        <v>0</v>
      </c>
    </row>
    <row r="24">
      <c r="A24" s="67" t="inlineStr">
        <is>
          <t>spring_chem_cond|</t>
        </is>
      </c>
      <c r="B24" s="67" t="inlineStr">
        <is>
          <t>spring-chem-cond</t>
        </is>
      </c>
      <c r="C24" s="67" t="inlineStr">
        <is>
          <t>Specific conductivity</t>
        </is>
      </c>
      <c r="D24" s="67" t="inlineStr"/>
      <c r="E24" s="67" t="n">
        <v>5</v>
      </c>
      <c r="F24" s="67" t="inlineStr">
        <is>
          <t>30 least-disturbed stations of this ecoregion</t>
        </is>
      </c>
      <c r="G24" s="67" t="n">
        <v>10.74999856948853</v>
      </c>
      <c r="H24" s="67" t="n">
        <v>44.99999904632568</v>
      </c>
      <c r="I24" s="67" t="n">
        <v>113.5</v>
      </c>
      <c r="J24" s="67" t="n">
        <v>216.2500014305115</v>
      </c>
      <c r="K24" s="67" t="n">
        <v>284.7500023841858</v>
      </c>
      <c r="L24" s="67" t="n">
        <v>284.7500023841858</v>
      </c>
      <c r="M24" s="67" t="n">
        <v>284.7500023841858</v>
      </c>
      <c r="N24" s="67" t="n">
        <v>284.7500023841858</v>
      </c>
      <c r="O24" s="67" t="n">
        <v>1</v>
      </c>
      <c r="P24" s="67" t="n">
        <v>1</v>
      </c>
      <c r="Q24" s="67" t="n">
        <v>0.7</v>
      </c>
      <c r="R24" s="67" t="n">
        <v>0.3</v>
      </c>
      <c r="S24" s="67" t="n">
        <v>0</v>
      </c>
      <c r="T24" s="67" t="n">
        <v>0</v>
      </c>
      <c r="U24" s="67" t="n">
        <v>0</v>
      </c>
      <c r="V24" s="67" t="n">
        <v>0</v>
      </c>
    </row>
    <row r="25">
      <c r="A25" s="67" t="inlineStr">
        <is>
          <t>spring_chem_turb|</t>
        </is>
      </c>
      <c r="B25" s="67" t="inlineStr">
        <is>
          <t>spring-chem-turb</t>
        </is>
      </c>
      <c r="C25" s="67" t="inlineStr">
        <is>
          <t>Turbidity</t>
        </is>
      </c>
      <c r="D25" s="67" t="inlineStr"/>
      <c r="E25" s="67" t="n">
        <v>5</v>
      </c>
      <c r="F25" s="67" t="inlineStr">
        <is>
          <t>28 least-disturbed stations of this ecoregion</t>
        </is>
      </c>
      <c r="G25" s="67" t="n">
        <v>0</v>
      </c>
      <c r="H25" s="67" t="n">
        <v>0.1224999967962503</v>
      </c>
      <c r="I25" s="67" t="n">
        <v>0.6175000220537186</v>
      </c>
      <c r="J25" s="67" t="n">
        <v>1.360000059939921</v>
      </c>
      <c r="K25" s="67" t="n">
        <v>1.855000085197389</v>
      </c>
      <c r="L25" s="67" t="n">
        <v>1.855000085197389</v>
      </c>
      <c r="M25" s="67" t="n">
        <v>1.855000085197389</v>
      </c>
      <c r="N25" s="67" t="n">
        <v>1.855000085197389</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30 least-disturbed stations of this ecoregion</t>
        </is>
      </c>
      <c r="G26" s="67" t="n">
        <v>0</v>
      </c>
      <c r="H26" s="67" t="n">
        <v>15.28571483067104</v>
      </c>
      <c r="I26" s="67" t="n">
        <v>35.66666793823242</v>
      </c>
      <c r="J26" s="67" t="n">
        <v>84.38295364379883</v>
      </c>
      <c r="K26" s="67" t="n">
        <v>100</v>
      </c>
      <c r="L26" s="67" t="n">
        <v>100</v>
      </c>
      <c r="M26" s="67" t="n">
        <v>100</v>
      </c>
      <c r="N26" s="67" t="n">
        <v>100</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30 least-disturbed stations of this ecoregion</t>
        </is>
      </c>
      <c r="G27" s="67" t="n">
        <v>0</v>
      </c>
      <c r="H27" s="67" t="n">
        <v>0.1110389573233468</v>
      </c>
      <c r="I27" s="67" t="n">
        <v>0.2590909004211426</v>
      </c>
      <c r="J27" s="67" t="n">
        <v>0.6017045527696609</v>
      </c>
      <c r="K27" s="67" t="n">
        <v>0.7730113789439201</v>
      </c>
      <c r="L27" s="67" t="n">
        <v>0.7730113789439201</v>
      </c>
      <c r="M27" s="67" t="n">
        <v>0.7730113789439201</v>
      </c>
      <c r="N27" s="67" t="n">
        <v>0.7730113789439201</v>
      </c>
      <c r="O27" s="67" t="n">
        <v>0</v>
      </c>
      <c r="P27" s="67" t="n">
        <v>0.3</v>
      </c>
      <c r="Q27" s="67" t="n">
        <v>0.7</v>
      </c>
      <c r="R27" s="67" t="n">
        <v>1</v>
      </c>
      <c r="S27" s="67" t="n">
        <v>1</v>
      </c>
      <c r="T27" s="67" t="n">
        <v>1</v>
      </c>
      <c r="U27" s="67" t="n">
        <v>1</v>
      </c>
      <c r="V27" s="67" t="n">
        <v>1</v>
      </c>
    </row>
    <row r="28">
      <c r="A28" s="67" t="inlineStr">
        <is>
          <t>spring_bent_totlntax|</t>
        </is>
      </c>
      <c r="B28" s="67" t="inlineStr">
        <is>
          <t>spring-bent-totlntax</t>
        </is>
      </c>
      <c r="C28" s="67" t="inlineStr">
        <is>
          <t>Benthic total taxa richness</t>
        </is>
      </c>
      <c r="D28" s="67" t="inlineStr"/>
      <c r="E28" s="67" t="n">
        <v>5</v>
      </c>
      <c r="F28" s="67" t="inlineStr">
        <is>
          <t>30 least-disturbed stations of this ecoregion</t>
        </is>
      </c>
      <c r="G28" s="67" t="n">
        <v>0</v>
      </c>
      <c r="H28" s="67" t="n">
        <v>16.28571428571428</v>
      </c>
      <c r="I28" s="67" t="n">
        <v>38</v>
      </c>
      <c r="J28" s="67" t="n">
        <v>46.75</v>
      </c>
      <c r="K28" s="67" t="n">
        <v>51.125</v>
      </c>
      <c r="L28" s="67" t="n">
        <v>51.125</v>
      </c>
      <c r="M28" s="67" t="n">
        <v>51.125</v>
      </c>
      <c r="N28" s="67" t="n">
        <v>51.125</v>
      </c>
      <c r="O28" s="67" t="n">
        <v>0</v>
      </c>
      <c r="P28" s="67" t="n">
        <v>0.3</v>
      </c>
      <c r="Q28" s="67" t="n">
        <v>0.7</v>
      </c>
      <c r="R28" s="67" t="n">
        <v>1</v>
      </c>
      <c r="S28" s="67" t="n">
        <v>1</v>
      </c>
      <c r="T28" s="67" t="n">
        <v>1</v>
      </c>
      <c r="U28" s="67" t="n">
        <v>1</v>
      </c>
      <c r="V28" s="67" t="n">
        <v>1</v>
      </c>
    </row>
    <row r="29">
      <c r="A29" s="67" t="inlineStr">
        <is>
          <t>spring_fish_nat_totlntax|</t>
        </is>
      </c>
      <c r="B29" s="67" t="inlineStr">
        <is>
          <t>spring-fish-nat-totlntax</t>
        </is>
      </c>
      <c r="C29" s="67" t="inlineStr">
        <is>
          <t>Native fish taxa richness</t>
        </is>
      </c>
      <c r="D29" s="67" t="inlineStr"/>
      <c r="E29" s="67" t="n">
        <v>5</v>
      </c>
      <c r="F29" s="67" t="inlineStr">
        <is>
          <t>19 least-disturbed stations of this ecoregion</t>
        </is>
      </c>
      <c r="G29" s="67" t="n">
        <v>0</v>
      </c>
      <c r="H29" s="67" t="n">
        <v>0.2142857142857143</v>
      </c>
      <c r="I29" s="67" t="n">
        <v>0.5</v>
      </c>
      <c r="J29" s="67" t="n">
        <v>3</v>
      </c>
      <c r="K29" s="67" t="n">
        <v>4.25</v>
      </c>
      <c r="L29" s="67" t="n">
        <v>4.25</v>
      </c>
      <c r="M29" s="67" t="n">
        <v>4.25</v>
      </c>
      <c r="N29" s="67" t="n">
        <v>4.25</v>
      </c>
      <c r="O29" s="67" t="n">
        <v>0</v>
      </c>
      <c r="P29" s="67" t="n">
        <v>0.3</v>
      </c>
      <c r="Q29" s="67" t="n">
        <v>0.7</v>
      </c>
      <c r="R29" s="67" t="n">
        <v>1</v>
      </c>
      <c r="S29" s="67" t="n">
        <v>1</v>
      </c>
      <c r="T29" s="67" t="n">
        <v>1</v>
      </c>
      <c r="U29" s="67" t="n">
        <v>1</v>
      </c>
      <c r="V29" s="67" t="n">
        <v>1</v>
      </c>
    </row>
    <row r="30">
      <c r="A30" s="67" t="inlineStr">
        <is>
          <t>spring_bent_hprime|</t>
        </is>
      </c>
      <c r="B30" s="67" t="inlineStr">
        <is>
          <t>spring-bent-hprime</t>
        </is>
      </c>
      <c r="C30" s="67" t="inlineStr">
        <is>
          <t>Shannon diversity (H')</t>
        </is>
      </c>
      <c r="D30" s="67" t="inlineStr"/>
      <c r="E30" s="67" t="n">
        <v>5</v>
      </c>
      <c r="F30" s="67" t="inlineStr">
        <is>
          <t>30 least-disturbed stations of this ecoregion</t>
        </is>
      </c>
      <c r="G30" s="67" t="n">
        <v>0</v>
      </c>
      <c r="H30" s="67" t="n">
        <v>1.211785708154951</v>
      </c>
      <c r="I30" s="67" t="n">
        <v>2.827499985694885</v>
      </c>
      <c r="J30" s="67" t="n">
        <v>3.252499997615814</v>
      </c>
      <c r="K30" s="67" t="n">
        <v>3.465000003576279</v>
      </c>
      <c r="L30" s="67" t="n">
        <v>3.465000003576279</v>
      </c>
      <c r="M30" s="67" t="n">
        <v>3.465000003576279</v>
      </c>
      <c r="N30" s="67" t="n">
        <v>3.465000003576279</v>
      </c>
      <c r="O30" s="67" t="n">
        <v>0</v>
      </c>
      <c r="P30" s="67" t="n">
        <v>0.3</v>
      </c>
      <c r="Q30" s="67" t="n">
        <v>0.7</v>
      </c>
      <c r="R30" s="67" t="n">
        <v>1</v>
      </c>
      <c r="S30" s="67" t="n">
        <v>1</v>
      </c>
      <c r="T30" s="67" t="n">
        <v>1</v>
      </c>
      <c r="U30" s="67" t="n">
        <v>1</v>
      </c>
      <c r="V30" s="67" t="n">
        <v>1</v>
      </c>
    </row>
    <row r="31">
      <c r="A31" s="67" t="inlineStr">
        <is>
          <t>spring_bent_tolrpind|</t>
        </is>
      </c>
      <c r="B31" s="67" t="inlineStr">
        <is>
          <t>spring-bent-tolrpind</t>
        </is>
      </c>
      <c r="C31" s="67" t="inlineStr">
        <is>
          <t>Tolerant individuals (%) ~ HBI</t>
        </is>
      </c>
      <c r="D31" s="67" t="inlineStr"/>
      <c r="E31" s="67" t="n">
        <v>5</v>
      </c>
      <c r="F31" s="67" t="inlineStr">
        <is>
          <t>30 least-disturbed stations of this ecoregion</t>
        </is>
      </c>
      <c r="G31" s="67" t="n">
        <v>0.6587504148483276</v>
      </c>
      <c r="H31" s="67" t="n">
        <v>4.820000171661377</v>
      </c>
      <c r="I31" s="67" t="n">
        <v>13.14249968528748</v>
      </c>
      <c r="J31" s="67" t="n">
        <v>25.62624895572662</v>
      </c>
      <c r="K31" s="67" t="n">
        <v>33.94874846935272</v>
      </c>
      <c r="L31" s="67" t="n">
        <v>33.94874846935272</v>
      </c>
      <c r="M31" s="67" t="n">
        <v>33.94874846935272</v>
      </c>
      <c r="N31" s="67" t="n">
        <v>33.94874846935272</v>
      </c>
      <c r="O31" s="67" t="n">
        <v>1</v>
      </c>
      <c r="P31" s="67" t="n">
        <v>1</v>
      </c>
      <c r="Q31" s="67" t="n">
        <v>0.7</v>
      </c>
      <c r="R31" s="67" t="n">
        <v>0.3</v>
      </c>
      <c r="S31" s="67" t="n">
        <v>0</v>
      </c>
      <c r="T31" s="67" t="n">
        <v>0</v>
      </c>
      <c r="U31" s="67" t="n">
        <v>0</v>
      </c>
      <c r="V31" s="67" t="n">
        <v>0</v>
      </c>
    </row>
    <row r="32">
      <c r="A32" s="67" t="inlineStr">
        <is>
          <t>spring_nid_dams_1mi|</t>
        </is>
      </c>
      <c r="B32" s="67" t="inlineStr">
        <is>
          <t>spring-nid-dams-1mi</t>
        </is>
      </c>
      <c r="C32" s="67" t="inlineStr">
        <is>
          <t>Mapped dams within one mile</t>
        </is>
      </c>
      <c r="D32" s="67" t="inlineStr"/>
      <c r="E32" s="67" t="n">
        <v>4</v>
      </c>
      <c r="F32" s="67" t="inlineStr">
        <is>
          <t>Fixed criteria, the same in every region</t>
        </is>
      </c>
      <c r="G32" s="67" t="n">
        <v>0</v>
      </c>
      <c r="H32" s="67" t="n">
        <v>1</v>
      </c>
      <c r="I32" s="67" t="n">
        <v>2</v>
      </c>
      <c r="J32" s="67" t="n">
        <v>3</v>
      </c>
      <c r="K32" s="67" t="n">
        <v>3</v>
      </c>
      <c r="L32" s="67" t="n">
        <v>3</v>
      </c>
      <c r="M32" s="67" t="n">
        <v>3</v>
      </c>
      <c r="N32" s="67" t="n">
        <v>3</v>
      </c>
      <c r="O32" s="67" t="n">
        <v>1</v>
      </c>
      <c r="P32" s="67" t="n">
        <v>0.545</v>
      </c>
      <c r="Q32" s="67" t="n">
        <v>0.195</v>
      </c>
      <c r="R32" s="67" t="n">
        <v>0</v>
      </c>
      <c r="S32" s="67" t="n">
        <v>0</v>
      </c>
      <c r="T32" s="67" t="n">
        <v>0</v>
      </c>
      <c r="U32" s="67" t="n">
        <v>0</v>
      </c>
      <c r="V32" s="67" t="n">
        <v>0</v>
      </c>
    </row>
    <row r="35">
      <c r="A35" s="56" t="inlineStr">
        <is>
          <t>Curve sets by metric</t>
        </is>
      </c>
    </row>
    <row r="38">
      <c r="A38" s="56" t="inlineStr">
        <is>
          <t>Condition classes</t>
        </is>
      </c>
    </row>
    <row r="39">
      <c r="A39" t="inlineStr">
        <is>
          <t>Metric index: at or below 0.39 Non-Functioning, at or below 0.69 Functioning At-Risk, above Functioning.</t>
        </is>
      </c>
    </row>
    <row r="40">
      <c r="A40" t="inlineStr">
        <is>
          <t>Function score (0 to 15): at or below 5 Non-Functioning, at or below 10 Functioning At-Risk, above Functioning.</t>
        </is>
      </c>
    </row>
    <row r="41">
      <c r="A4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northern-rockies</t>
        </is>
      </c>
    </row>
    <row r="5">
      <c r="A5" s="67" t="inlineStr">
        <is>
          <t>Assessment name</t>
        </is>
      </c>
      <c r="B5" s="67" t="inlineStr">
        <is>
          <t>Northern Rockies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sha256:fecfe0278f4c869c64c06f10c3399754bc83c9b40b1774b2db2254d0686711d7</t>
        </is>
      </c>
    </row>
    <row r="9">
      <c r="A9" s="67" t="inlineStr">
        <is>
          <t>Region</t>
        </is>
      </c>
      <c r="B9" s="67" t="inlineStr">
        <is>
          <t>ecoregion 15 Northern Rockies</t>
        </is>
      </c>
    </row>
    <row r="10">
      <c r="A10" s="67" t="inlineStr">
        <is>
          <t>Source</t>
        </is>
      </c>
      <c r="B10" s="67" t="inlineStr">
        <is>
          <t>USEPA NRSA 2013-24 (L3 ecoregion 15),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2026-09-30T07:06:16Z</dcterms:created>
  <dcterms:modified xmlns:dcterms="http://purl.org/dc/terms/" xmlns:xsi="http://www.w3.org/2001/XMLSchema-instance" xsi:type="dcterms:W3CDTF">2026-09-30T07:06:16Z</dcterms:modified>
  <cp:lastModifiedBy>DEEP</cp:lastModifiedBy>
  <cp:contentStatus>Draft</cp:contentStatus>
</cp:coreProperties>
</file>