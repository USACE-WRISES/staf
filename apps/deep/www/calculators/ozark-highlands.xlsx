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'Reference'!$A$5:$A$44</definedName>
    <definedName name="curve_x1">'Reference'!$G$5:$G$44</definedName>
    <definedName name="curve_y1">'Reference'!$O$5:$O$44</definedName>
    <definedName name="curve_x2">'Reference'!$H$5:$H$44</definedName>
    <definedName name="curve_y2">'Reference'!$P$5:$P$44</definedName>
    <definedName name="curve_x3">'Reference'!$I$5:$I$44</definedName>
    <definedName name="curve_y3">'Reference'!$Q$5:$Q$44</definedName>
    <definedName name="curve_x4">'Reference'!$J$5:$J$44</definedName>
    <definedName name="curve_y4">'Reference'!$R$5:$R$44</definedName>
    <definedName name="curve_x5">'Reference'!$K$5:$K$44</definedName>
    <definedName name="curve_y5">'Reference'!$S$5:$S$44</definedName>
    <definedName name="curve_x6">'Reference'!$L$5:$L$44</definedName>
    <definedName name="curve_y6">'Reference'!$T$5:$T$44</definedName>
    <definedName name="curve_x7">'Reference'!$M$5:$M$44</definedName>
    <definedName name="curve_y7">'Reference'!$U$5:$U$44</definedName>
    <definedName name="curve_x8">'Reference'!$N$5:$N$44</definedName>
    <definedName name="curve_y8">'Reference'!$V$5:$V$44</definedName>
    <definedName name="strata_spring_phab_bfwd_rat">'Reference'!$A$48:$A$50</definedName>
    <definedName name="strata_spring_phab_xbkf_h">'Reference'!$A$51:$A$53</definedName>
    <definedName name="strata_spring_phab_lrbs_use">'Reference'!$A$54:$A$56</definedName>
    <definedName name="strata_spring_phab_xcdenmid">'Reference'!$A$57:$A$60</definedName>
    <definedName name="strata_spring_phab_xfc_nat">'Reference'!$A$61:$A$63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turb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ept_ntax">'Metrics'!$V$31</definedName>
    <definedName name="idx_spring_bent_mmi_bent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turb">'DEEP Score'!$E$38</definedName>
    <definedName name="in_spring_chem_cond">'DEEP Score'!$E$39</definedName>
    <definedName name="in_spring_phab_pct_fast">'DEEP Score'!$E$40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nat_totlntax">'DEEP Score'!$E$43</definedName>
    <definedName name="in_spring_bent_ept_ntax">'DEEP Score'!$E$44</definedName>
    <definedName name="in_spring_bent_mmi_bent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Ozark Highlands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80" customHeight="1">
      <c r="A5" s="4" t="inlineStr">
        <is>
          <t>Reference condition. Reference condition is set by a fixed landscape-pressure screen, never by a score. 4 curves are fitted to this ecoregion's own streams under the documented regional screen, which relaxes agriculture only. 20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11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Ozark Highlands reference assessment</t>
        </is>
      </c>
    </row>
    <row r="3">
      <c r="A3" s="5" t="inlineStr">
        <is>
          <t>Version 1 | Draft | USEPA NRSA 2013-24 (L3 ecoregion 39),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15" t="n"/>
      <c r="F21" s="43" t="inlineStr">
        <is>
          <t>All streams (pooled)</t>
        </is>
      </c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4" t="inlineStr">
        <is>
          <t>All streams (pooled)</t>
        </is>
      </c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5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Score'!$E$21="","",'DEEP Score'!$E$21)</f>
        <v/>
      </c>
      <c r="F25" s="39">
        <f>IF('DEEP Score'!$F$21="","",'DEEP Score'!$F$21)</f>
        <v/>
      </c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6">
        <f>IF('DEEP Score'!$E$22="","",'DEEP Score'!$E$22)</f>
        <v/>
      </c>
      <c r="F26" s="47">
        <f>IF('DEEP Score'!$F$22="","",'DEEP Score'!$F$22)</f>
        <v/>
      </c>
      <c r="G26" s="26">
        <f>IF('Metrics'!$V$13="","",'Metrics'!$V$13)</f>
        <v/>
      </c>
      <c r="H26" s="21" t="n"/>
      <c r="I26" s="27" t="n"/>
    </row>
    <row r="27">
      <c r="A27" s="45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5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3" t="inlineStr">
        <is>
          <t>All streams (pooled)</t>
        </is>
      </c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6">
        <f>IF('DEEP Score'!$E$23="","",'DEEP Score'!$E$23)</f>
        <v/>
      </c>
      <c r="F30" s="47" t="inlineStr"/>
      <c r="G30" s="26">
        <f>IF('Metrics'!$V$14="","",'Metrics'!$V$14)</f>
        <v/>
      </c>
      <c r="H30" s="21" t="n"/>
      <c r="I30" s="27" t="n"/>
    </row>
    <row r="31">
      <c r="A31" s="45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IF('Metrics'!$V$19="","",'Metrics'!$V$19)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6">
        <f>IF('DEEP Score'!$E$24="","",'DEEP Score'!$E$24)</f>
        <v/>
      </c>
      <c r="F32" s="47" t="inlineStr"/>
      <c r="G32" s="26">
        <f>IF('Metrics'!$V$15="","",'Metrics'!$V$15)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4" t="inlineStr">
        <is>
          <t>All streams (pooled)</t>
        </is>
      </c>
      <c r="G34" s="26">
        <f>IF('Metrics'!$V$21="","",'Metrics'!$V$21)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Turbidity</t>
        </is>
      </c>
      <c r="D38" s="14" t="inlineStr">
        <is>
          <t>NTU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16" t="inlineStr"/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4" t="inlineStr">
        <is>
          <t>All streams (pooled)</t>
        </is>
      </c>
      <c r="G41" s="26">
        <f>IF('Metrics'!$V$28="","",'Metrics'!$V$28)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Native fish taxa richness</t>
        </is>
      </c>
      <c r="D43" s="23" t="inlineStr"/>
      <c r="E43" s="24" t="n"/>
      <c r="F43" s="25" t="inlineStr"/>
      <c r="G43" s="26">
        <f>IF('Metrics'!$V$30="","",'Metrics'!$V$30)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Benthic macroinvertebrate MMI</t>
        </is>
      </c>
      <c r="D45" s="23" t="inlineStr">
        <is>
          <t>MMI points</t>
        </is>
      </c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8" t="inlineStr">
        <is>
          <t>Withheld for insufficient reference support (not scored)</t>
        </is>
      </c>
    </row>
    <row r="58">
      <c r="A58" t="inlineStr">
        <is>
          <t>pH</t>
        </is>
      </c>
      <c r="C58" s="5" t="inlineStr">
        <is>
          <t>Water and soil quality</t>
        </is>
      </c>
    </row>
    <row r="60">
      <c r="A60" s="6" t="inlineStr">
        <is>
          <t>Notes</t>
        </is>
      </c>
    </row>
    <row r="61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5" t="n"/>
      <c r="B66" s="66" t="n"/>
      <c r="C66" s="66" t="n"/>
      <c r="D66" s="66" t="n"/>
      <c r="E66" s="66" t="n"/>
      <c r="F66" s="66" t="n"/>
      <c r="G66" s="66" t="n"/>
      <c r="H66" s="66" t="n"/>
      <c r="I66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5">
    <dataValidation sqref="F21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 cover of the watershed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Residual pool depth</t>
        </is>
      </c>
      <c r="B11" s="70">
        <f>IF('DEEP Score'!$E$19="","",'DEEP Score'!$E$19)</f>
        <v/>
      </c>
      <c r="C11" s="70">
        <f>""</f>
        <v/>
      </c>
      <c r="D11" s="70">
        <f>"spring_phab_rp100_cm|"&amp;'Metrics'!$C$11</f>
        <v/>
      </c>
      <c r="E11" s="70">
        <f>IFERROR(MATCH('Metrics'!$D$11,curve_key,0),MATCH("spring_phab_rp100_cm|",curve_key,0))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width:depth ratio</t>
        </is>
      </c>
      <c r="B12" s="70">
        <f>IF('DEEP Score'!$E$21="","",'DEEP Score'!$E$21)</f>
        <v/>
      </c>
      <c r="C12" s="70">
        <f>IF('DEEP Score'!$F$21="","All streams (pooled)",'DEEP Score'!$F$21)</f>
        <v/>
      </c>
      <c r="D12" s="70">
        <f>"spring_phab_bfwd_rat|"&amp;'Metrics'!$C$12</f>
        <v/>
      </c>
      <c r="E12" s="70">
        <f>IFERROR(MATCH('Metrics'!$D$12,curve_key,0),MATCH("spring_phab_bfwd_rat|All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Bankfull height above channel</t>
        </is>
      </c>
      <c r="B13" s="70">
        <f>IF('DEEP Score'!$E$22="","",'DEEP Score'!$E$22)</f>
        <v/>
      </c>
      <c r="C13" s="70">
        <f>IF('DEEP Score'!$F$22="","All streams (pooled)",'DEEP Score'!$F$22)</f>
        <v/>
      </c>
      <c r="D13" s="70">
        <f>"spring_phab_xbkf_h|"&amp;'Metrics'!$C$13</f>
        <v/>
      </c>
      <c r="E13" s="70">
        <f>IFERROR(MATCH('Metrics'!$D$13,curve_key,0),MATCH("spring_phab_xbkf_h|All streams (pooled)",curve_key,0))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Sand + fines</t>
        </is>
      </c>
      <c r="B14" s="70">
        <f>IF('DEEP Score'!$E$23="","",'DEEP Score'!$E$23)</f>
        <v/>
      </c>
      <c r="C14" s="70">
        <f>""</f>
        <v/>
      </c>
      <c r="D14" s="70">
        <f>"spring_phab_pct_safn|"&amp;'Metrics'!$C$14</f>
        <v/>
      </c>
      <c r="E14" s="70">
        <f>IFERROR(MATCH('Metrics'!$D$14,curve_key,0),MATCH("spring_phab_pct_safn|",curve_key,0))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Embeddedness</t>
        </is>
      </c>
      <c r="B15" s="70">
        <f>IF('DEEP Score'!$E$24="","",'DEEP Score'!$E$24)</f>
        <v/>
      </c>
      <c r="C15" s="70">
        <f>""</f>
        <v/>
      </c>
      <c r="D15" s="70">
        <f>"spring_phab_xembed|"&amp;'Metrics'!$C$15</f>
        <v/>
      </c>
      <c r="E15" s="70">
        <f>IFERROR(MATCH('Metrics'!$D$15,curve_key,0),MATCH("spring_phab_xembed|",curve_key,0))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Sinuosity</t>
        </is>
      </c>
      <c r="B16" s="70">
        <f>IF('DEEP Score'!$E$27="","",'DEEP Score'!$E$27)</f>
        <v/>
      </c>
      <c r="C16" s="70">
        <f>""</f>
        <v/>
      </c>
      <c r="D16" s="70">
        <f>"spring_phab_sinu|"&amp;'Metrics'!$C$16</f>
        <v/>
      </c>
      <c r="E16" s="70">
        <f>IFERROR(MATCH('Metrics'!$D$16,curve_key,0),MATCH("spring_phab_sinu|",curve_key,0))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Bank angle</t>
        </is>
      </c>
      <c r="B17" s="70">
        <f>IF('DEEP Score'!$E$28="","",'DEEP Score'!$E$28)</f>
        <v/>
      </c>
      <c r="C17" s="70">
        <f>""</f>
        <v/>
      </c>
      <c r="D17" s="70">
        <f>"spring_phab_xbka|"&amp;'Metrics'!$C$17</f>
        <v/>
      </c>
      <c r="E17" s="70">
        <f>IFERROR(MATCH('Metrics'!$D$17,curve_key,0),MATCH("spring_phab_xbka|",curve_key,0))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Relative bed stability</t>
        </is>
      </c>
      <c r="B18" s="70">
        <f>IF('DEEP Score'!$E$29="","",'DEEP Score'!$E$29)</f>
        <v/>
      </c>
      <c r="C18" s="70">
        <f>IF('DEEP Score'!$F$29="","All streams (pooled)",'DEEP Score'!$F$29)</f>
        <v/>
      </c>
      <c r="D18" s="70">
        <f>"spring_phab_lrbs_use|"&amp;'Metrics'!$C$18</f>
        <v/>
      </c>
      <c r="E18" s="70">
        <f>IFERROR(MATCH('Metrics'!$D$18,curve_key,0),MATCH("spring_phab_lrbs_use|All streams (pooled)",curve_key,0))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Substrate size</t>
        </is>
      </c>
      <c r="B19" s="70">
        <f>IF('DEEP Score'!$E$31="","",'DEEP Score'!$E$31)</f>
        <v/>
      </c>
      <c r="C19" s="70">
        <f>""</f>
        <v/>
      </c>
      <c r="D19" s="70">
        <f>"spring_phab_lsub_dmm|"&amp;'Metrics'!$C$19</f>
        <v/>
      </c>
      <c r="E19" s="70">
        <f>IFERROR(MATCH('Metrics'!$D$19,curve_key,0),MATCH("spring_phab_lsub_dmm|",curve_key,0))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Chlorophyll a</t>
        </is>
      </c>
      <c r="B20" s="70">
        <f>IF('DEEP Score'!$E$33="","",'DEEP Score'!$E$33)</f>
        <v/>
      </c>
      <c r="C20" s="70">
        <f>""</f>
        <v/>
      </c>
      <c r="D20" s="70">
        <f>"spring_chem_chla|"&amp;'Metrics'!$C$20</f>
        <v/>
      </c>
      <c r="E20" s="70">
        <f>IFERROR(MATCH('Metrics'!$D$20,curve_key,0),MATCH("spring_chem_chla|",curve_key,0))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Canopy density, mid-channel</t>
        </is>
      </c>
      <c r="B21" s="70">
        <f>IF('DEEP Score'!$E$34="","",'DEEP Score'!$E$34)</f>
        <v/>
      </c>
      <c r="C21" s="70">
        <f>IF('DEEP Score'!$F$34="","All streams (pooled)",'DEEP Score'!$F$34)</f>
        <v/>
      </c>
      <c r="D21" s="70">
        <f>"spring_phab_xcdenmid|"&amp;'Metrics'!$C$21</f>
        <v/>
      </c>
      <c r="E21" s="70">
        <f>IFERROR(MATCH('Metrics'!$D$21,curve_key,0),MATCH("spring_phab_xcdenmid|All streams (pooled)",curve_key,0))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Riparian veg cover, woody</t>
        </is>
      </c>
      <c r="B22" s="70">
        <f>IF('DEEP Score'!$E$35="","",'DEEP Score'!$E$35)</f>
        <v/>
      </c>
      <c r="C22" s="70">
        <f>""</f>
        <v/>
      </c>
      <c r="D22" s="70">
        <f>"spring_phab_xcmgw|"&amp;'Metrics'!$C$22</f>
        <v/>
      </c>
      <c r="E22" s="70">
        <f>IFERROR(MATCH('Metrics'!$D$22,curve_key,0),MATCH("spring_phab_xcmgw|",curve_key,0))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nitrogen</t>
        </is>
      </c>
      <c r="B23" s="70">
        <f>IF('DEEP Score'!$E$36="","",'DEEP Score'!$E$36)</f>
        <v/>
      </c>
      <c r="C23" s="70">
        <f>""</f>
        <v/>
      </c>
      <c r="D23" s="70">
        <f>"spring_chem_ntl|"&amp;'Metrics'!$C$23</f>
        <v/>
      </c>
      <c r="E23" s="70">
        <f>IFERROR(MATCH('Metrics'!$D$23,curve_key,0),MATCH("spring_chem_ntl|",curve_key,0))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Total phosphorus</t>
        </is>
      </c>
      <c r="B24" s="70">
        <f>IF('DEEP Score'!$E$37="","",'DEEP Score'!$E$37)</f>
        <v/>
      </c>
      <c r="C24" s="70">
        <f>""</f>
        <v/>
      </c>
      <c r="D24" s="70">
        <f>"spring_chem_ptl|"&amp;'Metrics'!$C$24</f>
        <v/>
      </c>
      <c r="E24" s="70">
        <f>IFERROR(MATCH('Metrics'!$D$24,curve_key,0),MATCH("spring_chem_ptl|",curve_key,0))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Turbidity</t>
        </is>
      </c>
      <c r="B25" s="70">
        <f>IF('DEEP Score'!$E$38="","",'DEEP Score'!$E$38)</f>
        <v/>
      </c>
      <c r="C25" s="70">
        <f>""</f>
        <v/>
      </c>
      <c r="D25" s="70">
        <f>"spring_chem_turb|"&amp;'Metrics'!$C$25</f>
        <v/>
      </c>
      <c r="E25" s="70">
        <f>IFERROR(MATCH('Metrics'!$D$25,curve_key,0),MATCH("spring_chem_turb|",curve_key,0))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Specific conductivity</t>
        </is>
      </c>
      <c r="B26" s="70">
        <f>IF('DEEP Score'!$E$39="","",'DEEP Score'!$E$39)</f>
        <v/>
      </c>
      <c r="C26" s="70">
        <f>""</f>
        <v/>
      </c>
      <c r="D26" s="70">
        <f>"spring_chem_cond|"&amp;'Metrics'!$C$26</f>
        <v/>
      </c>
      <c r="E26" s="70">
        <f>IFERROR(MATCH('Metrics'!$D$26,curve_key,0),MATCH("spring_chem_cond|",curve_key,0))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Fast-water / riffle habitat</t>
        </is>
      </c>
      <c r="B27" s="70">
        <f>IF('DEEP Score'!$E$40="","",'DEEP Score'!$E$40)</f>
        <v/>
      </c>
      <c r="C27" s="70">
        <f>""</f>
        <v/>
      </c>
      <c r="D27" s="70">
        <f>"spring_phab_pct_fast|"&amp;'Metrics'!$C$27</f>
        <v/>
      </c>
      <c r="E27" s="70">
        <f>IFERROR(MATCH('Metrics'!$D$27,curve_key,0),MATCH("spring_phab_pct_fast|",curve_key,0))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Natural fish cover</t>
        </is>
      </c>
      <c r="B28" s="70">
        <f>IF('DEEP Score'!$E$41="","",'DEEP Score'!$E$41)</f>
        <v/>
      </c>
      <c r="C28" s="70">
        <f>IF('DEEP Score'!$F$41="","All streams (pooled)",'DEEP Score'!$F$41)</f>
        <v/>
      </c>
      <c r="D28" s="70">
        <f>"spring_phab_xfc_nat|"&amp;'Metrics'!$C$28</f>
        <v/>
      </c>
      <c r="E28" s="70">
        <f>IFERROR(MATCH('Metrics'!$D$28,curve_key,0),MATCH("spring_phab_xfc_nat|All streams (pooled)",curve_key,0))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Benthic total taxa richness</t>
        </is>
      </c>
      <c r="B29" s="70">
        <f>IF('DEEP Score'!$E$42="","",'DEEP Score'!$E$42)</f>
        <v/>
      </c>
      <c r="C29" s="70">
        <f>""</f>
        <v/>
      </c>
      <c r="D29" s="70">
        <f>"spring_bent_totlntax|"&amp;'Metrics'!$C$29</f>
        <v/>
      </c>
      <c r="E29" s="70">
        <f>IFERROR(MATCH('Metrics'!$D$29,curve_key,0),MATCH("spring_bent_totlntax|",curve_key,0))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Native fish taxa richness</t>
        </is>
      </c>
      <c r="B30" s="70">
        <f>IF('DEEP Score'!$E$43="","",'DEEP Score'!$E$43)</f>
        <v/>
      </c>
      <c r="C30" s="70">
        <f>""</f>
        <v/>
      </c>
      <c r="D30" s="70">
        <f>"spring_fish_nat_totlntax|"&amp;'Metrics'!$C$30</f>
        <v/>
      </c>
      <c r="E30" s="70">
        <f>IFERROR(MATCH('Metrics'!$D$30,curve_key,0),MATCH("spring_fish_nat_totlntax|",curve_key,0))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EPT taxa richness</t>
        </is>
      </c>
      <c r="B31" s="70">
        <f>IF('DEEP Score'!$E$44="","",'DEEP Score'!$E$44)</f>
        <v/>
      </c>
      <c r="C31" s="70">
        <f>""</f>
        <v/>
      </c>
      <c r="D31" s="70">
        <f>"spring_bent_ept_ntax|"&amp;'Metrics'!$C$31</f>
        <v/>
      </c>
      <c r="E31" s="70">
        <f>IFERROR(MATCH('Metrics'!$D$31,curve_key,0),MATCH("spring_bent_ept_ntax|",curve_key,0))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Benthic macroinvertebrate MMI</t>
        </is>
      </c>
      <c r="B32" s="70">
        <f>IF('DEEP Score'!$E$45="","",'DEEP Score'!$E$45)</f>
        <v/>
      </c>
      <c r="C32" s="70">
        <f>""</f>
        <v/>
      </c>
      <c r="D32" s="70">
        <f>"spring_bent_mmi_bent|"&amp;'Metrics'!$C$32</f>
        <v/>
      </c>
      <c r="E32" s="70">
        <f>IFERROR(MATCH('Metrics'!$D$32,curve_key,0),MATCH("spring_bent_mmi_bent|",curve_key,0))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9" t="inlineStr">
        <is>
          <t>Mapped dams within one mile</t>
        </is>
      </c>
      <c r="B33" s="70">
        <f>IF('DEEP Score'!$E$46="","",'DEEP Score'!$E$46)</f>
        <v/>
      </c>
      <c r="C33" s="70">
        <f>""</f>
        <v/>
      </c>
      <c r="D33" s="70">
        <f>"spring_nid_dams_1mi|"&amp;'Metrics'!$C$33</f>
        <v/>
      </c>
      <c r="E33" s="70">
        <f>IFERROR(MATCH('Metrics'!$D$33,curve_key,0),MATCH("spring_nid_dams_1mi|",curve_key,0))</f>
        <v/>
      </c>
      <c r="F33" s="70">
        <f>INDEX(curve_x1,'Metrics'!$E$33)</f>
        <v/>
      </c>
      <c r="G33" s="70">
        <f>INDEX(curve_x2,'Metrics'!$E$33)</f>
        <v/>
      </c>
      <c r="H33" s="70">
        <f>INDEX(curve_x3,'Metrics'!$E$33)</f>
        <v/>
      </c>
      <c r="I33" s="70">
        <f>INDEX(curve_x4,'Metrics'!$E$33)</f>
        <v/>
      </c>
      <c r="J33" s="70">
        <f>INDEX(curve_x5,'Metrics'!$E$33)</f>
        <v/>
      </c>
      <c r="K33" s="70">
        <f>INDEX(curve_x6,'Metrics'!$E$33)</f>
        <v/>
      </c>
      <c r="L33" s="70">
        <f>INDEX(curve_x7,'Metrics'!$E$33)</f>
        <v/>
      </c>
      <c r="M33" s="70">
        <f>INDEX(curve_x8,'Metrics'!$E$33)</f>
        <v/>
      </c>
      <c r="N33" s="70">
        <f>INDEX(curve_y1,'Metrics'!$E$33)</f>
        <v/>
      </c>
      <c r="O33" s="70">
        <f>INDEX(curve_y2,'Metrics'!$E$33)</f>
        <v/>
      </c>
      <c r="P33" s="70">
        <f>INDEX(curve_y3,'Metrics'!$E$33)</f>
        <v/>
      </c>
      <c r="Q33" s="70">
        <f>INDEX(curve_y4,'Metrics'!$E$33)</f>
        <v/>
      </c>
      <c r="R33" s="70">
        <f>INDEX(curve_y5,'Metrics'!$E$33)</f>
        <v/>
      </c>
      <c r="S33" s="70">
        <f>INDEX(curve_y6,'Metrics'!$E$33)</f>
        <v/>
      </c>
      <c r="T33" s="70">
        <f>INDEX(curve_y7,'Metrics'!$E$33)</f>
        <v/>
      </c>
      <c r="U33" s="70">
        <f>INDEX(curve_y8,'Metrics'!$E$33)</f>
        <v/>
      </c>
      <c r="V33" s="71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6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 cover of the watershed</t>
        </is>
      </c>
      <c r="D7" s="69" t="inlineStr"/>
      <c r="E7" s="69" t="n">
        <v>4</v>
      </c>
      <c r="F7" s="69" t="inlineStr">
        <is>
          <t>Adopted from EASI's national screening method (provisional)</t>
        </is>
      </c>
      <c r="G7" s="69" t="n">
        <v>0</v>
      </c>
      <c r="H7" s="69" t="n">
        <v>0.995</v>
      </c>
      <c r="I7" s="69" t="n">
        <v>5</v>
      </c>
      <c r="J7" s="69" t="n">
        <v>9.138500000000001</v>
      </c>
      <c r="K7" s="69" t="n">
        <v>9.138500000000001</v>
      </c>
      <c r="L7" s="69" t="n">
        <v>9.138500000000001</v>
      </c>
      <c r="M7" s="69" t="n">
        <v>9.138500000000001</v>
      </c>
      <c r="N7" s="69" t="n">
        <v>9.138500000000001</v>
      </c>
      <c r="O7" s="69" t="n">
        <v>0.315468</v>
      </c>
      <c r="P7" s="69" t="n">
        <v>0.39</v>
      </c>
      <c r="Q7" s="69" t="n">
        <v>0.6899999999999999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18 least-disturbed streams of this ecoregion under the regional screen (agriculture at most 37.8 percent)</t>
        </is>
      </c>
      <c r="G9" s="69" t="n">
        <v>0</v>
      </c>
      <c r="H9" s="69" t="n">
        <v>12.86541428571429</v>
      </c>
      <c r="I9" s="69" t="n">
        <v>30.0193</v>
      </c>
      <c r="J9" s="69" t="n">
        <v>49.07825</v>
      </c>
      <c r="K9" s="69" t="n">
        <v>58.60772499999999</v>
      </c>
      <c r="L9" s="69" t="n">
        <v>58.60772499999999</v>
      </c>
      <c r="M9" s="69" t="n">
        <v>58.60772499999999</v>
      </c>
      <c r="N9" s="69" t="n">
        <v>58.60772499999999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spring_phab_rp100_cm|</t>
        </is>
      </c>
      <c r="B11" s="69" t="inlineStr">
        <is>
          <t>spring-phab-rp100-cm</t>
        </is>
      </c>
      <c r="C11" s="69" t="inlineStr">
        <is>
          <t>Residual pool depth</t>
        </is>
      </c>
      <c r="D11" s="69" t="inlineStr"/>
      <c r="E11" s="69" t="n">
        <v>5</v>
      </c>
      <c r="F11" s="69" t="inlineStr">
        <is>
          <t>25 least-disturbed stations borrowed from Level II ecoregion 8.4 (Ozark/Ouachita-Appalachian Forests) under the regional screen (agriculture at most 37.8 percent), transfer risk moderate</t>
        </is>
      </c>
      <c r="G11" s="69" t="n">
        <v>0</v>
      </c>
      <c r="H11" s="69" t="n">
        <v>5.616671970912388</v>
      </c>
      <c r="I11" s="69" t="n">
        <v>13.10556793212891</v>
      </c>
      <c r="J11" s="69" t="n">
        <v>48.14264678955078</v>
      </c>
      <c r="K11" s="69" t="n">
        <v>65.66118621826172</v>
      </c>
      <c r="L11" s="69" t="n">
        <v>65.66118621826172</v>
      </c>
      <c r="M11" s="69" t="n">
        <v>65.66118621826172</v>
      </c>
      <c r="N11" s="69" t="n">
        <v>65.66118621826172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1</v>
      </c>
      <c r="U11" s="69" t="n">
        <v>1</v>
      </c>
      <c r="V11" s="69" t="n">
        <v>1</v>
      </c>
    </row>
    <row r="12">
      <c r="A12" s="69" t="inlineStr">
        <is>
          <t>spring_phab_bfwd_rat|All streams (pooled)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All streams (pooled)</t>
        </is>
      </c>
      <c r="E12" s="69" t="n">
        <v>7</v>
      </c>
      <c r="F12" s="69" t="inlineStr">
        <is>
          <t>87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9" t="n">
        <v>0</v>
      </c>
      <c r="H12" s="69" t="n">
        <v>3.560326075553894</v>
      </c>
      <c r="I12" s="69" t="n">
        <v>6.663204669952393</v>
      </c>
      <c r="J12" s="69" t="n">
        <v>15.52857208251953</v>
      </c>
      <c r="K12" s="69" t="n">
        <v>18.63145067691803</v>
      </c>
      <c r="L12" s="69" t="n">
        <v>24.39393949508667</v>
      </c>
      <c r="M12" s="69" t="n">
        <v>33.25930690765381</v>
      </c>
      <c r="N12" s="69" t="n">
        <v>33.25930690765381</v>
      </c>
      <c r="O12" s="69" t="n">
        <v>0</v>
      </c>
      <c r="P12" s="69" t="n">
        <v>0.7</v>
      </c>
      <c r="Q12" s="69" t="n">
        <v>1</v>
      </c>
      <c r="R12" s="69" t="n">
        <v>1</v>
      </c>
      <c r="S12" s="69" t="n">
        <v>0.7</v>
      </c>
      <c r="T12" s="69" t="n">
        <v>0.3</v>
      </c>
      <c r="U12" s="69" t="n">
        <v>0</v>
      </c>
      <c r="V12" s="69" t="n">
        <v>0</v>
      </c>
    </row>
    <row r="13">
      <c r="A13" s="69" t="inlineStr">
        <is>
          <t>spring_phab_bfwd_rat|Small stream (10 to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Small stream (10 to 100 km2)</t>
        </is>
      </c>
      <c r="E13" s="69" t="n">
        <v>7</v>
      </c>
      <c r="F13" s="69" t="inlineStr">
        <is>
          <t>87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9" t="n">
        <v>0</v>
      </c>
      <c r="H13" s="69" t="n">
        <v>3.116806840896607</v>
      </c>
      <c r="I13" s="69" t="n">
        <v>5.748271942138672</v>
      </c>
      <c r="J13" s="69" t="n">
        <v>13.26674365997314</v>
      </c>
      <c r="K13" s="69" t="n">
        <v>15.89820876121521</v>
      </c>
      <c r="L13" s="69" t="n">
        <v>20.78521537780762</v>
      </c>
      <c r="M13" s="69" t="n">
        <v>28.30368709564209</v>
      </c>
      <c r="N13" s="69" t="n">
        <v>28.30368709564209</v>
      </c>
      <c r="O13" s="69" t="n">
        <v>0</v>
      </c>
      <c r="P13" s="69" t="n">
        <v>0.7</v>
      </c>
      <c r="Q13" s="69" t="n">
        <v>1</v>
      </c>
      <c r="R13" s="69" t="n">
        <v>1</v>
      </c>
      <c r="S13" s="69" t="n">
        <v>0.7</v>
      </c>
      <c r="T13" s="69" t="n">
        <v>0.3</v>
      </c>
      <c r="U13" s="69" t="n">
        <v>0</v>
      </c>
      <c r="V13" s="69" t="n">
        <v>0</v>
      </c>
    </row>
    <row r="14">
      <c r="A14" s="69" t="inlineStr">
        <is>
          <t>spring_phab_bfwd_rat|Large stream (over 100 km2)</t>
        </is>
      </c>
      <c r="B14" s="69" t="inlineStr">
        <is>
          <t>spring-phab-bfwd-rat</t>
        </is>
      </c>
      <c r="C14" s="69" t="inlineStr">
        <is>
          <t>Bankfull width:depth ratio</t>
        </is>
      </c>
      <c r="D14" s="69" t="inlineStr">
        <is>
          <t>Large stream (over 100 km2)</t>
        </is>
      </c>
      <c r="E14" s="69" t="n">
        <v>7</v>
      </c>
      <c r="F14" s="69" t="inlineStr">
        <is>
          <t>87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4" s="69" t="n">
        <v>0</v>
      </c>
      <c r="H14" s="69" t="n">
        <v>4.800928544998169</v>
      </c>
      <c r="I14" s="69" t="n">
        <v>8.682857513427734</v>
      </c>
      <c r="J14" s="69" t="n">
        <v>19.77408313751221</v>
      </c>
      <c r="K14" s="69" t="n">
        <v>23.65601210594177</v>
      </c>
      <c r="L14" s="69" t="n">
        <v>30.86530876159668</v>
      </c>
      <c r="M14" s="69" t="n">
        <v>41.95653438568115</v>
      </c>
      <c r="N14" s="69" t="n">
        <v>41.95653438568115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spring_phab_xbkf_h|All streams (pooled)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All streams (pooled)</t>
        </is>
      </c>
      <c r="E15" s="69" t="n">
        <v>7</v>
      </c>
      <c r="F15" s="69" t="inlineStr">
        <is>
          <t>88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9" t="n">
        <v>0</v>
      </c>
      <c r="H15" s="69" t="n">
        <v>0.1881477192044258</v>
      </c>
      <c r="I15" s="69" t="n">
        <v>0.3431818187236786</v>
      </c>
      <c r="J15" s="69" t="n">
        <v>0.7861363887786865</v>
      </c>
      <c r="K15" s="69" t="n">
        <v>0.9411704882979393</v>
      </c>
      <c r="L15" s="69" t="n">
        <v>1.229090958833694</v>
      </c>
      <c r="M15" s="69" t="n">
        <v>1.672045528888702</v>
      </c>
      <c r="N15" s="69" t="n">
        <v>1.672045528888702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spring_phab_xbkf_h|Small stream (10 to 100 km2)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Small stream (10 to 100 km2)</t>
        </is>
      </c>
      <c r="E16" s="69" t="n">
        <v>7</v>
      </c>
      <c r="F16" s="69" t="inlineStr">
        <is>
          <t>88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9" t="n">
        <v>0</v>
      </c>
      <c r="H16" s="69" t="n">
        <v>0.1495568331331015</v>
      </c>
      <c r="I16" s="69" t="n">
        <v>0.2972727343440056</v>
      </c>
      <c r="J16" s="69" t="n">
        <v>0.7193181663751602</v>
      </c>
      <c r="K16" s="69" t="n">
        <v>0.8670340675860644</v>
      </c>
      <c r="L16" s="69" t="n">
        <v>1.141363598406315</v>
      </c>
      <c r="M16" s="69" t="n">
        <v>1.563409030437469</v>
      </c>
      <c r="N16" s="69" t="n">
        <v>1.563409030437469</v>
      </c>
      <c r="O16" s="69" t="n">
        <v>0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spring_phab_xbkf_h|Large stream (over 100 km2)</t>
        </is>
      </c>
      <c r="B17" s="69" t="inlineStr">
        <is>
          <t>spring-phab-xbkf-h</t>
        </is>
      </c>
      <c r="C17" s="69" t="inlineStr">
        <is>
          <t>Bankfull height above channel</t>
        </is>
      </c>
      <c r="D17" s="69" t="inlineStr">
        <is>
          <t>Large stream (over 100 km2)</t>
        </is>
      </c>
      <c r="E17" s="69" t="n">
        <v>7</v>
      </c>
      <c r="F17" s="69" t="inlineStr">
        <is>
          <t>88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7" s="69" t="n">
        <v>0</v>
      </c>
      <c r="H17" s="69" t="n">
        <v>0.1869318075478077</v>
      </c>
      <c r="I17" s="69" t="n">
        <v>0.4295454472303391</v>
      </c>
      <c r="J17" s="69" t="n">
        <v>1.122727274894714</v>
      </c>
      <c r="K17" s="69" t="n">
        <v>1.365340914577246</v>
      </c>
      <c r="L17" s="69" t="n">
        <v>1.81590910255909</v>
      </c>
      <c r="M17" s="69" t="n">
        <v>2.509090930223465</v>
      </c>
      <c r="N17" s="69" t="n">
        <v>2.509090930223465</v>
      </c>
      <c r="O17" s="69" t="n">
        <v>0</v>
      </c>
      <c r="P17" s="69" t="n">
        <v>0.7</v>
      </c>
      <c r="Q17" s="69" t="n">
        <v>1</v>
      </c>
      <c r="R17" s="69" t="n">
        <v>1</v>
      </c>
      <c r="S17" s="69" t="n">
        <v>0.7</v>
      </c>
      <c r="T17" s="69" t="n">
        <v>0.3</v>
      </c>
      <c r="U17" s="69" t="n">
        <v>0</v>
      </c>
      <c r="V17" s="69" t="n">
        <v>0</v>
      </c>
    </row>
    <row r="18">
      <c r="A18" s="69" t="inlineStr">
        <is>
          <t>spring_phab_pct_safn|</t>
        </is>
      </c>
      <c r="B18" s="69" t="inlineStr">
        <is>
          <t>spring-phab-pct-safn</t>
        </is>
      </c>
      <c r="C18" s="69" t="inlineStr">
        <is>
          <t>Sand + fines</t>
        </is>
      </c>
      <c r="D18" s="69" t="inlineStr"/>
      <c r="E18" s="69" t="n">
        <v>5</v>
      </c>
      <c r="F18" s="69" t="inlineStr">
        <is>
          <t>25 least-disturbed stations borrowed from Level II ecoregion 8.4 (Ozark/Ouachita-Appalachian Forests) under the regional screen (agriculture at most 37.8 percent), transfer risk low</t>
        </is>
      </c>
      <c r="G18" s="69" t="n">
        <v>0</v>
      </c>
      <c r="H18" s="69" t="n">
        <v>7</v>
      </c>
      <c r="I18" s="69" t="n">
        <v>35.23809432983398</v>
      </c>
      <c r="J18" s="69" t="n">
        <v>77.59523582458496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0.3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spring_phab_xembed|</t>
        </is>
      </c>
      <c r="B19" s="69" t="inlineStr">
        <is>
          <t>spring-phab-xembed</t>
        </is>
      </c>
      <c r="C19" s="69" t="inlineStr">
        <is>
          <t>Embeddedness</t>
        </is>
      </c>
      <c r="D19" s="69" t="inlineStr"/>
      <c r="E19" s="69" t="n">
        <v>4</v>
      </c>
      <c r="F19" s="69" t="inlineStr">
        <is>
          <t>17 least-disturbed stations borrowed from Level II ecoregion 8.4 (Ozark/Ouachita-Appalachian Forests) under the regional screen (agriculture at most 37.8 percent), transfer risk low</t>
        </is>
      </c>
      <c r="G19" s="69" t="n">
        <v>26.85454559326172</v>
      </c>
      <c r="H19" s="69" t="n">
        <v>40.41818237304688</v>
      </c>
      <c r="I19" s="69" t="n">
        <v>67.54545593261719</v>
      </c>
      <c r="J19" s="69" t="n">
        <v>100</v>
      </c>
      <c r="K19" s="69" t="n">
        <v>100</v>
      </c>
      <c r="L19" s="69" t="n">
        <v>100</v>
      </c>
      <c r="M19" s="69" t="n">
        <v>100</v>
      </c>
      <c r="N19" s="69" t="n">
        <v>100</v>
      </c>
      <c r="O19" s="69" t="n">
        <v>1</v>
      </c>
      <c r="P19" s="69" t="n">
        <v>1</v>
      </c>
      <c r="Q19" s="69" t="n">
        <v>0.7</v>
      </c>
      <c r="R19" s="69" t="n">
        <v>0</v>
      </c>
      <c r="S19" s="69" t="n">
        <v>0</v>
      </c>
      <c r="T19" s="69" t="n">
        <v>0</v>
      </c>
      <c r="U19" s="69" t="n">
        <v>0</v>
      </c>
      <c r="V19" s="69" t="n">
        <v>0</v>
      </c>
    </row>
    <row r="20">
      <c r="A20" s="69" t="inlineStr">
        <is>
          <t>spring_phab_sinu|</t>
        </is>
      </c>
      <c r="B20" s="69" t="inlineStr">
        <is>
          <t>spring-phab-sinu</t>
        </is>
      </c>
      <c r="C20" s="69" t="inlineStr">
        <is>
          <t>Sinuosity</t>
        </is>
      </c>
      <c r="D20" s="69" t="inlineStr"/>
      <c r="E20" s="69" t="n">
        <v>4</v>
      </c>
      <c r="F20" s="69" t="inlineStr">
        <is>
          <t>70 least-disturbed stations borrowed from Level I ecoregion 8 (Eastern Temperate Forests) under the regional screen (agriculture at most 37.8 percent), transfer risk high</t>
        </is>
      </c>
      <c r="G20" s="69" t="n">
        <v>1</v>
      </c>
      <c r="H20" s="69" t="n">
        <v>1.069058030843735</v>
      </c>
      <c r="I20" s="69" t="n">
        <v>1.436723053455353</v>
      </c>
      <c r="J20" s="69" t="n">
        <v>1.620555564761162</v>
      </c>
      <c r="K20" s="69" t="n">
        <v>1.620555564761162</v>
      </c>
      <c r="L20" s="69" t="n">
        <v>1.620555564761162</v>
      </c>
      <c r="M20" s="69" t="n">
        <v>1.620555564761162</v>
      </c>
      <c r="N20" s="69" t="n">
        <v>1.620555564761162</v>
      </c>
      <c r="O20" s="69" t="n">
        <v>0</v>
      </c>
      <c r="P20" s="69" t="n">
        <v>0.7</v>
      </c>
      <c r="Q20" s="69" t="n">
        <v>1</v>
      </c>
      <c r="R20" s="69" t="n">
        <v>1</v>
      </c>
      <c r="S20" s="69" t="n">
        <v>1</v>
      </c>
      <c r="T20" s="69" t="n">
        <v>1</v>
      </c>
      <c r="U20" s="69" t="n">
        <v>1</v>
      </c>
      <c r="V20" s="69" t="n">
        <v>1</v>
      </c>
    </row>
    <row r="21">
      <c r="A21" s="69" t="inlineStr">
        <is>
          <t>spring_phab_xbka|</t>
        </is>
      </c>
      <c r="B21" s="69" t="inlineStr">
        <is>
          <t>spring-phab-xbka</t>
        </is>
      </c>
      <c r="C21" s="69" t="inlineStr">
        <is>
          <t>Bank angle</t>
        </is>
      </c>
      <c r="D21" s="69" t="inlineStr"/>
      <c r="E21" s="69" t="n">
        <v>7</v>
      </c>
      <c r="F21" s="69" t="inlineStr">
        <is>
          <t>71 least-disturbed stations borrowed from Level I ecoregion 8 (Eastern Temperate Forests) under the regional screen (agriculture at most 37.8 percent), transfer risk moderate</t>
        </is>
      </c>
      <c r="G21" s="69" t="n">
        <v>0</v>
      </c>
      <c r="H21" s="69" t="n">
        <v>19.22727308273316</v>
      </c>
      <c r="I21" s="69" t="n">
        <v>26.06818199157715</v>
      </c>
      <c r="J21" s="69" t="n">
        <v>45.6136360168457</v>
      </c>
      <c r="K21" s="69" t="n">
        <v>52.4545449256897</v>
      </c>
      <c r="L21" s="69" t="n">
        <v>65.15909004211426</v>
      </c>
      <c r="M21" s="69" t="n">
        <v>84.70454406738281</v>
      </c>
      <c r="N21" s="69" t="n">
        <v>84.70454406738281</v>
      </c>
      <c r="O21" s="69" t="n">
        <v>0.7</v>
      </c>
      <c r="P21" s="69" t="n">
        <v>0.7</v>
      </c>
      <c r="Q21" s="69" t="n">
        <v>1</v>
      </c>
      <c r="R21" s="69" t="n">
        <v>1</v>
      </c>
      <c r="S21" s="69" t="n">
        <v>0.7</v>
      </c>
      <c r="T21" s="69" t="n">
        <v>0.3</v>
      </c>
      <c r="U21" s="69" t="n">
        <v>0</v>
      </c>
      <c r="V21" s="69" t="n">
        <v>0</v>
      </c>
    </row>
    <row r="22">
      <c r="A22" s="69" t="inlineStr">
        <is>
          <t>spring_phab_lrbs_use|All streams (pooled)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All streams (pooled)</t>
        </is>
      </c>
      <c r="E22" s="69" t="n">
        <v>8</v>
      </c>
      <c r="F22" s="69" t="inlineStr">
        <is>
          <t>87 least-disturbed stations borrowed from Level I ecoregion 8 (Eastern Temperate Forests) under the regional screen (agriculture at most 37.8 percent), transfer risk high</t>
        </is>
      </c>
      <c r="G22" s="69" t="n">
        <v>-3.691895663738251</v>
      </c>
      <c r="H22" s="69" t="n">
        <v>-2.554270595312119</v>
      </c>
      <c r="I22" s="69" t="n">
        <v>-1.814814300835133</v>
      </c>
      <c r="J22" s="69" t="n">
        <v>-1.416645526885986</v>
      </c>
      <c r="K22" s="69" t="n">
        <v>-0.2790204584598541</v>
      </c>
      <c r="L22" s="69" t="n">
        <v>0.1191483154892921</v>
      </c>
      <c r="M22" s="69" t="n">
        <v>0.8586046099662781</v>
      </c>
      <c r="N22" s="69" t="n">
        <v>1.99622967839241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spring_phab_lrbs_use|Small stream (10 to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Small stream (10 to 100 km2)</t>
        </is>
      </c>
      <c r="E23" s="69" t="n">
        <v>8</v>
      </c>
      <c r="F23" s="69" t="inlineStr">
        <is>
          <t>87 least-disturbed stations borrowed from Level I ecoregion 8 (Eastern Temperate Forests) under the regional screen (agriculture at most 37.8 percent), transfer risk high</t>
        </is>
      </c>
      <c r="G23" s="69" t="n">
        <v>-3.599542945623398</v>
      </c>
      <c r="H23" s="69" t="n">
        <v>-2.519655406475067</v>
      </c>
      <c r="I23" s="69" t="n">
        <v>-1.817728506028652</v>
      </c>
      <c r="J23" s="69" t="n">
        <v>-1.439767867326736</v>
      </c>
      <c r="K23" s="69" t="n">
        <v>-0.3598803281784058</v>
      </c>
      <c r="L23" s="69" t="n">
        <v>0.01808031052350995</v>
      </c>
      <c r="M23" s="69" t="n">
        <v>0.7200072109699249</v>
      </c>
      <c r="N23" s="69" t="n">
        <v>1.799894750118256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spring_phab_lrbs_use|Large stream (over 100 km2)</t>
        </is>
      </c>
      <c r="B24" s="69" t="inlineStr">
        <is>
          <t>spring-phab-lrbs-use</t>
        </is>
      </c>
      <c r="C24" s="69" t="inlineStr">
        <is>
          <t>Relative bed stability</t>
        </is>
      </c>
      <c r="D24" s="69" t="inlineStr">
        <is>
          <t>Large stream (over 100 km2)</t>
        </is>
      </c>
      <c r="E24" s="69" t="n">
        <v>8</v>
      </c>
      <c r="F24" s="69" t="inlineStr">
        <is>
          <t>87 least-disturbed stations borrowed from Level I ecoregion 8 (Eastern Temperate Forests) under the regional screen (agriculture at most 37.8 percent), transfer risk high</t>
        </is>
      </c>
      <c r="G24" s="69" t="n">
        <v>-4.118165048770607</v>
      </c>
      <c r="H24" s="69" t="n">
        <v>-2.764863924589008</v>
      </c>
      <c r="I24" s="69" t="n">
        <v>-1.885218193870969</v>
      </c>
      <c r="J24" s="69" t="n">
        <v>-1.41156280040741</v>
      </c>
      <c r="K24" s="69" t="n">
        <v>-0.05826167622581124</v>
      </c>
      <c r="L24" s="69" t="n">
        <v>0.4153937172377482</v>
      </c>
      <c r="M24" s="69" t="n">
        <v>1.295039447955787</v>
      </c>
      <c r="N24" s="69" t="n">
        <v>2.648340572137386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0.7</v>
      </c>
      <c r="U24" s="69" t="n">
        <v>0.3</v>
      </c>
      <c r="V24" s="69" t="n">
        <v>0</v>
      </c>
    </row>
    <row r="25">
      <c r="A25" s="69" t="inlineStr">
        <is>
          <t>spring_phab_lsub_dmm|</t>
        </is>
      </c>
      <c r="B25" s="69" t="inlineStr">
        <is>
          <t>spring-phab-lsub-dmm</t>
        </is>
      </c>
      <c r="C25" s="69" t="inlineStr">
        <is>
          <t>Substrate size</t>
        </is>
      </c>
      <c r="D25" s="69" t="inlineStr"/>
      <c r="E25" s="69" t="n">
        <v>5</v>
      </c>
      <c r="F25" s="69" t="inlineStr">
        <is>
          <t>18 least-disturbed streams of this ecoregion under the regional screen (agriculture at most 37.8 percent)</t>
        </is>
      </c>
      <c r="G25" s="69" t="n">
        <v>-0.605886772274971</v>
      </c>
      <c r="H25" s="69" t="n">
        <v>0.05321730673313141</v>
      </c>
      <c r="I25" s="69" t="n">
        <v>1.041873425245285</v>
      </c>
      <c r="J25" s="69" t="n">
        <v>1.700977504253387</v>
      </c>
      <c r="K25" s="69" t="n">
        <v>2.030529543757439</v>
      </c>
      <c r="L25" s="69" t="n">
        <v>2.030529543757439</v>
      </c>
      <c r="M25" s="69" t="n">
        <v>2.030529543757439</v>
      </c>
      <c r="N25" s="69" t="n">
        <v>2.030529543757439</v>
      </c>
      <c r="O25" s="69" t="n">
        <v>0</v>
      </c>
      <c r="P25" s="69" t="n">
        <v>0.3</v>
      </c>
      <c r="Q25" s="69" t="n">
        <v>0.7</v>
      </c>
      <c r="R25" s="69" t="n">
        <v>1</v>
      </c>
      <c r="S25" s="69" t="n">
        <v>1</v>
      </c>
      <c r="T25" s="69" t="n">
        <v>1</v>
      </c>
      <c r="U25" s="69" t="n">
        <v>1</v>
      </c>
      <c r="V25" s="69" t="n">
        <v>1</v>
      </c>
    </row>
    <row r="26">
      <c r="A26" s="69" t="inlineStr">
        <is>
          <t>spring_chem_chla|</t>
        </is>
      </c>
      <c r="B26" s="69" t="inlineStr">
        <is>
          <t>spring-chem-chla</t>
        </is>
      </c>
      <c r="C26" s="69" t="inlineStr">
        <is>
          <t>Chlorophyll a</t>
        </is>
      </c>
      <c r="D26" s="69" t="inlineStr"/>
      <c r="E26" s="69" t="n">
        <v>5</v>
      </c>
      <c r="F26" s="69" t="inlineStr">
        <is>
          <t>21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0.53 of evaluation regions; two thirds required; net optimism +0.17, at most 0.05 allowed); confidence capped at 39.</t>
        </is>
      </c>
      <c r="G26" s="69" t="n">
        <v>0.2849999964237213</v>
      </c>
      <c r="H26" s="69" t="n">
        <v>0.800000011920929</v>
      </c>
      <c r="I26" s="69" t="n">
        <v>1.830000042915344</v>
      </c>
      <c r="J26" s="69" t="n">
        <v>3.375000089406967</v>
      </c>
      <c r="K26" s="69" t="n">
        <v>4.405000120401382</v>
      </c>
      <c r="L26" s="69" t="n">
        <v>4.405000120401382</v>
      </c>
      <c r="M26" s="69" t="n">
        <v>4.405000120401382</v>
      </c>
      <c r="N26" s="69" t="n">
        <v>4.405000120401382</v>
      </c>
      <c r="O26" s="69" t="n">
        <v>1</v>
      </c>
      <c r="P26" s="69" t="n">
        <v>1</v>
      </c>
      <c r="Q26" s="69" t="n">
        <v>0.7</v>
      </c>
      <c r="R26" s="69" t="n">
        <v>0.3</v>
      </c>
      <c r="S26" s="69" t="n">
        <v>0</v>
      </c>
      <c r="T26" s="69" t="n">
        <v>0</v>
      </c>
      <c r="U26" s="69" t="n">
        <v>0</v>
      </c>
      <c r="V26" s="69" t="n">
        <v>0</v>
      </c>
    </row>
    <row r="27">
      <c r="A27" s="69" t="inlineStr">
        <is>
          <t>spring_phab_xcdenmid|All streams (pooled)</t>
        </is>
      </c>
      <c r="B27" s="69" t="inlineStr">
        <is>
          <t>spring-phab-xcdenmid</t>
        </is>
      </c>
      <c r="C27" s="69" t="inlineStr">
        <is>
          <t>Canopy density, mid-channel</t>
        </is>
      </c>
      <c r="D27" s="69" t="inlineStr">
        <is>
          <t>All streams (pooled)</t>
        </is>
      </c>
      <c r="E27" s="69" t="n">
        <v>5</v>
      </c>
      <c r="F27" s="69" t="inlineStr">
        <is>
          <t>125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9" t="n">
        <v>0</v>
      </c>
      <c r="H27" s="69" t="n">
        <v>25.55385753086635</v>
      </c>
      <c r="I27" s="69" t="n">
        <v>59.62566757202148</v>
      </c>
      <c r="J27" s="69" t="n">
        <v>90.50801849365234</v>
      </c>
      <c r="K27" s="69" t="n">
        <v>100</v>
      </c>
      <c r="L27" s="69" t="n">
        <v>100</v>
      </c>
      <c r="M27" s="69" t="n">
        <v>100</v>
      </c>
      <c r="N27" s="69" t="n">
        <v>100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spring_phab_xcdenmid|Headwater (10 km2 and under)</t>
        </is>
      </c>
      <c r="B28" s="69" t="inlineStr">
        <is>
          <t>spring-phab-xcdenmid</t>
        </is>
      </c>
      <c r="C28" s="69" t="inlineStr">
        <is>
          <t>Canopy density, mid-channel</t>
        </is>
      </c>
      <c r="D28" s="69" t="inlineStr">
        <is>
          <t>Headwater (10 km2 and under)</t>
        </is>
      </c>
      <c r="E28" s="69" t="n">
        <v>5</v>
      </c>
      <c r="F28" s="69" t="inlineStr">
        <is>
          <t>125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9" t="n">
        <v>0</v>
      </c>
      <c r="H28" s="69" t="n">
        <v>33.60389654976981</v>
      </c>
      <c r="I28" s="69" t="n">
        <v>78.40909194946289</v>
      </c>
      <c r="J28" s="69" t="n">
        <v>96.3569507598877</v>
      </c>
      <c r="K28" s="69" t="n">
        <v>100</v>
      </c>
      <c r="L28" s="69" t="n">
        <v>100</v>
      </c>
      <c r="M28" s="69" t="n">
        <v>100</v>
      </c>
      <c r="N28" s="69" t="n">
        <v>100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spring_phab_xcdenmid|Small stream (10 to 100 km2)</t>
        </is>
      </c>
      <c r="B29" s="69" t="inlineStr">
        <is>
          <t>spring-phab-xcdenmid</t>
        </is>
      </c>
      <c r="C29" s="69" t="inlineStr">
        <is>
          <t>Canopy density, mid-channel</t>
        </is>
      </c>
      <c r="D29" s="69" t="inlineStr">
        <is>
          <t>Small stream (10 to 100 km2)</t>
        </is>
      </c>
      <c r="E29" s="69" t="n">
        <v>5</v>
      </c>
      <c r="F29" s="69" t="inlineStr">
        <is>
          <t>125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9" s="69" t="n">
        <v>0</v>
      </c>
      <c r="H29" s="69" t="n">
        <v>28.13216073172433</v>
      </c>
      <c r="I29" s="69" t="n">
        <v>65.64170837402344</v>
      </c>
      <c r="J29" s="69" t="n">
        <v>90.50801849365234</v>
      </c>
      <c r="K29" s="69" t="n">
        <v>100</v>
      </c>
      <c r="L29" s="69" t="n">
        <v>100</v>
      </c>
      <c r="M29" s="69" t="n">
        <v>100</v>
      </c>
      <c r="N29" s="69" t="n">
        <v>100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spring_phab_xcdenmid|Large stream (over 100 km2)</t>
        </is>
      </c>
      <c r="B30" s="69" t="inlineStr">
        <is>
          <t>spring-phab-xcdenmid</t>
        </is>
      </c>
      <c r="C30" s="69" t="inlineStr">
        <is>
          <t>Canopy density, mid-channel</t>
        </is>
      </c>
      <c r="D30" s="69" t="inlineStr">
        <is>
          <t>Large stream (over 100 km2)</t>
        </is>
      </c>
      <c r="E30" s="69" t="n">
        <v>5</v>
      </c>
      <c r="F30" s="69" t="inlineStr">
        <is>
          <t>125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0" s="69" t="n">
        <v>0</v>
      </c>
      <c r="H30" s="69" t="n">
        <v>11.22994668143136</v>
      </c>
      <c r="I30" s="69" t="n">
        <v>26.20320892333984</v>
      </c>
      <c r="J30" s="69" t="n">
        <v>81.28342437744141</v>
      </c>
      <c r="K30" s="69" t="n">
        <v>100</v>
      </c>
      <c r="L30" s="69" t="n">
        <v>100</v>
      </c>
      <c r="M30" s="69" t="n">
        <v>100</v>
      </c>
      <c r="N30" s="69" t="n">
        <v>100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spring_phab_xcmgw|</t>
        </is>
      </c>
      <c r="B31" s="69" t="inlineStr">
        <is>
          <t>spring-phab-xcmgw</t>
        </is>
      </c>
      <c r="C31" s="69" t="inlineStr">
        <is>
          <t>Riparian veg cover, woody</t>
        </is>
      </c>
      <c r="D31" s="69" t="inlineStr"/>
      <c r="E31" s="69" t="n">
        <v>5</v>
      </c>
      <c r="F31" s="69" t="inlineStr">
        <is>
          <t>18 least-disturbed streams of this ecoregion under the regional screen (agriculture at most 37.8 percent)</t>
        </is>
      </c>
      <c r="G31" s="69" t="n">
        <v>0</v>
      </c>
      <c r="H31" s="69" t="n">
        <v>0.2248782430376325</v>
      </c>
      <c r="I31" s="69" t="n">
        <v>0.5247159004211426</v>
      </c>
      <c r="J31" s="69" t="n">
        <v>1.252556830644608</v>
      </c>
      <c r="K31" s="69" t="n">
        <v>1.61647729575634</v>
      </c>
      <c r="L31" s="69" t="n">
        <v>1.61647729575634</v>
      </c>
      <c r="M31" s="69" t="n">
        <v>1.61647729575634</v>
      </c>
      <c r="N31" s="69" t="n">
        <v>1.61647729575634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1</v>
      </c>
      <c r="U31" s="69" t="n">
        <v>1</v>
      </c>
      <c r="V31" s="69" t="n">
        <v>1</v>
      </c>
    </row>
    <row r="32">
      <c r="A32" s="69" t="inlineStr">
        <is>
          <t>spring_chem_ntl|</t>
        </is>
      </c>
      <c r="B32" s="69" t="inlineStr">
        <is>
          <t>spring-chem-ntl</t>
        </is>
      </c>
      <c r="C32" s="69" t="inlineStr">
        <is>
          <t>Total nitrogen</t>
        </is>
      </c>
      <c r="D32" s="69" t="inlineStr"/>
      <c r="E32" s="69" t="n">
        <v>4</v>
      </c>
      <c r="F32" s="69" t="inlineStr">
        <is>
          <t>Scored against a published criterion rather than against stations from this ecoregion. The criterion carries its own definition of reference, which need not match this assessment's.</t>
        </is>
      </c>
      <c r="G32" s="69" t="n">
        <v>0</v>
      </c>
      <c r="H32" s="69" t="n">
        <v>0.2405</v>
      </c>
      <c r="I32" s="69" t="n">
        <v>0.456</v>
      </c>
      <c r="J32" s="69" t="n">
        <v>0.73615</v>
      </c>
      <c r="K32" s="69" t="n">
        <v>0.73615</v>
      </c>
      <c r="L32" s="69" t="n">
        <v>0.73615</v>
      </c>
      <c r="M32" s="69" t="n">
        <v>0.73615</v>
      </c>
      <c r="N32" s="69" t="n">
        <v>0.73615</v>
      </c>
      <c r="O32" s="69" t="n">
        <v>1</v>
      </c>
      <c r="P32" s="69" t="n">
        <v>0.6899999999999999</v>
      </c>
      <c r="Q32" s="69" t="n">
        <v>0.39</v>
      </c>
      <c r="R32" s="69" t="n">
        <v>0</v>
      </c>
      <c r="S32" s="69" t="n">
        <v>0</v>
      </c>
      <c r="T32" s="69" t="n">
        <v>0</v>
      </c>
      <c r="U32" s="69" t="n">
        <v>0</v>
      </c>
      <c r="V32" s="69" t="n">
        <v>0</v>
      </c>
    </row>
    <row r="33">
      <c r="A33" s="69" t="inlineStr">
        <is>
          <t>spring_chem_ptl|</t>
        </is>
      </c>
      <c r="B33" s="69" t="inlineStr">
        <is>
          <t>spring-chem-ptl</t>
        </is>
      </c>
      <c r="C33" s="69" t="inlineStr">
        <is>
          <t>Total phosphorus</t>
        </is>
      </c>
      <c r="D33" s="69" t="inlineStr"/>
      <c r="E33" s="69" t="n">
        <v>4</v>
      </c>
      <c r="F33" s="69" t="inlineStr">
        <is>
          <t>Scored against a published criterion rather than against stations from this ecoregion. The criterion carries its own definition of reference, which need not match this assessment's.</t>
        </is>
      </c>
      <c r="G33" s="69" t="n">
        <v>0</v>
      </c>
      <c r="H33" s="69" t="n">
        <v>14.85</v>
      </c>
      <c r="I33" s="69" t="n">
        <v>24.4</v>
      </c>
      <c r="J33" s="69" t="n">
        <v>36.815</v>
      </c>
      <c r="K33" s="69" t="n">
        <v>36.815</v>
      </c>
      <c r="L33" s="69" t="n">
        <v>36.815</v>
      </c>
      <c r="M33" s="69" t="n">
        <v>36.815</v>
      </c>
      <c r="N33" s="69" t="n">
        <v>36.815</v>
      </c>
      <c r="O33" s="69" t="n">
        <v>1</v>
      </c>
      <c r="P33" s="69" t="n">
        <v>0.6899999999999999</v>
      </c>
      <c r="Q33" s="69" t="n">
        <v>0.39</v>
      </c>
      <c r="R33" s="69" t="n">
        <v>0</v>
      </c>
      <c r="S33" s="69" t="n">
        <v>0</v>
      </c>
      <c r="T33" s="69" t="n">
        <v>0</v>
      </c>
      <c r="U33" s="69" t="n">
        <v>0</v>
      </c>
      <c r="V33" s="69" t="n">
        <v>0</v>
      </c>
    </row>
    <row r="34">
      <c r="A34" s="69" t="inlineStr">
        <is>
          <t>spring_chem_turb|</t>
        </is>
      </c>
      <c r="B34" s="69" t="inlineStr">
        <is>
          <t>spring-chem-turb</t>
        </is>
      </c>
      <c r="C34" s="69" t="inlineStr">
        <is>
          <t>Turbidity</t>
        </is>
      </c>
      <c r="D34" s="69" t="inlineStr"/>
      <c r="E34" s="69" t="n">
        <v>5</v>
      </c>
      <c r="F34" s="69" t="inlineStr">
        <is>
          <t>27 least-disturbed stations borrowed from NARS-9 region SAP under the regional screen (agriculture at most 37.8 percent), transfer risk unvalidated (transfer not confirmed by the recovery test). Scored on a reference pool whose transfer to this ecoregion was not confirmed by the recovery test (class agreement 0.58 of evaluation regions; two thirds required); confidence capped at 39.</t>
        </is>
      </c>
      <c r="G34" s="69" t="n">
        <v>0</v>
      </c>
      <c r="H34" s="69" t="n">
        <v>0.9650000035762787</v>
      </c>
      <c r="I34" s="69" t="n">
        <v>7.214999914169312</v>
      </c>
      <c r="J34" s="69" t="n">
        <v>16.58999978005886</v>
      </c>
      <c r="K34" s="69" t="n">
        <v>22.83999969065189</v>
      </c>
      <c r="L34" s="69" t="n">
        <v>22.83999969065189</v>
      </c>
      <c r="M34" s="69" t="n">
        <v>22.83999969065189</v>
      </c>
      <c r="N34" s="69" t="n">
        <v>22.83999969065189</v>
      </c>
      <c r="O34" s="69" t="n">
        <v>1</v>
      </c>
      <c r="P34" s="69" t="n">
        <v>1</v>
      </c>
      <c r="Q34" s="69" t="n">
        <v>0.7</v>
      </c>
      <c r="R34" s="69" t="n">
        <v>0.3</v>
      </c>
      <c r="S34" s="69" t="n">
        <v>0</v>
      </c>
      <c r="T34" s="69" t="n">
        <v>0</v>
      </c>
      <c r="U34" s="69" t="n">
        <v>0</v>
      </c>
      <c r="V34" s="69" t="n">
        <v>0</v>
      </c>
    </row>
    <row r="35">
      <c r="A35" s="69" t="inlineStr">
        <is>
          <t>spring_chem_cond|</t>
        </is>
      </c>
      <c r="B35" s="69" t="inlineStr">
        <is>
          <t>spring-chem-cond</t>
        </is>
      </c>
      <c r="C35" s="69" t="inlineStr">
        <is>
          <t>Specific conductivity</t>
        </is>
      </c>
      <c r="D35" s="69" t="inlineStr"/>
      <c r="E35" s="69" t="n">
        <v>4</v>
      </c>
      <c r="F35" s="69" t="inlineStr">
        <is>
          <t>Scored against a published criterion rather than against stations from this ecoregion. The criterion carries its own definition of reference, which need not match this assessment's.</t>
        </is>
      </c>
      <c r="G35" s="69" t="n">
        <v>0</v>
      </c>
      <c r="H35" s="69" t="n">
        <v>500.05</v>
      </c>
      <c r="I35" s="69" t="n">
        <v>1000.05</v>
      </c>
      <c r="J35" s="69" t="n">
        <v>1650.05</v>
      </c>
      <c r="K35" s="69" t="n">
        <v>1650.05</v>
      </c>
      <c r="L35" s="69" t="n">
        <v>1650.05</v>
      </c>
      <c r="M35" s="69" t="n">
        <v>1650.05</v>
      </c>
      <c r="N35" s="69" t="n">
        <v>1650.05</v>
      </c>
      <c r="O35" s="69" t="n">
        <v>1</v>
      </c>
      <c r="P35" s="69" t="n">
        <v>0.6899999999999999</v>
      </c>
      <c r="Q35" s="69" t="n">
        <v>0.39</v>
      </c>
      <c r="R35" s="69" t="n">
        <v>0</v>
      </c>
      <c r="S35" s="69" t="n">
        <v>0</v>
      </c>
      <c r="T35" s="69" t="n">
        <v>0</v>
      </c>
      <c r="U35" s="69" t="n">
        <v>0</v>
      </c>
      <c r="V35" s="69" t="n">
        <v>0</v>
      </c>
    </row>
    <row r="36">
      <c r="A36" s="69" t="inlineStr">
        <is>
          <t>spring_phab_pct_fast|</t>
        </is>
      </c>
      <c r="B36" s="69" t="inlineStr">
        <is>
          <t>spring-phab-pct-fast</t>
        </is>
      </c>
      <c r="C36" s="69" t="inlineStr">
        <is>
          <t>Fast-water / riffle habitat</t>
        </is>
      </c>
      <c r="D36" s="69" t="inlineStr"/>
      <c r="E36" s="69" t="n">
        <v>5</v>
      </c>
      <c r="F36" s="69" t="inlineStr">
        <is>
          <t>36 least-disturbed stations borrowed from NARS-9 region SAP under the regional screen (agriculture at most 37.8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6" s="69" t="n">
        <v>0</v>
      </c>
      <c r="H36" s="69" t="n">
        <v>0.9642857142857143</v>
      </c>
      <c r="I36" s="69" t="n">
        <v>2.25</v>
      </c>
      <c r="J36" s="69" t="n">
        <v>32.5</v>
      </c>
      <c r="K36" s="69" t="n">
        <v>47.625</v>
      </c>
      <c r="L36" s="69" t="n">
        <v>47.625</v>
      </c>
      <c r="M36" s="69" t="n">
        <v>47.625</v>
      </c>
      <c r="N36" s="69" t="n">
        <v>47.625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spring_phab_xfc_nat|All streams (pooled)</t>
        </is>
      </c>
      <c r="B37" s="69" t="inlineStr">
        <is>
          <t>spring-phab-xfc-nat</t>
        </is>
      </c>
      <c r="C37" s="69" t="inlineStr">
        <is>
          <t>Natural fish cover</t>
        </is>
      </c>
      <c r="D37" s="69" t="inlineStr">
        <is>
          <t>All streams (pooled)</t>
        </is>
      </c>
      <c r="E37" s="69" t="n">
        <v>5</v>
      </c>
      <c r="F37" s="69" t="inlineStr">
        <is>
          <t>50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7" s="69" t="n">
        <v>0</v>
      </c>
      <c r="H37" s="69" t="n">
        <v>0.08084415537970406</v>
      </c>
      <c r="I37" s="69" t="n">
        <v>0.1886363625526428</v>
      </c>
      <c r="J37" s="69" t="n">
        <v>0.4375</v>
      </c>
      <c r="K37" s="69" t="n">
        <v>0.5619318187236786</v>
      </c>
      <c r="L37" s="69" t="n">
        <v>0.5619318187236786</v>
      </c>
      <c r="M37" s="69" t="n">
        <v>0.5619318187236786</v>
      </c>
      <c r="N37" s="69" t="n">
        <v>0.5619318187236786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spring_phab_xfc_nat|Small stream (10 to 100 km2)</t>
        </is>
      </c>
      <c r="B38" s="69" t="inlineStr">
        <is>
          <t>spring-phab-xfc-nat</t>
        </is>
      </c>
      <c r="C38" s="69" t="inlineStr">
        <is>
          <t>Natural fish cover</t>
        </is>
      </c>
      <c r="D38" s="69" t="inlineStr">
        <is>
          <t>Small stream (10 to 100 km2)</t>
        </is>
      </c>
      <c r="E38" s="69" t="n">
        <v>5</v>
      </c>
      <c r="F38" s="69" t="inlineStr">
        <is>
          <t>50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8" s="69" t="n">
        <v>0</v>
      </c>
      <c r="H38" s="69" t="n">
        <v>0.07889610209635325</v>
      </c>
      <c r="I38" s="69" t="n">
        <v>0.1840909048914909</v>
      </c>
      <c r="J38" s="69" t="n">
        <v>0.6295454502105713</v>
      </c>
      <c r="K38" s="69" t="n">
        <v>0.8522727228701115</v>
      </c>
      <c r="L38" s="69" t="n">
        <v>0.8522727228701115</v>
      </c>
      <c r="M38" s="69" t="n">
        <v>0.8522727228701115</v>
      </c>
      <c r="N38" s="69" t="n">
        <v>0.8522727228701115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spring_phab_xfc_nat|Large stream (over 100 km2)</t>
        </is>
      </c>
      <c r="B39" s="69" t="inlineStr">
        <is>
          <t>spring-phab-xfc-nat</t>
        </is>
      </c>
      <c r="C39" s="69" t="inlineStr">
        <is>
          <t>Natural fish cover</t>
        </is>
      </c>
      <c r="D39" s="69" t="inlineStr">
        <is>
          <t>Large stream (over 100 km2)</t>
        </is>
      </c>
      <c r="E39" s="69" t="n">
        <v>5</v>
      </c>
      <c r="F39" s="69" t="inlineStr">
        <is>
          <t>50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9" s="69" t="n">
        <v>0</v>
      </c>
      <c r="H39" s="69" t="n">
        <v>0.06599025907261032</v>
      </c>
      <c r="I39" s="69" t="n">
        <v>0.1539772711694241</v>
      </c>
      <c r="J39" s="69" t="n">
        <v>0.374431811273098</v>
      </c>
      <c r="K39" s="69" t="n">
        <v>0.484659081324935</v>
      </c>
      <c r="L39" s="69" t="n">
        <v>0.484659081324935</v>
      </c>
      <c r="M39" s="69" t="n">
        <v>0.484659081324935</v>
      </c>
      <c r="N39" s="69" t="n">
        <v>0.484659081324935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spring_bent_totlntax|</t>
        </is>
      </c>
      <c r="B40" s="69" t="inlineStr">
        <is>
          <t>spring-bent-totlntax</t>
        </is>
      </c>
      <c r="C40" s="69" t="inlineStr">
        <is>
          <t>Benthic total taxa richness</t>
        </is>
      </c>
      <c r="D40" s="69" t="inlineStr"/>
      <c r="E40" s="69" t="n">
        <v>5</v>
      </c>
      <c r="F40" s="69" t="inlineStr">
        <is>
          <t>45 least-disturbed stations borrowed from Level I ecoregion 8 (Eastern Temperate Forests) under the regional screen (agriculture at most 37.8 percent), transfer risk unvalidated (transfer not confirmed by the recovery test). Scored on a reference pool whose transfer to this ecoregion was not confirmed by the recovery test (class agreement 0.61 of evaluation regions; two thirds required; net optimism +0.08, at most 0.05 allowed); confidence capped at 39.</t>
        </is>
      </c>
      <c r="G40" s="69" t="n">
        <v>0</v>
      </c>
      <c r="H40" s="69" t="n">
        <v>12.42857142857143</v>
      </c>
      <c r="I40" s="69" t="n">
        <v>29</v>
      </c>
      <c r="J40" s="69" t="n">
        <v>42</v>
      </c>
      <c r="K40" s="69" t="n">
        <v>48.5</v>
      </c>
      <c r="L40" s="69" t="n">
        <v>48.5</v>
      </c>
      <c r="M40" s="69" t="n">
        <v>48.5</v>
      </c>
      <c r="N40" s="69" t="n">
        <v>48.5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spring_fish_nat_totlntax|</t>
        </is>
      </c>
      <c r="B41" s="69" t="inlineStr">
        <is>
          <t>spring-fish-nat-totlntax</t>
        </is>
      </c>
      <c r="C41" s="69" t="inlineStr">
        <is>
          <t>Native fish taxa richness</t>
        </is>
      </c>
      <c r="D41" s="69" t="inlineStr"/>
      <c r="E41" s="69" t="n">
        <v>5</v>
      </c>
      <c r="F41" s="69" t="inlineStr">
        <is>
          <t>34 least-disturbed stations borrowed from NARS-9 region SAP under the regional screen (agriculture at most 37.8 percent), transfer risk moderate</t>
        </is>
      </c>
      <c r="G41" s="69" t="n">
        <v>0</v>
      </c>
      <c r="H41" s="69" t="n">
        <v>5.142857142857143</v>
      </c>
      <c r="I41" s="69" t="n">
        <v>12</v>
      </c>
      <c r="J41" s="69" t="n">
        <v>21</v>
      </c>
      <c r="K41" s="69" t="n">
        <v>25.5</v>
      </c>
      <c r="L41" s="69" t="n">
        <v>25.5</v>
      </c>
      <c r="M41" s="69" t="n">
        <v>25.5</v>
      </c>
      <c r="N41" s="69" t="n">
        <v>25.5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spring_bent_ept_ntax|</t>
        </is>
      </c>
      <c r="B42" s="69" t="inlineStr">
        <is>
          <t>spring-bent-ept-ntax</t>
        </is>
      </c>
      <c r="C42" s="69" t="inlineStr">
        <is>
          <t>EPT taxa richness</t>
        </is>
      </c>
      <c r="D42" s="69" t="inlineStr"/>
      <c r="E42" s="69" t="n">
        <v>5</v>
      </c>
      <c r="F42" s="69" t="inlineStr">
        <is>
          <t>29 least-disturbed stations borrowed from Level II ecoregion 8.4 (Ozark/Ouachita-Appalachian Forests) under the regional screen (agriculture at most 37.8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42" s="69" t="n">
        <v>0</v>
      </c>
      <c r="H42" s="69" t="n">
        <v>4.285714285714286</v>
      </c>
      <c r="I42" s="69" t="n">
        <v>10</v>
      </c>
      <c r="J42" s="69" t="n">
        <v>17</v>
      </c>
      <c r="K42" s="69" t="n">
        <v>20.5</v>
      </c>
      <c r="L42" s="69" t="n">
        <v>20.5</v>
      </c>
      <c r="M42" s="69" t="n">
        <v>20.5</v>
      </c>
      <c r="N42" s="69" t="n">
        <v>20.5</v>
      </c>
      <c r="O42" s="69" t="n">
        <v>0</v>
      </c>
      <c r="P42" s="69" t="n">
        <v>0.3</v>
      </c>
      <c r="Q42" s="69" t="n">
        <v>0.7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spring_bent_mmi_bent|</t>
        </is>
      </c>
      <c r="B43" s="69" t="inlineStr">
        <is>
          <t>spring-bent-mmi-bent</t>
        </is>
      </c>
      <c r="C43" s="69" t="inlineStr">
        <is>
          <t>Benthic macroinvertebrate MMI</t>
        </is>
      </c>
      <c r="D43" s="69" t="inlineStr"/>
      <c r="E43" s="69" t="n">
        <v>4</v>
      </c>
      <c r="F43" s="69" t="inlineStr">
        <is>
          <t>Scored against a published criterion rather than against stations from this ecoregion. The criterion carries its own definition of reference, which need not match this assessment's.</t>
        </is>
      </c>
      <c r="G43" s="69" t="n">
        <v>12.335</v>
      </c>
      <c r="H43" s="69" t="n">
        <v>30.795</v>
      </c>
      <c r="I43" s="69" t="n">
        <v>44.995</v>
      </c>
      <c r="J43" s="69" t="n">
        <v>59.668333</v>
      </c>
      <c r="K43" s="69" t="n">
        <v>59.668333</v>
      </c>
      <c r="L43" s="69" t="n">
        <v>59.668333</v>
      </c>
      <c r="M43" s="69" t="n">
        <v>59.668333</v>
      </c>
      <c r="N43" s="69" t="n">
        <v>59.668333</v>
      </c>
      <c r="O43" s="69" t="n">
        <v>0</v>
      </c>
      <c r="P43" s="69" t="n">
        <v>0.39</v>
      </c>
      <c r="Q43" s="69" t="n">
        <v>0.6899999999999999</v>
      </c>
      <c r="R43" s="69" t="n">
        <v>1</v>
      </c>
      <c r="S43" s="69" t="n">
        <v>1</v>
      </c>
      <c r="T43" s="69" t="n">
        <v>1</v>
      </c>
      <c r="U43" s="69" t="n">
        <v>1</v>
      </c>
      <c r="V43" s="69" t="n">
        <v>1</v>
      </c>
    </row>
    <row r="44">
      <c r="A44" s="69" t="inlineStr">
        <is>
          <t>spring_nid_dams_1mi|</t>
        </is>
      </c>
      <c r="B44" s="69" t="inlineStr">
        <is>
          <t>spring-nid-dams-1mi</t>
        </is>
      </c>
      <c r="C44" s="69" t="inlineStr">
        <is>
          <t>Mapped dams within one mile</t>
        </is>
      </c>
      <c r="D44" s="69" t="inlineStr"/>
      <c r="E44" s="69" t="n">
        <v>4</v>
      </c>
      <c r="F44" s="69" t="inlineStr">
        <is>
          <t>Fixed criteria, the same in every region</t>
        </is>
      </c>
      <c r="G44" s="69" t="n">
        <v>0</v>
      </c>
      <c r="H44" s="69" t="n">
        <v>1</v>
      </c>
      <c r="I44" s="69" t="n">
        <v>2</v>
      </c>
      <c r="J44" s="69" t="n">
        <v>3</v>
      </c>
      <c r="K44" s="69" t="n">
        <v>3</v>
      </c>
      <c r="L44" s="69" t="n">
        <v>3</v>
      </c>
      <c r="M44" s="69" t="n">
        <v>3</v>
      </c>
      <c r="N44" s="69" t="n">
        <v>3</v>
      </c>
      <c r="O44" s="69" t="n">
        <v>1</v>
      </c>
      <c r="P44" s="69" t="n">
        <v>0.545</v>
      </c>
      <c r="Q44" s="69" t="n">
        <v>0.195</v>
      </c>
      <c r="R44" s="69" t="n">
        <v>0</v>
      </c>
      <c r="S44" s="69" t="n">
        <v>0</v>
      </c>
      <c r="T44" s="69" t="n">
        <v>0</v>
      </c>
      <c r="U44" s="69" t="n">
        <v>0</v>
      </c>
      <c r="V44" s="69" t="n">
        <v>0</v>
      </c>
    </row>
    <row r="47">
      <c r="A47" s="58" t="inlineStr">
        <is>
          <t>Curve sets by metric</t>
        </is>
      </c>
    </row>
    <row r="48">
      <c r="A48" s="69" t="inlineStr">
        <is>
          <t>All streams (pooled)</t>
        </is>
      </c>
      <c r="B48" s="5" t="inlineStr">
        <is>
          <t>Bankfull width:depth ratio</t>
        </is>
      </c>
    </row>
    <row r="49">
      <c r="A49" s="69" t="inlineStr">
        <is>
          <t>Small stream (10 to 100 km2)</t>
        </is>
      </c>
      <c r="B49" s="5" t="inlineStr">
        <is>
          <t>Bankfull width:depth ratio</t>
        </is>
      </c>
    </row>
    <row r="50">
      <c r="A50" s="69" t="inlineStr">
        <is>
          <t>Large stream (over 100 km2)</t>
        </is>
      </c>
      <c r="B50" s="5" t="inlineStr">
        <is>
          <t>Bankfull width:depth ratio</t>
        </is>
      </c>
    </row>
    <row r="51">
      <c r="A51" s="69" t="inlineStr">
        <is>
          <t>All streams (pooled)</t>
        </is>
      </c>
      <c r="B51" s="5" t="inlineStr">
        <is>
          <t>Bankfull height above channel</t>
        </is>
      </c>
    </row>
    <row r="52">
      <c r="A52" s="69" t="inlineStr">
        <is>
          <t>Small stream (10 to 100 km2)</t>
        </is>
      </c>
      <c r="B52" s="5" t="inlineStr">
        <is>
          <t>Bankfull height above channel</t>
        </is>
      </c>
    </row>
    <row r="53">
      <c r="A53" s="69" t="inlineStr">
        <is>
          <t>Large stream (over 100 km2)</t>
        </is>
      </c>
      <c r="B53" s="5" t="inlineStr">
        <is>
          <t>Bankfull height above channel</t>
        </is>
      </c>
    </row>
    <row r="54">
      <c r="A54" s="69" t="inlineStr">
        <is>
          <t>All streams (pooled)</t>
        </is>
      </c>
      <c r="B54" s="5" t="inlineStr">
        <is>
          <t>Relative bed stability</t>
        </is>
      </c>
    </row>
    <row r="55">
      <c r="A55" s="69" t="inlineStr">
        <is>
          <t>Small stream (10 to 100 km2)</t>
        </is>
      </c>
      <c r="B55" s="5" t="inlineStr">
        <is>
          <t>Relative bed stability</t>
        </is>
      </c>
    </row>
    <row r="56">
      <c r="A56" s="69" t="inlineStr">
        <is>
          <t>Large stream (over 100 km2)</t>
        </is>
      </c>
      <c r="B56" s="5" t="inlineStr">
        <is>
          <t>Relative bed stability</t>
        </is>
      </c>
    </row>
    <row r="57">
      <c r="A57" s="69" t="inlineStr">
        <is>
          <t>All streams (pooled)</t>
        </is>
      </c>
      <c r="B57" s="5" t="inlineStr">
        <is>
          <t>Canopy density, mid-channel</t>
        </is>
      </c>
    </row>
    <row r="58">
      <c r="A58" s="69" t="inlineStr">
        <is>
          <t>Headwater (10 km2 and under)</t>
        </is>
      </c>
      <c r="B58" s="5" t="inlineStr">
        <is>
          <t>Canopy density, mid-channel</t>
        </is>
      </c>
    </row>
    <row r="59">
      <c r="A59" s="69" t="inlineStr">
        <is>
          <t>Small stream (10 to 100 km2)</t>
        </is>
      </c>
      <c r="B59" s="5" t="inlineStr">
        <is>
          <t>Canopy density, mid-channel</t>
        </is>
      </c>
    </row>
    <row r="60">
      <c r="A60" s="69" t="inlineStr">
        <is>
          <t>Large stream (over 100 km2)</t>
        </is>
      </c>
      <c r="B60" s="5" t="inlineStr">
        <is>
          <t>Canopy density, mid-channel</t>
        </is>
      </c>
    </row>
    <row r="61">
      <c r="A61" s="69" t="inlineStr">
        <is>
          <t>All streams (pooled)</t>
        </is>
      </c>
      <c r="B61" s="5" t="inlineStr">
        <is>
          <t>Natural fish cover</t>
        </is>
      </c>
    </row>
    <row r="62">
      <c r="A62" s="69" t="inlineStr">
        <is>
          <t>Small stream (10 to 100 km2)</t>
        </is>
      </c>
      <c r="B62" s="5" t="inlineStr">
        <is>
          <t>Natural fish cover</t>
        </is>
      </c>
    </row>
    <row r="63">
      <c r="A63" s="69" t="inlineStr">
        <is>
          <t>Large stream (over 100 km2)</t>
        </is>
      </c>
      <c r="B63" s="5" t="inlineStr">
        <is>
          <t>Natural fish cover</t>
        </is>
      </c>
    </row>
    <row r="66">
      <c r="A66" s="58" t="inlineStr">
        <is>
          <t>Condition classes</t>
        </is>
      </c>
    </row>
    <row r="67">
      <c r="A67" t="inlineStr">
        <is>
          <t>Metric index: at or below 0.39 Non-Functioning, at or below 0.69 Functioning At-Risk, above Functioning.</t>
        </is>
      </c>
    </row>
    <row r="68">
      <c r="A68" t="inlineStr">
        <is>
          <t>Function score (0 to 15): at or below 5 Non-Functioning, at or below 10 Functioning At-Risk, above Functioning.</t>
        </is>
      </c>
    </row>
    <row r="69">
      <c r="A6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ozark-highlands</t>
        </is>
      </c>
    </row>
    <row r="5">
      <c r="A5" s="69" t="inlineStr">
        <is>
          <t>Assessment name</t>
        </is>
      </c>
      <c r="B5" s="69" t="inlineStr">
        <is>
          <t>Ozark Highlands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sha256:f2e324139fc4a85fd4b125de9ffac8c865fd3ce27c36de7999c7ff541a7e314c</t>
        </is>
      </c>
    </row>
    <row r="9">
      <c r="A9" s="69" t="inlineStr">
        <is>
          <t>Region</t>
        </is>
      </c>
      <c r="B9" s="69" t="inlineStr">
        <is>
          <t>ecoregion 39 Ozark Highlands</t>
        </is>
      </c>
    </row>
    <row r="10">
      <c r="A10" s="69" t="inlineStr">
        <is>
          <t>Source</t>
        </is>
      </c>
      <c r="B10" s="69" t="inlineStr">
        <is>
          <t>USEPA NRSA 2013-24 (L3 ecoregion 39),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29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2026-09-30T07:05:08Z</dcterms:created>
  <dcterms:modified xmlns:dcterms="http://purl.org/dc/terms/" xmlns:xsi="http://www.w3.org/2001/XMLSchema-instance" xsi:type="dcterms:W3CDTF">2026-09-30T07:05:08Z</dcterms:modified>
  <cp:lastModifiedBy>DEEP</cp:lastModifiedBy>
  <cp:contentStatus>Draft</cp:contentStatus>
</cp:coreProperties>
</file>