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'Reference'!$A$5:$A$35</definedName>
    <definedName name="curve_x1">'Reference'!$G$5:$G$35</definedName>
    <definedName name="curve_y1">'Reference'!$O$5:$O$35</definedName>
    <definedName name="curve_x2">'Reference'!$H$5:$H$35</definedName>
    <definedName name="curve_y2">'Reference'!$P$5:$P$35</definedName>
    <definedName name="curve_x3">'Reference'!$I$5:$I$35</definedName>
    <definedName name="curve_y3">'Reference'!$Q$5:$Q$35</definedName>
    <definedName name="curve_x4">'Reference'!$J$5:$J$35</definedName>
    <definedName name="curve_y4">'Reference'!$R$5:$R$35</definedName>
    <definedName name="curve_x5">'Reference'!$K$5:$K$35</definedName>
    <definedName name="curve_y5">'Reference'!$S$5:$S$35</definedName>
    <definedName name="curve_x6">'Reference'!$L$5:$L$35</definedName>
    <definedName name="curve_y6">'Reference'!$T$5:$T$35</definedName>
    <definedName name="curve_x7">'Reference'!$M$5:$M$35</definedName>
    <definedName name="curve_y7">'Reference'!$U$5:$U$35</definedName>
    <definedName name="curve_x8">'Reference'!$N$5:$N$35</definedName>
    <definedName name="curve_y8">'Reference'!$V$5:$V$35</definedName>
    <definedName name="strata_spring_phab_xcdenmid">'Reference'!$A$39:$A$42</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xfc_nat">'Metrics'!$V$27</definedName>
    <definedName name="idx_spring_bent_totlntax">'Metrics'!$V$28</definedName>
    <definedName name="idx_spring_fish_nat_totlntax">'Metrics'!$V$29</definedName>
    <definedName name="idx_spring_bent_hprime">'Metrics'!$V$30</definedName>
    <definedName name="idx_spring_bent_mmi_bent">'Metrics'!$V$31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xfc_nat">'DEEP Score'!$E$40</definedName>
    <definedName name="in_spring_bent_totlntax">'DEEP Score'!$E$41</definedName>
    <definedName name="in_spring_fish_nat_totlntax">'DEEP Score'!$E$42</definedName>
    <definedName name="in_spring_bent_hprime">'DEEP Score'!$E$43</definedName>
    <definedName name="in_spring_bent_mmi_bent">'DEEP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Southern Coastal Plain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50" customHeight="1">
      <c r="A5" s="4" t="inlineStr">
        <is>
          <t>Reference condition. Reference condition is set by a fixed landscape-pressure screen, never by a score. 7 curves are fitted to least-disturbed stations of this ecoregion. 19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4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Southern Coastal Plain reference assessment</t>
        </is>
      </c>
    </row>
    <row r="3">
      <c r="A3" s="5" t="inlineStr">
        <is>
          <t>Version 1 | Draft | USEPA NRSA 2013-24 (L3 ecoregion 75),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3" t="inlineStr">
        <is>
          <t>Geomorphology</t>
        </is>
      </c>
      <c r="B25" s="12" t="inlineStr">
        <is>
          <t>Channel evolution</t>
        </is>
      </c>
      <c r="C25" s="13" t="inlineStr">
        <is>
          <t>Bankfull width:depth ratio</t>
        </is>
      </c>
      <c r="D25" s="14" t="inlineStr"/>
      <c r="E25" s="38">
        <f>IF('DEEP Score'!$E$21="","",'DEEP Score'!$E$21)</f>
        <v/>
      </c>
      <c r="F25" s="39" t="inlineStr"/>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IF('Metrics'!$V$13="","",'Metrics'!$V$13)</f>
        <v/>
      </c>
      <c r="H26" s="21" t="n"/>
      <c r="I26" s="27" t="n"/>
    </row>
    <row r="27">
      <c r="A27" s="43"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3" t="inlineStr">
        <is>
          <t>Geomorphology</t>
        </is>
      </c>
      <c r="B29" s="12" t="inlineStr">
        <is>
          <t>Sediment continuity</t>
        </is>
      </c>
      <c r="C29" s="13" t="inlineStr">
        <is>
          <t>Relative bed stability</t>
        </is>
      </c>
      <c r="D29" s="14" t="inlineStr">
        <is>
          <t>log</t>
        </is>
      </c>
      <c r="E29" s="15" t="n"/>
      <c r="F29" s="16" t="inlineStr"/>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IF('Metrics'!$V$14="","",'Metrics'!$V$14)</f>
        <v/>
      </c>
      <c r="H30" s="21" t="n"/>
      <c r="I30" s="27" t="n"/>
    </row>
    <row r="31">
      <c r="A31" s="43" t="inlineStr">
        <is>
          <t>Geomorphology</t>
        </is>
      </c>
      <c r="B31" s="12" t="inlineStr">
        <is>
          <t>Bed composition and bedform dynamics</t>
        </is>
      </c>
      <c r="C31" s="13" t="inlineStr">
        <is>
          <t>Embeddedness</t>
        </is>
      </c>
      <c r="D31" s="14" t="inlineStr">
        <is>
          <t>%</t>
        </is>
      </c>
      <c r="E31" s="38">
        <f>IF('DEEP Score'!$E$24="","",'DEEP Score'!$E$24)</f>
        <v/>
      </c>
      <c r="F31" s="39"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6"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7" t="inlineStr">
        <is>
          <t>All streams (pooled)</t>
        </is>
      </c>
      <c r="G34" s="26">
        <f>IF('Metrics'!$V$21="","",'Metrics'!$V$21)</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6"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6"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49" t="inlineStr">
        <is>
          <t>Biology</t>
        </is>
      </c>
      <c r="B40" s="29" t="inlineStr">
        <is>
          <t>Habitat provision</t>
        </is>
      </c>
      <c r="C40" s="30" t="inlineStr">
        <is>
          <t>Natural fish cover</t>
        </is>
      </c>
      <c r="D40" s="31" t="inlineStr">
        <is>
          <t>frac</t>
        </is>
      </c>
      <c r="E40" s="32" t="n"/>
      <c r="F40" s="33" t="inlineStr"/>
      <c r="G40" s="34">
        <f>IF('Metrics'!$V$27="","",'Metrics'!$V$27)</f>
        <v/>
      </c>
      <c r="H40" s="35">
        <f>IF('Results'!$B$20="","",'Results'!$B$20)</f>
        <v/>
      </c>
      <c r="I40" s="36">
        <f>IF('DEEP Score'!$H$40="","",IF('DEEP Score'!$H$40&lt;=5,"Non-Functioning",IF('DEEP Score'!$H$40&lt;=10,"Functioning At-Risk","Functioning")))</f>
        <v/>
      </c>
    </row>
    <row r="41">
      <c r="A41" s="50" t="inlineStr">
        <is>
          <t>Biology</t>
        </is>
      </c>
      <c r="B41" s="12" t="inlineStr">
        <is>
          <t>Population support</t>
        </is>
      </c>
      <c r="C41" s="13" t="inlineStr">
        <is>
          <t>Benthic total taxa richness</t>
        </is>
      </c>
      <c r="D41" s="14" t="inlineStr"/>
      <c r="E41" s="15" t="n"/>
      <c r="F41" s="16" t="inlineStr"/>
      <c r="G41" s="17">
        <f>IF('Metrics'!$V$28="","",'Metrics'!$V$28)</f>
        <v/>
      </c>
      <c r="H41" s="18">
        <f>IF('Results'!$B$21="","",'Results'!$B$21)</f>
        <v/>
      </c>
      <c r="I41" s="19">
        <f>IF('DEEP Score'!$H$41="","",IF('DEEP Score'!$H$41&lt;=5,"Non-Functioning",IF('DEEP Score'!$H$41&lt;=10,"Functioning At-Risk","Functioning")))</f>
        <v/>
      </c>
    </row>
    <row r="42">
      <c r="A42" s="20" t="n"/>
      <c r="B42" s="21" t="n"/>
      <c r="C42" s="22" t="inlineStr">
        <is>
          <t>Native fish taxa richness</t>
        </is>
      </c>
      <c r="D42" s="23" t="inlineStr"/>
      <c r="E42" s="24" t="n"/>
      <c r="F42" s="25" t="inlineStr"/>
      <c r="G42" s="26">
        <f>IF('Metrics'!$V$29="","",'Metrics'!$V$29)</f>
        <v/>
      </c>
      <c r="H42" s="21" t="n"/>
      <c r="I42" s="27" t="n"/>
    </row>
    <row r="43">
      <c r="A43" s="50" t="inlineStr">
        <is>
          <t>Biology</t>
        </is>
      </c>
      <c r="B43" s="12" t="inlineStr">
        <is>
          <t>Community dynamics</t>
        </is>
      </c>
      <c r="C43" s="13" t="inlineStr">
        <is>
          <t>Shannon diversity (H')</t>
        </is>
      </c>
      <c r="D43" s="14" t="inlineStr">
        <is>
          <t>H'</t>
        </is>
      </c>
      <c r="E43" s="15" t="n"/>
      <c r="F43" s="16" t="inlineStr"/>
      <c r="G43" s="17">
        <f>IF('Metrics'!$V$30="","",'Metrics'!$V$30)</f>
        <v/>
      </c>
      <c r="H43" s="18">
        <f>IF('Results'!$B$22="","",'Results'!$B$22)</f>
        <v/>
      </c>
      <c r="I43" s="19">
        <f>IF('DEEP Score'!$H$43="","",IF('DEEP Score'!$H$43&lt;=5,"Non-Functioning",IF('DEEP Score'!$H$43&lt;=10,"Functioning At-Risk","Functioning")))</f>
        <v/>
      </c>
    </row>
    <row r="44">
      <c r="A44" s="20" t="n"/>
      <c r="B44" s="21" t="n"/>
      <c r="C44" s="22" t="inlineStr">
        <is>
          <t>Benthic macroinvertebrate MMI</t>
        </is>
      </c>
      <c r="D44" s="23" t="inlineStr">
        <is>
          <t>MMI points</t>
        </is>
      </c>
      <c r="E44" s="24" t="n"/>
      <c r="F44" s="25" t="inlineStr"/>
      <c r="G44" s="26">
        <f>IF('Metrics'!$V$31="","",'Metrics'!$V$31)</f>
        <v/>
      </c>
      <c r="H44" s="21" t="n"/>
      <c r="I44" s="27" t="n"/>
    </row>
    <row r="45">
      <c r="A45" s="49" t="inlineStr">
        <is>
          <t>Biology</t>
        </is>
      </c>
      <c r="B45" s="29" t="inlineStr">
        <is>
          <t>Watershed connectivity</t>
        </is>
      </c>
      <c r="C45" s="30" t="inlineStr">
        <is>
          <t>Mapped dams within one mile</t>
        </is>
      </c>
      <c r="D45" s="31" t="inlineStr">
        <is>
          <t>dams</t>
        </is>
      </c>
      <c r="E45" s="32" t="n"/>
      <c r="F45" s="33" t="inlineStr"/>
      <c r="G45" s="34">
        <f>IF('Metrics'!$V$32="","",'Metrics'!$V$32)</f>
        <v/>
      </c>
      <c r="H45" s="35">
        <f>IF('Results'!$B$23="","",'Results'!$B$23)</f>
        <v/>
      </c>
      <c r="I45" s="36">
        <f>IF('DEEP Score'!$H$45="","",IF('DEEP Score'!$H$45&lt;=5,"Non-Functioning",IF('DEEP Score'!$H$45&lt;=10,"Functioning At-Risk","Functioning")))</f>
        <v/>
      </c>
    </row>
    <row r="47">
      <c r="A47" s="51" t="inlineStr">
        <is>
          <t>Summary</t>
        </is>
      </c>
    </row>
    <row r="48">
      <c r="A48" s="10" t="inlineStr">
        <is>
          <t>Outcome</t>
        </is>
      </c>
      <c r="B48" s="10" t="inlineStr">
        <is>
          <t>Sub-index (0 to 1)</t>
        </is>
      </c>
      <c r="C48" s="10" t="inlineStr">
        <is>
          <t>Condition</t>
        </is>
      </c>
    </row>
    <row r="49">
      <c r="A49" s="52" t="inlineStr">
        <is>
          <t>Physical</t>
        </is>
      </c>
      <c r="B49" s="53">
        <f>'Results'!$B$26</f>
        <v/>
      </c>
      <c r="C49" s="54">
        <f>IF('DEEP Score'!$B$49&lt;=0.39,"Non-Functioning",IF('DEEP Score'!$B$49&lt;=0.69,"Functioning At-Risk","Functioning"))</f>
        <v/>
      </c>
    </row>
    <row r="50">
      <c r="A50" s="52" t="inlineStr">
        <is>
          <t>Chemical</t>
        </is>
      </c>
      <c r="B50" s="53">
        <f>'Results'!$B$27</f>
        <v/>
      </c>
      <c r="C50" s="54">
        <f>IF('DEEP Score'!$B$50&lt;=0.39,"Non-Functioning",IF('DEEP Score'!$B$50&lt;=0.69,"Functioning At-Risk","Functioning"))</f>
        <v/>
      </c>
    </row>
    <row r="51">
      <c r="A51" s="52" t="inlineStr">
        <is>
          <t>Biological</t>
        </is>
      </c>
      <c r="B51" s="53">
        <f>'Results'!$B$28</f>
        <v/>
      </c>
      <c r="C51" s="54">
        <f>IF('DEEP Score'!$B$51&lt;=0.39,"Non-Functioning",IF('DEEP Score'!$B$51&lt;=0.69,"Functioning At-Risk","Functioning"))</f>
        <v/>
      </c>
    </row>
    <row r="52" ht="30" customHeight="1">
      <c r="A52" s="55" t="inlineStr">
        <is>
          <t>Ecosystem Condition Index</t>
        </is>
      </c>
      <c r="B52" s="56">
        <f>'Results'!$B$29</f>
        <v/>
      </c>
      <c r="C52" s="54">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7" t="inlineStr">
        <is>
          <t>Withheld for insufficient reference support (not scored)</t>
        </is>
      </c>
    </row>
    <row r="57">
      <c r="A57" t="inlineStr">
        <is>
          <t>Fast-water / riffle habitat</t>
        </is>
      </c>
      <c r="C57" s="5" t="inlineStr">
        <is>
          <t>Habitat provision</t>
        </is>
      </c>
    </row>
    <row r="59">
      <c r="A59" s="6" t="inlineStr">
        <is>
          <t>Notes</t>
        </is>
      </c>
    </row>
    <row r="60">
      <c r="A60" s="58" t="n"/>
      <c r="B60" s="59" t="n"/>
      <c r="C60" s="59" t="n"/>
      <c r="D60" s="59" t="n"/>
      <c r="E60" s="59" t="n"/>
      <c r="F60" s="59" t="n"/>
      <c r="G60" s="59" t="n"/>
      <c r="H60" s="59" t="n"/>
      <c r="I60" s="60"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4" t="n"/>
      <c r="B65" s="65" t="n"/>
      <c r="C65" s="65" t="n"/>
      <c r="D65" s="65" t="n"/>
      <c r="E65" s="65" t="n"/>
      <c r="F65" s="65" t="n"/>
      <c r="G65" s="65" t="n"/>
      <c r="H65" s="65" t="n"/>
      <c r="I65" s="66"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34" showDropDown="0" showInputMessage="0" showErrorMessage="1" allowBlank="1" errorTitle="Curve set" error="Choose a curve set from the list." type="list">
      <formula1>=strata_spring_phab_xcdenmid</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f>
        <v/>
      </c>
      <c r="D12" s="69">
        <f>"spring_phab_bfwd_rat|"&amp;'Metrics'!$C$12</f>
        <v/>
      </c>
      <c r="E12" s="69">
        <f>IFERROR(MATCH('Metrics'!$D$12,curve_key,0),MATCH("spring_phab_bfwd_rat|",curve_key,0))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f>
        <v/>
      </c>
      <c r="D13" s="69">
        <f>"spring_phab_xbkf_h|"&amp;'Metrics'!$C$13</f>
        <v/>
      </c>
      <c r="E13" s="69">
        <f>IFERROR(MATCH('Metrics'!$D$13,curve_key,0),MATCH("spring_phab_xbkf_h|",curve_key,0))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f>
        <v/>
      </c>
      <c r="D18" s="69">
        <f>"spring_phab_lrbs_use|"&amp;'Metrics'!$C$18</f>
        <v/>
      </c>
      <c r="E18" s="69">
        <f>IFERROR(MATCH('Metrics'!$D$18,curve_key,0),MATCH("spring_phab_lrbs_use|",curve_key,0))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Large wood volume</t>
        </is>
      </c>
      <c r="B19" s="69">
        <f>IF('DEEP Score'!$E$32="","",'DEEP Score'!$E$32)</f>
        <v/>
      </c>
      <c r="C19" s="69">
        <f>""</f>
        <v/>
      </c>
      <c r="D19" s="69">
        <f>"spring_phab_lwdeqvolm100|"&amp;'Metrics'!$C$19</f>
        <v/>
      </c>
      <c r="E19" s="69">
        <f>IFERROR(MATCH('Metrics'!$D$19,curve_key,0),MATCH("spring_phab_lwdeqvolm100|",curve_key,0))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IF('DEEP Score'!$F$34="","All streams (pooled)",'DEEP Score'!$F$34)</f>
        <v/>
      </c>
      <c r="D21" s="69">
        <f>"spring_phab_xcdenmid|"&amp;'Metrics'!$C$21</f>
        <v/>
      </c>
      <c r="E21" s="69">
        <f>IFERROR(MATCH('Metrics'!$D$21,curve_key,0),MATCH("spring_phab_xcdenmid|All streams (pooled)",curve_key,0))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pH</t>
        </is>
      </c>
      <c r="B25" s="69">
        <f>IF('DEEP Score'!$E$38="","",'DEEP Score'!$E$38)</f>
        <v/>
      </c>
      <c r="C25" s="69">
        <f>""</f>
        <v/>
      </c>
      <c r="D25" s="69">
        <f>"spring_chem_ph|"&amp;'Metrics'!$C$25</f>
        <v/>
      </c>
      <c r="E25" s="69">
        <f>IFERROR(MATCH('Metrics'!$D$25,curve_key,0),MATCH("spring_chem_ph|",curve_key,0))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Turbidity</t>
        </is>
      </c>
      <c r="B26" s="69">
        <f>IF('DEEP Score'!$E$39="","",'DEEP Score'!$E$39)</f>
        <v/>
      </c>
      <c r="C26" s="69">
        <f>""</f>
        <v/>
      </c>
      <c r="D26" s="69">
        <f>"spring_chem_turb|"&amp;'Metrics'!$C$26</f>
        <v/>
      </c>
      <c r="E26" s="69">
        <f>IFERROR(MATCH('Metrics'!$D$26,curve_key,0),MATCH("spring_chem_turb|",curve_key,0))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Score'!$E$40="","",'DEEP Score'!$E$40)</f>
        <v/>
      </c>
      <c r="C27" s="69">
        <f>""</f>
        <v/>
      </c>
      <c r="D27" s="69">
        <f>"spring_phab_xfc_nat|"&amp;'Metrics'!$C$27</f>
        <v/>
      </c>
      <c r="E27" s="69">
        <f>IFERROR(MATCH('Metrics'!$D$27,curve_key,0),MATCH("spring_phab_xfc_nat|",curve_key,0))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Benthic total taxa richness</t>
        </is>
      </c>
      <c r="B28" s="69">
        <f>IF('DEEP Score'!$E$41="","",'DEEP Score'!$E$41)</f>
        <v/>
      </c>
      <c r="C28" s="69">
        <f>""</f>
        <v/>
      </c>
      <c r="D28" s="69">
        <f>"spring_bent_totlntax|"&amp;'Metrics'!$C$28</f>
        <v/>
      </c>
      <c r="E28" s="69">
        <f>IFERROR(MATCH('Metrics'!$D$28,curve_key,0),MATCH("spring_bent_totlntax|",curve_key,0))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Native fish taxa richness</t>
        </is>
      </c>
      <c r="B29" s="69">
        <f>IF('DEEP Score'!$E$42="","",'DEEP Score'!$E$42)</f>
        <v/>
      </c>
      <c r="C29" s="69">
        <f>""</f>
        <v/>
      </c>
      <c r="D29" s="69">
        <f>"spring_fish_nat_totlntax|"&amp;'Metrics'!$C$29</f>
        <v/>
      </c>
      <c r="E29" s="69">
        <f>IFERROR(MATCH('Metrics'!$D$29,curve_key,0),MATCH("spring_fish_nat_totlntax|",curve_key,0))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Shannon diversity (H')</t>
        </is>
      </c>
      <c r="B30" s="69">
        <f>IF('DEEP Score'!$E$43="","",'DEEP Score'!$E$43)</f>
        <v/>
      </c>
      <c r="C30" s="69">
        <f>""</f>
        <v/>
      </c>
      <c r="D30" s="69">
        <f>"spring_bent_hprime|"&amp;'Metrics'!$C$30</f>
        <v/>
      </c>
      <c r="E30" s="69">
        <f>IFERROR(MATCH('Metrics'!$D$30,curve_key,0),MATCH("spring_bent_hprime|",curve_key,0))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Benthic macroinvertebrate MMI</t>
        </is>
      </c>
      <c r="B31" s="69">
        <f>IF('DEEP Score'!$E$44="","",'DEEP Score'!$E$44)</f>
        <v/>
      </c>
      <c r="C31" s="69">
        <f>""</f>
        <v/>
      </c>
      <c r="D31" s="69">
        <f>"spring_bent_mmi_bent|"&amp;'Metrics'!$C$31</f>
        <v/>
      </c>
      <c r="E31" s="69">
        <f>IFERROR(MATCH('Metrics'!$D$31,curve_key,0),MATCH("spring_bent_mmi_bent|",curve_key,0))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Mapped dams within one mile</t>
        </is>
      </c>
      <c r="B32" s="69">
        <f>IF('DEEP Score'!$E$45="","",'DEEP Score'!$E$45)</f>
        <v/>
      </c>
      <c r="C32" s="69">
        <f>""</f>
        <v/>
      </c>
      <c r="D32" s="69">
        <f>"spring_nid_dams_1mi|"&amp;'Metrics'!$C$32</f>
        <v/>
      </c>
      <c r="E32" s="69">
        <f>IFERROR(MATCH('Metrics'!$D$32,curve_key,0),MATCH("spring_nid_dams_1mi|",curve_key,0))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Score'!G40:G40)=0,"",SUM('DEEP Score'!G40:G40)/COUNT('DEEP Score'!G40:G40)*15)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Score'!G41:G42)=0,"",SUM('DEEP Score'!G41:G42)/COUNT('DEEP Score'!G41:G42)*15)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Score'!G43:G44)=0,"",SUM('DEEP Score'!G43:G44)/COUNT('DEEP Score'!G43:G44)*15)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Score'!G45:G45)=0,"",SUM('DEEP Score'!G45:G45)/COUNT('DEEP Score'!G45:G45)*15)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8"/>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11 least-disturbed stations of this ecoregion</t>
        </is>
      </c>
      <c r="G7" s="68" t="n">
        <v>0</v>
      </c>
      <c r="H7" s="68" t="n">
        <v>12.69857142857143</v>
      </c>
      <c r="I7" s="68" t="n">
        <v>29.63</v>
      </c>
      <c r="J7" s="68" t="n">
        <v>71.81999999999999</v>
      </c>
      <c r="K7" s="68" t="n">
        <v>92.91499999999999</v>
      </c>
      <c r="L7" s="68" t="n">
        <v>92.91499999999999</v>
      </c>
      <c r="M7" s="68" t="n">
        <v>92.91499999999999</v>
      </c>
      <c r="N7" s="68" t="n">
        <v>92.91499999999999</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11 least-disturbed stations of this ecoregion</t>
        </is>
      </c>
      <c r="G9" s="68" t="n">
        <v>0</v>
      </c>
      <c r="H9" s="68" t="n">
        <v>16.86634285714286</v>
      </c>
      <c r="I9" s="68" t="n">
        <v>39.3548</v>
      </c>
      <c r="J9" s="68" t="n">
        <v>58.13895</v>
      </c>
      <c r="K9" s="68" t="n">
        <v>67.531025</v>
      </c>
      <c r="L9" s="68" t="n">
        <v>67.531025</v>
      </c>
      <c r="M9" s="68" t="n">
        <v>67.531025</v>
      </c>
      <c r="N9" s="68" t="n">
        <v>67.531025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t>
        </is>
      </c>
      <c r="B11" s="68" t="inlineStr">
        <is>
          <t>spring-phab-rp100-cm</t>
        </is>
      </c>
      <c r="C11" s="68" t="inlineStr">
        <is>
          <t>Residual pool depth</t>
        </is>
      </c>
      <c r="D11" s="68" t="inlineStr"/>
      <c r="E11" s="68" t="n">
        <v>5</v>
      </c>
      <c r="F11" s="68" t="inlineStr">
        <is>
          <t>50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11" s="68" t="n">
        <v>0</v>
      </c>
      <c r="H11" s="68" t="n">
        <v>5.391143764768328</v>
      </c>
      <c r="I11" s="68" t="n">
        <v>12.5793354511261</v>
      </c>
      <c r="J11" s="68" t="n">
        <v>31.13510942459106</v>
      </c>
      <c r="K11" s="68" t="n">
        <v>40.41299641132355</v>
      </c>
      <c r="L11" s="68" t="n">
        <v>40.41299641132355</v>
      </c>
      <c r="M11" s="68" t="n">
        <v>40.41299641132355</v>
      </c>
      <c r="N11" s="68" t="n">
        <v>40.41299641132355</v>
      </c>
      <c r="O11" s="68" t="n">
        <v>0</v>
      </c>
      <c r="P11" s="68" t="n">
        <v>0.3</v>
      </c>
      <c r="Q11" s="68" t="n">
        <v>0.7</v>
      </c>
      <c r="R11" s="68" t="n">
        <v>1</v>
      </c>
      <c r="S11" s="68" t="n">
        <v>1</v>
      </c>
      <c r="T11" s="68" t="n">
        <v>1</v>
      </c>
      <c r="U11" s="68" t="n">
        <v>1</v>
      </c>
      <c r="V11" s="68" t="n">
        <v>1</v>
      </c>
    </row>
    <row r="12">
      <c r="A12" s="68" t="inlineStr">
        <is>
          <t>spring_phab_bfwd_rat|</t>
        </is>
      </c>
      <c r="B12" s="68" t="inlineStr">
        <is>
          <t>spring-phab-bfwd-rat</t>
        </is>
      </c>
      <c r="C12" s="68" t="inlineStr">
        <is>
          <t>Bankfull width:depth ratio</t>
        </is>
      </c>
      <c r="D12" s="68" t="inlineStr"/>
      <c r="E12" s="68" t="n">
        <v>8</v>
      </c>
      <c r="F12" s="68" t="inlineStr">
        <is>
          <t>24 least-disturbed stations borrowed from Level II ecoregion 8.5 (Mississippi Alluvial And Southeast Usa Coastal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2.506402254104614</v>
      </c>
      <c r="I12" s="68" t="n">
        <v>4.286087399721145</v>
      </c>
      <c r="J12" s="68" t="n">
        <v>5.24437940120697</v>
      </c>
      <c r="K12" s="68" t="n">
        <v>7.982356548309326</v>
      </c>
      <c r="L12" s="68" t="n">
        <v>8.940648549795151</v>
      </c>
      <c r="M12" s="68" t="n">
        <v>10.72033369541168</v>
      </c>
      <c r="N12" s="68" t="n">
        <v>13.45831084251404</v>
      </c>
      <c r="O12" s="68" t="n">
        <v>0</v>
      </c>
      <c r="P12" s="68" t="n">
        <v>0.3</v>
      </c>
      <c r="Q12" s="68" t="n">
        <v>0.7</v>
      </c>
      <c r="R12" s="68" t="n">
        <v>1</v>
      </c>
      <c r="S12" s="68" t="n">
        <v>1</v>
      </c>
      <c r="T12" s="68" t="n">
        <v>0.7</v>
      </c>
      <c r="U12" s="68" t="n">
        <v>0.3</v>
      </c>
      <c r="V12" s="68" t="n">
        <v>0</v>
      </c>
    </row>
    <row r="13">
      <c r="A13" s="68" t="inlineStr">
        <is>
          <t>spring_phab_xbkf_h|</t>
        </is>
      </c>
      <c r="B13" s="68" t="inlineStr">
        <is>
          <t>spring-phab-xbkf-h</t>
        </is>
      </c>
      <c r="C13" s="68" t="inlineStr">
        <is>
          <t>Bankfull height above channel</t>
        </is>
      </c>
      <c r="D13" s="68" t="inlineStr"/>
      <c r="E13" s="68" t="n">
        <v>7</v>
      </c>
      <c r="F13" s="68" t="inlineStr">
        <is>
          <t>24 least-disturbed stations borrowed from Level II ecoregion 8.5 (Mississippi Alluvial And Southeast Usa Coastal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8" t="n">
        <v>0</v>
      </c>
      <c r="H13" s="68" t="n">
        <v>0.1114659117534757</v>
      </c>
      <c r="I13" s="68" t="n">
        <v>0.2270454578101635</v>
      </c>
      <c r="J13" s="68" t="n">
        <v>0.557272732257843</v>
      </c>
      <c r="K13" s="68" t="n">
        <v>0.6728522783145309</v>
      </c>
      <c r="L13" s="68" t="n">
        <v>0.8875000067055225</v>
      </c>
      <c r="M13" s="68" t="n">
        <v>1.217727281153202</v>
      </c>
      <c r="N13" s="68" t="n">
        <v>1.217727281153202</v>
      </c>
      <c r="O13" s="68" t="n">
        <v>0</v>
      </c>
      <c r="P13" s="68" t="n">
        <v>0.7</v>
      </c>
      <c r="Q13" s="68" t="n">
        <v>1</v>
      </c>
      <c r="R13" s="68" t="n">
        <v>1</v>
      </c>
      <c r="S13" s="68" t="n">
        <v>0.7</v>
      </c>
      <c r="T13" s="68" t="n">
        <v>0.3</v>
      </c>
      <c r="U13" s="68" t="n">
        <v>0</v>
      </c>
      <c r="V13" s="68" t="n">
        <v>0</v>
      </c>
    </row>
    <row r="14">
      <c r="A14" s="68" t="inlineStr">
        <is>
          <t>spring_phab_pct_safn|</t>
        </is>
      </c>
      <c r="B14" s="68" t="inlineStr">
        <is>
          <t>spring-phab-pct-safn</t>
        </is>
      </c>
      <c r="C14" s="68" t="inlineStr">
        <is>
          <t>Sand + fines</t>
        </is>
      </c>
      <c r="D14" s="68" t="inlineStr"/>
      <c r="E14" s="68" t="n">
        <v>3</v>
      </c>
      <c r="F14" s="68" t="inlineStr">
        <is>
          <t>24 least-disturbed stations borrowed from Level II ecoregion 8.5 (Mississippi Alluvial And Southeast Usa Coastal Plains) under the regional screen (agriculture at most 25 percent), transfer risk low</t>
        </is>
      </c>
      <c r="G14" s="68" t="n">
        <v>75.73213958740234</v>
      </c>
      <c r="H14" s="68" t="n">
        <v>83.82142639160156</v>
      </c>
      <c r="I14" s="68" t="n">
        <v>100</v>
      </c>
      <c r="J14" s="68" t="n">
        <v>100</v>
      </c>
      <c r="K14" s="68" t="n">
        <v>100</v>
      </c>
      <c r="L14" s="68" t="n">
        <v>100</v>
      </c>
      <c r="M14" s="68" t="n">
        <v>100</v>
      </c>
      <c r="N14" s="68" t="n">
        <v>100</v>
      </c>
      <c r="O14" s="68" t="n">
        <v>1</v>
      </c>
      <c r="P14" s="68" t="n">
        <v>1</v>
      </c>
      <c r="Q14" s="68" t="n">
        <v>0</v>
      </c>
      <c r="R14" s="68" t="n">
        <v>0</v>
      </c>
      <c r="S14" s="68" t="n">
        <v>0</v>
      </c>
      <c r="T14" s="68" t="n">
        <v>0</v>
      </c>
      <c r="U14" s="68" t="n">
        <v>0</v>
      </c>
      <c r="V14" s="68" t="n">
        <v>0</v>
      </c>
    </row>
    <row r="15">
      <c r="A15" s="68" t="inlineStr">
        <is>
          <t>spring_phab_xembed|</t>
        </is>
      </c>
      <c r="B15" s="68" t="inlineStr">
        <is>
          <t>spring-phab-xembed</t>
        </is>
      </c>
      <c r="C15" s="68" t="inlineStr">
        <is>
          <t>Embeddedness</t>
        </is>
      </c>
      <c r="D15" s="68" t="inlineStr"/>
      <c r="E15" s="68" t="n">
        <v>4</v>
      </c>
      <c r="F15" s="68" t="inlineStr">
        <is>
          <t>16 least-disturbed stations borrowed from Level II ecoregion 8.5 (Mississippi Alluvial And Southeast Usa Coastal Plains) under the regional screen (agriculture at most 25 percent), transfer risk low</t>
        </is>
      </c>
      <c r="G15" s="68" t="n">
        <v>86.18182182312012</v>
      </c>
      <c r="H15" s="68" t="n">
        <v>90.13636589050293</v>
      </c>
      <c r="I15" s="68" t="n">
        <v>98.04545402526855</v>
      </c>
      <c r="J15" s="68" t="n">
        <v>100</v>
      </c>
      <c r="K15" s="68" t="n">
        <v>100</v>
      </c>
      <c r="L15" s="68" t="n">
        <v>100</v>
      </c>
      <c r="M15" s="68" t="n">
        <v>100</v>
      </c>
      <c r="N15" s="68" t="n">
        <v>100</v>
      </c>
      <c r="O15" s="68" t="n">
        <v>1</v>
      </c>
      <c r="P15" s="68" t="n">
        <v>1</v>
      </c>
      <c r="Q15" s="68" t="n">
        <v>0.7</v>
      </c>
      <c r="R15" s="68" t="n">
        <v>0</v>
      </c>
      <c r="S15" s="68" t="n">
        <v>0</v>
      </c>
      <c r="T15" s="68" t="n">
        <v>0</v>
      </c>
      <c r="U15" s="68" t="n">
        <v>0</v>
      </c>
      <c r="V15" s="68" t="n">
        <v>0</v>
      </c>
    </row>
    <row r="16">
      <c r="A16" s="68" t="inlineStr">
        <is>
          <t>spring_phab_sinu|</t>
        </is>
      </c>
      <c r="B16" s="68" t="inlineStr">
        <is>
          <t>spring-phab-sinu</t>
        </is>
      </c>
      <c r="C16" s="68" t="inlineStr">
        <is>
          <t>Sinuosity</t>
        </is>
      </c>
      <c r="D16" s="68" t="inlineStr"/>
      <c r="E16" s="68" t="n">
        <v>4</v>
      </c>
      <c r="F16" s="68" t="inlineStr">
        <is>
          <t>42 least-disturbed stations borrowed from Level I ecoregion 8 (Eastern Temperate Forests) under the regional screen (agriculture at most 25 percent), transfer risk high</t>
        </is>
      </c>
      <c r="G16" s="68" t="n">
        <v>1</v>
      </c>
      <c r="H16" s="68" t="n">
        <v>1.08992138504982</v>
      </c>
      <c r="I16" s="68" t="n">
        <v>1.585879534482956</v>
      </c>
      <c r="J16" s="68" t="n">
        <v>1.833858609199524</v>
      </c>
      <c r="K16" s="68" t="n">
        <v>1.833858609199524</v>
      </c>
      <c r="L16" s="68" t="n">
        <v>1.833858609199524</v>
      </c>
      <c r="M16" s="68" t="n">
        <v>1.833858609199524</v>
      </c>
      <c r="N16" s="68" t="n">
        <v>1.833858609199524</v>
      </c>
      <c r="O16" s="68" t="n">
        <v>0</v>
      </c>
      <c r="P16" s="68" t="n">
        <v>0.7</v>
      </c>
      <c r="Q16" s="68" t="n">
        <v>1</v>
      </c>
      <c r="R16" s="68" t="n">
        <v>1</v>
      </c>
      <c r="S16" s="68" t="n">
        <v>1</v>
      </c>
      <c r="T16" s="68" t="n">
        <v>1</v>
      </c>
      <c r="U16" s="68" t="n">
        <v>1</v>
      </c>
      <c r="V16" s="68" t="n">
        <v>1</v>
      </c>
    </row>
    <row r="17">
      <c r="A17" s="68" t="inlineStr">
        <is>
          <t>spring_phab_xbka|</t>
        </is>
      </c>
      <c r="B17" s="68" t="inlineStr">
        <is>
          <t>spring-phab-xbka</t>
        </is>
      </c>
      <c r="C17" s="68" t="inlineStr">
        <is>
          <t>Bank angle</t>
        </is>
      </c>
      <c r="D17" s="68" t="inlineStr"/>
      <c r="E17" s="68" t="n">
        <v>7</v>
      </c>
      <c r="F17" s="68" t="inlineStr">
        <is>
          <t>16 least-disturbed stations borrowed from Level II ecoregion 8.5 (Mississippi Alluvial And Southeast Usa Coastal Plains) under the regional screen (agriculture at most 25 percent), transfer risk low</t>
        </is>
      </c>
      <c r="G17" s="68" t="n">
        <v>0</v>
      </c>
      <c r="H17" s="68" t="n">
        <v>11.72499940395355</v>
      </c>
      <c r="I17" s="68" t="n">
        <v>18.61363554000854</v>
      </c>
      <c r="J17" s="68" t="n">
        <v>38.29545307159424</v>
      </c>
      <c r="K17" s="68" t="n">
        <v>45.18408920764923</v>
      </c>
      <c r="L17" s="68" t="n">
        <v>57.97727060317993</v>
      </c>
      <c r="M17" s="68" t="n">
        <v>77.65908813476562</v>
      </c>
      <c r="N17" s="68" t="n">
        <v>77.65908813476562</v>
      </c>
      <c r="O17" s="68" t="n">
        <v>0.7</v>
      </c>
      <c r="P17" s="68" t="n">
        <v>0.7</v>
      </c>
      <c r="Q17" s="68" t="n">
        <v>1</v>
      </c>
      <c r="R17" s="68" t="n">
        <v>1</v>
      </c>
      <c r="S17" s="68" t="n">
        <v>0.7</v>
      </c>
      <c r="T17" s="68" t="n">
        <v>0.3</v>
      </c>
      <c r="U17" s="68" t="n">
        <v>0</v>
      </c>
      <c r="V17" s="68" t="n">
        <v>0</v>
      </c>
    </row>
    <row r="18">
      <c r="A18" s="68" t="inlineStr">
        <is>
          <t>spring_phab_lrbs_use|</t>
        </is>
      </c>
      <c r="B18" s="68" t="inlineStr">
        <is>
          <t>spring-phab-lrbs-use</t>
        </is>
      </c>
      <c r="C18" s="68" t="inlineStr">
        <is>
          <t>Relative bed stability</t>
        </is>
      </c>
      <c r="D18" s="68" t="inlineStr"/>
      <c r="E18" s="68" t="n">
        <v>8</v>
      </c>
      <c r="F18" s="68" t="inlineStr">
        <is>
          <t>11 least-disturbed stations of this ecoregion</t>
        </is>
      </c>
      <c r="G18" s="68" t="n">
        <v>-3.402221262454987</v>
      </c>
      <c r="H18" s="68" t="n">
        <v>-2.570473730564117</v>
      </c>
      <c r="I18" s="68" t="n">
        <v>-2.029837834835052</v>
      </c>
      <c r="J18" s="68" t="n">
        <v>-1.738726198673248</v>
      </c>
      <c r="K18" s="68" t="n">
        <v>-0.9069786667823792</v>
      </c>
      <c r="L18" s="68" t="n">
        <v>-0.6158670306205749</v>
      </c>
      <c r="M18" s="68" t="n">
        <v>-0.07523113489151001</v>
      </c>
      <c r="N18" s="68" t="n">
        <v>0.7565163969993591</v>
      </c>
      <c r="O18" s="68" t="n">
        <v>0</v>
      </c>
      <c r="P18" s="68" t="n">
        <v>0.3</v>
      </c>
      <c r="Q18" s="68" t="n">
        <v>0.7</v>
      </c>
      <c r="R18" s="68" t="n">
        <v>1</v>
      </c>
      <c r="S18" s="68" t="n">
        <v>1</v>
      </c>
      <c r="T18" s="68" t="n">
        <v>0.7</v>
      </c>
      <c r="U18" s="68" t="n">
        <v>0.3</v>
      </c>
      <c r="V18" s="68" t="n">
        <v>0</v>
      </c>
    </row>
    <row r="19">
      <c r="A19" s="68" t="inlineStr">
        <is>
          <t>spring_phab_lwdeqvolm100|</t>
        </is>
      </c>
      <c r="B19" s="68" t="inlineStr">
        <is>
          <t>spring-phab-lwdeqvolm100</t>
        </is>
      </c>
      <c r="C19" s="68" t="inlineStr">
        <is>
          <t>Large wood volume</t>
        </is>
      </c>
      <c r="D19" s="68" t="inlineStr"/>
      <c r="E19" s="68" t="n">
        <v>5</v>
      </c>
      <c r="F19" s="68" t="inlineStr">
        <is>
          <t>Reference curve fitted to comparable least-disturbed stations drawn from the national pool, because this ecoregion and its parents hold too few of their own.</t>
        </is>
      </c>
      <c r="G19" s="68" t="n">
        <v>0</v>
      </c>
      <c r="H19" s="68" t="n">
        <v>0.2064428584916251</v>
      </c>
      <c r="I19" s="68" t="n">
        <v>0.4817000031471252</v>
      </c>
      <c r="J19" s="68" t="n">
        <v>14.44727230072021</v>
      </c>
      <c r="K19" s="68" t="n">
        <v>21.43005844950676</v>
      </c>
      <c r="L19" s="68" t="n">
        <v>21.43005844950676</v>
      </c>
      <c r="M19" s="68" t="n">
        <v>21.43005844950676</v>
      </c>
      <c r="N19" s="68" t="n">
        <v>21.43005844950676</v>
      </c>
      <c r="O19" s="68" t="n">
        <v>0</v>
      </c>
      <c r="P19" s="68" t="n">
        <v>0.3</v>
      </c>
      <c r="Q19" s="68" t="n">
        <v>0.7</v>
      </c>
      <c r="R19" s="68" t="n">
        <v>1</v>
      </c>
      <c r="S19" s="68" t="n">
        <v>1</v>
      </c>
      <c r="T19" s="68" t="n">
        <v>1</v>
      </c>
      <c r="U19" s="68" t="n">
        <v>1</v>
      </c>
      <c r="V19" s="68" t="n">
        <v>1</v>
      </c>
    </row>
    <row r="20">
      <c r="A20" s="68" t="inlineStr">
        <is>
          <t>spring_chem_chla|</t>
        </is>
      </c>
      <c r="B20" s="68" t="inlineStr">
        <is>
          <t>spring-chem-chla</t>
        </is>
      </c>
      <c r="C20" s="68" t="inlineStr">
        <is>
          <t>Chlorophyll a</t>
        </is>
      </c>
      <c r="D20" s="68" t="inlineStr"/>
      <c r="E20" s="68" t="n">
        <v>5</v>
      </c>
      <c r="F20" s="68" t="inlineStr">
        <is>
          <t>45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0" s="68" t="n">
        <v>0</v>
      </c>
      <c r="H20" s="68" t="n">
        <v>0.5299999713897705</v>
      </c>
      <c r="I20" s="68" t="n">
        <v>2.609999895095825</v>
      </c>
      <c r="J20" s="68" t="n">
        <v>5.729999780654907</v>
      </c>
      <c r="K20" s="68" t="n">
        <v>7.809999704360962</v>
      </c>
      <c r="L20" s="68" t="n">
        <v>7.809999704360962</v>
      </c>
      <c r="M20" s="68" t="n">
        <v>7.809999704360962</v>
      </c>
      <c r="N20" s="68" t="n">
        <v>7.809999704360962</v>
      </c>
      <c r="O20" s="68" t="n">
        <v>1</v>
      </c>
      <c r="P20" s="68" t="n">
        <v>1</v>
      </c>
      <c r="Q20" s="68" t="n">
        <v>0.7</v>
      </c>
      <c r="R20" s="68" t="n">
        <v>0.3</v>
      </c>
      <c r="S20" s="68" t="n">
        <v>0</v>
      </c>
      <c r="T20" s="68" t="n">
        <v>0</v>
      </c>
      <c r="U20" s="68" t="n">
        <v>0</v>
      </c>
      <c r="V20" s="68" t="n">
        <v>0</v>
      </c>
    </row>
    <row r="21">
      <c r="A21" s="68" t="inlineStr">
        <is>
          <t>spring_phab_xcdenmid|All streams (pooled)</t>
        </is>
      </c>
      <c r="B21" s="68" t="inlineStr">
        <is>
          <t>spring-phab-xcdenmid</t>
        </is>
      </c>
      <c r="C21" s="68" t="inlineStr">
        <is>
          <t>Canopy density, mid-channel</t>
        </is>
      </c>
      <c r="D21" s="68" t="inlineStr">
        <is>
          <t>All streams (pooled)</t>
        </is>
      </c>
      <c r="E21" s="68" t="n">
        <v>5</v>
      </c>
      <c r="F21" s="68" t="inlineStr">
        <is>
          <t>197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1" s="68" t="n">
        <v>0</v>
      </c>
      <c r="H21" s="68" t="n">
        <v>30.35714394705636</v>
      </c>
      <c r="I21" s="68" t="n">
        <v>70.83333587646484</v>
      </c>
      <c r="J21" s="68" t="n">
        <v>96.12299346923828</v>
      </c>
      <c r="K21" s="68" t="n">
        <v>100</v>
      </c>
      <c r="L21" s="68" t="n">
        <v>100</v>
      </c>
      <c r="M21" s="68" t="n">
        <v>100</v>
      </c>
      <c r="N21" s="68" t="n">
        <v>100</v>
      </c>
      <c r="O21" s="68" t="n">
        <v>0</v>
      </c>
      <c r="P21" s="68" t="n">
        <v>0.3</v>
      </c>
      <c r="Q21" s="68" t="n">
        <v>0.7</v>
      </c>
      <c r="R21" s="68" t="n">
        <v>1</v>
      </c>
      <c r="S21" s="68" t="n">
        <v>1</v>
      </c>
      <c r="T21" s="68" t="n">
        <v>1</v>
      </c>
      <c r="U21" s="68" t="n">
        <v>1</v>
      </c>
      <c r="V21" s="68" t="n">
        <v>1</v>
      </c>
    </row>
    <row r="22">
      <c r="A22" s="68" t="inlineStr">
        <is>
          <t>spring_phab_xcdenmid|Headwater (10 km2 and under)</t>
        </is>
      </c>
      <c r="B22" s="68" t="inlineStr">
        <is>
          <t>spring-phab-xcdenmid</t>
        </is>
      </c>
      <c r="C22" s="68" t="inlineStr">
        <is>
          <t>Canopy density, mid-channel</t>
        </is>
      </c>
      <c r="D22" s="68" t="inlineStr">
        <is>
          <t>Headwater (10 km2 and under)</t>
        </is>
      </c>
      <c r="E22" s="68" t="n">
        <v>5</v>
      </c>
      <c r="F22" s="68" t="inlineStr">
        <is>
          <t>197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2" s="68" t="n">
        <v>0</v>
      </c>
      <c r="H22" s="68" t="n">
        <v>36.95569283621652</v>
      </c>
      <c r="I22" s="68" t="n">
        <v>86.22994995117188</v>
      </c>
      <c r="J22" s="68" t="n">
        <v>97.99465179443359</v>
      </c>
      <c r="K22" s="68" t="n">
        <v>100</v>
      </c>
      <c r="L22" s="68" t="n">
        <v>100</v>
      </c>
      <c r="M22" s="68" t="n">
        <v>100</v>
      </c>
      <c r="N22" s="68" t="n">
        <v>100</v>
      </c>
      <c r="O22" s="68" t="n">
        <v>0</v>
      </c>
      <c r="P22" s="68" t="n">
        <v>0.3</v>
      </c>
      <c r="Q22" s="68" t="n">
        <v>0.7</v>
      </c>
      <c r="R22" s="68" t="n">
        <v>1</v>
      </c>
      <c r="S22" s="68" t="n">
        <v>1</v>
      </c>
      <c r="T22" s="68" t="n">
        <v>1</v>
      </c>
      <c r="U22" s="68" t="n">
        <v>1</v>
      </c>
      <c r="V22" s="68" t="n">
        <v>1</v>
      </c>
    </row>
    <row r="23">
      <c r="A23" s="68" t="inlineStr">
        <is>
          <t>spring_phab_xcdenmid|Small stream (10 to 100 km2)</t>
        </is>
      </c>
      <c r="B23" s="68" t="inlineStr">
        <is>
          <t>spring-phab-xcdenmid</t>
        </is>
      </c>
      <c r="C23" s="68" t="inlineStr">
        <is>
          <t>Canopy density, mid-channel</t>
        </is>
      </c>
      <c r="D23" s="68" t="inlineStr">
        <is>
          <t>Small stream (10 to 100 km2)</t>
        </is>
      </c>
      <c r="E23" s="68" t="n">
        <v>5</v>
      </c>
      <c r="F23" s="68" t="inlineStr">
        <is>
          <t>197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8" t="n">
        <v>0</v>
      </c>
      <c r="H23" s="68" t="n">
        <v>31.16883087158203</v>
      </c>
      <c r="I23" s="68" t="n">
        <v>72.72727203369141</v>
      </c>
      <c r="J23" s="68" t="n">
        <v>93.85026550292969</v>
      </c>
      <c r="K23" s="68" t="n">
        <v>100</v>
      </c>
      <c r="L23" s="68" t="n">
        <v>100</v>
      </c>
      <c r="M23" s="68" t="n">
        <v>100</v>
      </c>
      <c r="N23" s="68" t="n">
        <v>100</v>
      </c>
      <c r="O23" s="68" t="n">
        <v>0</v>
      </c>
      <c r="P23" s="68" t="n">
        <v>0.3</v>
      </c>
      <c r="Q23" s="68" t="n">
        <v>0.7</v>
      </c>
      <c r="R23" s="68" t="n">
        <v>1</v>
      </c>
      <c r="S23" s="68" t="n">
        <v>1</v>
      </c>
      <c r="T23" s="68" t="n">
        <v>1</v>
      </c>
      <c r="U23" s="68" t="n">
        <v>1</v>
      </c>
      <c r="V23" s="68" t="n">
        <v>1</v>
      </c>
    </row>
    <row r="24">
      <c r="A24" s="68" t="inlineStr">
        <is>
          <t>spring_phab_xcdenmid|Large stream (over 100 km2)</t>
        </is>
      </c>
      <c r="B24" s="68" t="inlineStr">
        <is>
          <t>spring-phab-xcdenmid</t>
        </is>
      </c>
      <c r="C24" s="68" t="inlineStr">
        <is>
          <t>Canopy density, mid-channel</t>
        </is>
      </c>
      <c r="D24" s="68" t="inlineStr">
        <is>
          <t>Large stream (over 100 km2)</t>
        </is>
      </c>
      <c r="E24" s="68" t="n">
        <v>5</v>
      </c>
      <c r="F24" s="68" t="inlineStr">
        <is>
          <t>197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4" s="68" t="n">
        <v>0</v>
      </c>
      <c r="H24" s="68" t="n">
        <v>11.57372065952846</v>
      </c>
      <c r="I24" s="68" t="n">
        <v>27.00534820556641</v>
      </c>
      <c r="J24" s="68" t="n">
        <v>81.81818389892578</v>
      </c>
      <c r="K24" s="68" t="n">
        <v>100</v>
      </c>
      <c r="L24" s="68" t="n">
        <v>100</v>
      </c>
      <c r="M24" s="68" t="n">
        <v>100</v>
      </c>
      <c r="N24" s="68" t="n">
        <v>100</v>
      </c>
      <c r="O24" s="68" t="n">
        <v>0</v>
      </c>
      <c r="P24" s="68" t="n">
        <v>0.3</v>
      </c>
      <c r="Q24" s="68" t="n">
        <v>0.7</v>
      </c>
      <c r="R24" s="68" t="n">
        <v>1</v>
      </c>
      <c r="S24" s="68" t="n">
        <v>1</v>
      </c>
      <c r="T24" s="68" t="n">
        <v>1</v>
      </c>
      <c r="U24" s="68" t="n">
        <v>1</v>
      </c>
      <c r="V24" s="68" t="n">
        <v>1</v>
      </c>
    </row>
    <row r="25">
      <c r="A25" s="68" t="inlineStr">
        <is>
          <t>spring_phab_xcmgw|</t>
        </is>
      </c>
      <c r="B25" s="68" t="inlineStr">
        <is>
          <t>spring-phab-xcmgw</t>
        </is>
      </c>
      <c r="C25" s="68" t="inlineStr">
        <is>
          <t>Riparian veg cover, woody</t>
        </is>
      </c>
      <c r="D25" s="68" t="inlineStr"/>
      <c r="E25" s="68" t="n">
        <v>5</v>
      </c>
      <c r="F25" s="68" t="inlineStr">
        <is>
          <t>11 least-disturbed stations of this ecoregion</t>
        </is>
      </c>
      <c r="G25" s="68" t="n">
        <v>0</v>
      </c>
      <c r="H25" s="68" t="n">
        <v>0.3187500025544848</v>
      </c>
      <c r="I25" s="68" t="n">
        <v>0.7437500059604645</v>
      </c>
      <c r="J25" s="68" t="n">
        <v>1.761931836605072</v>
      </c>
      <c r="K25" s="68" t="n">
        <v>2.271022751927376</v>
      </c>
      <c r="L25" s="68" t="n">
        <v>2.271022751927376</v>
      </c>
      <c r="M25" s="68" t="n">
        <v>2.271022751927376</v>
      </c>
      <c r="N25" s="68" t="n">
        <v>2.271022751927376</v>
      </c>
      <c r="O25" s="68" t="n">
        <v>0</v>
      </c>
      <c r="P25" s="68" t="n">
        <v>0.3</v>
      </c>
      <c r="Q25" s="68" t="n">
        <v>0.7</v>
      </c>
      <c r="R25" s="68" t="n">
        <v>1</v>
      </c>
      <c r="S25" s="68" t="n">
        <v>1</v>
      </c>
      <c r="T25" s="68" t="n">
        <v>1</v>
      </c>
      <c r="U25" s="68" t="n">
        <v>1</v>
      </c>
      <c r="V25" s="68" t="n">
        <v>1</v>
      </c>
    </row>
    <row r="26">
      <c r="A26" s="68" t="inlineStr">
        <is>
          <t>spring_chem_ntl|</t>
        </is>
      </c>
      <c r="B26" s="68" t="inlineStr">
        <is>
          <t>spring-chem-ntl</t>
        </is>
      </c>
      <c r="C26" s="68" t="inlineStr">
        <is>
          <t>Total nitrogen</t>
        </is>
      </c>
      <c r="D26" s="68" t="inlineStr"/>
      <c r="E26" s="68" t="n">
        <v>5</v>
      </c>
      <c r="F26" s="68" t="inlineStr">
        <is>
          <t>11 least-disturbed stations of this ecoregion</t>
        </is>
      </c>
      <c r="G26" s="68" t="n">
        <v>0.3522500097751617</v>
      </c>
      <c r="H26" s="68" t="n">
        <v>0.5929999947547913</v>
      </c>
      <c r="I26" s="68" t="n">
        <v>1.07449996471405</v>
      </c>
      <c r="J26" s="68" t="n">
        <v>1.796749919652939</v>
      </c>
      <c r="K26" s="68" t="n">
        <v>2.278249889612198</v>
      </c>
      <c r="L26" s="68" t="n">
        <v>2.278249889612198</v>
      </c>
      <c r="M26" s="68" t="n">
        <v>2.278249889612198</v>
      </c>
      <c r="N26" s="68" t="n">
        <v>2.278249889612198</v>
      </c>
      <c r="O26" s="68" t="n">
        <v>1</v>
      </c>
      <c r="P26" s="68" t="n">
        <v>1</v>
      </c>
      <c r="Q26" s="68" t="n">
        <v>0.7</v>
      </c>
      <c r="R26" s="68" t="n">
        <v>0.3</v>
      </c>
      <c r="S26" s="68" t="n">
        <v>0</v>
      </c>
      <c r="T26" s="68" t="n">
        <v>0</v>
      </c>
      <c r="U26" s="68" t="n">
        <v>0</v>
      </c>
      <c r="V26" s="68" t="n">
        <v>0</v>
      </c>
    </row>
    <row r="27">
      <c r="A27" s="68" t="inlineStr">
        <is>
          <t>spring_chem_ptl|</t>
        </is>
      </c>
      <c r="B27" s="68" t="inlineStr">
        <is>
          <t>spring-chem-ptl</t>
        </is>
      </c>
      <c r="C27" s="68" t="inlineStr">
        <is>
          <t>Total phosphorus</t>
        </is>
      </c>
      <c r="D27" s="68" t="inlineStr"/>
      <c r="E27" s="68" t="n">
        <v>4</v>
      </c>
      <c r="F27" s="68" t="inlineStr">
        <is>
          <t>Scored against a published criterion rather than against stations from this ecoregion. The criterion carries its own definition of reference, which need not match this assessment's.</t>
        </is>
      </c>
      <c r="G27" s="68" t="n">
        <v>0</v>
      </c>
      <c r="H27" s="68" t="n">
        <v>55.95</v>
      </c>
      <c r="I27" s="68" t="n">
        <v>103</v>
      </c>
      <c r="J27" s="68" t="n">
        <v>164.165</v>
      </c>
      <c r="K27" s="68" t="n">
        <v>164.165</v>
      </c>
      <c r="L27" s="68" t="n">
        <v>164.165</v>
      </c>
      <c r="M27" s="68" t="n">
        <v>164.165</v>
      </c>
      <c r="N27" s="68" t="n">
        <v>164.165</v>
      </c>
      <c r="O27" s="68" t="n">
        <v>1</v>
      </c>
      <c r="P27" s="68" t="n">
        <v>0.6899999999999999</v>
      </c>
      <c r="Q27" s="68" t="n">
        <v>0.39</v>
      </c>
      <c r="R27" s="68" t="n">
        <v>0</v>
      </c>
      <c r="S27" s="68" t="n">
        <v>0</v>
      </c>
      <c r="T27" s="68" t="n">
        <v>0</v>
      </c>
      <c r="U27" s="68" t="n">
        <v>0</v>
      </c>
      <c r="V27" s="68" t="n">
        <v>0</v>
      </c>
    </row>
    <row r="28">
      <c r="A28" s="68" t="inlineStr">
        <is>
          <t>spring_chem_ph|</t>
        </is>
      </c>
      <c r="B28" s="68" t="inlineStr">
        <is>
          <t>spring-chem-ph</t>
        </is>
      </c>
      <c r="C28" s="68" t="inlineStr">
        <is>
          <t>pH</t>
        </is>
      </c>
      <c r="D28" s="68" t="inlineStr"/>
      <c r="E28" s="68" t="n">
        <v>8</v>
      </c>
      <c r="F28" s="68" t="inlineStr">
        <is>
          <t>24 least-disturbed stations borrowed from Level II ecoregion 8.5 (Mississippi Alluvial And Southeast Usa Coastal Plains) under the regional screen (agriculture at most 25 percent), transfer risk low</t>
        </is>
      </c>
      <c r="G28" s="68" t="n">
        <v>0</v>
      </c>
      <c r="H28" s="68" t="n">
        <v>1.982500433921814</v>
      </c>
      <c r="I28" s="68" t="n">
        <v>3.638375288248062</v>
      </c>
      <c r="J28" s="68" t="n">
        <v>4.53000020980835</v>
      </c>
      <c r="K28" s="68" t="n">
        <v>7.077499985694885</v>
      </c>
      <c r="L28" s="68" t="n">
        <v>7.969124907255173</v>
      </c>
      <c r="M28" s="68" t="n">
        <v>9.624999761581421</v>
      </c>
      <c r="N28" s="68" t="n">
        <v>12.17249953746796</v>
      </c>
      <c r="O28" s="68" t="n">
        <v>0</v>
      </c>
      <c r="P28" s="68" t="n">
        <v>0.3</v>
      </c>
      <c r="Q28" s="68" t="n">
        <v>0.7</v>
      </c>
      <c r="R28" s="68" t="n">
        <v>1</v>
      </c>
      <c r="S28" s="68" t="n">
        <v>1</v>
      </c>
      <c r="T28" s="68" t="n">
        <v>0.7</v>
      </c>
      <c r="U28" s="68" t="n">
        <v>0.3</v>
      </c>
      <c r="V28" s="68" t="n">
        <v>0</v>
      </c>
    </row>
    <row r="29">
      <c r="A29" s="68" t="inlineStr">
        <is>
          <t>spring_chem_turb|</t>
        </is>
      </c>
      <c r="B29" s="68" t="inlineStr">
        <is>
          <t>spring-chem-turb</t>
        </is>
      </c>
      <c r="C29" s="68" t="inlineStr">
        <is>
          <t>Turbidity</t>
        </is>
      </c>
      <c r="D29" s="68" t="inlineStr"/>
      <c r="E29" s="68" t="n">
        <v>5</v>
      </c>
      <c r="F29" s="68" t="inlineStr">
        <is>
          <t>11 least-disturbed stations of this ecoregion</t>
        </is>
      </c>
      <c r="G29" s="68" t="n">
        <v>0.4225000739097595</v>
      </c>
      <c r="H29" s="68" t="n">
        <v>2.800000071525574</v>
      </c>
      <c r="I29" s="68" t="n">
        <v>7.555000066757202</v>
      </c>
      <c r="J29" s="68" t="n">
        <v>14.68750005960464</v>
      </c>
      <c r="K29" s="68" t="n">
        <v>19.44250005483627</v>
      </c>
      <c r="L29" s="68" t="n">
        <v>19.44250005483627</v>
      </c>
      <c r="M29" s="68" t="n">
        <v>19.44250005483627</v>
      </c>
      <c r="N29" s="68" t="n">
        <v>19.44250005483627</v>
      </c>
      <c r="O29" s="68" t="n">
        <v>1</v>
      </c>
      <c r="P29" s="68" t="n">
        <v>1</v>
      </c>
      <c r="Q29" s="68" t="n">
        <v>0.7</v>
      </c>
      <c r="R29" s="68" t="n">
        <v>0.3</v>
      </c>
      <c r="S29" s="68" t="n">
        <v>0</v>
      </c>
      <c r="T29" s="68" t="n">
        <v>0</v>
      </c>
      <c r="U29" s="68" t="n">
        <v>0</v>
      </c>
      <c r="V29" s="68" t="n">
        <v>0</v>
      </c>
    </row>
    <row r="30">
      <c r="A30" s="68" t="inlineStr">
        <is>
          <t>spring_phab_xfc_nat|</t>
        </is>
      </c>
      <c r="B30" s="68" t="inlineStr">
        <is>
          <t>spring-phab-xfc-nat</t>
        </is>
      </c>
      <c r="C30" s="68" t="inlineStr">
        <is>
          <t>Natural fish cover</t>
        </is>
      </c>
      <c r="D30" s="68" t="inlineStr"/>
      <c r="E30" s="68" t="n">
        <v>5</v>
      </c>
      <c r="F30" s="68" t="inlineStr">
        <is>
          <t>25 least-disturbed stations borrowed from Level II ecoregion 8.5 (Mississippi Alluvial And Southeast Usa Coastal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0" s="68" t="n">
        <v>0</v>
      </c>
      <c r="H30" s="68" t="n">
        <v>0.09545454382896423</v>
      </c>
      <c r="I30" s="68" t="n">
        <v>0.2227272689342499</v>
      </c>
      <c r="J30" s="68" t="n">
        <v>0.5909090638160706</v>
      </c>
      <c r="K30" s="68" t="n">
        <v>0.7749999612569809</v>
      </c>
      <c r="L30" s="68" t="n">
        <v>0.7749999612569809</v>
      </c>
      <c r="M30" s="68" t="n">
        <v>0.7749999612569809</v>
      </c>
      <c r="N30" s="68" t="n">
        <v>0.7749999612569809</v>
      </c>
      <c r="O30" s="68" t="n">
        <v>0</v>
      </c>
      <c r="P30" s="68" t="n">
        <v>0.3</v>
      </c>
      <c r="Q30" s="68" t="n">
        <v>0.7</v>
      </c>
      <c r="R30" s="68" t="n">
        <v>1</v>
      </c>
      <c r="S30" s="68" t="n">
        <v>1</v>
      </c>
      <c r="T30" s="68" t="n">
        <v>1</v>
      </c>
      <c r="U30" s="68" t="n">
        <v>1</v>
      </c>
      <c r="V30" s="68" t="n">
        <v>1</v>
      </c>
    </row>
    <row r="31">
      <c r="A31" s="68" t="inlineStr">
        <is>
          <t>spring_bent_totlntax|</t>
        </is>
      </c>
      <c r="B31" s="68" t="inlineStr">
        <is>
          <t>spring-bent-totlntax</t>
        </is>
      </c>
      <c r="C31" s="68" t="inlineStr">
        <is>
          <t>Benthic total taxa richness</t>
        </is>
      </c>
      <c r="D31" s="68" t="inlineStr"/>
      <c r="E31" s="68" t="n">
        <v>5</v>
      </c>
      <c r="F31" s="68" t="inlineStr">
        <is>
          <t>11 least-disturbed stations of this ecoregion</t>
        </is>
      </c>
      <c r="G31" s="68" t="n">
        <v>0</v>
      </c>
      <c r="H31" s="68" t="n">
        <v>9</v>
      </c>
      <c r="I31" s="68" t="n">
        <v>21</v>
      </c>
      <c r="J31" s="68" t="n">
        <v>28.5</v>
      </c>
      <c r="K31" s="68" t="n">
        <v>32.25</v>
      </c>
      <c r="L31" s="68" t="n">
        <v>32.25</v>
      </c>
      <c r="M31" s="68" t="n">
        <v>32.25</v>
      </c>
      <c r="N31" s="68" t="n">
        <v>32.25</v>
      </c>
      <c r="O31" s="68" t="n">
        <v>0</v>
      </c>
      <c r="P31" s="68" t="n">
        <v>0.3</v>
      </c>
      <c r="Q31" s="68" t="n">
        <v>0.7</v>
      </c>
      <c r="R31" s="68" t="n">
        <v>1</v>
      </c>
      <c r="S31" s="68" t="n">
        <v>1</v>
      </c>
      <c r="T31" s="68" t="n">
        <v>1</v>
      </c>
      <c r="U31" s="68" t="n">
        <v>1</v>
      </c>
      <c r="V31" s="68" t="n">
        <v>1</v>
      </c>
    </row>
    <row r="32">
      <c r="A32" s="68" t="inlineStr">
        <is>
          <t>spring_fish_nat_totlntax|</t>
        </is>
      </c>
      <c r="B32" s="68" t="inlineStr">
        <is>
          <t>spring-fish-nat-totlntax</t>
        </is>
      </c>
      <c r="C32" s="68" t="inlineStr">
        <is>
          <t>Native fish taxa richness</t>
        </is>
      </c>
      <c r="D32" s="68" t="inlineStr"/>
      <c r="E32" s="68" t="n">
        <v>5</v>
      </c>
      <c r="F32" s="68" t="inlineStr">
        <is>
          <t>50 least-disturbed stations borrowed from NARS-9 region CPL under the regional screen (agriculture at most 25 percent), transfer risk moderate</t>
        </is>
      </c>
      <c r="G32" s="68" t="n">
        <v>0</v>
      </c>
      <c r="H32" s="68" t="n">
        <v>3.535714285714286</v>
      </c>
      <c r="I32" s="68" t="n">
        <v>8.25</v>
      </c>
      <c r="J32" s="68" t="n">
        <v>15</v>
      </c>
      <c r="K32" s="68" t="n">
        <v>18.375</v>
      </c>
      <c r="L32" s="68" t="n">
        <v>18.375</v>
      </c>
      <c r="M32" s="68" t="n">
        <v>18.375</v>
      </c>
      <c r="N32" s="68" t="n">
        <v>18.375</v>
      </c>
      <c r="O32" s="68" t="n">
        <v>0</v>
      </c>
      <c r="P32" s="68" t="n">
        <v>0.3</v>
      </c>
      <c r="Q32" s="68" t="n">
        <v>0.7</v>
      </c>
      <c r="R32" s="68" t="n">
        <v>1</v>
      </c>
      <c r="S32" s="68" t="n">
        <v>1</v>
      </c>
      <c r="T32" s="68" t="n">
        <v>1</v>
      </c>
      <c r="U32" s="68" t="n">
        <v>1</v>
      </c>
      <c r="V32" s="68" t="n">
        <v>1</v>
      </c>
    </row>
    <row r="33">
      <c r="A33" s="68" t="inlineStr">
        <is>
          <t>spring_bent_hprime|</t>
        </is>
      </c>
      <c r="B33" s="68" t="inlineStr">
        <is>
          <t>spring-bent-hprime</t>
        </is>
      </c>
      <c r="C33" s="68" t="inlineStr">
        <is>
          <t>Shannon diversity (H')</t>
        </is>
      </c>
      <c r="D33" s="68" t="inlineStr"/>
      <c r="E33" s="68" t="n">
        <v>5</v>
      </c>
      <c r="F33" s="68" t="inlineStr">
        <is>
          <t>23 least-disturbed stations borrowed from Level II ecoregion 8.5 (Mississippi Alluvial And Southeast Usa Coastal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33" s="68" t="n">
        <v>0</v>
      </c>
      <c r="H33" s="68" t="n">
        <v>0.9685714244842529</v>
      </c>
      <c r="I33" s="68" t="n">
        <v>2.259999990463257</v>
      </c>
      <c r="J33" s="68" t="n">
        <v>2.690000057220459</v>
      </c>
      <c r="K33" s="68" t="n">
        <v>2.90500009059906</v>
      </c>
      <c r="L33" s="68" t="n">
        <v>2.90500009059906</v>
      </c>
      <c r="M33" s="68" t="n">
        <v>2.90500009059906</v>
      </c>
      <c r="N33" s="68" t="n">
        <v>2.90500009059906</v>
      </c>
      <c r="O33" s="68" t="n">
        <v>0</v>
      </c>
      <c r="P33" s="68" t="n">
        <v>0.3</v>
      </c>
      <c r="Q33" s="68" t="n">
        <v>0.7</v>
      </c>
      <c r="R33" s="68" t="n">
        <v>1</v>
      </c>
      <c r="S33" s="68" t="n">
        <v>1</v>
      </c>
      <c r="T33" s="68" t="n">
        <v>1</v>
      </c>
      <c r="U33" s="68" t="n">
        <v>1</v>
      </c>
      <c r="V33" s="68" t="n">
        <v>1</v>
      </c>
    </row>
    <row r="34">
      <c r="A34" s="68" t="inlineStr">
        <is>
          <t>spring_bent_mmi_bent|</t>
        </is>
      </c>
      <c r="B34" s="68" t="inlineStr">
        <is>
          <t>spring-bent-mmi-bent</t>
        </is>
      </c>
      <c r="C34" s="68" t="inlineStr">
        <is>
          <t>Benthic macroinvertebrate MMI</t>
        </is>
      </c>
      <c r="D34" s="68" t="inlineStr"/>
      <c r="E34" s="68" t="n">
        <v>4</v>
      </c>
      <c r="F34" s="68" t="inlineStr">
        <is>
          <t>Scored against a published criterion rather than against stations from this ecoregion. The criterion carries its own definition of reference, which need not match this assessment's.</t>
        </is>
      </c>
      <c r="G34" s="68" t="n">
        <v>22.235</v>
      </c>
      <c r="H34" s="68" t="n">
        <v>40.695</v>
      </c>
      <c r="I34" s="68" t="n">
        <v>54.895</v>
      </c>
      <c r="J34" s="68" t="n">
        <v>69.568333</v>
      </c>
      <c r="K34" s="68" t="n">
        <v>69.568333</v>
      </c>
      <c r="L34" s="68" t="n">
        <v>69.568333</v>
      </c>
      <c r="M34" s="68" t="n">
        <v>69.568333</v>
      </c>
      <c r="N34" s="68" t="n">
        <v>69.568333</v>
      </c>
      <c r="O34" s="68" t="n">
        <v>0</v>
      </c>
      <c r="P34" s="68" t="n">
        <v>0.39</v>
      </c>
      <c r="Q34" s="68" t="n">
        <v>0.6899999999999999</v>
      </c>
      <c r="R34" s="68" t="n">
        <v>1</v>
      </c>
      <c r="S34" s="68" t="n">
        <v>1</v>
      </c>
      <c r="T34" s="68" t="n">
        <v>1</v>
      </c>
      <c r="U34" s="68" t="n">
        <v>1</v>
      </c>
      <c r="V34" s="68" t="n">
        <v>1</v>
      </c>
    </row>
    <row r="35">
      <c r="A35" s="68" t="inlineStr">
        <is>
          <t>spring_nid_dams_1mi|</t>
        </is>
      </c>
      <c r="B35" s="68" t="inlineStr">
        <is>
          <t>spring-nid-dams-1mi</t>
        </is>
      </c>
      <c r="C35" s="68" t="inlineStr">
        <is>
          <t>Mapped dams within one mile</t>
        </is>
      </c>
      <c r="D35" s="68" t="inlineStr"/>
      <c r="E35" s="68" t="n">
        <v>4</v>
      </c>
      <c r="F35" s="68" t="inlineStr">
        <is>
          <t>Fixed criteria, the same in every region</t>
        </is>
      </c>
      <c r="G35" s="68" t="n">
        <v>0</v>
      </c>
      <c r="H35" s="68" t="n">
        <v>1</v>
      </c>
      <c r="I35" s="68" t="n">
        <v>2</v>
      </c>
      <c r="J35" s="68" t="n">
        <v>3</v>
      </c>
      <c r="K35" s="68" t="n">
        <v>3</v>
      </c>
      <c r="L35" s="68" t="n">
        <v>3</v>
      </c>
      <c r="M35" s="68" t="n">
        <v>3</v>
      </c>
      <c r="N35" s="68" t="n">
        <v>3</v>
      </c>
      <c r="O35" s="68" t="n">
        <v>1</v>
      </c>
      <c r="P35" s="68" t="n">
        <v>0.545</v>
      </c>
      <c r="Q35" s="68" t="n">
        <v>0.195</v>
      </c>
      <c r="R35" s="68" t="n">
        <v>0</v>
      </c>
      <c r="S35" s="68" t="n">
        <v>0</v>
      </c>
      <c r="T35" s="68" t="n">
        <v>0</v>
      </c>
      <c r="U35" s="68" t="n">
        <v>0</v>
      </c>
      <c r="V35" s="68" t="n">
        <v>0</v>
      </c>
    </row>
    <row r="38">
      <c r="A38" s="57" t="inlineStr">
        <is>
          <t>Curve sets by metric</t>
        </is>
      </c>
    </row>
    <row r="39">
      <c r="A39" s="68" t="inlineStr">
        <is>
          <t>All streams (pooled)</t>
        </is>
      </c>
      <c r="B39" s="5" t="inlineStr">
        <is>
          <t>Canopy density, mid-channel</t>
        </is>
      </c>
    </row>
    <row r="40">
      <c r="A40" s="68" t="inlineStr">
        <is>
          <t>Headwater (10 km2 and under)</t>
        </is>
      </c>
      <c r="B40" s="5" t="inlineStr">
        <is>
          <t>Canopy density, mid-channel</t>
        </is>
      </c>
    </row>
    <row r="41">
      <c r="A41" s="68" t="inlineStr">
        <is>
          <t>Small stream (10 to 100 km2)</t>
        </is>
      </c>
      <c r="B41" s="5" t="inlineStr">
        <is>
          <t>Canopy density, mid-channel</t>
        </is>
      </c>
    </row>
    <row r="42">
      <c r="A42" s="68" t="inlineStr">
        <is>
          <t>Large stream (over 100 km2)</t>
        </is>
      </c>
      <c r="B42" s="5" t="inlineStr">
        <is>
          <t>Canopy density, mid-channel</t>
        </is>
      </c>
    </row>
    <row r="45">
      <c r="A45" s="57" t="inlineStr">
        <is>
          <t>Condition classes</t>
        </is>
      </c>
    </row>
    <row r="46">
      <c r="A46" t="inlineStr">
        <is>
          <t>Metric index: at or below 0.39 Non-Functioning, at or below 0.69 Functioning At-Risk, above Functioning.</t>
        </is>
      </c>
    </row>
    <row r="47">
      <c r="A47" t="inlineStr">
        <is>
          <t>Function score (0 to 15): at or below 5 Non-Functioning, at or below 10 Functioning At-Risk, above Functioning.</t>
        </is>
      </c>
    </row>
    <row r="48">
      <c r="A48"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southern-coastal-plain</t>
        </is>
      </c>
    </row>
    <row r="5">
      <c r="A5" s="68" t="inlineStr">
        <is>
          <t>Assessment name</t>
        </is>
      </c>
      <c r="B5" s="68" t="inlineStr">
        <is>
          <t>Southern Coastal Plain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sha256:82ddc4b7db486f58ea8a429fbe185553877029b158b451b34bb45dd1827aa0dd</t>
        </is>
      </c>
    </row>
    <row r="9">
      <c r="A9" s="68" t="inlineStr">
        <is>
          <t>Region</t>
        </is>
      </c>
      <c r="B9" s="68" t="inlineStr">
        <is>
          <t>ecoregion 75 Southern Coastal Plain</t>
        </is>
      </c>
    </row>
    <row r="10">
      <c r="A10" s="68" t="inlineStr">
        <is>
          <t>Source</t>
        </is>
      </c>
      <c r="B10" s="68" t="inlineStr">
        <is>
          <t>USEPA NRSA 2013-24 (L3 ecoregion 75),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28</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2026-09-30T07:04:16Z</dcterms:created>
  <dcterms:modified xmlns:dcterms="http://purl.org/dc/terms/" xmlns:xsi="http://www.w3.org/2001/XMLSchema-instance" xsi:type="dcterms:W3CDTF">2026-09-30T07:04:16Z</dcterms:modified>
  <cp:lastModifiedBy>DEEP</cp:lastModifiedBy>
  <cp:contentStatus>Draft</cp:contentStatus>
</cp:coreProperties>
</file>