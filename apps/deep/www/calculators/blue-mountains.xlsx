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'Reference'!$A$5:$A$45</definedName>
    <definedName name="curve_x1">'Reference'!$G$5:$G$45</definedName>
    <definedName name="curve_y1">'Reference'!$O$5:$O$45</definedName>
    <definedName name="curve_x2">'Reference'!$H$5:$H$45</definedName>
    <definedName name="curve_y2">'Reference'!$P$5:$P$45</definedName>
    <definedName name="curve_x3">'Reference'!$I$5:$I$45</definedName>
    <definedName name="curve_y3">'Reference'!$Q$5:$Q$45</definedName>
    <definedName name="curve_x4">'Reference'!$J$5:$J$45</definedName>
    <definedName name="curve_y4">'Reference'!$R$5:$R$45</definedName>
    <definedName name="curve_x5">'Reference'!$K$5:$K$45</definedName>
    <definedName name="curve_y5">'Reference'!$S$5:$S$45</definedName>
    <definedName name="curve_x6">'Reference'!$L$5:$L$45</definedName>
    <definedName name="curve_y6">'Reference'!$T$5:$T$45</definedName>
    <definedName name="curve_x7">'Reference'!$M$5:$M$45</definedName>
    <definedName name="curve_y7">'Reference'!$U$5:$U$45</definedName>
    <definedName name="curve_x8">'Reference'!$N$5:$N$45</definedName>
    <definedName name="curve_y8">'Reference'!$V$5:$V$45</definedName>
    <definedName name="strata_spring_pctwet2019ws">'Reference'!$A$49:$A$51</definedName>
    <definedName name="strata_spring_phab_bfwd_rat">'Reference'!$A$52:$A$55</definedName>
    <definedName name="strata_spring_phab_lrbs_use">'Reference'!$A$56:$A$59</definedName>
    <definedName name="strata_spring_phab_xcdenmid">'Reference'!$A$60:$A$63</definedName>
    <definedName name="strata_spring_fish_nat_totlntax">'Reference'!$A$64:$A$65</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cond">'Metrics'!$V$25</definedName>
    <definedName name="idx_spring_chem_ph">'Metrics'!$V$26</definedName>
    <definedName name="idx_spring_phab_pct_fast">'Metrics'!$V$27</definedName>
    <definedName name="idx_spring_phab_xfc_nat">'Metrics'!$V$28</definedName>
    <definedName name="idx_spring_fish_nat_totlntax">'Metrics'!$V$29</definedName>
    <definedName name="idx_spring_bent_totlntax">'Metrics'!$V$30</definedName>
    <definedName name="idx_spring_bent_ept_ntax">'Metrics'!$V$31</definedName>
    <definedName name="idx_spring_bent_hprime">'Metrics'!$V$32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st_spring_pctwet2019ws">'DEEP Score'!$F$14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st_spring_phab_bfwd_rat">'DEEP Score'!$F$21</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ph">'DEEP Score'!$E$39</definedName>
    <definedName name="in_spring_phab_pct_fast">'DEEP Score'!$E$40</definedName>
    <definedName name="in_spring_phab_xfc_nat">'DEEP Score'!$E$41</definedName>
    <definedName name="in_spring_fish_nat_totlntax">'DEEP Score'!$E$42</definedName>
    <definedName name="st_spring_fish_nat_totlntax">'DEEP Score'!$F$42</definedName>
    <definedName name="in_spring_bent_totlntax">'DEEP Score'!$E$43</definedName>
    <definedName name="in_spring_bent_ept_ntax">'DEEP Score'!$E$44</definedName>
    <definedName name="in_spring_bent_hprime">'DEEP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4" borderId="12" applyAlignment="1" applyProtection="1" pivotButton="0" quotePrefix="0" xfId="0">
      <alignment horizontal="left" vertical="center" wrapText="1"/>
      <protection locked="0" hidden="0"/>
    </xf>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0" fillId="2" borderId="12" pivotButton="0" quotePrefix="0" xfId="0"/>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Blue Mountains reference assessment</t>
        </is>
      </c>
    </row>
    <row r="4" ht="30" customHeight="1">
      <c r="A4" s="3" t="inlineStr">
        <is>
          <t>This workbook scores one detailed assessment. It carries the assessment's metrics and their reference curves, and it scores exactly as the DEEP web application does.</t>
        </is>
      </c>
    </row>
    <row r="5" ht="165" customHeight="1">
      <c r="A5" s="3" t="inlineStr">
        <is>
          <t>Reference condition. Reference condition is set by a fixed landscape-pressure screen, never by a score. 8 curves are fitted to least-disturbed stations of this ecoregion. 5 curves are fitted to this ecoregion's own streams under the documented regional screen, which relaxes agriculture only. 12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3 carry the published benchmark label: scored against a published criterion rather than against stations from this ecoregion. The criterion carries its own definition of reference, which need not match this assessment's. 6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Blue Mountains reference assessment</t>
        </is>
      </c>
    </row>
    <row r="3">
      <c r="A3" s="4" t="inlineStr">
        <is>
          <t>Version 1 | USEPA NRSA 2013-24 (L3 ecoregion 11),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is>
          <t>All streams (pooled)</t>
        </is>
      </c>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6"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7" t="inlineStr">
        <is>
          <t>Hydraulics</t>
        </is>
      </c>
      <c r="B18" s="11" t="inlineStr">
        <is>
          <t>Low flow and baseflow dynamics</t>
        </is>
      </c>
      <c r="C18" s="12" t="inlineStr">
        <is>
          <t>Base flow index</t>
        </is>
      </c>
      <c r="D18" s="13" t="inlineStr">
        <is>
          <t>%</t>
        </is>
      </c>
      <c r="E18" s="38">
        <f>IF('DEEP Score'!$E$16="","",'DEEP Score'!$E$16)</f>
        <v/>
      </c>
      <c r="F18" s="39" t="inlineStr"/>
      <c r="G18" s="16">
        <f>IF('Metrics'!$V$9="","",'Metrics'!$V$9)</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24" t="inlineStr"/>
      <c r="G19" s="25">
        <f>IF('Metrics'!$V$11="","",'Metrics'!$V$11)</f>
        <v/>
      </c>
      <c r="H19" s="20" t="n"/>
      <c r="I19" s="26" t="n"/>
    </row>
    <row r="20">
      <c r="A20" s="40" t="inlineStr">
        <is>
          <t>Hydraulics</t>
        </is>
      </c>
      <c r="B20" s="28" t="inlineStr">
        <is>
          <t>High flow dynamics</t>
        </is>
      </c>
      <c r="C20" s="29" t="inlineStr">
        <is>
          <t>Impervious surface</t>
        </is>
      </c>
      <c r="D20" s="30" t="inlineStr">
        <is>
          <t>%</t>
        </is>
      </c>
      <c r="E20" s="41">
        <f>IF('DEEP Score'!$E$12="","",'DEEP Score'!$E$12)</f>
        <v/>
      </c>
      <c r="F20" s="42" t="inlineStr"/>
      <c r="G20" s="33">
        <f>IF('Metrics'!$V$5="","",'Metrics'!$V$5)</f>
        <v/>
      </c>
      <c r="H20" s="34">
        <f>IF('Results'!$B$9="","",'Results'!$B$9)</f>
        <v/>
      </c>
      <c r="I20" s="35">
        <f>IF('DEEP Score'!$H$20="","",IF('DEEP Score'!$H$20&lt;=5,"Non-Functioning",IF('DEEP Score'!$H$20&lt;=10,"Functioning At-Risk","Functioning")))</f>
        <v/>
      </c>
    </row>
    <row r="21">
      <c r="A21" s="37" t="inlineStr">
        <is>
          <t>Hydraulics</t>
        </is>
      </c>
      <c r="B21" s="11" t="inlineStr">
        <is>
          <t>Floodplain connectivity</t>
        </is>
      </c>
      <c r="C21" s="12" t="inlineStr">
        <is>
          <t>Bankfull width:depth ratio</t>
        </is>
      </c>
      <c r="D21" s="13" t="inlineStr"/>
      <c r="E21" s="14" t="n"/>
      <c r="F21" s="43" t="inlineStr">
        <is>
          <t>All streams (pooled)</t>
        </is>
      </c>
      <c r="G21" s="16">
        <f>IF('Metrics'!$V$12="","",'Metrics'!$V$12)</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24" t="inlineStr"/>
      <c r="G22" s="25">
        <f>IF('Metrics'!$V$13="","",'Metrics'!$V$13)</f>
        <v/>
      </c>
      <c r="H22" s="20" t="n"/>
      <c r="I22" s="26" t="n"/>
    </row>
    <row r="23">
      <c r="A23" s="37" t="inlineStr">
        <is>
          <t>Hydraulics</t>
        </is>
      </c>
      <c r="B23" s="11" t="inlineStr">
        <is>
          <t>Hyporheic connectivity</t>
        </is>
      </c>
      <c r="C23" s="12" t="inlineStr">
        <is>
          <t>Sand + fines</t>
        </is>
      </c>
      <c r="D23" s="13" t="inlineStr">
        <is>
          <t>%</t>
        </is>
      </c>
      <c r="E23" s="14" t="n"/>
      <c r="F23" s="15" t="inlineStr"/>
      <c r="G23" s="16">
        <f>IF('Metrics'!$V$14="","",'Metrics'!$V$14)</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IF('Metrics'!$V$15="","",'Metrics'!$V$15)</f>
        <v/>
      </c>
      <c r="H24" s="20" t="n"/>
      <c r="I24" s="26" t="n"/>
    </row>
    <row r="25">
      <c r="A25" s="44" t="inlineStr">
        <is>
          <t>Geomorphology</t>
        </is>
      </c>
      <c r="B25" s="11" t="inlineStr">
        <is>
          <t>Channel evolution</t>
        </is>
      </c>
      <c r="C25" s="12" t="inlineStr">
        <is>
          <t>Bankfull width:depth ratio</t>
        </is>
      </c>
      <c r="D25" s="13" t="inlineStr"/>
      <c r="E25" s="38">
        <f>IF('DEEP Score'!$E$21="","",'DEEP Score'!$E$21)</f>
        <v/>
      </c>
      <c r="F25" s="39">
        <f>IF('DEEP Score'!$F$21="","",'DEEP Score'!$F$21)</f>
        <v/>
      </c>
      <c r="G25" s="16">
        <f>IF('Metrics'!$V$12="","",'Metrics'!$V$12)</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5">
        <f>IF('DEEP Score'!$E$22="","",'DEEP Score'!$E$22)</f>
        <v/>
      </c>
      <c r="F26" s="46" t="inlineStr"/>
      <c r="G26" s="25">
        <f>IF('Metrics'!$V$13="","",'Metrics'!$V$13)</f>
        <v/>
      </c>
      <c r="H26" s="20" t="n"/>
      <c r="I26" s="26" t="n"/>
    </row>
    <row r="27">
      <c r="A27" s="44" t="inlineStr">
        <is>
          <t>Geomorphology</t>
        </is>
      </c>
      <c r="B27" s="11" t="inlineStr">
        <is>
          <t>Channel and floodplain dynamics</t>
        </is>
      </c>
      <c r="C27" s="12" t="inlineStr">
        <is>
          <t>Sinuosity</t>
        </is>
      </c>
      <c r="D27" s="13" t="inlineStr"/>
      <c r="E27" s="14" t="n"/>
      <c r="F27" s="15" t="inlineStr"/>
      <c r="G27" s="16">
        <f>IF('Metrics'!$V$16="","",'Metrics'!$V$16)</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IF('Metrics'!$V$17="","",'Metrics'!$V$17)</f>
        <v/>
      </c>
      <c r="H28" s="20" t="n"/>
      <c r="I28" s="26" t="n"/>
    </row>
    <row r="29">
      <c r="A29" s="44" t="inlineStr">
        <is>
          <t>Geomorphology</t>
        </is>
      </c>
      <c r="B29" s="11" t="inlineStr">
        <is>
          <t>Sediment continuity</t>
        </is>
      </c>
      <c r="C29" s="12" t="inlineStr">
        <is>
          <t>Relative bed stability</t>
        </is>
      </c>
      <c r="D29" s="13" t="inlineStr">
        <is>
          <t>log</t>
        </is>
      </c>
      <c r="E29" s="14" t="n"/>
      <c r="F29" s="43" t="inlineStr">
        <is>
          <t>All streams (pooled)</t>
        </is>
      </c>
      <c r="G29" s="16">
        <f>IF('Metrics'!$V$18="","",'Metrics'!$V$18)</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5">
        <f>IF('DEEP Score'!$E$23="","",'DEEP Score'!$E$23)</f>
        <v/>
      </c>
      <c r="F30" s="46" t="inlineStr"/>
      <c r="G30" s="25">
        <f>IF('Metrics'!$V$14="","",'Metrics'!$V$14)</f>
        <v/>
      </c>
      <c r="H30" s="20" t="n"/>
      <c r="I30" s="26" t="n"/>
    </row>
    <row r="31">
      <c r="A31" s="44" t="inlineStr">
        <is>
          <t>Geomorphology</t>
        </is>
      </c>
      <c r="B31" s="11" t="inlineStr">
        <is>
          <t>Bed composition and bedform dynamics</t>
        </is>
      </c>
      <c r="C31" s="12" t="inlineStr">
        <is>
          <t>Substrate size</t>
        </is>
      </c>
      <c r="D31" s="13" t="inlineStr">
        <is>
          <t>log mm</t>
        </is>
      </c>
      <c r="E31" s="14" t="n"/>
      <c r="F31" s="15" t="inlineStr"/>
      <c r="G31" s="16">
        <f>IF('Metrics'!$V$19="","",'Metrics'!$V$19)</f>
        <v/>
      </c>
      <c r="H31" s="17">
        <f>IF('Results'!$B$15="","",'Results'!$B$15)</f>
        <v/>
      </c>
      <c r="I31" s="18">
        <f>IF('DEEP Score'!$H$31="","",IF('DEEP Score'!$H$31&lt;=5,"Non-Functioning",IF('DEEP Score'!$H$31&lt;=10,"Functioning At-Risk","Functioning")))</f>
        <v/>
      </c>
    </row>
    <row r="32">
      <c r="A32" s="19" t="n"/>
      <c r="B32" s="20" t="n"/>
      <c r="C32" s="21" t="inlineStr">
        <is>
          <t>Embeddedness</t>
        </is>
      </c>
      <c r="D32" s="22" t="inlineStr">
        <is>
          <t>%</t>
        </is>
      </c>
      <c r="E32" s="45">
        <f>IF('DEEP Score'!$E$24="","",'DEEP Score'!$E$24)</f>
        <v/>
      </c>
      <c r="F32" s="46" t="inlineStr"/>
      <c r="G32" s="25">
        <f>IF('Metrics'!$V$15="","",'Metrics'!$V$15)</f>
        <v/>
      </c>
      <c r="H32" s="20" t="n"/>
      <c r="I32" s="26" t="n"/>
    </row>
    <row r="33">
      <c r="A33" s="47" t="inlineStr">
        <is>
          <t>Physicochemistry</t>
        </is>
      </c>
      <c r="B33" s="11" t="inlineStr">
        <is>
          <t>Light &amp; thermal regime</t>
        </is>
      </c>
      <c r="C33" s="12" t="inlineStr">
        <is>
          <t>Chlorophyll a</t>
        </is>
      </c>
      <c r="D33" s="13" t="inlineStr">
        <is>
          <t>ug/L</t>
        </is>
      </c>
      <c r="E33" s="14" t="n"/>
      <c r="F33" s="15" t="inlineStr"/>
      <c r="G33" s="16">
        <f>IF('Metrics'!$V$20="","",'Metrics'!$V$20)</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48" t="inlineStr">
        <is>
          <t>All streams (pooled)</t>
        </is>
      </c>
      <c r="G34" s="25">
        <f>IF('Metrics'!$V$21="","",'Metrics'!$V$21)</f>
        <v/>
      </c>
      <c r="H34" s="20" t="n"/>
      <c r="I34" s="26" t="n"/>
    </row>
    <row r="35">
      <c r="A35" s="49" t="inlineStr">
        <is>
          <t>Physicochemistry</t>
        </is>
      </c>
      <c r="B35" s="28" t="inlineStr">
        <is>
          <t>Carbon processing</t>
        </is>
      </c>
      <c r="C35" s="29" t="inlineStr">
        <is>
          <t>Riparian veg cover, woody</t>
        </is>
      </c>
      <c r="D35" s="30" t="inlineStr">
        <is>
          <t>frac</t>
        </is>
      </c>
      <c r="E35" s="31" t="n"/>
      <c r="F35" s="36" t="inlineStr"/>
      <c r="G35" s="33">
        <f>IF('Metrics'!$V$22="","",'Metrics'!$V$22)</f>
        <v/>
      </c>
      <c r="H35" s="34">
        <f>IF('Results'!$B$17="","",'Results'!$B$17)</f>
        <v/>
      </c>
      <c r="I35" s="35">
        <f>IF('DEEP Score'!$H$35="","",IF('DEEP Score'!$H$35&lt;=5,"Non-Functioning",IF('DEEP Score'!$H$35&lt;=10,"Functioning At-Risk","Functioning")))</f>
        <v/>
      </c>
    </row>
    <row r="36">
      <c r="A36" s="47" t="inlineStr">
        <is>
          <t>Physicochemistry</t>
        </is>
      </c>
      <c r="B36" s="11" t="inlineStr">
        <is>
          <t>Nutrient cycling</t>
        </is>
      </c>
      <c r="C36" s="12" t="inlineStr">
        <is>
          <t>Total nitrogen</t>
        </is>
      </c>
      <c r="D36" s="13" t="inlineStr">
        <is>
          <t>mg N/L</t>
        </is>
      </c>
      <c r="E36" s="14" t="n"/>
      <c r="F36" s="15" t="inlineStr"/>
      <c r="G36" s="16">
        <f>IF('Metrics'!$V$23="","",'Metrics'!$V$23)</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IF('Metrics'!$V$24="","",'Metrics'!$V$24)</f>
        <v/>
      </c>
      <c r="H37" s="20" t="n"/>
      <c r="I37" s="26" t="n"/>
    </row>
    <row r="38">
      <c r="A38" s="47" t="inlineStr">
        <is>
          <t>Physicochemistry</t>
        </is>
      </c>
      <c r="B38" s="11" t="inlineStr">
        <is>
          <t>Water &amp; soil quality</t>
        </is>
      </c>
      <c r="C38" s="12" t="inlineStr">
        <is>
          <t>Specific conductivity</t>
        </is>
      </c>
      <c r="D38" s="13" t="inlineStr">
        <is>
          <t>uS/cm</t>
        </is>
      </c>
      <c r="E38" s="14" t="n"/>
      <c r="F38" s="15" t="inlineStr"/>
      <c r="G38" s="16">
        <f>IF('Metrics'!$V$25="","",'Metrics'!$V$25)</f>
        <v/>
      </c>
      <c r="H38" s="17">
        <f>IF('Results'!$B$19="","",'Results'!$B$19)</f>
        <v/>
      </c>
      <c r="I38" s="18">
        <f>IF('DEEP Score'!$H$38="","",IF('DEEP Score'!$H$38&lt;=5,"Non-Functioning",IF('DEEP Score'!$H$38&lt;=10,"Functioning At-Risk","Functioning")))</f>
        <v/>
      </c>
    </row>
    <row r="39">
      <c r="A39" s="19" t="n"/>
      <c r="B39" s="20" t="n"/>
      <c r="C39" s="21" t="inlineStr">
        <is>
          <t>pH</t>
        </is>
      </c>
      <c r="D39" s="22" t="inlineStr">
        <is>
          <t>Std. Units</t>
        </is>
      </c>
      <c r="E39" s="23" t="n"/>
      <c r="F39" s="24" t="inlineStr"/>
      <c r="G39" s="25">
        <f>IF('Metrics'!$V$26="","",'Metrics'!$V$26)</f>
        <v/>
      </c>
      <c r="H39" s="20" t="n"/>
      <c r="I39" s="26" t="n"/>
    </row>
    <row r="40">
      <c r="A40" s="50" t="inlineStr">
        <is>
          <t>Biology</t>
        </is>
      </c>
      <c r="B40" s="11" t="inlineStr">
        <is>
          <t>Habitat provision</t>
        </is>
      </c>
      <c r="C40" s="12" t="inlineStr">
        <is>
          <t>Fast-water / riffle habitat</t>
        </is>
      </c>
      <c r="D40" s="13" t="inlineStr">
        <is>
          <t>%</t>
        </is>
      </c>
      <c r="E40" s="14" t="n"/>
      <c r="F40" s="15" t="inlineStr"/>
      <c r="G40" s="16">
        <f>IF('Metrics'!$V$27="","",'Metrics'!$V$27)</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24" t="inlineStr"/>
      <c r="G41" s="25">
        <f>IF('Metrics'!$V$28="","",'Metrics'!$V$28)</f>
        <v/>
      </c>
      <c r="H41" s="20" t="n"/>
      <c r="I41" s="26" t="n"/>
    </row>
    <row r="42">
      <c r="A42" s="50" t="inlineStr">
        <is>
          <t>Biology</t>
        </is>
      </c>
      <c r="B42" s="11" t="inlineStr">
        <is>
          <t>Population support</t>
        </is>
      </c>
      <c r="C42" s="12" t="inlineStr">
        <is>
          <t>Native fish taxa richness</t>
        </is>
      </c>
      <c r="D42" s="13" t="inlineStr"/>
      <c r="E42" s="14" t="n"/>
      <c r="F42" s="43" t="inlineStr">
        <is>
          <t>All streams (pooled)</t>
        </is>
      </c>
      <c r="G42" s="16">
        <f>IF('Metrics'!$V$29="","",'Metrics'!$V$29)</f>
        <v/>
      </c>
      <c r="H42" s="17">
        <f>IF('Results'!$B$21="","",'Results'!$B$21)</f>
        <v/>
      </c>
      <c r="I42" s="18">
        <f>IF('DEEP Score'!$H$42="","",IF('DEEP Score'!$H$42&lt;=5,"Non-Functioning",IF('DEEP Score'!$H$42&lt;=10,"Functioning At-Risk","Functioning")))</f>
        <v/>
      </c>
    </row>
    <row r="43">
      <c r="A43" s="19" t="n"/>
      <c r="B43" s="20" t="n"/>
      <c r="C43" s="21" t="inlineStr">
        <is>
          <t>Benthic total taxa richness</t>
        </is>
      </c>
      <c r="D43" s="22" t="inlineStr"/>
      <c r="E43" s="23" t="n"/>
      <c r="F43" s="24" t="inlineStr"/>
      <c r="G43" s="25">
        <f>IF('Metrics'!$V$30="","",'Metrics'!$V$30)</f>
        <v/>
      </c>
      <c r="H43" s="20" t="n"/>
      <c r="I43" s="26" t="n"/>
    </row>
    <row r="44">
      <c r="A44" s="50" t="inlineStr">
        <is>
          <t>Biology</t>
        </is>
      </c>
      <c r="B44" s="11" t="inlineStr">
        <is>
          <t>Community dynamics</t>
        </is>
      </c>
      <c r="C44" s="12" t="inlineStr">
        <is>
          <t>EPT taxa richness</t>
        </is>
      </c>
      <c r="D44" s="13" t="inlineStr"/>
      <c r="E44" s="14" t="n"/>
      <c r="F44" s="15" t="inlineStr"/>
      <c r="G44" s="16">
        <f>IF('Metrics'!$V$31="","",'Metrics'!$V$31)</f>
        <v/>
      </c>
      <c r="H44" s="17">
        <f>IF('Results'!$B$22="","",'Results'!$B$22)</f>
        <v/>
      </c>
      <c r="I44" s="18">
        <f>IF('DEEP Score'!$H$44="","",IF('DEEP Score'!$H$44&lt;=5,"Non-Functioning",IF('DEEP Score'!$H$44&lt;=10,"Functioning At-Risk","Functioning")))</f>
        <v/>
      </c>
    </row>
    <row r="45">
      <c r="A45" s="19" t="n"/>
      <c r="B45" s="20" t="n"/>
      <c r="C45" s="21" t="inlineStr">
        <is>
          <t>Shannon diversity (H')</t>
        </is>
      </c>
      <c r="D45" s="22" t="inlineStr">
        <is>
          <t>H'</t>
        </is>
      </c>
      <c r="E45" s="23" t="n"/>
      <c r="F45" s="24" t="inlineStr"/>
      <c r="G45" s="25">
        <f>IF('Metrics'!$V$32="","",'Metrics'!$V$32)</f>
        <v/>
      </c>
      <c r="H45" s="20" t="n"/>
      <c r="I45" s="26" t="n"/>
    </row>
    <row r="46">
      <c r="A46" s="51" t="inlineStr">
        <is>
          <t>Biology</t>
        </is>
      </c>
      <c r="B46" s="28" t="inlineStr">
        <is>
          <t>Watershed connectivity</t>
        </is>
      </c>
      <c r="C46" s="29" t="inlineStr">
        <is>
          <t>Mapped dams within one mile</t>
        </is>
      </c>
      <c r="D46" s="30" t="inlineStr">
        <is>
          <t>dams</t>
        </is>
      </c>
      <c r="E46" s="31" t="n"/>
      <c r="F46" s="36" t="inlineStr"/>
      <c r="G46" s="33">
        <f>IF('Metrics'!$V$33="","",'Metrics'!$V$33)</f>
        <v/>
      </c>
      <c r="H46" s="34">
        <f>IF('Results'!$B$23="","",'Results'!$B$23)</f>
        <v/>
      </c>
      <c r="I46" s="35">
        <f>IF('DEEP Score'!$H$46="","",IF('DEEP Score'!$H$46&lt;=5,"Non-Functioning",IF('DEEP Score'!$H$46&lt;=10,"Functioning At-Risk","Functioning")))</f>
        <v/>
      </c>
    </row>
    <row r="48">
      <c r="A48" s="52" t="inlineStr">
        <is>
          <t>Summary</t>
        </is>
      </c>
    </row>
    <row r="49">
      <c r="A49" s="9" t="inlineStr">
        <is>
          <t>Outcome</t>
        </is>
      </c>
      <c r="B49" s="9" t="inlineStr">
        <is>
          <t>Sub-index (0 to 1)</t>
        </is>
      </c>
      <c r="C49" s="9"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4" t="inlineStr">
        <is>
          <t xml:space="preserve">Functions with a score: </t>
        </is>
      </c>
      <c r="B54" s="4">
        <f>COUNT('Results'!$B$4:$B$23)&amp;" of 20"</f>
        <v/>
      </c>
    </row>
    <row r="55">
      <c r="A55" s="4" t="inlineStr">
        <is>
          <t>This assessment covers 20 of 20 STAF functions.</t>
        </is>
      </c>
    </row>
    <row r="57">
      <c r="A57" s="5" t="inlineStr">
        <is>
          <t>Notes</t>
        </is>
      </c>
    </row>
    <row r="58">
      <c r="A58" s="58" t="n"/>
      <c r="B58" s="59" t="n"/>
      <c r="C58" s="59" t="n"/>
      <c r="D58" s="59" t="n"/>
      <c r="E58" s="59" t="n"/>
      <c r="F58" s="59" t="n"/>
      <c r="G58" s="59" t="n"/>
      <c r="H58" s="59" t="n"/>
      <c r="I58" s="60" t="n"/>
    </row>
    <row r="59">
      <c r="A59" s="61" t="n"/>
      <c r="B59" s="62" t="n"/>
      <c r="C59" s="62" t="n"/>
      <c r="D59" s="62" t="n"/>
      <c r="E59" s="62" t="n"/>
      <c r="F59" s="62" t="n"/>
      <c r="G59" s="62" t="n"/>
      <c r="H59" s="62" t="n"/>
      <c r="I59" s="63" t="n"/>
    </row>
    <row r="60">
      <c r="A60" s="61" t="n"/>
      <c r="B60" s="62" t="n"/>
      <c r="C60" s="62" t="n"/>
      <c r="D60" s="62" t="n"/>
      <c r="E60" s="62" t="n"/>
      <c r="F60" s="62" t="n"/>
      <c r="G60" s="62" t="n"/>
      <c r="H60" s="62" t="n"/>
      <c r="I60" s="63" t="n"/>
    </row>
    <row r="61">
      <c r="A61" s="61" t="n"/>
      <c r="B61" s="62" t="n"/>
      <c r="C61" s="62" t="n"/>
      <c r="D61" s="62" t="n"/>
      <c r="E61" s="62" t="n"/>
      <c r="F61" s="62" t="n"/>
      <c r="G61" s="62" t="n"/>
      <c r="H61" s="62" t="n"/>
      <c r="I61" s="63" t="n"/>
    </row>
    <row r="62">
      <c r="A62" s="61" t="n"/>
      <c r="B62" s="62" t="n"/>
      <c r="C62" s="62" t="n"/>
      <c r="D62" s="62" t="n"/>
      <c r="E62" s="62" t="n"/>
      <c r="F62" s="62" t="n"/>
      <c r="G62" s="62" t="n"/>
      <c r="H62" s="62" t="n"/>
      <c r="I62" s="63" t="n"/>
    </row>
    <row r="63">
      <c r="A63" s="64" t="n"/>
      <c r="B63" s="65" t="n"/>
      <c r="C63" s="65" t="n"/>
      <c r="D63" s="65" t="n"/>
      <c r="E63" s="65" t="n"/>
      <c r="F63" s="65" t="n"/>
      <c r="G63" s="65" t="n"/>
      <c r="H63" s="65" t="n"/>
      <c r="I63" s="66" t="n"/>
    </row>
  </sheetData>
  <sheetProtection selectLockedCells="0" selectUnlockedCells="0" sheet="1" objects="0" insertRows="1" insertHyperlinks="1" autoFilter="1" scenarios="0" formatColumns="1" deleteColumns="1" insertColumns="1" pivotTables="1" deleteRows="1" formatCells="1" formatRows="1" sort="1" password="CB3B"/>
  <mergeCells count="66">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4" showDropDown="0" showInputMessage="0" showErrorMessage="1" allowBlank="1" errorTitle="Curve set" error="Choose a curve set from the list." type="list">
      <formula1>=strata_spring_pctwet2019ws</formula1>
    </dataValidation>
    <dataValidation sqref="F21" showDropDown="0" showInputMessage="0" showErrorMessage="1" allowBlank="1" errorTitle="Curve set" error="Choose a curve set from the list." type="list">
      <formula1>=strata_spring_phab_bfwd_rat</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2" showDropDown="0" showInputMessage="0" showErrorMessage="1" allowBlank="1" errorTitle="Curve set" error="Choose a curve set from the list." type="list">
      <formula1>=strata_spring_fish_nat_totlntax</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t>
        </is>
      </c>
      <c r="B7" s="69">
        <f>IF('DEEP Score'!$E$14="","",'DEEP Score'!$E$14)</f>
        <v/>
      </c>
      <c r="C7" s="69">
        <f>IF('DEEP Score'!$F$14="","All streams (pooled)",'DEEP Score'!$F$14)</f>
        <v/>
      </c>
      <c r="D7" s="69">
        <f>"spring_pctwet2019ws|"&amp;'Metrics'!$C$7</f>
        <v/>
      </c>
      <c r="E7" s="69">
        <f>IFERROR(MATCH('Metrics'!$D$7,curve_key,0),MATCH("spring_pctwet2019ws|All streams (pooled)",curve_key,0))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Residual pool depth</t>
        </is>
      </c>
      <c r="B11" s="69">
        <f>IF('DEEP Score'!$E$19="","",'DEEP Score'!$E$19)</f>
        <v/>
      </c>
      <c r="C11" s="69">
        <f>""</f>
        <v/>
      </c>
      <c r="D11" s="69">
        <f>"spring_phab_rp100_cm|"&amp;'Metrics'!$C$11</f>
        <v/>
      </c>
      <c r="E11" s="69">
        <f>IFERROR(MATCH('Metrics'!$D$11,curve_key,0),MATCH("spring_phab_rp100_cm|",curve_key,0))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width:depth ratio</t>
        </is>
      </c>
      <c r="B12" s="69">
        <f>IF('DEEP Score'!$E$21="","",'DEEP Score'!$E$21)</f>
        <v/>
      </c>
      <c r="C12" s="69">
        <f>IF('DEEP Score'!$F$21="","All streams (pooled)",'DEEP Score'!$F$21)</f>
        <v/>
      </c>
      <c r="D12" s="69">
        <f>"spring_phab_bfwd_rat|"&amp;'Metrics'!$C$12</f>
        <v/>
      </c>
      <c r="E12" s="69">
        <f>IFERROR(MATCH('Metrics'!$D$12,curve_key,0),MATCH("spring_phab_bfwd_rat|All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Bankfull height above channel</t>
        </is>
      </c>
      <c r="B13" s="69">
        <f>IF('DEEP Score'!$E$22="","",'DEEP Score'!$E$22)</f>
        <v/>
      </c>
      <c r="C13" s="69">
        <f>""</f>
        <v/>
      </c>
      <c r="D13" s="69">
        <f>"spring_phab_xbkf_h|"&amp;'Metrics'!$C$13</f>
        <v/>
      </c>
      <c r="E13" s="69">
        <f>IFERROR(MATCH('Metrics'!$D$13,curve_key,0),MATCH("spring_phab_xbkf_h|",curve_key,0))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Sand + fines</t>
        </is>
      </c>
      <c r="B14" s="69">
        <f>IF('DEEP Score'!$E$23="","",'DEEP Score'!$E$23)</f>
        <v/>
      </c>
      <c r="C14" s="69">
        <f>""</f>
        <v/>
      </c>
      <c r="D14" s="69">
        <f>"spring_phab_pct_safn|"&amp;'Metrics'!$C$14</f>
        <v/>
      </c>
      <c r="E14" s="69">
        <f>IFERROR(MATCH('Metrics'!$D$14,curve_key,0),MATCH("spring_phab_pct_safn|",curve_key,0))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Embeddedness</t>
        </is>
      </c>
      <c r="B15" s="69">
        <f>IF('DEEP Score'!$E$24="","",'DEEP Score'!$E$24)</f>
        <v/>
      </c>
      <c r="C15" s="69">
        <f>""</f>
        <v/>
      </c>
      <c r="D15" s="69">
        <f>"spring_phab_xembed|"&amp;'Metrics'!$C$15</f>
        <v/>
      </c>
      <c r="E15" s="69">
        <f>IFERROR(MATCH('Metrics'!$D$15,curve_key,0),MATCH("spring_phab_xembed|",curve_key,0))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Sinuosity</t>
        </is>
      </c>
      <c r="B16" s="69">
        <f>IF('DEEP Score'!$E$27="","",'DEEP Score'!$E$27)</f>
        <v/>
      </c>
      <c r="C16" s="69">
        <f>""</f>
        <v/>
      </c>
      <c r="D16" s="69">
        <f>"spring_phab_sinu|"&amp;'Metrics'!$C$16</f>
        <v/>
      </c>
      <c r="E16" s="69">
        <f>IFERROR(MATCH('Metrics'!$D$16,curve_key,0),MATCH("spring_phab_sinu|",curve_key,0))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Bank angle</t>
        </is>
      </c>
      <c r="B17" s="69">
        <f>IF('DEEP Score'!$E$28="","",'DEEP Score'!$E$28)</f>
        <v/>
      </c>
      <c r="C17" s="69">
        <f>""</f>
        <v/>
      </c>
      <c r="D17" s="69">
        <f>"spring_phab_xbka|"&amp;'Metrics'!$C$17</f>
        <v/>
      </c>
      <c r="E17" s="69">
        <f>IFERROR(MATCH('Metrics'!$D$17,curve_key,0),MATCH("spring_phab_xbka|",curve_key,0))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Relative bed stability</t>
        </is>
      </c>
      <c r="B18" s="69">
        <f>IF('DEEP Score'!$E$29="","",'DEEP Score'!$E$29)</f>
        <v/>
      </c>
      <c r="C18" s="69">
        <f>IF('DEEP Score'!$F$29="","All streams (pooled)",'DEEP Score'!$F$29)</f>
        <v/>
      </c>
      <c r="D18" s="69">
        <f>"spring_phab_lrbs_use|"&amp;'Metrics'!$C$18</f>
        <v/>
      </c>
      <c r="E18" s="69">
        <f>IFERROR(MATCH('Metrics'!$D$18,curve_key,0),MATCH("spring_phab_lrbs_use|All streams (pooled)",curve_key,0))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Substrate size</t>
        </is>
      </c>
      <c r="B19" s="69">
        <f>IF('DEEP Score'!$E$31="","",'DEEP Score'!$E$31)</f>
        <v/>
      </c>
      <c r="C19" s="69">
        <f>""</f>
        <v/>
      </c>
      <c r="D19" s="69">
        <f>"spring_phab_lsub_dmm|"&amp;'Metrics'!$C$19</f>
        <v/>
      </c>
      <c r="E19" s="69">
        <f>IFERROR(MATCH('Metrics'!$D$19,curve_key,0),MATCH("spring_phab_lsub_dmm|",curve_key,0))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Chlorophyll a</t>
        </is>
      </c>
      <c r="B20" s="69">
        <f>IF('DEEP Score'!$E$33="","",'DEEP Score'!$E$33)</f>
        <v/>
      </c>
      <c r="C20" s="69">
        <f>""</f>
        <v/>
      </c>
      <c r="D20" s="69">
        <f>"spring_chem_chla|"&amp;'Metrics'!$C$20</f>
        <v/>
      </c>
      <c r="E20" s="69">
        <f>IFERROR(MATCH('Metrics'!$D$20,curve_key,0),MATCH("spring_chem_chla|",curve_key,0))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Canopy density, mid-channel</t>
        </is>
      </c>
      <c r="B21" s="69">
        <f>IF('DEEP Score'!$E$34="","",'DEEP Score'!$E$34)</f>
        <v/>
      </c>
      <c r="C21" s="69">
        <f>IF('DEEP Score'!$F$34="","All streams (pooled)",'DEEP Score'!$F$34)</f>
        <v/>
      </c>
      <c r="D21" s="69">
        <f>"spring_phab_xcdenmid|"&amp;'Metrics'!$C$21</f>
        <v/>
      </c>
      <c r="E21" s="69">
        <f>IFERROR(MATCH('Metrics'!$D$21,curve_key,0),MATCH("spring_phab_xcdenmid|All streams (pooled)",curve_key,0))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Riparian veg cover, woody</t>
        </is>
      </c>
      <c r="B22" s="69">
        <f>IF('DEEP Score'!$E$35="","",'DEEP Score'!$E$35)</f>
        <v/>
      </c>
      <c r="C22" s="69">
        <f>""</f>
        <v/>
      </c>
      <c r="D22" s="69">
        <f>"spring_phab_xcmgw|"&amp;'Metrics'!$C$22</f>
        <v/>
      </c>
      <c r="E22" s="69">
        <f>IFERROR(MATCH('Metrics'!$D$22,curve_key,0),MATCH("spring_phab_xcmgw|",curve_key,0))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nitrogen</t>
        </is>
      </c>
      <c r="B23" s="69">
        <f>IF('DEEP Score'!$E$36="","",'DEEP Score'!$E$36)</f>
        <v/>
      </c>
      <c r="C23" s="69">
        <f>""</f>
        <v/>
      </c>
      <c r="D23" s="69">
        <f>"spring_chem_ntl|"&amp;'Metrics'!$C$23</f>
        <v/>
      </c>
      <c r="E23" s="69">
        <f>IFERROR(MATCH('Metrics'!$D$23,curve_key,0),MATCH("spring_chem_ntl|",curve_key,0))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Total phosphorus</t>
        </is>
      </c>
      <c r="B24" s="69">
        <f>IF('DEEP Score'!$E$37="","",'DEEP Score'!$E$37)</f>
        <v/>
      </c>
      <c r="C24" s="69">
        <f>""</f>
        <v/>
      </c>
      <c r="D24" s="69">
        <f>"spring_chem_ptl|"&amp;'Metrics'!$C$24</f>
        <v/>
      </c>
      <c r="E24" s="69">
        <f>IFERROR(MATCH('Metrics'!$D$24,curve_key,0),MATCH("spring_chem_ptl|",curve_key,0))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Specific conductivity</t>
        </is>
      </c>
      <c r="B25" s="69">
        <f>IF('DEEP Score'!$E$38="","",'DEEP Score'!$E$38)</f>
        <v/>
      </c>
      <c r="C25" s="69">
        <f>""</f>
        <v/>
      </c>
      <c r="D25" s="69">
        <f>"spring_chem_cond|"&amp;'Metrics'!$C$25</f>
        <v/>
      </c>
      <c r="E25" s="69">
        <f>IFERROR(MATCH('Metrics'!$D$25,curve_key,0),MATCH("spring_chem_cond|",curve_key,0))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pH</t>
        </is>
      </c>
      <c r="B26" s="69">
        <f>IF('DEEP Score'!$E$39="","",'DEEP Score'!$E$39)</f>
        <v/>
      </c>
      <c r="C26" s="69">
        <f>""</f>
        <v/>
      </c>
      <c r="D26" s="69">
        <f>"spring_chem_ph|"&amp;'Metrics'!$C$26</f>
        <v/>
      </c>
      <c r="E26" s="69">
        <f>IFERROR(MATCH('Metrics'!$D$26,curve_key,0),MATCH("spring_chem_ph|",curve_key,0))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Fast-water / riffle habitat</t>
        </is>
      </c>
      <c r="B27" s="69">
        <f>IF('DEEP Score'!$E$40="","",'DEEP Score'!$E$40)</f>
        <v/>
      </c>
      <c r="C27" s="69">
        <f>""</f>
        <v/>
      </c>
      <c r="D27" s="69">
        <f>"spring_phab_pct_fast|"&amp;'Metrics'!$C$27</f>
        <v/>
      </c>
      <c r="E27" s="69">
        <f>IFERROR(MATCH('Metrics'!$D$27,curve_key,0),MATCH("spring_phab_pct_fast|",curve_key,0))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Natural fish cover</t>
        </is>
      </c>
      <c r="B28" s="69">
        <f>IF('DEEP Score'!$E$41="","",'DEEP Score'!$E$41)</f>
        <v/>
      </c>
      <c r="C28" s="69">
        <f>""</f>
        <v/>
      </c>
      <c r="D28" s="69">
        <f>"spring_phab_xfc_nat|"&amp;'Metrics'!$C$28</f>
        <v/>
      </c>
      <c r="E28" s="69">
        <f>IFERROR(MATCH('Metrics'!$D$28,curve_key,0),MATCH("spring_phab_xfc_nat|",curve_key,0))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Native fish taxa richness</t>
        </is>
      </c>
      <c r="B29" s="69">
        <f>IF('DEEP Score'!$E$42="","",'DEEP Score'!$E$42)</f>
        <v/>
      </c>
      <c r="C29" s="69">
        <f>IF('DEEP Score'!$F$42="","All streams (pooled)",'DEEP Score'!$F$42)</f>
        <v/>
      </c>
      <c r="D29" s="69">
        <f>"spring_fish_nat_totlntax|"&amp;'Metrics'!$C$29</f>
        <v/>
      </c>
      <c r="E29" s="69">
        <f>IFERROR(MATCH('Metrics'!$D$29,curve_key,0),MATCH("spring_fish_nat_totlntax|All streams (pooled)",curve_key,0))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Benthic total taxa richness</t>
        </is>
      </c>
      <c r="B30" s="69">
        <f>IF('DEEP Score'!$E$43="","",'DEEP Score'!$E$43)</f>
        <v/>
      </c>
      <c r="C30" s="69">
        <f>""</f>
        <v/>
      </c>
      <c r="D30" s="69">
        <f>"spring_bent_totlntax|"&amp;'Metrics'!$C$30</f>
        <v/>
      </c>
      <c r="E30" s="69">
        <f>IFERROR(MATCH('Metrics'!$D$30,curve_key,0),MATCH("spring_bent_totlntax|",curve_key,0))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EPT taxa richness</t>
        </is>
      </c>
      <c r="B31" s="69">
        <f>IF('DEEP Score'!$E$44="","",'DEEP Score'!$E$44)</f>
        <v/>
      </c>
      <c r="C31" s="69">
        <f>""</f>
        <v/>
      </c>
      <c r="D31" s="69">
        <f>"spring_bent_ept_ntax|"&amp;'Metrics'!$C$31</f>
        <v/>
      </c>
      <c r="E31" s="69">
        <f>IFERROR(MATCH('Metrics'!$D$31,curve_key,0),MATCH("spring_bent_ept_ntax|",curve_key,0))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Shannon diversity (H')</t>
        </is>
      </c>
      <c r="B32" s="69">
        <f>IF('DEEP Score'!$E$45="","",'DEEP Score'!$E$45)</f>
        <v/>
      </c>
      <c r="C32" s="69">
        <f>""</f>
        <v/>
      </c>
      <c r="D32" s="69">
        <f>"spring_bent_hprime|"&amp;'Metrics'!$C$32</f>
        <v/>
      </c>
      <c r="E32" s="69">
        <f>IFERROR(MATCH('Metrics'!$D$32,curve_key,0),MATCH("spring_bent_hprime|",curve_key,0))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8" t="inlineStr">
        <is>
          <t>Mapped dams within one mile</t>
        </is>
      </c>
      <c r="B33" s="69">
        <f>IF('DEEP Score'!$E$46="","",'DEEP Score'!$E$46)</f>
        <v/>
      </c>
      <c r="C33" s="69">
        <f>""</f>
        <v/>
      </c>
      <c r="D33" s="69">
        <f>"spring_nid_dams_1mi|"&amp;'Metrics'!$C$33</f>
        <v/>
      </c>
      <c r="E33" s="69">
        <f>IFERROR(MATCH('Metrics'!$D$33,curve_key,0),MATCH("spring_nid_dams_1mi|",curve_key,0))</f>
        <v/>
      </c>
      <c r="F33" s="69">
        <f>INDEX(curve_x1,'Metrics'!$E$33)</f>
        <v/>
      </c>
      <c r="G33" s="69">
        <f>INDEX(curve_x2,'Metrics'!$E$33)</f>
        <v/>
      </c>
      <c r="H33" s="69">
        <f>INDEX(curve_x3,'Metrics'!$E$33)</f>
        <v/>
      </c>
      <c r="I33" s="69">
        <f>INDEX(curve_x4,'Metrics'!$E$33)</f>
        <v/>
      </c>
      <c r="J33" s="69">
        <f>INDEX(curve_x5,'Metrics'!$E$33)</f>
        <v/>
      </c>
      <c r="K33" s="69">
        <f>INDEX(curve_x6,'Metrics'!$E$33)</f>
        <v/>
      </c>
      <c r="L33" s="69">
        <f>INDEX(curve_x7,'Metrics'!$E$33)</f>
        <v/>
      </c>
      <c r="M33" s="69">
        <f>INDEX(curve_x8,'Metrics'!$E$33)</f>
        <v/>
      </c>
      <c r="N33" s="69">
        <f>INDEX(curve_y1,'Metrics'!$E$33)</f>
        <v/>
      </c>
      <c r="O33" s="69">
        <f>INDEX(curve_y2,'Metrics'!$E$33)</f>
        <v/>
      </c>
      <c r="P33" s="69">
        <f>INDEX(curve_y3,'Metrics'!$E$33)</f>
        <v/>
      </c>
      <c r="Q33" s="69">
        <f>INDEX(curve_y4,'Metrics'!$E$33)</f>
        <v/>
      </c>
      <c r="R33" s="69">
        <f>INDEX(curve_y5,'Metrics'!$E$33)</f>
        <v/>
      </c>
      <c r="S33" s="69">
        <f>INDEX(curve_y6,'Metrics'!$E$33)</f>
        <v/>
      </c>
      <c r="T33" s="69">
        <f>INDEX(curve_y7,'Metrics'!$E$33)</f>
        <v/>
      </c>
      <c r="U33" s="69">
        <f>INDEX(curve_y8,'Metrics'!$E$33)</f>
        <v/>
      </c>
      <c r="V33" s="70">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Score'!G42:G43)=0,"",SUM('DEEP Score'!G42:G43)/COUNT('DEEP Score'!G42:G43)*15)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Score'!G44:G45)=0,"",SUM('DEEP Score'!G44:G45)/COUNT('DEEP Score'!G44:G45)*15)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Score'!G46:G46)=0,"",SUM('DEEP Score'!G46:G46)/COUNT('DEEP Score'!G46:G46)*15)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5" t="inlineStr">
        <is>
          <t>Outcome</t>
        </is>
      </c>
      <c r="B25" s="5"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3"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71"/>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spring_pctwet2019ws|All streams (pooled)</t>
        </is>
      </c>
      <c r="B7" s="68" t="inlineStr">
        <is>
          <t>spring-pctwet2019ws</t>
        </is>
      </c>
      <c r="C7" s="68" t="inlineStr">
        <is>
          <t>Wetland</t>
        </is>
      </c>
      <c r="D7" s="68" t="inlineStr">
        <is>
          <t>All streams (pooled)</t>
        </is>
      </c>
      <c r="E7" s="68" t="n">
        <v>5</v>
      </c>
      <c r="F7" s="68" t="inlineStr">
        <is>
          <t>101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8" t="n">
        <v>0</v>
      </c>
      <c r="H7" s="68" t="n">
        <v>0.05571428571428572</v>
      </c>
      <c r="I7" s="68" t="n">
        <v>0.13</v>
      </c>
      <c r="J7" s="68" t="n">
        <v>2.14</v>
      </c>
      <c r="K7" s="68" t="n">
        <v>3.145</v>
      </c>
      <c r="L7" s="68" t="n">
        <v>3.145</v>
      </c>
      <c r="M7" s="68" t="n">
        <v>3.145</v>
      </c>
      <c r="N7" s="68" t="n">
        <v>3.145</v>
      </c>
      <c r="O7" s="68" t="n">
        <v>0</v>
      </c>
      <c r="P7" s="68" t="n">
        <v>0.3</v>
      </c>
      <c r="Q7" s="68" t="n">
        <v>0.7</v>
      </c>
      <c r="R7" s="68" t="n">
        <v>1</v>
      </c>
      <c r="S7" s="68" t="n">
        <v>1</v>
      </c>
      <c r="T7" s="68" t="n">
        <v>1</v>
      </c>
      <c r="U7" s="68" t="n">
        <v>1</v>
      </c>
      <c r="V7" s="68" t="n">
        <v>1</v>
      </c>
    </row>
    <row r="8">
      <c r="A8" s="68" t="inlineStr">
        <is>
          <t>spring_pctwet2019ws|Moderate gradient (0.5 to 2 percent)</t>
        </is>
      </c>
      <c r="B8" s="68" t="inlineStr">
        <is>
          <t>spring-pctwet2019ws</t>
        </is>
      </c>
      <c r="C8" s="68" t="inlineStr">
        <is>
          <t>Wetland</t>
        </is>
      </c>
      <c r="D8" s="68" t="inlineStr">
        <is>
          <t>Moderate gradient (0.5 to 2 percent)</t>
        </is>
      </c>
      <c r="E8" s="68" t="n">
        <v>5</v>
      </c>
      <c r="F8" s="68" t="inlineStr">
        <is>
          <t>101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8" s="68" t="n">
        <v>0</v>
      </c>
      <c r="H8" s="68" t="n">
        <v>0.1114285714285714</v>
      </c>
      <c r="I8" s="68" t="n">
        <v>0.26</v>
      </c>
      <c r="J8" s="68" t="n">
        <v>2.1475</v>
      </c>
      <c r="K8" s="68" t="n">
        <v>3.09125</v>
      </c>
      <c r="L8" s="68" t="n">
        <v>3.09125</v>
      </c>
      <c r="M8" s="68" t="n">
        <v>3.09125</v>
      </c>
      <c r="N8" s="68" t="n">
        <v>3.09125</v>
      </c>
      <c r="O8" s="68" t="n">
        <v>0</v>
      </c>
      <c r="P8" s="68" t="n">
        <v>0.3</v>
      </c>
      <c r="Q8" s="68" t="n">
        <v>0.7</v>
      </c>
      <c r="R8" s="68" t="n">
        <v>1</v>
      </c>
      <c r="S8" s="68" t="n">
        <v>1</v>
      </c>
      <c r="T8" s="68" t="n">
        <v>1</v>
      </c>
      <c r="U8" s="68" t="n">
        <v>1</v>
      </c>
      <c r="V8" s="68" t="n">
        <v>1</v>
      </c>
    </row>
    <row r="9">
      <c r="A9" s="68" t="inlineStr">
        <is>
          <t>spring_pctwet2019ws|Steep (2 percent and above)</t>
        </is>
      </c>
      <c r="B9" s="68" t="inlineStr">
        <is>
          <t>spring-pctwet2019ws</t>
        </is>
      </c>
      <c r="C9" s="68" t="inlineStr">
        <is>
          <t>Wetland</t>
        </is>
      </c>
      <c r="D9" s="68" t="inlineStr">
        <is>
          <t>Steep (2 percent and above)</t>
        </is>
      </c>
      <c r="E9" s="68" t="n">
        <v>5</v>
      </c>
      <c r="F9" s="68" t="inlineStr">
        <is>
          <t>101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9" s="68" t="n">
        <v>0</v>
      </c>
      <c r="H9" s="68" t="n">
        <v>0.003214285714285714</v>
      </c>
      <c r="I9" s="68" t="n">
        <v>0.0075</v>
      </c>
      <c r="J9" s="68" t="n">
        <v>1.5</v>
      </c>
      <c r="K9" s="68" t="n">
        <v>2.24625</v>
      </c>
      <c r="L9" s="68" t="n">
        <v>2.24625</v>
      </c>
      <c r="M9" s="68" t="n">
        <v>2.24625</v>
      </c>
      <c r="N9" s="68" t="n">
        <v>2.24625</v>
      </c>
      <c r="O9" s="68" t="n">
        <v>0</v>
      </c>
      <c r="P9" s="68" t="n">
        <v>0.3</v>
      </c>
      <c r="Q9" s="68" t="n">
        <v>0.7</v>
      </c>
      <c r="R9" s="68" t="n">
        <v>1</v>
      </c>
      <c r="S9" s="68" t="n">
        <v>1</v>
      </c>
      <c r="T9" s="68" t="n">
        <v>1</v>
      </c>
      <c r="U9" s="68" t="n">
        <v>1</v>
      </c>
      <c r="V9" s="68" t="n">
        <v>1</v>
      </c>
    </row>
    <row r="10">
      <c r="A10" s="68" t="inlineStr">
        <is>
          <t>spring_rddensws|</t>
        </is>
      </c>
      <c r="B10" s="68" t="inlineStr">
        <is>
          <t>spring-rddensws</t>
        </is>
      </c>
      <c r="C10" s="68" t="inlineStr">
        <is>
          <t>Road density</t>
        </is>
      </c>
      <c r="D10" s="68" t="inlineStr"/>
      <c r="E10" s="68" t="n">
        <v>4</v>
      </c>
      <c r="F10" s="68" t="inlineStr">
        <is>
          <t>Fixed criteria, the same in every region</t>
        </is>
      </c>
      <c r="G10" s="68" t="n">
        <v>0</v>
      </c>
      <c r="H10" s="68" t="n">
        <v>1</v>
      </c>
      <c r="I10" s="68" t="n">
        <v>3</v>
      </c>
      <c r="J10" s="68" t="n">
        <v>5.6</v>
      </c>
      <c r="K10" s="68" t="n">
        <v>5.6</v>
      </c>
      <c r="L10" s="68" t="n">
        <v>5.6</v>
      </c>
      <c r="M10" s="68" t="n">
        <v>5.6</v>
      </c>
      <c r="N10" s="68" t="n">
        <v>5.6</v>
      </c>
      <c r="O10" s="68" t="n">
        <v>1</v>
      </c>
      <c r="P10" s="68" t="n">
        <v>0.6899999999999999</v>
      </c>
      <c r="Q10" s="68" t="n">
        <v>0.39</v>
      </c>
      <c r="R10" s="68" t="n">
        <v>0</v>
      </c>
      <c r="S10" s="68" t="n">
        <v>0</v>
      </c>
      <c r="T10" s="68" t="n">
        <v>0</v>
      </c>
      <c r="U10" s="68" t="n">
        <v>0</v>
      </c>
      <c r="V10" s="68" t="n">
        <v>0</v>
      </c>
    </row>
    <row r="11">
      <c r="A11" s="68" t="inlineStr">
        <is>
          <t>spring_bfiws|</t>
        </is>
      </c>
      <c r="B11" s="68" t="inlineStr">
        <is>
          <t>spring-bfiws</t>
        </is>
      </c>
      <c r="C11" s="68" t="inlineStr">
        <is>
          <t>Base flow index</t>
        </is>
      </c>
      <c r="D11" s="68" t="inlineStr"/>
      <c r="E11" s="68" t="n">
        <v>5</v>
      </c>
      <c r="F11" s="68" t="inlineStr">
        <is>
          <t>101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11" s="68" t="n">
        <v>0</v>
      </c>
      <c r="H11" s="68" t="n">
        <v>26.853</v>
      </c>
      <c r="I11" s="68" t="n">
        <v>62.657</v>
      </c>
      <c r="J11" s="68" t="n">
        <v>72.8959</v>
      </c>
      <c r="K11" s="68" t="n">
        <v>78.01535</v>
      </c>
      <c r="L11" s="68" t="n">
        <v>78.01535</v>
      </c>
      <c r="M11" s="68" t="n">
        <v>78.01535</v>
      </c>
      <c r="N11" s="68" t="n">
        <v>78.01535</v>
      </c>
      <c r="O11" s="68" t="n">
        <v>0</v>
      </c>
      <c r="P11" s="68" t="n">
        <v>0.3</v>
      </c>
      <c r="Q11" s="68" t="n">
        <v>0.7</v>
      </c>
      <c r="R11" s="68" t="n">
        <v>1</v>
      </c>
      <c r="S11" s="68" t="n">
        <v>1</v>
      </c>
      <c r="T11" s="68" t="n">
        <v>1</v>
      </c>
      <c r="U11" s="68" t="n">
        <v>1</v>
      </c>
      <c r="V11" s="68" t="n">
        <v>1</v>
      </c>
    </row>
    <row r="12">
      <c r="A12" s="68" t="inlineStr">
        <is>
          <t>spring_dorws|</t>
        </is>
      </c>
      <c r="B12" s="68" t="inlineStr">
        <is>
          <t>spring-dorws</t>
        </is>
      </c>
      <c r="C12" s="68" t="inlineStr">
        <is>
          <t>Degree of regulation</t>
        </is>
      </c>
      <c r="D12" s="68" t="inlineStr"/>
      <c r="E12" s="68" t="n">
        <v>4</v>
      </c>
      <c r="F12" s="68" t="inlineStr">
        <is>
          <t>Fixed criteria, the same in every region</t>
        </is>
      </c>
      <c r="G12" s="68" t="n">
        <v>0</v>
      </c>
      <c r="H12" s="68" t="n">
        <v>2</v>
      </c>
      <c r="I12" s="68" t="n">
        <v>15.005</v>
      </c>
      <c r="J12" s="68" t="n">
        <v>31.9115</v>
      </c>
      <c r="K12" s="68" t="n">
        <v>31.9115</v>
      </c>
      <c r="L12" s="68" t="n">
        <v>31.9115</v>
      </c>
      <c r="M12" s="68" t="n">
        <v>31.9115</v>
      </c>
      <c r="N12" s="68" t="n">
        <v>31.9115</v>
      </c>
      <c r="O12" s="68" t="n">
        <v>1</v>
      </c>
      <c r="P12" s="68" t="n">
        <v>0.6899999999999999</v>
      </c>
      <c r="Q12" s="68" t="n">
        <v>0.39</v>
      </c>
      <c r="R12" s="68" t="n">
        <v>0</v>
      </c>
      <c r="S12" s="68" t="n">
        <v>0</v>
      </c>
      <c r="T12" s="68" t="n">
        <v>0</v>
      </c>
      <c r="U12" s="68" t="n">
        <v>0</v>
      </c>
      <c r="V12" s="68" t="n">
        <v>0</v>
      </c>
    </row>
    <row r="13">
      <c r="A13" s="68" t="inlineStr">
        <is>
          <t>spring_phab_rp100_cm|</t>
        </is>
      </c>
      <c r="B13" s="68" t="inlineStr">
        <is>
          <t>spring-phab-rp100-cm</t>
        </is>
      </c>
      <c r="C13" s="68" t="inlineStr">
        <is>
          <t>Residual pool depth</t>
        </is>
      </c>
      <c r="D13" s="68" t="inlineStr"/>
      <c r="E13" s="68" t="n">
        <v>5</v>
      </c>
      <c r="F13" s="68" t="inlineStr">
        <is>
          <t>10 least-disturbed stations of this ecoregion</t>
        </is>
      </c>
      <c r="G13" s="68" t="n">
        <v>0</v>
      </c>
      <c r="H13" s="68" t="n">
        <v>1.48009637423924</v>
      </c>
      <c r="I13" s="68" t="n">
        <v>3.453558206558228</v>
      </c>
      <c r="J13" s="68" t="n">
        <v>7.629613995552063</v>
      </c>
      <c r="K13" s="68" t="n">
        <v>9.717641890048981</v>
      </c>
      <c r="L13" s="68" t="n">
        <v>9.717641890048981</v>
      </c>
      <c r="M13" s="68" t="n">
        <v>9.717641890048981</v>
      </c>
      <c r="N13" s="68" t="n">
        <v>9.717641890048981</v>
      </c>
      <c r="O13" s="68" t="n">
        <v>0</v>
      </c>
      <c r="P13" s="68" t="n">
        <v>0.3</v>
      </c>
      <c r="Q13" s="68" t="n">
        <v>0.7</v>
      </c>
      <c r="R13" s="68" t="n">
        <v>1</v>
      </c>
      <c r="S13" s="68" t="n">
        <v>1</v>
      </c>
      <c r="T13" s="68" t="n">
        <v>1</v>
      </c>
      <c r="U13" s="68" t="n">
        <v>1</v>
      </c>
      <c r="V13" s="68" t="n">
        <v>1</v>
      </c>
    </row>
    <row r="14">
      <c r="A14" s="68" t="inlineStr">
        <is>
          <t>spring_phab_bfwd_rat|All streams (pooled)</t>
        </is>
      </c>
      <c r="B14" s="68" t="inlineStr">
        <is>
          <t>spring-phab-bfwd-rat</t>
        </is>
      </c>
      <c r="C14" s="68" t="inlineStr">
        <is>
          <t>Bankfull width:depth ratio</t>
        </is>
      </c>
      <c r="D14" s="68" t="inlineStr">
        <is>
          <t>All streams (pooled)</t>
        </is>
      </c>
      <c r="E14" s="68" t="n">
        <v>7</v>
      </c>
      <c r="F14" s="68" t="inlineStr">
        <is>
          <t>183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8" t="n">
        <v>0</v>
      </c>
      <c r="H14" s="68" t="n">
        <v>3.975839424133301</v>
      </c>
      <c r="I14" s="68" t="n">
        <v>7.13532829284668</v>
      </c>
      <c r="J14" s="68" t="n">
        <v>16.16243934631348</v>
      </c>
      <c r="K14" s="68" t="n">
        <v>19.32192821502685</v>
      </c>
      <c r="L14" s="68" t="n">
        <v>25.18955039978027</v>
      </c>
      <c r="M14" s="68" t="n">
        <v>34.21666145324707</v>
      </c>
      <c r="N14" s="68" t="n">
        <v>34.21666145324707</v>
      </c>
      <c r="O14" s="68" t="n">
        <v>0</v>
      </c>
      <c r="P14" s="68" t="n">
        <v>0.7</v>
      </c>
      <c r="Q14" s="68" t="n">
        <v>1</v>
      </c>
      <c r="R14" s="68" t="n">
        <v>1</v>
      </c>
      <c r="S14" s="68" t="n">
        <v>0.7</v>
      </c>
      <c r="T14" s="68" t="n">
        <v>0.3</v>
      </c>
      <c r="U14" s="68" t="n">
        <v>0</v>
      </c>
      <c r="V14" s="68" t="n">
        <v>0</v>
      </c>
    </row>
    <row r="15">
      <c r="A15" s="68" t="inlineStr">
        <is>
          <t>spring_phab_bfwd_rat|Headwater (10 km2 and under)</t>
        </is>
      </c>
      <c r="B15" s="68" t="inlineStr">
        <is>
          <t>spring-phab-bfwd-rat</t>
        </is>
      </c>
      <c r="C15" s="68" t="inlineStr">
        <is>
          <t>Bankfull width:depth ratio</t>
        </is>
      </c>
      <c r="D15" s="68" t="inlineStr">
        <is>
          <t>Headwater (10 km2 and under)</t>
        </is>
      </c>
      <c r="E15" s="68" t="n">
        <v>8</v>
      </c>
      <c r="F15" s="68" t="inlineStr">
        <is>
          <t>183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5" s="68" t="n">
        <v>0</v>
      </c>
      <c r="H15" s="68" t="n">
        <v>2.047669887542725</v>
      </c>
      <c r="I15" s="68" t="n">
        <v>4.336284106969833</v>
      </c>
      <c r="J15" s="68" t="n">
        <v>5.568614840507507</v>
      </c>
      <c r="K15" s="68" t="n">
        <v>9.08955979347229</v>
      </c>
      <c r="L15" s="68" t="n">
        <v>10.32189052700996</v>
      </c>
      <c r="M15" s="68" t="n">
        <v>12.61050474643707</v>
      </c>
      <c r="N15" s="68" t="n">
        <v>16.13144969940186</v>
      </c>
      <c r="O15" s="68" t="n">
        <v>0</v>
      </c>
      <c r="P15" s="68" t="n">
        <v>0.3</v>
      </c>
      <c r="Q15" s="68" t="n">
        <v>0.7</v>
      </c>
      <c r="R15" s="68" t="n">
        <v>1</v>
      </c>
      <c r="S15" s="68" t="n">
        <v>1</v>
      </c>
      <c r="T15" s="68" t="n">
        <v>0.7</v>
      </c>
      <c r="U15" s="68" t="n">
        <v>0.3</v>
      </c>
      <c r="V15" s="68" t="n">
        <v>0</v>
      </c>
    </row>
    <row r="16">
      <c r="A16" s="68" t="inlineStr">
        <is>
          <t>spring_phab_bfwd_rat|Small stream (10 to 100 km2)</t>
        </is>
      </c>
      <c r="B16" s="68" t="inlineStr">
        <is>
          <t>spring-phab-bfwd-rat</t>
        </is>
      </c>
      <c r="C16" s="68" t="inlineStr">
        <is>
          <t>Bankfull width:depth ratio</t>
        </is>
      </c>
      <c r="D16" s="68" t="inlineStr">
        <is>
          <t>Small stream (10 to 100 km2)</t>
        </is>
      </c>
      <c r="E16" s="68" t="n">
        <v>8</v>
      </c>
      <c r="F16" s="68" t="inlineStr">
        <is>
          <t>183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6" s="68" t="n">
        <v>0</v>
      </c>
      <c r="H16" s="68" t="n">
        <v>1.240898609161377</v>
      </c>
      <c r="I16" s="68" t="n">
        <v>4.671101689338684</v>
      </c>
      <c r="J16" s="68" t="n">
        <v>6.518134117126465</v>
      </c>
      <c r="K16" s="68" t="n">
        <v>11.79536962509155</v>
      </c>
      <c r="L16" s="68" t="n">
        <v>13.64240205287933</v>
      </c>
      <c r="M16" s="68" t="n">
        <v>17.07260513305664</v>
      </c>
      <c r="N16" s="68" t="n">
        <v>22.34984064102173</v>
      </c>
      <c r="O16" s="68" t="n">
        <v>0</v>
      </c>
      <c r="P16" s="68" t="n">
        <v>0.3</v>
      </c>
      <c r="Q16" s="68" t="n">
        <v>0.7</v>
      </c>
      <c r="R16" s="68" t="n">
        <v>1</v>
      </c>
      <c r="S16" s="68" t="n">
        <v>1</v>
      </c>
      <c r="T16" s="68" t="n">
        <v>0.7</v>
      </c>
      <c r="U16" s="68" t="n">
        <v>0.3</v>
      </c>
      <c r="V16" s="68" t="n">
        <v>0</v>
      </c>
    </row>
    <row r="17">
      <c r="A17" s="68" t="inlineStr">
        <is>
          <t>spring_phab_bfwd_rat|Large stream (over 100 km2)</t>
        </is>
      </c>
      <c r="B17" s="68" t="inlineStr">
        <is>
          <t>spring-phab-bfwd-rat</t>
        </is>
      </c>
      <c r="C17" s="68" t="inlineStr">
        <is>
          <t>Bankfull width:depth ratio</t>
        </is>
      </c>
      <c r="D17" s="68" t="inlineStr">
        <is>
          <t>Large stream (over 100 km2)</t>
        </is>
      </c>
      <c r="E17" s="68" t="n">
        <v>8</v>
      </c>
      <c r="F17" s="68" t="inlineStr">
        <is>
          <t>183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7" s="68" t="n">
        <v>0</v>
      </c>
      <c r="H17" s="68" t="n">
        <v>3.181139469146729</v>
      </c>
      <c r="I17" s="68" t="n">
        <v>10.62973067760468</v>
      </c>
      <c r="J17" s="68" t="n">
        <v>14.64051055908203</v>
      </c>
      <c r="K17" s="68" t="n">
        <v>26.09988164901733</v>
      </c>
      <c r="L17" s="68" t="n">
        <v>30.11066153049469</v>
      </c>
      <c r="M17" s="68" t="n">
        <v>37.55925273895264</v>
      </c>
      <c r="N17" s="68" t="n">
        <v>49.01862382888794</v>
      </c>
      <c r="O17" s="68" t="n">
        <v>0</v>
      </c>
      <c r="P17" s="68" t="n">
        <v>0.3</v>
      </c>
      <c r="Q17" s="68" t="n">
        <v>0.7</v>
      </c>
      <c r="R17" s="68" t="n">
        <v>1</v>
      </c>
      <c r="S17" s="68" t="n">
        <v>1</v>
      </c>
      <c r="T17" s="68" t="n">
        <v>0.7</v>
      </c>
      <c r="U17" s="68" t="n">
        <v>0.3</v>
      </c>
      <c r="V17" s="68" t="n">
        <v>0</v>
      </c>
    </row>
    <row r="18">
      <c r="A18" s="68" t="inlineStr">
        <is>
          <t>spring_phab_xbkf_h|</t>
        </is>
      </c>
      <c r="B18" s="68" t="inlineStr">
        <is>
          <t>spring-phab-xbkf-h</t>
        </is>
      </c>
      <c r="C18" s="68" t="inlineStr">
        <is>
          <t>Bankfull height above channel</t>
        </is>
      </c>
      <c r="D18" s="68" t="inlineStr"/>
      <c r="E18" s="68" t="n">
        <v>8</v>
      </c>
      <c r="F18" s="68" t="inlineStr">
        <is>
          <t>10 least-disturbed stations of this ecoregion</t>
        </is>
      </c>
      <c r="G18" s="68" t="n">
        <v>0</v>
      </c>
      <c r="H18" s="68" t="n">
        <v>0.08272731304168701</v>
      </c>
      <c r="I18" s="68" t="n">
        <v>0.2459659293293953</v>
      </c>
      <c r="J18" s="68" t="n">
        <v>0.3338636457920074</v>
      </c>
      <c r="K18" s="68" t="n">
        <v>0.5849999785423279</v>
      </c>
      <c r="L18" s="68" t="n">
        <v>0.67289769500494</v>
      </c>
      <c r="M18" s="68" t="n">
        <v>0.8361363112926483</v>
      </c>
      <c r="N18" s="68" t="n">
        <v>1.087272644042969</v>
      </c>
      <c r="O18" s="68" t="n">
        <v>0</v>
      </c>
      <c r="P18" s="68" t="n">
        <v>0.3</v>
      </c>
      <c r="Q18" s="68" t="n">
        <v>0.7</v>
      </c>
      <c r="R18" s="68" t="n">
        <v>1</v>
      </c>
      <c r="S18" s="68" t="n">
        <v>1</v>
      </c>
      <c r="T18" s="68" t="n">
        <v>0.7</v>
      </c>
      <c r="U18" s="68" t="n">
        <v>0.3</v>
      </c>
      <c r="V18" s="68" t="n">
        <v>0</v>
      </c>
    </row>
    <row r="19">
      <c r="A19" s="68" t="inlineStr">
        <is>
          <t>spring_phab_pct_safn|</t>
        </is>
      </c>
      <c r="B19" s="68" t="inlineStr">
        <is>
          <t>spring-phab-pct-safn</t>
        </is>
      </c>
      <c r="C19" s="68" t="inlineStr">
        <is>
          <t>Sand + fines</t>
        </is>
      </c>
      <c r="D19" s="68" t="inlineStr"/>
      <c r="E19" s="68" t="n">
        <v>5</v>
      </c>
      <c r="F19" s="68" t="inlineStr">
        <is>
          <t>10 least-disturbed stations of this ecoregion</t>
        </is>
      </c>
      <c r="G19" s="68" t="n">
        <v>0</v>
      </c>
      <c r="H19" s="68" t="n">
        <v>1.226190477609634</v>
      </c>
      <c r="I19" s="68" t="n">
        <v>14.90683221817017</v>
      </c>
      <c r="J19" s="68" t="n">
        <v>35.42779482901096</v>
      </c>
      <c r="K19" s="68" t="n">
        <v>49.1084365695715</v>
      </c>
      <c r="L19" s="68" t="n">
        <v>49.1084365695715</v>
      </c>
      <c r="M19" s="68" t="n">
        <v>49.1084365695715</v>
      </c>
      <c r="N19" s="68" t="n">
        <v>49.1084365695715</v>
      </c>
      <c r="O19" s="68" t="n">
        <v>1</v>
      </c>
      <c r="P19" s="68" t="n">
        <v>1</v>
      </c>
      <c r="Q19" s="68" t="n">
        <v>0.7</v>
      </c>
      <c r="R19" s="68" t="n">
        <v>0.3</v>
      </c>
      <c r="S19" s="68" t="n">
        <v>0</v>
      </c>
      <c r="T19" s="68" t="n">
        <v>0</v>
      </c>
      <c r="U19" s="68" t="n">
        <v>0</v>
      </c>
      <c r="V19" s="68" t="n">
        <v>0</v>
      </c>
    </row>
    <row r="20">
      <c r="A20" s="68" t="inlineStr">
        <is>
          <t>spring_phab_xembed|</t>
        </is>
      </c>
      <c r="B20" s="68" t="inlineStr">
        <is>
          <t>spring-phab-xembed</t>
        </is>
      </c>
      <c r="C20" s="68" t="inlineStr">
        <is>
          <t>Embeddedness</t>
        </is>
      </c>
      <c r="D20" s="68" t="inlineStr"/>
      <c r="E20" s="68" t="n">
        <v>5</v>
      </c>
      <c r="F20" s="68" t="inlineStr">
        <is>
          <t>152 least-disturbed stations borrowed from Level II ecoregion 6.2 (Western Cordillera) under the regional screen (agriculture at most 25 percent), transfer risk low</t>
        </is>
      </c>
      <c r="G20" s="68" t="n">
        <v>9.286553382873535</v>
      </c>
      <c r="H20" s="68" t="n">
        <v>24.18181800842285</v>
      </c>
      <c r="I20" s="68" t="n">
        <v>53.97234725952148</v>
      </c>
      <c r="J20" s="68" t="n">
        <v>98.65814113616943</v>
      </c>
      <c r="K20" s="68" t="n">
        <v>100</v>
      </c>
      <c r="L20" s="68" t="n">
        <v>100</v>
      </c>
      <c r="M20" s="68" t="n">
        <v>100</v>
      </c>
      <c r="N20" s="68" t="n">
        <v>100</v>
      </c>
      <c r="O20" s="68" t="n">
        <v>1</v>
      </c>
      <c r="P20" s="68" t="n">
        <v>1</v>
      </c>
      <c r="Q20" s="68" t="n">
        <v>0.7</v>
      </c>
      <c r="R20" s="68" t="n">
        <v>0.3</v>
      </c>
      <c r="S20" s="68" t="n">
        <v>0</v>
      </c>
      <c r="T20" s="68" t="n">
        <v>0</v>
      </c>
      <c r="U20" s="68" t="n">
        <v>0</v>
      </c>
      <c r="V20" s="68" t="n">
        <v>0</v>
      </c>
    </row>
    <row r="21">
      <c r="A21" s="68" t="inlineStr">
        <is>
          <t>spring_phab_sinu|</t>
        </is>
      </c>
      <c r="B21" s="68" t="inlineStr">
        <is>
          <t>spring-phab-sinu</t>
        </is>
      </c>
      <c r="C21" s="68" t="inlineStr">
        <is>
          <t>Sinuosity</t>
        </is>
      </c>
      <c r="D21" s="68" t="inlineStr"/>
      <c r="E21" s="68" t="n">
        <v>4</v>
      </c>
      <c r="F21" s="68" t="inlineStr">
        <is>
          <t>152 least-disturbed stations borrowed from Level II ecoregion 6.2 (Western Cordillera) under the regional screen (agriculture at most 25 percent), transfer risk moderate</t>
        </is>
      </c>
      <c r="G21" s="68" t="n">
        <v>1</v>
      </c>
      <c r="H21" s="68" t="n">
        <v>1.069203168153763</v>
      </c>
      <c r="I21" s="68" t="n">
        <v>1.270494818687439</v>
      </c>
      <c r="J21" s="68" t="n">
        <v>1.371140643954277</v>
      </c>
      <c r="K21" s="68" t="n">
        <v>1.371140643954277</v>
      </c>
      <c r="L21" s="68" t="n">
        <v>1.371140643954277</v>
      </c>
      <c r="M21" s="68" t="n">
        <v>1.371140643954277</v>
      </c>
      <c r="N21" s="68" t="n">
        <v>1.371140643954277</v>
      </c>
      <c r="O21" s="68" t="n">
        <v>0</v>
      </c>
      <c r="P21" s="68" t="n">
        <v>0.7</v>
      </c>
      <c r="Q21" s="68" t="n">
        <v>1</v>
      </c>
      <c r="R21" s="68" t="n">
        <v>1</v>
      </c>
      <c r="S21" s="68" t="n">
        <v>1</v>
      </c>
      <c r="T21" s="68" t="n">
        <v>1</v>
      </c>
      <c r="U21" s="68" t="n">
        <v>1</v>
      </c>
      <c r="V21" s="68" t="n">
        <v>1</v>
      </c>
    </row>
    <row r="22">
      <c r="A22" s="68" t="inlineStr">
        <is>
          <t>spring_phab_xbka|</t>
        </is>
      </c>
      <c r="B22" s="68" t="inlineStr">
        <is>
          <t>spring-phab-xbka</t>
        </is>
      </c>
      <c r="C22" s="68" t="inlineStr">
        <is>
          <t>Bank angle</t>
        </is>
      </c>
      <c r="D22" s="68" t="inlineStr"/>
      <c r="E22" s="68" t="n">
        <v>7</v>
      </c>
      <c r="F22" s="68" t="inlineStr">
        <is>
          <t>171 least-disturbed stations borrowed from NARS-9 region WMT under the regional screen (agriculture at most 25 percent), transfer risk moderate</t>
        </is>
      </c>
      <c r="G22" s="68" t="n">
        <v>0</v>
      </c>
      <c r="H22" s="68" t="n">
        <v>17.06354870796203</v>
      </c>
      <c r="I22" s="68" t="n">
        <v>22.36188793182373</v>
      </c>
      <c r="J22" s="68" t="n">
        <v>37.5</v>
      </c>
      <c r="K22" s="68" t="n">
        <v>42.7983392238617</v>
      </c>
      <c r="L22" s="68" t="n">
        <v>52.63811206817627</v>
      </c>
      <c r="M22" s="68" t="n">
        <v>67.77622413635254</v>
      </c>
      <c r="N22" s="68" t="n">
        <v>67.77622413635254</v>
      </c>
      <c r="O22" s="68" t="n">
        <v>0.7</v>
      </c>
      <c r="P22" s="68" t="n">
        <v>0.7</v>
      </c>
      <c r="Q22" s="68" t="n">
        <v>1</v>
      </c>
      <c r="R22" s="68" t="n">
        <v>1</v>
      </c>
      <c r="S22" s="68" t="n">
        <v>0.7</v>
      </c>
      <c r="T22" s="68" t="n">
        <v>0.3</v>
      </c>
      <c r="U22" s="68" t="n">
        <v>0</v>
      </c>
      <c r="V22" s="68" t="n">
        <v>0</v>
      </c>
    </row>
    <row r="23">
      <c r="A23" s="68" t="inlineStr">
        <is>
          <t>spring_phab_lrbs_use|All streams (pooled)</t>
        </is>
      </c>
      <c r="B23" s="68" t="inlineStr">
        <is>
          <t>spring-phab-lrbs-use</t>
        </is>
      </c>
      <c r="C23" s="68" t="inlineStr">
        <is>
          <t>Relative bed stability</t>
        </is>
      </c>
      <c r="D23" s="68" t="inlineStr">
        <is>
          <t>All streams (pooled)</t>
        </is>
      </c>
      <c r="E23" s="68" t="n">
        <v>8</v>
      </c>
      <c r="F23" s="68" t="inlineStr">
        <is>
          <t>183 least-disturbed stations borrowed from Level I ecoregion 6 (Northwestern Forested Mountains) under the regional screen (agriculture at most 25 percent), transfer risk high</t>
        </is>
      </c>
      <c r="G23" s="68" t="n">
        <v>-2.973519258201122</v>
      </c>
      <c r="H23" s="68" t="n">
        <v>-1.999246936291456</v>
      </c>
      <c r="I23" s="68" t="n">
        <v>-1.365969927050173</v>
      </c>
      <c r="J23" s="68" t="n">
        <v>-1.02497461438179</v>
      </c>
      <c r="K23" s="68" t="n">
        <v>-0.0507022924721241</v>
      </c>
      <c r="L23" s="68" t="n">
        <v>0.290293020196259</v>
      </c>
      <c r="M23" s="68" t="n">
        <v>0.923570029437542</v>
      </c>
      <c r="N23" s="68" t="n">
        <v>1.897842351347208</v>
      </c>
      <c r="O23" s="68" t="n">
        <v>0</v>
      </c>
      <c r="P23" s="68" t="n">
        <v>0.3</v>
      </c>
      <c r="Q23" s="68" t="n">
        <v>0.7</v>
      </c>
      <c r="R23" s="68" t="n">
        <v>1</v>
      </c>
      <c r="S23" s="68" t="n">
        <v>1</v>
      </c>
      <c r="T23" s="68" t="n">
        <v>0.7</v>
      </c>
      <c r="U23" s="68" t="n">
        <v>0.3</v>
      </c>
      <c r="V23" s="68" t="n">
        <v>0</v>
      </c>
    </row>
    <row r="24">
      <c r="A24" s="68" t="inlineStr">
        <is>
          <t>spring_phab_lrbs_use|Headwater (10 km2 and under)</t>
        </is>
      </c>
      <c r="B24" s="68" t="inlineStr">
        <is>
          <t>spring-phab-lrbs-use</t>
        </is>
      </c>
      <c r="C24" s="68" t="inlineStr">
        <is>
          <t>Relative bed stability</t>
        </is>
      </c>
      <c r="D24" s="68" t="inlineStr">
        <is>
          <t>Headwater (10 km2 and under)</t>
        </is>
      </c>
      <c r="E24" s="68" t="n">
        <v>8</v>
      </c>
      <c r="F24" s="68" t="inlineStr">
        <is>
          <t>183 least-disturbed stations borrowed from Level I ecoregion 6 (Northwestern Forested Mountains) under the regional screen (agriculture at most 25 percent), transfer risk high</t>
        </is>
      </c>
      <c r="G24" s="68" t="n">
        <v>-3.129390895366669</v>
      </c>
      <c r="H24" s="68" t="n">
        <v>-2.292811676859856</v>
      </c>
      <c r="I24" s="68" t="n">
        <v>-1.749035184830427</v>
      </c>
      <c r="J24" s="68" t="n">
        <v>-1.456232458353043</v>
      </c>
      <c r="K24" s="68" t="n">
        <v>-0.6196532398462296</v>
      </c>
      <c r="L24" s="68" t="n">
        <v>-0.326850513368845</v>
      </c>
      <c r="M24" s="68" t="n">
        <v>0.2169259786605835</v>
      </c>
      <c r="N24" s="68" t="n">
        <v>1.053505197167397</v>
      </c>
      <c r="O24" s="68" t="n">
        <v>0</v>
      </c>
      <c r="P24" s="68" t="n">
        <v>0.3</v>
      </c>
      <c r="Q24" s="68" t="n">
        <v>0.7</v>
      </c>
      <c r="R24" s="68" t="n">
        <v>1</v>
      </c>
      <c r="S24" s="68" t="n">
        <v>1</v>
      </c>
      <c r="T24" s="68" t="n">
        <v>0.7</v>
      </c>
      <c r="U24" s="68" t="n">
        <v>0.3</v>
      </c>
      <c r="V24" s="68" t="n">
        <v>0</v>
      </c>
    </row>
    <row r="25">
      <c r="A25" s="68" t="inlineStr">
        <is>
          <t>spring_phab_lrbs_use|Small stream (10 to 100 km2)</t>
        </is>
      </c>
      <c r="B25" s="68" t="inlineStr">
        <is>
          <t>spring-phab-lrbs-use</t>
        </is>
      </c>
      <c r="C25" s="68" t="inlineStr">
        <is>
          <t>Relative bed stability</t>
        </is>
      </c>
      <c r="D25" s="68" t="inlineStr">
        <is>
          <t>Small stream (10 to 100 km2)</t>
        </is>
      </c>
      <c r="E25" s="68" t="n">
        <v>8</v>
      </c>
      <c r="F25" s="68" t="inlineStr">
        <is>
          <t>183 least-disturbed stations borrowed from Level I ecoregion 6 (Northwestern Forested Mountains) under the regional screen (agriculture at most 25 percent), transfer risk high</t>
        </is>
      </c>
      <c r="G25" s="68" t="n">
        <v>-2.854482531547546</v>
      </c>
      <c r="H25" s="68" t="n">
        <v>-2.03430113196373</v>
      </c>
      <c r="I25" s="68" t="n">
        <v>-1.501183222234249</v>
      </c>
      <c r="J25" s="68" t="n">
        <v>-1.214119732379913</v>
      </c>
      <c r="K25" s="68" t="n">
        <v>-0.3939383327960968</v>
      </c>
      <c r="L25" s="68" t="n">
        <v>-0.106874842941761</v>
      </c>
      <c r="M25" s="68" t="n">
        <v>0.4262430667877197</v>
      </c>
      <c r="N25" s="68" t="n">
        <v>1.246424466371536</v>
      </c>
      <c r="O25" s="68" t="n">
        <v>0</v>
      </c>
      <c r="P25" s="68" t="n">
        <v>0.3</v>
      </c>
      <c r="Q25" s="68" t="n">
        <v>0.7</v>
      </c>
      <c r="R25" s="68" t="n">
        <v>1</v>
      </c>
      <c r="S25" s="68" t="n">
        <v>1</v>
      </c>
      <c r="T25" s="68" t="n">
        <v>0.7</v>
      </c>
      <c r="U25" s="68" t="n">
        <v>0.3</v>
      </c>
      <c r="V25" s="68" t="n">
        <v>0</v>
      </c>
    </row>
    <row r="26">
      <c r="A26" s="68" t="inlineStr">
        <is>
          <t>spring_phab_lrbs_use|Large stream (over 100 km2)</t>
        </is>
      </c>
      <c r="B26" s="68" t="inlineStr">
        <is>
          <t>spring-phab-lrbs-use</t>
        </is>
      </c>
      <c r="C26" s="68" t="inlineStr">
        <is>
          <t>Relative bed stability</t>
        </is>
      </c>
      <c r="D26" s="68" t="inlineStr">
        <is>
          <t>Large stream (over 100 km2)</t>
        </is>
      </c>
      <c r="E26" s="68" t="n">
        <v>8</v>
      </c>
      <c r="F26" s="68" t="inlineStr">
        <is>
          <t>183 least-disturbed stations borrowed from Level I ecoregion 6 (Northwestern Forested Mountains) under the regional screen (agriculture at most 25 percent), transfer risk high</t>
        </is>
      </c>
      <c r="G26" s="68" t="n">
        <v>-1.775501452386379</v>
      </c>
      <c r="H26" s="68" t="n">
        <v>-1.079447485506535</v>
      </c>
      <c r="I26" s="68" t="n">
        <v>-0.6270124070346356</v>
      </c>
      <c r="J26" s="68" t="n">
        <v>-0.3833935186266899</v>
      </c>
      <c r="K26" s="68" t="n">
        <v>0.3126604482531548</v>
      </c>
      <c r="L26" s="68" t="n">
        <v>0.5562793366611004</v>
      </c>
      <c r="M26" s="68" t="n">
        <v>1.008714415132999</v>
      </c>
      <c r="N26" s="68" t="n">
        <v>1.704768382012844</v>
      </c>
      <c r="O26" s="68" t="n">
        <v>0</v>
      </c>
      <c r="P26" s="68" t="n">
        <v>0.3</v>
      </c>
      <c r="Q26" s="68" t="n">
        <v>0.7</v>
      </c>
      <c r="R26" s="68" t="n">
        <v>1</v>
      </c>
      <c r="S26" s="68" t="n">
        <v>1</v>
      </c>
      <c r="T26" s="68" t="n">
        <v>0.7</v>
      </c>
      <c r="U26" s="68" t="n">
        <v>0.3</v>
      </c>
      <c r="V26" s="68" t="n">
        <v>0</v>
      </c>
    </row>
    <row r="27">
      <c r="A27" s="68" t="inlineStr">
        <is>
          <t>spring_phab_lsub_dmm|</t>
        </is>
      </c>
      <c r="B27" s="68" t="inlineStr">
        <is>
          <t>spring-phab-lsub-dmm</t>
        </is>
      </c>
      <c r="C27" s="68" t="inlineStr">
        <is>
          <t>Substrate size</t>
        </is>
      </c>
      <c r="D27" s="68" t="inlineStr"/>
      <c r="E27" s="68" t="n">
        <v>5</v>
      </c>
      <c r="F27" s="68" t="inlineStr">
        <is>
          <t>16 least-disturbed streams of this ecoregion under the regional screen (agriculture at most 25 percent)</t>
        </is>
      </c>
      <c r="G27" s="68" t="n">
        <v>0.06932243704795837</v>
      </c>
      <c r="H27" s="68" t="n">
        <v>0.6580126583576202</v>
      </c>
      <c r="I27" s="68" t="n">
        <v>1.541047990322113</v>
      </c>
      <c r="J27" s="68" t="n">
        <v>2.129738211631775</v>
      </c>
      <c r="K27" s="68" t="n">
        <v>2.424083322286606</v>
      </c>
      <c r="L27" s="68" t="n">
        <v>2.424083322286606</v>
      </c>
      <c r="M27" s="68" t="n">
        <v>2.424083322286606</v>
      </c>
      <c r="N27" s="68" t="n">
        <v>2.424083322286606</v>
      </c>
      <c r="O27" s="68" t="n">
        <v>0</v>
      </c>
      <c r="P27" s="68" t="n">
        <v>0.3</v>
      </c>
      <c r="Q27" s="68" t="n">
        <v>0.7</v>
      </c>
      <c r="R27" s="68" t="n">
        <v>1</v>
      </c>
      <c r="S27" s="68" t="n">
        <v>1</v>
      </c>
      <c r="T27" s="68" t="n">
        <v>1</v>
      </c>
      <c r="U27" s="68" t="n">
        <v>1</v>
      </c>
      <c r="V27" s="68" t="n">
        <v>1</v>
      </c>
    </row>
    <row r="28">
      <c r="A28" s="68" t="inlineStr">
        <is>
          <t>spring_chem_chla|</t>
        </is>
      </c>
      <c r="B28" s="68" t="inlineStr">
        <is>
          <t>spring-chem-chla</t>
        </is>
      </c>
      <c r="C28" s="68" t="inlineStr">
        <is>
          <t>Chlorophyll a</t>
        </is>
      </c>
      <c r="D28" s="68" t="inlineStr"/>
      <c r="E28" s="68" t="n">
        <v>5</v>
      </c>
      <c r="F28" s="68" t="inlineStr">
        <is>
          <t>10 least-disturbed stations of this ecoregion</t>
        </is>
      </c>
      <c r="G28" s="68" t="n">
        <v>0</v>
      </c>
      <c r="H28" s="68" t="n">
        <v>0.1945000067353249</v>
      </c>
      <c r="I28" s="68" t="n">
        <v>0.8790000081062317</v>
      </c>
      <c r="J28" s="68" t="n">
        <v>1.905750010162592</v>
      </c>
      <c r="K28" s="68" t="n">
        <v>2.590250011533499</v>
      </c>
      <c r="L28" s="68" t="n">
        <v>2.590250011533499</v>
      </c>
      <c r="M28" s="68" t="n">
        <v>2.590250011533499</v>
      </c>
      <c r="N28" s="68" t="n">
        <v>2.590250011533499</v>
      </c>
      <c r="O28" s="68" t="n">
        <v>1</v>
      </c>
      <c r="P28" s="68" t="n">
        <v>1</v>
      </c>
      <c r="Q28" s="68" t="n">
        <v>0.7</v>
      </c>
      <c r="R28" s="68" t="n">
        <v>0.3</v>
      </c>
      <c r="S28" s="68" t="n">
        <v>0</v>
      </c>
      <c r="T28" s="68" t="n">
        <v>0</v>
      </c>
      <c r="U28" s="68" t="n">
        <v>0</v>
      </c>
      <c r="V28" s="68" t="n">
        <v>0</v>
      </c>
    </row>
    <row r="29">
      <c r="A29" s="68" t="inlineStr">
        <is>
          <t>spring_phab_xcdenmid|All streams (pooled)</t>
        </is>
      </c>
      <c r="B29" s="68" t="inlineStr">
        <is>
          <t>spring-phab-xcdenmid</t>
        </is>
      </c>
      <c r="C29" s="68" t="inlineStr">
        <is>
          <t>Canopy density, mid-channel</t>
        </is>
      </c>
      <c r="D29" s="68" t="inlineStr">
        <is>
          <t>All streams (pooled)</t>
        </is>
      </c>
      <c r="E29" s="68" t="n">
        <v>5</v>
      </c>
      <c r="F29" s="68" t="inlineStr">
        <is>
          <t>190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8" t="n">
        <v>0</v>
      </c>
      <c r="H29" s="68" t="n">
        <v>8.606522083282471</v>
      </c>
      <c r="I29" s="68" t="n">
        <v>20.08188486099243</v>
      </c>
      <c r="J29" s="68" t="n">
        <v>74.29812812805176</v>
      </c>
      <c r="K29" s="68" t="n">
        <v>100</v>
      </c>
      <c r="L29" s="68" t="n">
        <v>100</v>
      </c>
      <c r="M29" s="68" t="n">
        <v>100</v>
      </c>
      <c r="N29" s="68" t="n">
        <v>100</v>
      </c>
      <c r="O29" s="68" t="n">
        <v>0</v>
      </c>
      <c r="P29" s="68" t="n">
        <v>0.3</v>
      </c>
      <c r="Q29" s="68" t="n">
        <v>0.7</v>
      </c>
      <c r="R29" s="68" t="n">
        <v>1</v>
      </c>
      <c r="S29" s="68" t="n">
        <v>1</v>
      </c>
      <c r="T29" s="68" t="n">
        <v>1</v>
      </c>
      <c r="U29" s="68" t="n">
        <v>1</v>
      </c>
      <c r="V29" s="68" t="n">
        <v>1</v>
      </c>
    </row>
    <row r="30">
      <c r="A30" s="68" t="inlineStr">
        <is>
          <t>spring_phab_xcdenmid|Headwater (10 km2 and under)</t>
        </is>
      </c>
      <c r="B30" s="68" t="inlineStr">
        <is>
          <t>spring-phab-xcdenmid</t>
        </is>
      </c>
      <c r="C30" s="68" t="inlineStr">
        <is>
          <t>Canopy density, mid-channel</t>
        </is>
      </c>
      <c r="D30" s="68" t="inlineStr">
        <is>
          <t>Headwater (10 km2 and under)</t>
        </is>
      </c>
      <c r="E30" s="68" t="n">
        <v>5</v>
      </c>
      <c r="F30" s="68" t="inlineStr">
        <is>
          <t>190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0" s="68" t="n">
        <v>0</v>
      </c>
      <c r="H30" s="68" t="n">
        <v>25.62547710963658</v>
      </c>
      <c r="I30" s="68" t="n">
        <v>59.79277992248535</v>
      </c>
      <c r="J30" s="68" t="n">
        <v>87.39973068237305</v>
      </c>
      <c r="K30" s="68" t="n">
        <v>100</v>
      </c>
      <c r="L30" s="68" t="n">
        <v>100</v>
      </c>
      <c r="M30" s="68" t="n">
        <v>100</v>
      </c>
      <c r="N30" s="68" t="n">
        <v>100</v>
      </c>
      <c r="O30" s="68" t="n">
        <v>0</v>
      </c>
      <c r="P30" s="68" t="n">
        <v>0.3</v>
      </c>
      <c r="Q30" s="68" t="n">
        <v>0.7</v>
      </c>
      <c r="R30" s="68" t="n">
        <v>1</v>
      </c>
      <c r="S30" s="68" t="n">
        <v>1</v>
      </c>
      <c r="T30" s="68" t="n">
        <v>1</v>
      </c>
      <c r="U30" s="68" t="n">
        <v>1</v>
      </c>
      <c r="V30" s="68" t="n">
        <v>1</v>
      </c>
    </row>
    <row r="31">
      <c r="A31" s="68" t="inlineStr">
        <is>
          <t>spring_phab_xcdenmid|Small stream (10 to 100 km2)</t>
        </is>
      </c>
      <c r="B31" s="68" t="inlineStr">
        <is>
          <t>spring-phab-xcdenmid</t>
        </is>
      </c>
      <c r="C31" s="68" t="inlineStr">
        <is>
          <t>Canopy density, mid-channel</t>
        </is>
      </c>
      <c r="D31" s="68" t="inlineStr">
        <is>
          <t>Small stream (10 to 100 km2)</t>
        </is>
      </c>
      <c r="E31" s="68" t="n">
        <v>5</v>
      </c>
      <c r="F31" s="68" t="inlineStr">
        <is>
          <t>190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1" s="68" t="n">
        <v>0</v>
      </c>
      <c r="H31" s="68" t="n">
        <v>13.29258973257882</v>
      </c>
      <c r="I31" s="68" t="n">
        <v>31.01604270935059</v>
      </c>
      <c r="J31" s="68" t="n">
        <v>77.1390380859375</v>
      </c>
      <c r="K31" s="68" t="n">
        <v>100</v>
      </c>
      <c r="L31" s="68" t="n">
        <v>100</v>
      </c>
      <c r="M31" s="68" t="n">
        <v>100</v>
      </c>
      <c r="N31" s="68" t="n">
        <v>100</v>
      </c>
      <c r="O31" s="68" t="n">
        <v>0</v>
      </c>
      <c r="P31" s="68" t="n">
        <v>0.3</v>
      </c>
      <c r="Q31" s="68" t="n">
        <v>0.7</v>
      </c>
      <c r="R31" s="68" t="n">
        <v>1</v>
      </c>
      <c r="S31" s="68" t="n">
        <v>1</v>
      </c>
      <c r="T31" s="68" t="n">
        <v>1</v>
      </c>
      <c r="U31" s="68" t="n">
        <v>1</v>
      </c>
      <c r="V31" s="68" t="n">
        <v>1</v>
      </c>
    </row>
    <row r="32">
      <c r="A32" s="68" t="inlineStr">
        <is>
          <t>spring_phab_xcdenmid|Large stream (over 100 km2)</t>
        </is>
      </c>
      <c r="B32" s="68" t="inlineStr">
        <is>
          <t>spring-phab-xcdenmid</t>
        </is>
      </c>
      <c r="C32" s="68" t="inlineStr">
        <is>
          <t>Canopy density, mid-channel</t>
        </is>
      </c>
      <c r="D32" s="68" t="inlineStr">
        <is>
          <t>Large stream (over 100 km2)</t>
        </is>
      </c>
      <c r="E32" s="68" t="n">
        <v>5</v>
      </c>
      <c r="F32" s="68" t="inlineStr">
        <is>
          <t>190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2" s="68" t="n">
        <v>0</v>
      </c>
      <c r="H32" s="68" t="n">
        <v>0.8307868582861764</v>
      </c>
      <c r="I32" s="68" t="n">
        <v>1.938502669334412</v>
      </c>
      <c r="J32" s="68" t="n">
        <v>33.82352828979492</v>
      </c>
      <c r="K32" s="68" t="n">
        <v>49.76604110002518</v>
      </c>
      <c r="L32" s="68" t="n">
        <v>49.76604110002518</v>
      </c>
      <c r="M32" s="68" t="n">
        <v>49.76604110002518</v>
      </c>
      <c r="N32" s="68" t="n">
        <v>49.76604110002518</v>
      </c>
      <c r="O32" s="68" t="n">
        <v>0</v>
      </c>
      <c r="P32" s="68" t="n">
        <v>0.3</v>
      </c>
      <c r="Q32" s="68" t="n">
        <v>0.7</v>
      </c>
      <c r="R32" s="68" t="n">
        <v>1</v>
      </c>
      <c r="S32" s="68" t="n">
        <v>1</v>
      </c>
      <c r="T32" s="68" t="n">
        <v>1</v>
      </c>
      <c r="U32" s="68" t="n">
        <v>1</v>
      </c>
      <c r="V32" s="68" t="n">
        <v>1</v>
      </c>
    </row>
    <row r="33">
      <c r="A33" s="68" t="inlineStr">
        <is>
          <t>spring_phab_xcmgw|</t>
        </is>
      </c>
      <c r="B33" s="68" t="inlineStr">
        <is>
          <t>spring-phab-xcmgw</t>
        </is>
      </c>
      <c r="C33" s="68" t="inlineStr">
        <is>
          <t>Riparian veg cover, woody</t>
        </is>
      </c>
      <c r="D33" s="68" t="inlineStr"/>
      <c r="E33" s="68" t="n">
        <v>5</v>
      </c>
      <c r="F33" s="68" t="inlineStr">
        <is>
          <t>16 least-disturbed streams of this ecoregion under the regional screen (agriculture at most 25 percent)</t>
        </is>
      </c>
      <c r="G33" s="68" t="n">
        <v>0</v>
      </c>
      <c r="H33" s="68" t="n">
        <v>0.2869724099125181</v>
      </c>
      <c r="I33" s="68" t="n">
        <v>0.6696022897958755</v>
      </c>
      <c r="J33" s="68" t="n">
        <v>1.002163469791412</v>
      </c>
      <c r="K33" s="68" t="n">
        <v>1.168444059789181</v>
      </c>
      <c r="L33" s="68" t="n">
        <v>1.168444059789181</v>
      </c>
      <c r="M33" s="68" t="n">
        <v>1.168444059789181</v>
      </c>
      <c r="N33" s="68" t="n">
        <v>1.168444059789181</v>
      </c>
      <c r="O33" s="68" t="n">
        <v>0</v>
      </c>
      <c r="P33" s="68" t="n">
        <v>0.3</v>
      </c>
      <c r="Q33" s="68" t="n">
        <v>0.7</v>
      </c>
      <c r="R33" s="68" t="n">
        <v>1</v>
      </c>
      <c r="S33" s="68" t="n">
        <v>1</v>
      </c>
      <c r="T33" s="68" t="n">
        <v>1</v>
      </c>
      <c r="U33" s="68" t="n">
        <v>1</v>
      </c>
      <c r="V33" s="68" t="n">
        <v>1</v>
      </c>
    </row>
    <row r="34">
      <c r="A34" s="68" t="inlineStr">
        <is>
          <t>spring_chem_ntl|</t>
        </is>
      </c>
      <c r="B34" s="68" t="inlineStr">
        <is>
          <t>spring-chem-ntl</t>
        </is>
      </c>
      <c r="C34" s="68" t="inlineStr">
        <is>
          <t>Total nitrogen</t>
        </is>
      </c>
      <c r="D34" s="68" t="inlineStr"/>
      <c r="E34" s="68" t="n">
        <v>5</v>
      </c>
      <c r="F34" s="68" t="inlineStr">
        <is>
          <t>10 least-disturbed stations of this ecoregion</t>
        </is>
      </c>
      <c r="G34" s="68" t="n">
        <v>0.03600000031292439</v>
      </c>
      <c r="H34" s="68" t="n">
        <v>0.0442500002682209</v>
      </c>
      <c r="I34" s="68" t="n">
        <v>0.06075000017881393</v>
      </c>
      <c r="J34" s="68" t="n">
        <v>0.08550000004470348</v>
      </c>
      <c r="K34" s="68" t="n">
        <v>0.1019999999552965</v>
      </c>
      <c r="L34" s="68" t="n">
        <v>0.1019999999552965</v>
      </c>
      <c r="M34" s="68" t="n">
        <v>0.1019999999552965</v>
      </c>
      <c r="N34" s="68" t="n">
        <v>0.1019999999552965</v>
      </c>
      <c r="O34" s="68" t="n">
        <v>1</v>
      </c>
      <c r="P34" s="68" t="n">
        <v>1</v>
      </c>
      <c r="Q34" s="68" t="n">
        <v>0.7</v>
      </c>
      <c r="R34" s="68" t="n">
        <v>0.3</v>
      </c>
      <c r="S34" s="68" t="n">
        <v>0</v>
      </c>
      <c r="T34" s="68" t="n">
        <v>0</v>
      </c>
      <c r="U34" s="68" t="n">
        <v>0</v>
      </c>
      <c r="V34" s="68" t="n">
        <v>0</v>
      </c>
    </row>
    <row r="35">
      <c r="A35" s="68" t="inlineStr">
        <is>
          <t>spring_chem_ptl|</t>
        </is>
      </c>
      <c r="B35" s="68" t="inlineStr">
        <is>
          <t>spring-chem-ptl</t>
        </is>
      </c>
      <c r="C35" s="68" t="inlineStr">
        <is>
          <t>Total phosphorus</t>
        </is>
      </c>
      <c r="D35" s="68" t="inlineStr"/>
      <c r="E35" s="68" t="n">
        <v>4</v>
      </c>
      <c r="F35" s="68" t="inlineStr">
        <is>
          <t>Scored against a published criterion rather than against stations from this ecoregion. The criterion carries its own definition of reference, which need not match this assessment's.</t>
        </is>
      </c>
      <c r="G35" s="68" t="n">
        <v>0</v>
      </c>
      <c r="H35" s="68" t="n">
        <v>17.75</v>
      </c>
      <c r="I35" s="68" t="n">
        <v>41</v>
      </c>
      <c r="J35" s="68" t="n">
        <v>71.22499999999999</v>
      </c>
      <c r="K35" s="68" t="n">
        <v>71.22499999999999</v>
      </c>
      <c r="L35" s="68" t="n">
        <v>71.22499999999999</v>
      </c>
      <c r="M35" s="68" t="n">
        <v>71.22499999999999</v>
      </c>
      <c r="N35" s="68" t="n">
        <v>71.22499999999999</v>
      </c>
      <c r="O35" s="68" t="n">
        <v>1</v>
      </c>
      <c r="P35" s="68" t="n">
        <v>0.6899999999999999</v>
      </c>
      <c r="Q35" s="68" t="n">
        <v>0.39</v>
      </c>
      <c r="R35" s="68" t="n">
        <v>0</v>
      </c>
      <c r="S35" s="68" t="n">
        <v>0</v>
      </c>
      <c r="T35" s="68" t="n">
        <v>0</v>
      </c>
      <c r="U35" s="68" t="n">
        <v>0</v>
      </c>
      <c r="V35" s="68" t="n">
        <v>0</v>
      </c>
    </row>
    <row r="36">
      <c r="A36" s="68" t="inlineStr">
        <is>
          <t>spring_chem_cond|</t>
        </is>
      </c>
      <c r="B36" s="68" t="inlineStr">
        <is>
          <t>spring-chem-cond</t>
        </is>
      </c>
      <c r="C36" s="68" t="inlineStr">
        <is>
          <t>Specific conductivity</t>
        </is>
      </c>
      <c r="D36" s="68" t="inlineStr"/>
      <c r="E36" s="68" t="n">
        <v>5</v>
      </c>
      <c r="F36" s="68" t="inlineStr">
        <is>
          <t>10 least-disturbed stations of this ecoregion</t>
        </is>
      </c>
      <c r="G36" s="68" t="n">
        <v>33.71250009536743</v>
      </c>
      <c r="H36" s="68" t="n">
        <v>43.77500057220459</v>
      </c>
      <c r="I36" s="68" t="n">
        <v>63.90000152587891</v>
      </c>
      <c r="J36" s="68" t="n">
        <v>94.08750295639038</v>
      </c>
      <c r="K36" s="68" t="n">
        <v>114.2125039100647</v>
      </c>
      <c r="L36" s="68" t="n">
        <v>114.2125039100647</v>
      </c>
      <c r="M36" s="68" t="n">
        <v>114.2125039100647</v>
      </c>
      <c r="N36" s="68" t="n">
        <v>114.2125039100647</v>
      </c>
      <c r="O36" s="68" t="n">
        <v>1</v>
      </c>
      <c r="P36" s="68" t="n">
        <v>1</v>
      </c>
      <c r="Q36" s="68" t="n">
        <v>0.7</v>
      </c>
      <c r="R36" s="68" t="n">
        <v>0.3</v>
      </c>
      <c r="S36" s="68" t="n">
        <v>0</v>
      </c>
      <c r="T36" s="68" t="n">
        <v>0</v>
      </c>
      <c r="U36" s="68" t="n">
        <v>0</v>
      </c>
      <c r="V36" s="68" t="n">
        <v>0</v>
      </c>
    </row>
    <row r="37">
      <c r="A37" s="68" t="inlineStr">
        <is>
          <t>spring_chem_ph|</t>
        </is>
      </c>
      <c r="B37" s="68" t="inlineStr">
        <is>
          <t>spring-chem-ph</t>
        </is>
      </c>
      <c r="C37" s="68" t="inlineStr">
        <is>
          <t>pH</t>
        </is>
      </c>
      <c r="D37" s="68" t="inlineStr"/>
      <c r="E37" s="68" t="n">
        <v>8</v>
      </c>
      <c r="F37" s="68" t="inlineStr">
        <is>
          <t>10 least-disturbed stations of this ecoregion</t>
        </is>
      </c>
      <c r="G37" s="68" t="n">
        <v>6.562500238418579</v>
      </c>
      <c r="H37" s="68" t="n">
        <v>6.990000128746033</v>
      </c>
      <c r="I37" s="68" t="n">
        <v>7.267875057458878</v>
      </c>
      <c r="J37" s="68" t="n">
        <v>7.417500019073486</v>
      </c>
      <c r="K37" s="68" t="n">
        <v>7.84499990940094</v>
      </c>
      <c r="L37" s="68" t="n">
        <v>7.994624871015549</v>
      </c>
      <c r="M37" s="68" t="n">
        <v>8.272499799728394</v>
      </c>
      <c r="N37" s="68" t="n">
        <v>8.699999690055847</v>
      </c>
      <c r="O37" s="68" t="n">
        <v>0</v>
      </c>
      <c r="P37" s="68" t="n">
        <v>0.3</v>
      </c>
      <c r="Q37" s="68" t="n">
        <v>0.7</v>
      </c>
      <c r="R37" s="68" t="n">
        <v>1</v>
      </c>
      <c r="S37" s="68" t="n">
        <v>1</v>
      </c>
      <c r="T37" s="68" t="n">
        <v>0.7</v>
      </c>
      <c r="U37" s="68" t="n">
        <v>0.3</v>
      </c>
      <c r="V37" s="68" t="n">
        <v>0</v>
      </c>
    </row>
    <row r="38">
      <c r="A38" s="68" t="inlineStr">
        <is>
          <t>spring_phab_pct_fast|</t>
        </is>
      </c>
      <c r="B38" s="68" t="inlineStr">
        <is>
          <t>spring-phab-pct-fast</t>
        </is>
      </c>
      <c r="C38" s="68" t="inlineStr">
        <is>
          <t>Fast-water / riffle habitat</t>
        </is>
      </c>
      <c r="D38" s="68" t="inlineStr"/>
      <c r="E38" s="68" t="n">
        <v>5</v>
      </c>
      <c r="F38" s="68" t="inlineStr">
        <is>
          <t>10 least-disturbed stations of this ecoregion</t>
        </is>
      </c>
      <c r="G38" s="68" t="n">
        <v>0</v>
      </c>
      <c r="H38" s="68" t="n">
        <v>23.57142857142857</v>
      </c>
      <c r="I38" s="68" t="n">
        <v>55</v>
      </c>
      <c r="J38" s="68" t="n">
        <v>83.25</v>
      </c>
      <c r="K38" s="68" t="n">
        <v>97.375</v>
      </c>
      <c r="L38" s="68" t="n">
        <v>97.375</v>
      </c>
      <c r="M38" s="68" t="n">
        <v>97.375</v>
      </c>
      <c r="N38" s="68" t="n">
        <v>97.375</v>
      </c>
      <c r="O38" s="68" t="n">
        <v>0</v>
      </c>
      <c r="P38" s="68" t="n">
        <v>0.3</v>
      </c>
      <c r="Q38" s="68" t="n">
        <v>0.7</v>
      </c>
      <c r="R38" s="68" t="n">
        <v>1</v>
      </c>
      <c r="S38" s="68" t="n">
        <v>1</v>
      </c>
      <c r="T38" s="68" t="n">
        <v>1</v>
      </c>
      <c r="U38" s="68" t="n">
        <v>1</v>
      </c>
      <c r="V38" s="68" t="n">
        <v>1</v>
      </c>
    </row>
    <row r="39">
      <c r="A39" s="68" t="inlineStr">
        <is>
          <t>spring_phab_xfc_nat|</t>
        </is>
      </c>
      <c r="B39" s="68" t="inlineStr">
        <is>
          <t>spring-phab-xfc-nat</t>
        </is>
      </c>
      <c r="C39" s="68" t="inlineStr">
        <is>
          <t>Natural fish cover</t>
        </is>
      </c>
      <c r="D39" s="68" t="inlineStr"/>
      <c r="E39" s="68" t="n">
        <v>5</v>
      </c>
      <c r="F39" s="68" t="inlineStr">
        <is>
          <t>16 least-disturbed streams of this ecoregion under the regional screen (agriculture at most 25 percent)</t>
        </is>
      </c>
      <c r="G39" s="68" t="n">
        <v>0</v>
      </c>
      <c r="H39" s="68" t="n">
        <v>0.1008116895599025</v>
      </c>
      <c r="I39" s="68" t="n">
        <v>0.2352272756397724</v>
      </c>
      <c r="J39" s="68" t="n">
        <v>0.5857954472303391</v>
      </c>
      <c r="K39" s="68" t="n">
        <v>0.7610795330256224</v>
      </c>
      <c r="L39" s="68" t="n">
        <v>0.7610795330256224</v>
      </c>
      <c r="M39" s="68" t="n">
        <v>0.7610795330256224</v>
      </c>
      <c r="N39" s="68" t="n">
        <v>0.7610795330256224</v>
      </c>
      <c r="O39" s="68" t="n">
        <v>0</v>
      </c>
      <c r="P39" s="68" t="n">
        <v>0.3</v>
      </c>
      <c r="Q39" s="68" t="n">
        <v>0.7</v>
      </c>
      <c r="R39" s="68" t="n">
        <v>1</v>
      </c>
      <c r="S39" s="68" t="n">
        <v>1</v>
      </c>
      <c r="T39" s="68" t="n">
        <v>1</v>
      </c>
      <c r="U39" s="68" t="n">
        <v>1</v>
      </c>
      <c r="V39" s="68" t="n">
        <v>1</v>
      </c>
    </row>
    <row r="40">
      <c r="A40" s="68" t="inlineStr">
        <is>
          <t>spring_fish_nat_totlntax|All streams (pooled)</t>
        </is>
      </c>
      <c r="B40" s="68" t="inlineStr">
        <is>
          <t>spring-fish-nat-totlntax</t>
        </is>
      </c>
      <c r="C40" s="68" t="inlineStr">
        <is>
          <t>Native fish taxa richness</t>
        </is>
      </c>
      <c r="D40" s="68" t="inlineStr">
        <is>
          <t>All streams (pooled)</t>
        </is>
      </c>
      <c r="E40" s="68" t="n">
        <v>5</v>
      </c>
      <c r="F40" s="68" t="inlineStr">
        <is>
          <t>85 least-disturbed stations borrowed from NARS-9 region WMT under the regional screen (agriculture at most 25 percent), transfer risk moderate</t>
        </is>
      </c>
      <c r="G40" s="68" t="n">
        <v>0</v>
      </c>
      <c r="H40" s="68" t="n">
        <v>0.4285714285714285</v>
      </c>
      <c r="I40" s="68" t="n">
        <v>1</v>
      </c>
      <c r="J40" s="68" t="n">
        <v>3</v>
      </c>
      <c r="K40" s="68" t="n">
        <v>4</v>
      </c>
      <c r="L40" s="68" t="n">
        <v>4</v>
      </c>
      <c r="M40" s="68" t="n">
        <v>4</v>
      </c>
      <c r="N40" s="68" t="n">
        <v>4</v>
      </c>
      <c r="O40" s="68" t="n">
        <v>0</v>
      </c>
      <c r="P40" s="68" t="n">
        <v>0.3</v>
      </c>
      <c r="Q40" s="68" t="n">
        <v>0.7</v>
      </c>
      <c r="R40" s="68" t="n">
        <v>1</v>
      </c>
      <c r="S40" s="68" t="n">
        <v>1</v>
      </c>
      <c r="T40" s="68" t="n">
        <v>1</v>
      </c>
      <c r="U40" s="68" t="n">
        <v>1</v>
      </c>
      <c r="V40" s="68" t="n">
        <v>1</v>
      </c>
    </row>
    <row r="41">
      <c r="A41" s="68" t="inlineStr">
        <is>
          <t>spring_fish_nat_totlntax|Moderate gradient (0.5 to 2 percent)</t>
        </is>
      </c>
      <c r="B41" s="68" t="inlineStr">
        <is>
          <t>spring-fish-nat-totlntax</t>
        </is>
      </c>
      <c r="C41" s="68" t="inlineStr">
        <is>
          <t>Native fish taxa richness</t>
        </is>
      </c>
      <c r="D41" s="68" t="inlineStr">
        <is>
          <t>Moderate gradient (0.5 to 2 percent)</t>
        </is>
      </c>
      <c r="E41" s="68" t="n">
        <v>5</v>
      </c>
      <c r="F41" s="68" t="inlineStr">
        <is>
          <t>85 least-disturbed stations borrowed from NARS-9 region WMT under the regional screen (agriculture at most 25 percent), transfer risk moderate</t>
        </is>
      </c>
      <c r="G41" s="68" t="n">
        <v>0</v>
      </c>
      <c r="H41" s="68" t="n">
        <v>0.4285714285714285</v>
      </c>
      <c r="I41" s="68" t="n">
        <v>1</v>
      </c>
      <c r="J41" s="68" t="n">
        <v>4</v>
      </c>
      <c r="K41" s="68" t="n">
        <v>5.5</v>
      </c>
      <c r="L41" s="68" t="n">
        <v>5.5</v>
      </c>
      <c r="M41" s="68" t="n">
        <v>5.5</v>
      </c>
      <c r="N41" s="68" t="n">
        <v>5.5</v>
      </c>
      <c r="O41" s="68" t="n">
        <v>0</v>
      </c>
      <c r="P41" s="68" t="n">
        <v>0.3</v>
      </c>
      <c r="Q41" s="68" t="n">
        <v>0.7</v>
      </c>
      <c r="R41" s="68" t="n">
        <v>1</v>
      </c>
      <c r="S41" s="68" t="n">
        <v>1</v>
      </c>
      <c r="T41" s="68" t="n">
        <v>1</v>
      </c>
      <c r="U41" s="68" t="n">
        <v>1</v>
      </c>
      <c r="V41" s="68" t="n">
        <v>1</v>
      </c>
    </row>
    <row r="42">
      <c r="A42" s="68" t="inlineStr">
        <is>
          <t>spring_bent_totlntax|</t>
        </is>
      </c>
      <c r="B42" s="68" t="inlineStr">
        <is>
          <t>spring-bent-totlntax</t>
        </is>
      </c>
      <c r="C42" s="68" t="inlineStr">
        <is>
          <t>Benthic total taxa richness</t>
        </is>
      </c>
      <c r="D42" s="68" t="inlineStr"/>
      <c r="E42" s="68" t="n">
        <v>5</v>
      </c>
      <c r="F42" s="68" t="inlineStr">
        <is>
          <t>Reference curve fitted to comparable least-disturbed stations drawn from the national pool, because this ecoregion and its parents hold too few of their own.</t>
        </is>
      </c>
      <c r="G42" s="68" t="n">
        <v>0</v>
      </c>
      <c r="H42" s="68" t="n">
        <v>14.14285714285714</v>
      </c>
      <c r="I42" s="68" t="n">
        <v>33</v>
      </c>
      <c r="J42" s="68" t="n">
        <v>42.75</v>
      </c>
      <c r="K42" s="68" t="n">
        <v>47.625</v>
      </c>
      <c r="L42" s="68" t="n">
        <v>47.625</v>
      </c>
      <c r="M42" s="68" t="n">
        <v>47.625</v>
      </c>
      <c r="N42" s="68" t="n">
        <v>47.625</v>
      </c>
      <c r="O42" s="68" t="n">
        <v>0</v>
      </c>
      <c r="P42" s="68" t="n">
        <v>0.3</v>
      </c>
      <c r="Q42" s="68" t="n">
        <v>0.7</v>
      </c>
      <c r="R42" s="68" t="n">
        <v>1</v>
      </c>
      <c r="S42" s="68" t="n">
        <v>1</v>
      </c>
      <c r="T42" s="68" t="n">
        <v>1</v>
      </c>
      <c r="U42" s="68" t="n">
        <v>1</v>
      </c>
      <c r="V42" s="68" t="n">
        <v>1</v>
      </c>
    </row>
    <row r="43">
      <c r="A43" s="68" t="inlineStr">
        <is>
          <t>spring_bent_ept_ntax|</t>
        </is>
      </c>
      <c r="B43" s="68" t="inlineStr">
        <is>
          <t>spring-bent-ept-ntax</t>
        </is>
      </c>
      <c r="C43" s="68" t="inlineStr">
        <is>
          <t>EPT taxa richness</t>
        </is>
      </c>
      <c r="D43" s="68" t="inlineStr"/>
      <c r="E43" s="68" t="n">
        <v>5</v>
      </c>
      <c r="F43" s="68" t="inlineStr">
        <is>
          <t>120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43" s="68" t="n">
        <v>0</v>
      </c>
      <c r="H43" s="68" t="n">
        <v>5.571428571428571</v>
      </c>
      <c r="I43" s="68" t="n">
        <v>13</v>
      </c>
      <c r="J43" s="68" t="n">
        <v>20</v>
      </c>
      <c r="K43" s="68" t="n">
        <v>23.5</v>
      </c>
      <c r="L43" s="68" t="n">
        <v>23.5</v>
      </c>
      <c r="M43" s="68" t="n">
        <v>23.5</v>
      </c>
      <c r="N43" s="68" t="n">
        <v>23.5</v>
      </c>
      <c r="O43" s="68" t="n">
        <v>0</v>
      </c>
      <c r="P43" s="68" t="n">
        <v>0.3</v>
      </c>
      <c r="Q43" s="68" t="n">
        <v>0.7</v>
      </c>
      <c r="R43" s="68" t="n">
        <v>1</v>
      </c>
      <c r="S43" s="68" t="n">
        <v>1</v>
      </c>
      <c r="T43" s="68" t="n">
        <v>1</v>
      </c>
      <c r="U43" s="68" t="n">
        <v>1</v>
      </c>
      <c r="V43" s="68" t="n">
        <v>1</v>
      </c>
    </row>
    <row r="44">
      <c r="A44" s="68" t="inlineStr">
        <is>
          <t>spring_bent_hprime|</t>
        </is>
      </c>
      <c r="B44" s="68" t="inlineStr">
        <is>
          <t>spring-bent-hprime</t>
        </is>
      </c>
      <c r="C44" s="68" t="inlineStr">
        <is>
          <t>Shannon diversity (H')</t>
        </is>
      </c>
      <c r="D44" s="68" t="inlineStr"/>
      <c r="E44" s="68" t="n">
        <v>5</v>
      </c>
      <c r="F44" s="68" t="inlineStr">
        <is>
          <t>Reference curve fitted to comparable least-disturbed stations drawn from the national pool, because this ecoregion and its parents hold too few of their own.</t>
        </is>
      </c>
      <c r="G44" s="68" t="n">
        <v>0</v>
      </c>
      <c r="H44" s="68" t="n">
        <v>1.081071419375283</v>
      </c>
      <c r="I44" s="68" t="n">
        <v>2.522499978542328</v>
      </c>
      <c r="J44" s="68" t="n">
        <v>3.04749995470047</v>
      </c>
      <c r="K44" s="68" t="n">
        <v>3.309999942779541</v>
      </c>
      <c r="L44" s="68" t="n">
        <v>3.309999942779541</v>
      </c>
      <c r="M44" s="68" t="n">
        <v>3.309999942779541</v>
      </c>
      <c r="N44" s="68" t="n">
        <v>3.309999942779541</v>
      </c>
      <c r="O44" s="68" t="n">
        <v>0</v>
      </c>
      <c r="P44" s="68" t="n">
        <v>0.3</v>
      </c>
      <c r="Q44" s="68" t="n">
        <v>0.7</v>
      </c>
      <c r="R44" s="68" t="n">
        <v>1</v>
      </c>
      <c r="S44" s="68" t="n">
        <v>1</v>
      </c>
      <c r="T44" s="68" t="n">
        <v>1</v>
      </c>
      <c r="U44" s="68" t="n">
        <v>1</v>
      </c>
      <c r="V44" s="68" t="n">
        <v>1</v>
      </c>
    </row>
    <row r="45">
      <c r="A45" s="68" t="inlineStr">
        <is>
          <t>spring_nid_dams_1mi|</t>
        </is>
      </c>
      <c r="B45" s="68" t="inlineStr">
        <is>
          <t>spring-nid-dams-1mi</t>
        </is>
      </c>
      <c r="C45" s="68" t="inlineStr">
        <is>
          <t>Mapped dams within one mile</t>
        </is>
      </c>
      <c r="D45" s="68" t="inlineStr"/>
      <c r="E45" s="68" t="n">
        <v>4</v>
      </c>
      <c r="F45" s="68" t="inlineStr">
        <is>
          <t>Fixed criteria, the same in every region</t>
        </is>
      </c>
      <c r="G45" s="68" t="n">
        <v>0</v>
      </c>
      <c r="H45" s="68" t="n">
        <v>1</v>
      </c>
      <c r="I45" s="68" t="n">
        <v>2</v>
      </c>
      <c r="J45" s="68" t="n">
        <v>3</v>
      </c>
      <c r="K45" s="68" t="n">
        <v>3</v>
      </c>
      <c r="L45" s="68" t="n">
        <v>3</v>
      </c>
      <c r="M45" s="68" t="n">
        <v>3</v>
      </c>
      <c r="N45" s="68" t="n">
        <v>3</v>
      </c>
      <c r="O45" s="68" t="n">
        <v>1</v>
      </c>
      <c r="P45" s="68" t="n">
        <v>0.545</v>
      </c>
      <c r="Q45" s="68" t="n">
        <v>0.195</v>
      </c>
      <c r="R45" s="68" t="n">
        <v>0</v>
      </c>
      <c r="S45" s="68" t="n">
        <v>0</v>
      </c>
      <c r="T45" s="68" t="n">
        <v>0</v>
      </c>
      <c r="U45" s="68" t="n">
        <v>0</v>
      </c>
      <c r="V45" s="68" t="n">
        <v>0</v>
      </c>
    </row>
    <row r="48">
      <c r="A48" s="71" t="inlineStr">
        <is>
          <t>Curve sets by metric</t>
        </is>
      </c>
    </row>
    <row r="49">
      <c r="A49" s="68" t="inlineStr">
        <is>
          <t>All streams (pooled)</t>
        </is>
      </c>
      <c r="B49" s="4" t="inlineStr">
        <is>
          <t>Wetland</t>
        </is>
      </c>
    </row>
    <row r="50">
      <c r="A50" s="68" t="inlineStr">
        <is>
          <t>Moderate gradient (0.5 to 2 percent)</t>
        </is>
      </c>
      <c r="B50" s="4" t="inlineStr">
        <is>
          <t>Wetland</t>
        </is>
      </c>
    </row>
    <row r="51">
      <c r="A51" s="68" t="inlineStr">
        <is>
          <t>Steep (2 percent and above)</t>
        </is>
      </c>
      <c r="B51" s="4" t="inlineStr">
        <is>
          <t>Wetland</t>
        </is>
      </c>
    </row>
    <row r="52">
      <c r="A52" s="68" t="inlineStr">
        <is>
          <t>All streams (pooled)</t>
        </is>
      </c>
      <c r="B52" s="4" t="inlineStr">
        <is>
          <t>Bankfull width:depth ratio</t>
        </is>
      </c>
    </row>
    <row r="53">
      <c r="A53" s="68" t="inlineStr">
        <is>
          <t>Headwater (10 km2 and under)</t>
        </is>
      </c>
      <c r="B53" s="4" t="inlineStr">
        <is>
          <t>Bankfull width:depth ratio</t>
        </is>
      </c>
    </row>
    <row r="54">
      <c r="A54" s="68" t="inlineStr">
        <is>
          <t>Small stream (10 to 100 km2)</t>
        </is>
      </c>
      <c r="B54" s="4" t="inlineStr">
        <is>
          <t>Bankfull width:depth ratio</t>
        </is>
      </c>
    </row>
    <row r="55">
      <c r="A55" s="68" t="inlineStr">
        <is>
          <t>Large stream (over 100 km2)</t>
        </is>
      </c>
      <c r="B55" s="4" t="inlineStr">
        <is>
          <t>Bankfull width:depth ratio</t>
        </is>
      </c>
    </row>
    <row r="56">
      <c r="A56" s="68" t="inlineStr">
        <is>
          <t>All streams (pooled)</t>
        </is>
      </c>
      <c r="B56" s="4" t="inlineStr">
        <is>
          <t>Relative bed stability</t>
        </is>
      </c>
    </row>
    <row r="57">
      <c r="A57" s="68" t="inlineStr">
        <is>
          <t>Headwater (10 km2 and under)</t>
        </is>
      </c>
      <c r="B57" s="4" t="inlineStr">
        <is>
          <t>Relative bed stability</t>
        </is>
      </c>
    </row>
    <row r="58">
      <c r="A58" s="68" t="inlineStr">
        <is>
          <t>Small stream (10 to 100 km2)</t>
        </is>
      </c>
      <c r="B58" s="4" t="inlineStr">
        <is>
          <t>Relative bed stability</t>
        </is>
      </c>
    </row>
    <row r="59">
      <c r="A59" s="68" t="inlineStr">
        <is>
          <t>Large stream (over 100 km2)</t>
        </is>
      </c>
      <c r="B59" s="4" t="inlineStr">
        <is>
          <t>Relative bed stability</t>
        </is>
      </c>
    </row>
    <row r="60">
      <c r="A60" s="68" t="inlineStr">
        <is>
          <t>All streams (pooled)</t>
        </is>
      </c>
      <c r="B60" s="4" t="inlineStr">
        <is>
          <t>Canopy density, mid-channel</t>
        </is>
      </c>
    </row>
    <row r="61">
      <c r="A61" s="68" t="inlineStr">
        <is>
          <t>Headwater (10 km2 and under)</t>
        </is>
      </c>
      <c r="B61" s="4" t="inlineStr">
        <is>
          <t>Canopy density, mid-channel</t>
        </is>
      </c>
    </row>
    <row r="62">
      <c r="A62" s="68" t="inlineStr">
        <is>
          <t>Small stream (10 to 100 km2)</t>
        </is>
      </c>
      <c r="B62" s="4" t="inlineStr">
        <is>
          <t>Canopy density, mid-channel</t>
        </is>
      </c>
    </row>
    <row r="63">
      <c r="A63" s="68" t="inlineStr">
        <is>
          <t>Large stream (over 100 km2)</t>
        </is>
      </c>
      <c r="B63" s="4" t="inlineStr">
        <is>
          <t>Canopy density, mid-channel</t>
        </is>
      </c>
    </row>
    <row r="64">
      <c r="A64" s="68" t="inlineStr">
        <is>
          <t>All streams (pooled)</t>
        </is>
      </c>
      <c r="B64" s="4" t="inlineStr">
        <is>
          <t>Native fish taxa richness</t>
        </is>
      </c>
    </row>
    <row r="65">
      <c r="A65" s="68" t="inlineStr">
        <is>
          <t>Moderate gradient (0.5 to 2 percent)</t>
        </is>
      </c>
      <c r="B65" s="4" t="inlineStr">
        <is>
          <t>Native fish taxa richness</t>
        </is>
      </c>
    </row>
    <row r="68">
      <c r="A68" s="71" t="inlineStr">
        <is>
          <t>Condition classes</t>
        </is>
      </c>
    </row>
    <row r="69">
      <c r="A69" t="inlineStr">
        <is>
          <t>Metric index: at or below 0.39 Non-Functioning, at or below 0.69 Functioning At-Risk, above Functioning.</t>
        </is>
      </c>
    </row>
    <row r="70">
      <c r="A70" t="inlineStr">
        <is>
          <t>Function score (0 to 15): at or below 5 Non-Functioning, at or below 10 Functioning At-Risk, above Functioning.</t>
        </is>
      </c>
    </row>
    <row r="71">
      <c r="A71"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3">
      <c r="A3" s="5" t="inlineStr">
        <is>
          <t>Item</t>
        </is>
      </c>
      <c r="B3" s="5" t="inlineStr">
        <is>
          <t>Value</t>
        </is>
      </c>
    </row>
    <row r="4">
      <c r="A4" s="68" t="inlineStr">
        <is>
          <t>Assessment id</t>
        </is>
      </c>
      <c r="B4" s="68" t="inlineStr">
        <is>
          <t>blue-mountains</t>
        </is>
      </c>
    </row>
    <row r="5">
      <c r="A5" s="68" t="inlineStr">
        <is>
          <t>Assessment name</t>
        </is>
      </c>
      <c r="B5" s="68" t="inlineStr">
        <is>
          <t>Blue Mountains reference assessment</t>
        </is>
      </c>
    </row>
    <row r="6">
      <c r="A6" s="68" t="inlineStr">
        <is>
          <t>Version</t>
        </is>
      </c>
      <c r="B6" s="68" t="n">
        <v>1</v>
      </c>
    </row>
    <row r="7">
      <c r="A7" s="68" t="inlineStr">
        <is>
          <t>Lifecycle status</t>
        </is>
      </c>
      <c r="B7" s="68" t="inlineStr"/>
    </row>
    <row r="8">
      <c r="A8" s="68" t="inlineStr">
        <is>
          <t>Content digest</t>
        </is>
      </c>
      <c r="B8" s="68" t="inlineStr">
        <is>
          <t>sha256:2ec853341a60f85ec296bc5d8a0f0dfd60f3d65c86ee2811f59a3f5f70dc13b0</t>
        </is>
      </c>
    </row>
    <row r="9">
      <c r="A9" s="68" t="inlineStr">
        <is>
          <t>Region</t>
        </is>
      </c>
      <c r="B9" s="68" t="inlineStr">
        <is>
          <t>ecoregion 11 Blue Mountains</t>
        </is>
      </c>
    </row>
    <row r="10">
      <c r="A10" s="68" t="inlineStr">
        <is>
          <t>Source</t>
        </is>
      </c>
      <c r="B10" s="68" t="inlineStr">
        <is>
          <t>USEPA NRSA 2013-24 (L3 ecoregion 11),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29</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1.0</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71" t="inlineStr">
        <is>
          <t>Function</t>
        </is>
      </c>
      <c r="B2" s="71" t="inlineStr">
        <is>
          <t>Score</t>
        </is>
      </c>
      <c r="C2" s="71" t="inlineStr">
        <is>
          <t>Non-Functioning (0-5)</t>
        </is>
      </c>
      <c r="D2" s="71" t="inlineStr">
        <is>
          <t>Functioning At-Risk (6-10)</t>
        </is>
      </c>
      <c r="E2" s="71"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71" t="inlineStr">
        <is>
          <t>Outcome</t>
        </is>
      </c>
      <c r="B24" s="71" t="inlineStr">
        <is>
          <t>Score</t>
        </is>
      </c>
      <c r="C24" s="71" t="inlineStr">
        <is>
          <t>Non-Functioning (0.00-0.39)</t>
        </is>
      </c>
      <c r="D24" s="71" t="inlineStr">
        <is>
          <t>Functioning At-Risk (0.40-0.69)</t>
        </is>
      </c>
      <c r="E24" s="71"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2026-09-30T07:06:34Z</dcterms:created>
  <dcterms:modified xmlns:dcterms="http://purl.org/dc/terms/" xmlns:xsi="http://www.w3.org/2001/XMLSchema-instance" xsi:type="dcterms:W3CDTF">2026-09-30T07:06:34Z</dcterms:modified>
  <cp:lastModifiedBy>DEEP</cp:lastModifiedBy>
</cp:coreProperties>
</file>