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'Reference'!$A$5:$A$31</definedName>
    <definedName name="curve_x1">'Reference'!$G$5:$G$31</definedName>
    <definedName name="curve_y1">'Reference'!$O$5:$O$31</definedName>
    <definedName name="curve_x2">'Reference'!$H$5:$H$31</definedName>
    <definedName name="curve_y2">'Reference'!$P$5:$P$31</definedName>
    <definedName name="curve_x3">'Reference'!$I$5:$I$31</definedName>
    <definedName name="curve_y3">'Reference'!$Q$5:$Q$31</definedName>
    <definedName name="curve_x4">'Reference'!$J$5:$J$31</definedName>
    <definedName name="curve_y4">'Reference'!$R$5:$R$31</definedName>
    <definedName name="curve_x5">'Reference'!$K$5:$K$31</definedName>
    <definedName name="curve_y5">'Reference'!$S$5:$S$31</definedName>
    <definedName name="curve_x6">'Reference'!$L$5:$L$31</definedName>
    <definedName name="curve_y6">'Reference'!$T$5:$T$31</definedName>
    <definedName name="curve_x7">'Reference'!$M$5:$M$31</definedName>
    <definedName name="curve_y7">'Reference'!$U$5:$U$31</definedName>
    <definedName name="curve_x8">'Reference'!$N$5:$N$31</definedName>
    <definedName name="curve_y8">'Reference'!$V$5:$V$31</definedName>
    <definedName name="strata_spring_phab_xcdenmid">'Reference'!$A$35:$A$37</definedName>
    <definedName name="strata_spring_phab_xfc_nat">'Reference'!$A$38:$A$40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xbkf_h">'Metrics'!$V$12</definedName>
    <definedName name="idx_spring_phab_bfwd_rat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phab_xcdenmid">'Metrics'!$V$19</definedName>
    <definedName name="idx_spring_phab_xcmgw">'Metrics'!$V$20</definedName>
    <definedName name="idx_spring_chem_ntl">'Metrics'!$V$21</definedName>
    <definedName name="idx_spring_chem_ptl">'Metrics'!$V$22</definedName>
    <definedName name="idx_spring_chem_cond">'Metrics'!$V$23</definedName>
    <definedName name="idx_spring_phab_xfc_nat">'Metrics'!$V$24</definedName>
    <definedName name="idx_spring_fish_mmi_fish">'Metrics'!$V$25</definedName>
    <definedName name="idx_spring_bent_mmi_bent">'Metrics'!$V$26</definedName>
    <definedName name="idx_spring_nid_dams_1mi">'Metrics'!$V$27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xbkf_h">'DEEP Score'!$E$21</definedName>
    <definedName name="in_spring_phab_bfwd_rat">'DEEP Score'!$E$22</definedName>
    <definedName name="in_spring_phab_xembed">'DEEP Score'!$E$23</definedName>
    <definedName name="in_spring_phab_sinu">'DEEP Score'!$E$26</definedName>
    <definedName name="in_spring_phab_xbka">'DEEP Score'!$E$27</definedName>
    <definedName name="in_spring_phab_lrbs_use">'DEEP Score'!$E$28</definedName>
    <definedName name="in_spring_phab_lwdeqvolm100">'DEEP Score'!$E$30</definedName>
    <definedName name="in_spring_phab_xcdenmid">'DEEP Score'!$E$31</definedName>
    <definedName name="st_spring_phab_xcdenmid">'DEEP Score'!$F$31</definedName>
    <definedName name="in_spring_phab_xcmgw">'DEEP Score'!$E$32</definedName>
    <definedName name="in_spring_chem_ntl">'DEEP Score'!$E$33</definedName>
    <definedName name="in_spring_chem_ptl">'DEEP Score'!$E$34</definedName>
    <definedName name="in_spring_chem_cond">'DEEP Score'!$E$35</definedName>
    <definedName name="in_spring_phab_xfc_nat">'DEEP Score'!$E$36</definedName>
    <definedName name="st_spring_phab_xfc_nat">'DEEP Score'!$F$36</definedName>
    <definedName name="in_spring_fish_mmi_fish">'DEEP Score'!$E$37</definedName>
    <definedName name="in_spring_bent_mmi_bent">'DEEP Score'!$E$38</definedName>
    <definedName name="in_spring_nid_dams_1mi">'DEEP Score'!$E$39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Western Gulf Coastal Plain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3" t="inlineStr">
        <is>
          <t>Reference condition. Reference condition is set by a fixed landscape-pressure screen, never by a score. 11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10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Western Gulf Coastal Plain reference assessment</t>
        </is>
      </c>
    </row>
    <row r="3">
      <c r="A3" s="4" t="inlineStr">
        <is>
          <t>Version 1 | USEPA NRSA 2013-24 (L3 ecoregion 34),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24" t="inlineStr"/>
      <c r="G19" s="25">
        <f>IF('Metrics'!$V$11="","",'Metrics'!$V$11)</f>
        <v/>
      </c>
      <c r="H19" s="20" t="n"/>
      <c r="I19" s="26" t="n"/>
    </row>
    <row r="20">
      <c r="A20" s="39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0">
        <f>IF('DEEP Score'!$E$12="","",'DEEP Score'!$E$12)</f>
        <v/>
      </c>
      <c r="F20" s="41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height above channel</t>
        </is>
      </c>
      <c r="D21" s="13" t="inlineStr">
        <is>
          <t>m</t>
        </is>
      </c>
      <c r="E21" s="14" t="n"/>
      <c r="F21" s="15" t="inlineStr"/>
      <c r="G21" s="16">
        <f>IF('Metrics'!$V$12="","",'Metrics'!$V$12)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width:depth ratio</t>
        </is>
      </c>
      <c r="D22" s="22" t="inlineStr"/>
      <c r="E22" s="23" t="n"/>
      <c r="F22" s="24" t="inlineStr"/>
      <c r="G22" s="25">
        <f>IF('Metrics'!$V$13="","",'Metrics'!$V$13)</f>
        <v/>
      </c>
      <c r="H22" s="20" t="n"/>
      <c r="I22" s="26" t="n"/>
    </row>
    <row r="23">
      <c r="A23" s="39" t="inlineStr">
        <is>
          <t>Hydraulics</t>
        </is>
      </c>
      <c r="B23" s="28" t="inlineStr">
        <is>
          <t>Hyporheic connectivity</t>
        </is>
      </c>
      <c r="C23" s="29" t="inlineStr">
        <is>
          <t>Embeddedness</t>
        </is>
      </c>
      <c r="D23" s="30" t="inlineStr">
        <is>
          <t>%</t>
        </is>
      </c>
      <c r="E23" s="31" t="n"/>
      <c r="F23" s="32" t="inlineStr"/>
      <c r="G23" s="33">
        <f>IF('Metrics'!$V$14="","",'Metrics'!$V$14)</f>
        <v/>
      </c>
      <c r="H23" s="34">
        <f>IF('Results'!$B$11="","",'Results'!$B$11)</f>
        <v/>
      </c>
      <c r="I23" s="35">
        <f>IF('DEEP Score'!$H$23="","",IF('DEEP Score'!$H$23&lt;=5,"Non-Functioning",IF('DEEP Score'!$H$23&lt;=10,"Functioning At-Risk","Functioning")))</f>
        <v/>
      </c>
    </row>
    <row r="24">
      <c r="A24" s="42" t="inlineStr">
        <is>
          <t>Geomorphology</t>
        </is>
      </c>
      <c r="B24" s="11" t="inlineStr">
        <is>
          <t>Channel evolution</t>
        </is>
      </c>
      <c r="C24" s="12" t="inlineStr">
        <is>
          <t>Bankfull height above channel</t>
        </is>
      </c>
      <c r="D24" s="13" t="inlineStr">
        <is>
          <t>m</t>
        </is>
      </c>
      <c r="E24" s="37">
        <f>IF('DEEP Score'!$E$21="","",'DEEP Score'!$E$21)</f>
        <v/>
      </c>
      <c r="F24" s="38" t="inlineStr"/>
      <c r="G24" s="16">
        <f>IF('Metrics'!$V$12="","",'Metrics'!$V$12)</f>
        <v/>
      </c>
      <c r="H24" s="17">
        <f>IF('Results'!$B$12="","",'Results'!$B$12)</f>
        <v/>
      </c>
      <c r="I24" s="18">
        <f>IF('DEEP Score'!$H$24="","",IF('DEEP Score'!$H$24&lt;=5,"Non-Functioning",IF('DEEP Score'!$H$24&lt;=10,"Functioning At-Risk","Functioning")))</f>
        <v/>
      </c>
    </row>
    <row r="25">
      <c r="A25" s="19" t="n"/>
      <c r="B25" s="20" t="n"/>
      <c r="C25" s="21" t="inlineStr">
        <is>
          <t>Bankfull width:depth ratio</t>
        </is>
      </c>
      <c r="D25" s="22" t="inlineStr"/>
      <c r="E25" s="43">
        <f>IF('DEEP Score'!$E$22="","",'DEEP Score'!$E$22)</f>
        <v/>
      </c>
      <c r="F25" s="44" t="inlineStr"/>
      <c r="G25" s="25">
        <f>IF('Metrics'!$V$13="","",'Metrics'!$V$13)</f>
        <v/>
      </c>
      <c r="H25" s="20" t="n"/>
      <c r="I25" s="26" t="n"/>
    </row>
    <row r="26">
      <c r="A26" s="42" t="inlineStr">
        <is>
          <t>Geomorphology</t>
        </is>
      </c>
      <c r="B26" s="11" t="inlineStr">
        <is>
          <t>Channel and floodplain dynamics</t>
        </is>
      </c>
      <c r="C26" s="12" t="inlineStr">
        <is>
          <t>Sinuosity</t>
        </is>
      </c>
      <c r="D26" s="13" t="inlineStr"/>
      <c r="E26" s="14" t="n"/>
      <c r="F26" s="15" t="inlineStr"/>
      <c r="G26" s="16">
        <f>IF('Metrics'!$V$15="","",'Metrics'!$V$15)</f>
        <v/>
      </c>
      <c r="H26" s="17">
        <f>IF('Results'!$B$13="","",'Results'!$B$13)</f>
        <v/>
      </c>
      <c r="I26" s="18">
        <f>IF('DEEP Score'!$H$26="","",IF('DEEP Score'!$H$26&lt;=5,"Non-Functioning",IF('DEEP Score'!$H$26&lt;=10,"Functioning At-Risk","Functioning")))</f>
        <v/>
      </c>
    </row>
    <row r="27">
      <c r="A27" s="19" t="n"/>
      <c r="B27" s="20" t="n"/>
      <c r="C27" s="21" t="inlineStr">
        <is>
          <t>Bank angle</t>
        </is>
      </c>
      <c r="D27" s="22" t="inlineStr">
        <is>
          <t>degrees</t>
        </is>
      </c>
      <c r="E27" s="23" t="n"/>
      <c r="F27" s="24" t="inlineStr"/>
      <c r="G27" s="25">
        <f>IF('Metrics'!$V$16="","",'Metrics'!$V$16)</f>
        <v/>
      </c>
      <c r="H27" s="20" t="n"/>
      <c r="I27" s="26" t="n"/>
    </row>
    <row r="28">
      <c r="A28" s="45" t="inlineStr">
        <is>
          <t>Geomorphology</t>
        </is>
      </c>
      <c r="B28" s="28" t="inlineStr">
        <is>
          <t>Sediment continuity</t>
        </is>
      </c>
      <c r="C28" s="29" t="inlineStr">
        <is>
          <t>Relative bed stability</t>
        </is>
      </c>
      <c r="D28" s="30" t="inlineStr">
        <is>
          <t>log</t>
        </is>
      </c>
      <c r="E28" s="31" t="n"/>
      <c r="F28" s="32" t="inlineStr"/>
      <c r="G28" s="33">
        <f>IF('Metrics'!$V$17="","",'Metrics'!$V$17)</f>
        <v/>
      </c>
      <c r="H28" s="34">
        <f>IF('Results'!$B$14="","",'Results'!$B$14)</f>
        <v/>
      </c>
      <c r="I28" s="35">
        <f>IF('DEEP Score'!$H$28="","",IF('DEEP Score'!$H$28&lt;=5,"Non-Functioning",IF('DEEP Score'!$H$28&lt;=10,"Functioning At-Risk","Functioning")))</f>
        <v/>
      </c>
    </row>
    <row r="29">
      <c r="A29" s="42" t="inlineStr">
        <is>
          <t>Geomorphology</t>
        </is>
      </c>
      <c r="B29" s="11" t="inlineStr">
        <is>
          <t>Bed composition and bedform dynamics</t>
        </is>
      </c>
      <c r="C29" s="12" t="inlineStr">
        <is>
          <t>Embeddedness</t>
        </is>
      </c>
      <c r="D29" s="13" t="inlineStr">
        <is>
          <t>%</t>
        </is>
      </c>
      <c r="E29" s="37">
        <f>IF('DEEP Score'!$E$23="","",'DEEP Score'!$E$23)</f>
        <v/>
      </c>
      <c r="F29" s="38" t="inlineStr"/>
      <c r="G29" s="16">
        <f>IF('Metrics'!$V$14="","",'Metrics'!$V$14)</f>
        <v/>
      </c>
      <c r="H29" s="17">
        <f>IF('Results'!$B$15="","",'Results'!$B$15)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Large wood volume</t>
        </is>
      </c>
      <c r="D30" s="22" t="inlineStr">
        <is>
          <t>m3/100m</t>
        </is>
      </c>
      <c r="E30" s="23" t="n"/>
      <c r="F30" s="24" t="inlineStr"/>
      <c r="G30" s="25">
        <f>IF('Metrics'!$V$18="","",'Metrics'!$V$18)</f>
        <v/>
      </c>
      <c r="H30" s="20" t="n"/>
      <c r="I30" s="26" t="n"/>
    </row>
    <row r="31">
      <c r="A31" s="46" t="inlineStr">
        <is>
          <t>Physicochemistry</t>
        </is>
      </c>
      <c r="B31" s="28" t="inlineStr">
        <is>
          <t>Light &amp; thermal regime</t>
        </is>
      </c>
      <c r="C31" s="29" t="inlineStr">
        <is>
          <t>Canopy density, mid-channel</t>
        </is>
      </c>
      <c r="D31" s="30" t="inlineStr">
        <is>
          <t>%</t>
        </is>
      </c>
      <c r="E31" s="31" t="n"/>
      <c r="F31" s="47" t="inlineStr">
        <is>
          <t>All streams (pooled)</t>
        </is>
      </c>
      <c r="G31" s="33">
        <f>IF('Metrics'!$V$19="","",'Metrics'!$V$19)</f>
        <v/>
      </c>
      <c r="H31" s="34">
        <f>IF('Results'!$B$16="","",'Results'!$B$16)</f>
        <v/>
      </c>
      <c r="I31" s="35">
        <f>IF('DEEP Score'!$H$31="","",IF('DEEP Score'!$H$31&lt;=5,"Non-Functioning",IF('DEEP Score'!$H$31&lt;=10,"Functioning At-Risk","Functioning")))</f>
        <v/>
      </c>
    </row>
    <row r="32">
      <c r="A32" s="46" t="inlineStr">
        <is>
          <t>Physicochemistry</t>
        </is>
      </c>
      <c r="B32" s="28" t="inlineStr">
        <is>
          <t>Carbon processing</t>
        </is>
      </c>
      <c r="C32" s="29" t="inlineStr">
        <is>
          <t>Riparian veg cover, woody</t>
        </is>
      </c>
      <c r="D32" s="30" t="inlineStr">
        <is>
          <t>frac</t>
        </is>
      </c>
      <c r="E32" s="31" t="n"/>
      <c r="F32" s="32" t="inlineStr"/>
      <c r="G32" s="33">
        <f>IF('Metrics'!$V$20="","",'Metrics'!$V$20)</f>
        <v/>
      </c>
      <c r="H32" s="34">
        <f>IF('Results'!$B$17="","",'Results'!$B$17)</f>
        <v/>
      </c>
      <c r="I32" s="35">
        <f>IF('DEEP Score'!$H$32="","",IF('DEEP Score'!$H$32&lt;=5,"Non-Functioning",IF('DEEP Score'!$H$32&lt;=10,"Functioning At-Risk","Functioning")))</f>
        <v/>
      </c>
    </row>
    <row r="33">
      <c r="A33" s="48" t="inlineStr">
        <is>
          <t>Physicochemistry</t>
        </is>
      </c>
      <c r="B33" s="11" t="inlineStr">
        <is>
          <t>Nutrient cycling</t>
        </is>
      </c>
      <c r="C33" s="12" t="inlineStr">
        <is>
          <t>Total nitrogen</t>
        </is>
      </c>
      <c r="D33" s="13" t="inlineStr">
        <is>
          <t>mg N/L</t>
        </is>
      </c>
      <c r="E33" s="14" t="n"/>
      <c r="F33" s="15" t="inlineStr"/>
      <c r="G33" s="16">
        <f>IF('Metrics'!$V$21="","",'Metrics'!$V$21)</f>
        <v/>
      </c>
      <c r="H33" s="17">
        <f>IF('Results'!$B$18="","",'Results'!$B$18)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Total phosphorus</t>
        </is>
      </c>
      <c r="D34" s="22" t="inlineStr">
        <is>
          <t>ug/L</t>
        </is>
      </c>
      <c r="E34" s="23" t="n"/>
      <c r="F34" s="24" t="inlineStr"/>
      <c r="G34" s="25">
        <f>IF('Metrics'!$V$22="","",'Metrics'!$V$22)</f>
        <v/>
      </c>
      <c r="H34" s="20" t="n"/>
      <c r="I34" s="26" t="n"/>
    </row>
    <row r="35">
      <c r="A35" s="46" t="inlineStr">
        <is>
          <t>Physicochemistry</t>
        </is>
      </c>
      <c r="B35" s="28" t="inlineStr">
        <is>
          <t>Water &amp; soil quality</t>
        </is>
      </c>
      <c r="C35" s="29" t="inlineStr">
        <is>
          <t>Specific conductivity</t>
        </is>
      </c>
      <c r="D35" s="30" t="inlineStr">
        <is>
          <t>uS/cm</t>
        </is>
      </c>
      <c r="E35" s="31" t="n"/>
      <c r="F35" s="32" t="inlineStr"/>
      <c r="G35" s="33">
        <f>IF('Metrics'!$V$23="","",'Metrics'!$V$23)</f>
        <v/>
      </c>
      <c r="H35" s="34">
        <f>IF('Results'!$B$19="","",'Results'!$B$19)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9" t="inlineStr">
        <is>
          <t>Biology</t>
        </is>
      </c>
      <c r="B36" s="28" t="inlineStr">
        <is>
          <t>Habitat provision</t>
        </is>
      </c>
      <c r="C36" s="29" t="inlineStr">
        <is>
          <t>Natural fish cover</t>
        </is>
      </c>
      <c r="D36" s="30" t="inlineStr">
        <is>
          <t>frac</t>
        </is>
      </c>
      <c r="E36" s="31" t="n"/>
      <c r="F36" s="47" t="inlineStr">
        <is>
          <t>All streams (pooled)</t>
        </is>
      </c>
      <c r="G36" s="33">
        <f>IF('Metrics'!$V$24="","",'Metrics'!$V$24)</f>
        <v/>
      </c>
      <c r="H36" s="34">
        <f>IF('Results'!$B$20="","",'Results'!$B$20)</f>
        <v/>
      </c>
      <c r="I36" s="35">
        <f>IF('DEEP Score'!$H$36="","",IF('DEEP Score'!$H$36&lt;=5,"Non-Functioning",IF('DEEP Score'!$H$36&lt;=10,"Functioning At-Risk","Functioning")))</f>
        <v/>
      </c>
    </row>
    <row r="37">
      <c r="A37" s="49" t="inlineStr">
        <is>
          <t>Biology</t>
        </is>
      </c>
      <c r="B37" s="28" t="inlineStr">
        <is>
          <t>Population support</t>
        </is>
      </c>
      <c r="C37" s="29" t="inlineStr">
        <is>
          <t>Fish MMI</t>
        </is>
      </c>
      <c r="D37" s="30" t="inlineStr">
        <is>
          <t>MMI points</t>
        </is>
      </c>
      <c r="E37" s="31" t="n"/>
      <c r="F37" s="32" t="inlineStr"/>
      <c r="G37" s="33">
        <f>IF('Metrics'!$V$25="","",'Metrics'!$V$25)</f>
        <v/>
      </c>
      <c r="H37" s="34">
        <f>IF('Results'!$B$21="","",'Results'!$B$21)</f>
        <v/>
      </c>
      <c r="I37" s="35">
        <f>IF('DEEP Score'!$H$37="","",IF('DEEP Score'!$H$37&lt;=5,"Non-Functioning",IF('DEEP Score'!$H$37&lt;=10,"Functioning At-Risk","Functioning")))</f>
        <v/>
      </c>
    </row>
    <row r="38">
      <c r="A38" s="49" t="inlineStr">
        <is>
          <t>Biology</t>
        </is>
      </c>
      <c r="B38" s="28" t="inlineStr">
        <is>
          <t>Community dynamics</t>
        </is>
      </c>
      <c r="C38" s="29" t="inlineStr">
        <is>
          <t>Benthic macroinvertebrate MMI</t>
        </is>
      </c>
      <c r="D38" s="30" t="inlineStr">
        <is>
          <t>MMI points</t>
        </is>
      </c>
      <c r="E38" s="31" t="n"/>
      <c r="F38" s="32" t="inlineStr"/>
      <c r="G38" s="33">
        <f>IF('Metrics'!$V$26="","",'Metrics'!$V$26)</f>
        <v/>
      </c>
      <c r="H38" s="34">
        <f>IF('Results'!$B$22="","",'Results'!$B$22)</f>
        <v/>
      </c>
      <c r="I38" s="35">
        <f>IF('DEEP Score'!$H$38="","",IF('DEEP Score'!$H$38&lt;=5,"Non-Functioning",IF('DEEP Score'!$H$38&lt;=10,"Functioning At-Risk","Functioning")))</f>
        <v/>
      </c>
    </row>
    <row r="39">
      <c r="A39" s="49" t="inlineStr">
        <is>
          <t>Biology</t>
        </is>
      </c>
      <c r="B39" s="28" t="inlineStr">
        <is>
          <t>Watershed connectivity</t>
        </is>
      </c>
      <c r="C39" s="29" t="inlineStr">
        <is>
          <t>Mapped dams within one mile</t>
        </is>
      </c>
      <c r="D39" s="30" t="inlineStr">
        <is>
          <t>dams</t>
        </is>
      </c>
      <c r="E39" s="31" t="n"/>
      <c r="F39" s="32" t="inlineStr"/>
      <c r="G39" s="33">
        <f>IF('Metrics'!$V$27="","",'Metrics'!$V$27)</f>
        <v/>
      </c>
      <c r="H39" s="34">
        <f>IF('Results'!$B$23="","",'Results'!$B$23)</f>
        <v/>
      </c>
      <c r="I39" s="35">
        <f>IF('DEEP Score'!$H$39="","",IF('DEEP Score'!$H$39&lt;=5,"Non-Functioning",IF('DEEP Score'!$H$39&lt;=10,"Functioning At-Risk","Functioning")))</f>
        <v/>
      </c>
    </row>
    <row r="41">
      <c r="A41" s="50" t="inlineStr">
        <is>
          <t>Summary</t>
        </is>
      </c>
    </row>
    <row r="42">
      <c r="A42" s="9" t="inlineStr">
        <is>
          <t>Outcome</t>
        </is>
      </c>
      <c r="B42" s="9" t="inlineStr">
        <is>
          <t>Sub-index (0 to 1)</t>
        </is>
      </c>
      <c r="C42" s="9" t="inlineStr">
        <is>
          <t>Condition</t>
        </is>
      </c>
    </row>
    <row r="43">
      <c r="A43" s="51" t="inlineStr">
        <is>
          <t>Physical</t>
        </is>
      </c>
      <c r="B43" s="52">
        <f>'Results'!$B$26</f>
        <v/>
      </c>
      <c r="C43" s="53">
        <f>IF('DEEP Score'!$B$43&lt;=0.39,"Non-Functioning",IF('DEEP Score'!$B$43&lt;=0.69,"Functioning At-Risk","Functioning"))</f>
        <v/>
      </c>
    </row>
    <row r="44">
      <c r="A44" s="51" t="inlineStr">
        <is>
          <t>Chemical</t>
        </is>
      </c>
      <c r="B44" s="52">
        <f>'Results'!$B$27</f>
        <v/>
      </c>
      <c r="C44" s="53">
        <f>IF('DEEP Score'!$B$44&lt;=0.39,"Non-Functioning",IF('DEEP Score'!$B$44&lt;=0.69,"Functioning At-Risk","Functioning"))</f>
        <v/>
      </c>
    </row>
    <row r="45">
      <c r="A45" s="51" t="inlineStr">
        <is>
          <t>Biological</t>
        </is>
      </c>
      <c r="B45" s="52">
        <f>'Results'!$B$28</f>
        <v/>
      </c>
      <c r="C45" s="53">
        <f>IF('DEEP Score'!$B$45&lt;=0.39,"Non-Functioning",IF('DEEP Score'!$B$45&lt;=0.69,"Functioning At-Risk","Functioning"))</f>
        <v/>
      </c>
    </row>
    <row r="46" ht="30" customHeight="1">
      <c r="A46" s="54" t="inlineStr">
        <is>
          <t>Ecosystem Condition Index</t>
        </is>
      </c>
      <c r="B46" s="55">
        <f>'Results'!$B$29</f>
        <v/>
      </c>
      <c r="C46" s="53">
        <f>IF('DEEP Score'!$B$46&lt;=0.39,"Non-Functioning",IF('DEEP Score'!$B$46&lt;=0.69,"Functioning At-Risk","Functioning"))</f>
        <v/>
      </c>
    </row>
    <row r="47">
      <c r="A47" s="4" t="inlineStr">
        <is>
          <t xml:space="preserve">Functions with a score: </t>
        </is>
      </c>
      <c r="B47" s="4">
        <f>COUNT('Results'!$B$4:$B$23)&amp;" of 20"</f>
        <v/>
      </c>
    </row>
    <row r="48">
      <c r="A48" s="4" t="inlineStr">
        <is>
          <t>This assessment covers 20 of 20 STAF functions.</t>
        </is>
      </c>
    </row>
    <row r="50">
      <c r="A50" s="56" t="inlineStr">
        <is>
          <t>Withheld for insufficient reference support (not scored)</t>
        </is>
      </c>
    </row>
    <row r="51">
      <c r="A51" t="inlineStr">
        <is>
          <t>EPT taxa richness</t>
        </is>
      </c>
      <c r="C51" s="4" t="inlineStr">
        <is>
          <t>Community dynamics</t>
        </is>
      </c>
    </row>
    <row r="52">
      <c r="A52" t="inlineStr">
        <is>
          <t>Shannon diversity (H')</t>
        </is>
      </c>
      <c r="C52" s="4" t="inlineStr">
        <is>
          <t>Community dynamics</t>
        </is>
      </c>
    </row>
    <row r="53">
      <c r="A53" t="inlineStr">
        <is>
          <t>Tolerant individuals (%) ~ HBI</t>
        </is>
      </c>
      <c r="C53" s="4" t="inlineStr">
        <is>
          <t>Community dynamics</t>
        </is>
      </c>
    </row>
    <row r="54">
      <c r="A54" t="inlineStr">
        <is>
          <t>Benthic total taxa richness</t>
        </is>
      </c>
      <c r="C54" s="4" t="inlineStr">
        <is>
          <t>Population support</t>
        </is>
      </c>
    </row>
    <row r="55">
      <c r="A55" t="inlineStr">
        <is>
          <t>Chlorophyll a</t>
        </is>
      </c>
      <c r="C55" s="4" t="inlineStr">
        <is>
          <t>Light and thermal regime</t>
        </is>
      </c>
    </row>
    <row r="56">
      <c r="A56" t="inlineStr">
        <is>
          <t>pH</t>
        </is>
      </c>
      <c r="C56" s="4" t="inlineStr">
        <is>
          <t>Water and soil quality</t>
        </is>
      </c>
    </row>
    <row r="57">
      <c r="A57" t="inlineStr">
        <is>
          <t>Turbidity</t>
        </is>
      </c>
      <c r="C57" s="4" t="inlineStr">
        <is>
          <t>Water and soil quality</t>
        </is>
      </c>
    </row>
    <row r="58">
      <c r="A58" t="inlineStr">
        <is>
          <t>Native fish taxa richness</t>
        </is>
      </c>
      <c r="C58" s="4" t="inlineStr">
        <is>
          <t>Population support</t>
        </is>
      </c>
    </row>
    <row r="59">
      <c r="A59" t="inlineStr">
        <is>
          <t>Substrate size</t>
        </is>
      </c>
      <c r="C59" s="4" t="inlineStr">
        <is>
          <t>Bed composition and bedform dynamics</t>
        </is>
      </c>
    </row>
    <row r="60">
      <c r="A60" t="inlineStr">
        <is>
          <t>Fast-water / riffle habitat</t>
        </is>
      </c>
      <c r="C60" s="4" t="inlineStr">
        <is>
          <t>Habitat provision</t>
        </is>
      </c>
    </row>
    <row r="61">
      <c r="A61" t="inlineStr">
        <is>
          <t>Sand + fines</t>
        </is>
      </c>
      <c r="C61" s="4" t="inlineStr">
        <is>
          <t>Hyporheic connectivity, Sediment continuity</t>
        </is>
      </c>
    </row>
    <row r="63">
      <c r="A63" s="5" t="inlineStr">
        <is>
          <t>Notes</t>
        </is>
      </c>
    </row>
    <row r="64">
      <c r="A64" s="57" t="n"/>
      <c r="B64" s="58" t="n"/>
      <c r="C64" s="58" t="n"/>
      <c r="D64" s="58" t="n"/>
      <c r="E64" s="58" t="n"/>
      <c r="F64" s="58" t="n"/>
      <c r="G64" s="58" t="n"/>
      <c r="H64" s="58" t="n"/>
      <c r="I64" s="59" t="n"/>
    </row>
    <row r="65">
      <c r="A65" s="60" t="n"/>
      <c r="B65" s="61" t="n"/>
      <c r="C65" s="61" t="n"/>
      <c r="D65" s="61" t="n"/>
      <c r="E65" s="61" t="n"/>
      <c r="F65" s="61" t="n"/>
      <c r="G65" s="61" t="n"/>
      <c r="H65" s="61" t="n"/>
      <c r="I65" s="62" t="n"/>
    </row>
    <row r="66">
      <c r="A66" s="60" t="n"/>
      <c r="B66" s="61" t="n"/>
      <c r="C66" s="61" t="n"/>
      <c r="D66" s="61" t="n"/>
      <c r="E66" s="61" t="n"/>
      <c r="F66" s="61" t="n"/>
      <c r="G66" s="61" t="n"/>
      <c r="H66" s="61" t="n"/>
      <c r="I66" s="62" t="n"/>
    </row>
    <row r="67">
      <c r="A67" s="60" t="n"/>
      <c r="B67" s="61" t="n"/>
      <c r="C67" s="61" t="n"/>
      <c r="D67" s="61" t="n"/>
      <c r="E67" s="61" t="n"/>
      <c r="F67" s="61" t="n"/>
      <c r="G67" s="61" t="n"/>
      <c r="H67" s="61" t="n"/>
      <c r="I67" s="62" t="n"/>
    </row>
    <row r="68">
      <c r="A68" s="60" t="n"/>
      <c r="B68" s="61" t="n"/>
      <c r="C68" s="61" t="n"/>
      <c r="D68" s="61" t="n"/>
      <c r="E68" s="61" t="n"/>
      <c r="F68" s="61" t="n"/>
      <c r="G68" s="61" t="n"/>
      <c r="H68" s="61" t="n"/>
      <c r="I68" s="62" t="n"/>
    </row>
    <row r="69">
      <c r="A69" s="63" t="n"/>
      <c r="B69" s="64" t="n"/>
      <c r="C69" s="64" t="n"/>
      <c r="D69" s="64" t="n"/>
      <c r="E69" s="64" t="n"/>
      <c r="F69" s="64" t="n"/>
      <c r="G69" s="64" t="n"/>
      <c r="H69" s="64" t="n"/>
      <c r="I69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8">
    <mergeCell ref="H26:H27"/>
    <mergeCell ref="A24:A25"/>
    <mergeCell ref="H29:H30"/>
    <mergeCell ref="B12:B13"/>
    <mergeCell ref="B18:B19"/>
    <mergeCell ref="B8:D8"/>
    <mergeCell ref="I16:I17"/>
    <mergeCell ref="A16:A17"/>
    <mergeCell ref="H21:H22"/>
    <mergeCell ref="I26:I27"/>
    <mergeCell ref="B29:B30"/>
    <mergeCell ref="I18:I19"/>
    <mergeCell ref="A12:A13"/>
    <mergeCell ref="A26:A27"/>
    <mergeCell ref="I12:I13"/>
    <mergeCell ref="B9:D9"/>
    <mergeCell ref="I21:I22"/>
    <mergeCell ref="I33:I34"/>
    <mergeCell ref="A18:A19"/>
    <mergeCell ref="B6:D6"/>
    <mergeCell ref="B24:B25"/>
    <mergeCell ref="I24:I25"/>
    <mergeCell ref="A21:A22"/>
    <mergeCell ref="A64:I69"/>
    <mergeCell ref="B5:D5"/>
    <mergeCell ref="H16:H17"/>
    <mergeCell ref="H12:H13"/>
    <mergeCell ref="A33:A34"/>
    <mergeCell ref="A29:A30"/>
    <mergeCell ref="B33:B34"/>
    <mergeCell ref="I29:I30"/>
    <mergeCell ref="B7:D7"/>
    <mergeCell ref="H24:H25"/>
    <mergeCell ref="H18:H19"/>
    <mergeCell ref="H33:H34"/>
    <mergeCell ref="B16:B17"/>
    <mergeCell ref="B26:B27"/>
    <mergeCell ref="B21:B22"/>
  </mergeCells>
  <conditionalFormatting sqref="G12:G39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9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9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2">
    <dataValidation sqref="F31" showDropDown="0" showInputMessage="0" showErrorMessage="1" allowBlank="1" errorTitle="Curve set" error="Choose a curve set from the list." type="list">
      <formula1>=strata_spring_phab_xcdenmid</formula1>
    </dataValidation>
    <dataValidation sqref="F36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Residual pool depth</t>
        </is>
      </c>
      <c r="B11" s="68">
        <f>IF('DEEP Score'!$E$19="","",'DEEP Score'!$E$19)</f>
        <v/>
      </c>
      <c r="C11" s="68">
        <f>""</f>
        <v/>
      </c>
      <c r="D11" s="68">
        <f>"spring_phab_rp100_cm|"&amp;'Metrics'!$C$11</f>
        <v/>
      </c>
      <c r="E11" s="68">
        <f>IFERROR(MATCH('Metrics'!$D$11,curve_key,0),MATCH("spring_phab_rp100_cm|",curve_key,0))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Bankfull height above channel</t>
        </is>
      </c>
      <c r="B12" s="68">
        <f>IF('DEEP Score'!$E$21="","",'DEEP Score'!$E$21)</f>
        <v/>
      </c>
      <c r="C12" s="68">
        <f>""</f>
        <v/>
      </c>
      <c r="D12" s="68">
        <f>"spring_phab_xbkf_h|"&amp;'Metrics'!$C$12</f>
        <v/>
      </c>
      <c r="E12" s="68">
        <f>IFERROR(MATCH('Metrics'!$D$12,curve_key,0),MATCH("spring_phab_xbkf_h|",curve_key,0))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Bankfull width:depth ratio</t>
        </is>
      </c>
      <c r="B13" s="68">
        <f>IF('DEEP Score'!$E$22="","",'DEEP Score'!$E$22)</f>
        <v/>
      </c>
      <c r="C13" s="68">
        <f>""</f>
        <v/>
      </c>
      <c r="D13" s="68">
        <f>"spring_phab_bfwd_rat|"&amp;'Metrics'!$C$13</f>
        <v/>
      </c>
      <c r="E13" s="68">
        <f>IFERROR(MATCH('Metrics'!$D$13,curve_key,0),MATCH("spring_phab_bfwd_rat|",curve_key,0))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Embeddedness</t>
        </is>
      </c>
      <c r="B14" s="68">
        <f>IF('DEEP Score'!$E$23="","",'DEEP Score'!$E$23)</f>
        <v/>
      </c>
      <c r="C14" s="68">
        <f>""</f>
        <v/>
      </c>
      <c r="D14" s="68">
        <f>"spring_phab_xembed|"&amp;'Metrics'!$C$14</f>
        <v/>
      </c>
      <c r="E14" s="68">
        <f>IFERROR(MATCH('Metrics'!$D$14,curve_key,0),MATCH("spring_phab_xembed|",curve_key,0))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Sinuosity</t>
        </is>
      </c>
      <c r="B15" s="68">
        <f>IF('DEEP Score'!$E$26="","",'DEEP Score'!$E$26)</f>
        <v/>
      </c>
      <c r="C15" s="68">
        <f>""</f>
        <v/>
      </c>
      <c r="D15" s="68">
        <f>"spring_phab_sinu|"&amp;'Metrics'!$C$15</f>
        <v/>
      </c>
      <c r="E15" s="68">
        <f>IFERROR(MATCH('Metrics'!$D$15,curve_key,0),MATCH("spring_phab_sinu|",curve_key,0))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Bank angle</t>
        </is>
      </c>
      <c r="B16" s="68">
        <f>IF('DEEP Score'!$E$27="","",'DEEP Score'!$E$27)</f>
        <v/>
      </c>
      <c r="C16" s="68">
        <f>""</f>
        <v/>
      </c>
      <c r="D16" s="68">
        <f>"spring_phab_xbka|"&amp;'Metrics'!$C$16</f>
        <v/>
      </c>
      <c r="E16" s="68">
        <f>IFERROR(MATCH('Metrics'!$D$16,curve_key,0),MATCH("spring_phab_xbka|",curve_key,0))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Relative bed stability</t>
        </is>
      </c>
      <c r="B17" s="68">
        <f>IF('DEEP Score'!$E$28="","",'DEEP Score'!$E$28)</f>
        <v/>
      </c>
      <c r="C17" s="68">
        <f>""</f>
        <v/>
      </c>
      <c r="D17" s="68">
        <f>"spring_phab_lrbs_use|"&amp;'Metrics'!$C$17</f>
        <v/>
      </c>
      <c r="E17" s="68">
        <f>IFERROR(MATCH('Metrics'!$D$17,curve_key,0),MATCH("spring_phab_lrbs_use|",curve_key,0))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Large wood volume</t>
        </is>
      </c>
      <c r="B18" s="68">
        <f>IF('DEEP Score'!$E$30="","",'DEEP Score'!$E$30)</f>
        <v/>
      </c>
      <c r="C18" s="68">
        <f>""</f>
        <v/>
      </c>
      <c r="D18" s="68">
        <f>"spring_phab_lwdeqvolm100|"&amp;'Metrics'!$C$18</f>
        <v/>
      </c>
      <c r="E18" s="68">
        <f>IFERROR(MATCH('Metrics'!$D$18,curve_key,0),MATCH("spring_phab_lwdeqvolm100|",curve_key,0))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Canopy density, mid-channel</t>
        </is>
      </c>
      <c r="B19" s="68">
        <f>IF('DEEP Score'!$E$31="","",'DEEP Score'!$E$31)</f>
        <v/>
      </c>
      <c r="C19" s="68">
        <f>IF('DEEP Score'!$F$31="","All streams (pooled)",'DEEP Score'!$F$31)</f>
        <v/>
      </c>
      <c r="D19" s="68">
        <f>"spring_phab_xcdenmid|"&amp;'Metrics'!$C$19</f>
        <v/>
      </c>
      <c r="E19" s="68">
        <f>IFERROR(MATCH('Metrics'!$D$19,curve_key,0),MATCH("spring_phab_xcdenmid|All streams (pooled)",curve_key,0))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Riparian veg cover, woody</t>
        </is>
      </c>
      <c r="B20" s="68">
        <f>IF('DEEP Score'!$E$32="","",'DEEP Score'!$E$32)</f>
        <v/>
      </c>
      <c r="C20" s="68">
        <f>""</f>
        <v/>
      </c>
      <c r="D20" s="68">
        <f>"spring_phab_xcmgw|"&amp;'Metrics'!$C$20</f>
        <v/>
      </c>
      <c r="E20" s="68">
        <f>IFERROR(MATCH('Metrics'!$D$20,curve_key,0),MATCH("spring_phab_xcmgw|",curve_key,0))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Total nitrogen</t>
        </is>
      </c>
      <c r="B21" s="68">
        <f>IF('DEEP Score'!$E$33="","",'DEEP Score'!$E$33)</f>
        <v/>
      </c>
      <c r="C21" s="68">
        <f>""</f>
        <v/>
      </c>
      <c r="D21" s="68">
        <f>"spring_chem_ntl|"&amp;'Metrics'!$C$21</f>
        <v/>
      </c>
      <c r="E21" s="68">
        <f>IFERROR(MATCH('Metrics'!$D$21,curve_key,0),MATCH("spring_chem_ntl|",curve_key,0))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Total phosphorus</t>
        </is>
      </c>
      <c r="B22" s="68">
        <f>IF('DEEP Score'!$E$34="","",'DEEP Score'!$E$34)</f>
        <v/>
      </c>
      <c r="C22" s="68">
        <f>""</f>
        <v/>
      </c>
      <c r="D22" s="68">
        <f>"spring_chem_ptl|"&amp;'Metrics'!$C$22</f>
        <v/>
      </c>
      <c r="E22" s="68">
        <f>IFERROR(MATCH('Metrics'!$D$22,curve_key,0),MATCH("spring_chem_ptl|",curve_key,0))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Specific conductivity</t>
        </is>
      </c>
      <c r="B23" s="68">
        <f>IF('DEEP Score'!$E$35="","",'DEEP Score'!$E$35)</f>
        <v/>
      </c>
      <c r="C23" s="68">
        <f>""</f>
        <v/>
      </c>
      <c r="D23" s="68">
        <f>"spring_chem_cond|"&amp;'Metrics'!$C$23</f>
        <v/>
      </c>
      <c r="E23" s="68">
        <f>IFERROR(MATCH('Metrics'!$D$23,curve_key,0),MATCH("spring_chem_cond|",curve_key,0))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Natural fish cover</t>
        </is>
      </c>
      <c r="B24" s="68">
        <f>IF('DEEP Score'!$E$36="","",'DEEP Score'!$E$36)</f>
        <v/>
      </c>
      <c r="C24" s="68">
        <f>IF('DEEP Score'!$F$36="","All streams (pooled)",'DEEP Score'!$F$36)</f>
        <v/>
      </c>
      <c r="D24" s="68">
        <f>"spring_phab_xfc_nat|"&amp;'Metrics'!$C$24</f>
        <v/>
      </c>
      <c r="E24" s="68">
        <f>IFERROR(MATCH('Metrics'!$D$24,curve_key,0),MATCH("spring_phab_xfc_nat|All streams (pooled)",curve_key,0))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Fish MMI</t>
        </is>
      </c>
      <c r="B25" s="68">
        <f>IF('DEEP Score'!$E$37="","",'DEEP Score'!$E$37)</f>
        <v/>
      </c>
      <c r="C25" s="68">
        <f>""</f>
        <v/>
      </c>
      <c r="D25" s="68">
        <f>"spring_fish_mmi_fish|"&amp;'Metrics'!$C$25</f>
        <v/>
      </c>
      <c r="E25" s="68">
        <f>IFERROR(MATCH('Metrics'!$D$25,curve_key,0),MATCH("spring_fish_mmi_fish|",curve_key,0))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Benthic macroinvertebrate MMI</t>
        </is>
      </c>
      <c r="B26" s="68">
        <f>IF('DEEP Score'!$E$38="","",'DEEP Score'!$E$38)</f>
        <v/>
      </c>
      <c r="C26" s="68">
        <f>""</f>
        <v/>
      </c>
      <c r="D26" s="68">
        <f>"spring_bent_mmi_bent|"&amp;'Metrics'!$C$26</f>
        <v/>
      </c>
      <c r="E26" s="68">
        <f>IFERROR(MATCH('Metrics'!$D$26,curve_key,0),MATCH("spring_bent_mmi_bent|",curve_key,0))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Mapped dams within one mile</t>
        </is>
      </c>
      <c r="B27" s="68">
        <f>IF('DEEP Score'!$E$39="","",'DEEP Score'!$E$39)</f>
        <v/>
      </c>
      <c r="C27" s="68">
        <f>""</f>
        <v/>
      </c>
      <c r="D27" s="68">
        <f>"spring_nid_dams_1mi|"&amp;'Metrics'!$C$27</f>
        <v/>
      </c>
      <c r="E27" s="68">
        <f>IFERROR(MATCH('Metrics'!$D$27,curve_key,0),MATCH("spring_nid_dams_1mi|",curve_key,0))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Score'!G23:G23)=0,"",SUM('DEEP Score'!G23:G23)/COUNT('DEEP Score'!G23:G23)*15)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Score'!G24:G25)=0,"",SUM('DEEP Score'!G24:G25)/COUNT('DEEP Score'!G24:G25)*15)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Score'!G26:G27)=0,"",SUM('DEEP Score'!G26:G27)/COUNT('DEEP Score'!G26:G27)*15)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Score'!G28:G28)=0,"",SUM('DEEP Score'!G28:G28)/COUNT('DEEP Score'!G28:G28)*15)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Score'!G29:G30)=0,"",SUM('DEEP Score'!G29:G30)/COUNT('DEEP Score'!G29:G30)*15)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Score'!G31:G31)=0,"",SUM('DEEP Score'!G31:G31)/COUNT('DEEP Score'!G31:G31)*15)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Score'!G32:G32)=0,"",SUM('DEEP Score'!G32:G32)/COUNT('DEEP Score'!G32:G32)*15)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Score'!G33:G34)=0,"",SUM('DEEP Score'!G33:G34)/COUNT('DEEP Score'!G33:G34)*15)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Score'!G35:G35)=0,"",SUM('DEEP Score'!G35:G35)/COUNT('DEEP Score'!G35:G35)*15)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Score'!G36:G36)=0,"",SUM('DEEP Score'!G36:G36)/COUNT('DEEP Score'!G36:G36)*15)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Score'!G37:G37)=0,"",SUM('DEEP Score'!G37:G37)/COUNT('DEEP Score'!G37:G37)*15)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Score'!G38:G38)=0,"",SUM('DEEP Score'!G38:G38)/COUNT('DEEP Score'!G38:G38)*15)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Score'!G39:G39)=0,"",SUM('DEEP Score'!G39:G39)/COUNT('DEEP Score'!G39:G39)*15)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1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</t>
        </is>
      </c>
      <c r="D7" s="67" t="inlineStr"/>
      <c r="E7" s="67" t="n">
        <v>5</v>
      </c>
      <c r="F7" s="67" t="inlineStr">
        <is>
          <t>39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7" s="67" t="n">
        <v>0</v>
      </c>
      <c r="H7" s="67" t="n">
        <v>5.316428571428572</v>
      </c>
      <c r="I7" s="67" t="n">
        <v>12.405</v>
      </c>
      <c r="J7" s="67" t="n">
        <v>34.355</v>
      </c>
      <c r="K7" s="67" t="n">
        <v>45.33000000000001</v>
      </c>
      <c r="L7" s="67" t="n">
        <v>45.33000000000001</v>
      </c>
      <c r="M7" s="67" t="n">
        <v>45.33000000000001</v>
      </c>
      <c r="N7" s="67" t="n">
        <v>45.33000000000001</v>
      </c>
      <c r="O7" s="67" t="n">
        <v>0</v>
      </c>
      <c r="P7" s="67" t="n">
        <v>0.3</v>
      </c>
      <c r="Q7" s="67" t="n">
        <v>0.7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39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7" t="n">
        <v>0</v>
      </c>
      <c r="H9" s="67" t="n">
        <v>13.11441428571428</v>
      </c>
      <c r="I9" s="67" t="n">
        <v>30.6003</v>
      </c>
      <c r="J9" s="67" t="n">
        <v>44.48855</v>
      </c>
      <c r="K9" s="67" t="n">
        <v>51.432675</v>
      </c>
      <c r="L9" s="67" t="n">
        <v>51.432675</v>
      </c>
      <c r="M9" s="67" t="n">
        <v>51.432675</v>
      </c>
      <c r="N9" s="67" t="n">
        <v>51.432675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spring_phab_rp100_cm|</t>
        </is>
      </c>
      <c r="B11" s="67" t="inlineStr">
        <is>
          <t>spring-phab-rp100-cm</t>
        </is>
      </c>
      <c r="C11" s="67" t="inlineStr">
        <is>
          <t>Residual pool depth</t>
        </is>
      </c>
      <c r="D11" s="67" t="inlineStr"/>
      <c r="E11" s="67" t="n">
        <v>5</v>
      </c>
      <c r="F11" s="67" t="inlineStr">
        <is>
          <t>20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11" s="67" t="n">
        <v>0</v>
      </c>
      <c r="H11" s="67" t="n">
        <v>7.430487155914307</v>
      </c>
      <c r="I11" s="67" t="n">
        <v>17.33780336380005</v>
      </c>
      <c r="J11" s="67" t="n">
        <v>31.04042959213257</v>
      </c>
      <c r="K11" s="67" t="n">
        <v>37.89174270629883</v>
      </c>
      <c r="L11" s="67" t="n">
        <v>37.89174270629883</v>
      </c>
      <c r="M11" s="67" t="n">
        <v>37.89174270629883</v>
      </c>
      <c r="N11" s="67" t="n">
        <v>37.89174270629883</v>
      </c>
      <c r="O11" s="67" t="n">
        <v>0</v>
      </c>
      <c r="P11" s="67" t="n">
        <v>0.3</v>
      </c>
      <c r="Q11" s="67" t="n">
        <v>0.7</v>
      </c>
      <c r="R11" s="67" t="n">
        <v>1</v>
      </c>
      <c r="S11" s="67" t="n">
        <v>1</v>
      </c>
      <c r="T11" s="67" t="n">
        <v>1</v>
      </c>
      <c r="U11" s="67" t="n">
        <v>1</v>
      </c>
      <c r="V11" s="67" t="n">
        <v>1</v>
      </c>
    </row>
    <row r="12">
      <c r="A12" s="67" t="inlineStr">
        <is>
          <t>spring_phab_xbkf_h|</t>
        </is>
      </c>
      <c r="B12" s="67" t="inlineStr">
        <is>
          <t>spring-phab-xbkf-h</t>
        </is>
      </c>
      <c r="C12" s="67" t="inlineStr">
        <is>
          <t>Bankfull height above channel</t>
        </is>
      </c>
      <c r="D12" s="67" t="inlineStr"/>
      <c r="E12" s="67" t="n">
        <v>8</v>
      </c>
      <c r="F12" s="67" t="inlineStr">
        <is>
          <t>21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2" s="67" t="n">
        <v>0</v>
      </c>
      <c r="H12" s="67" t="n">
        <v>0.02545452117919922</v>
      </c>
      <c r="I12" s="67" t="n">
        <v>0.2003636196255684</v>
      </c>
      <c r="J12" s="67" t="n">
        <v>0.294545441865921</v>
      </c>
      <c r="K12" s="67" t="n">
        <v>0.5636363625526428</v>
      </c>
      <c r="L12" s="67" t="n">
        <v>0.6578181847929955</v>
      </c>
      <c r="M12" s="67" t="n">
        <v>0.8327272832393646</v>
      </c>
      <c r="N12" s="67" t="n">
        <v>1.101818203926086</v>
      </c>
      <c r="O12" s="67" t="n">
        <v>0</v>
      </c>
      <c r="P12" s="67" t="n">
        <v>0.3</v>
      </c>
      <c r="Q12" s="67" t="n">
        <v>0.7</v>
      </c>
      <c r="R12" s="67" t="n">
        <v>1</v>
      </c>
      <c r="S12" s="67" t="n">
        <v>1</v>
      </c>
      <c r="T12" s="67" t="n">
        <v>0.7</v>
      </c>
      <c r="U12" s="67" t="n">
        <v>0.3</v>
      </c>
      <c r="V12" s="67" t="n">
        <v>0</v>
      </c>
    </row>
    <row r="13">
      <c r="A13" s="67" t="inlineStr">
        <is>
          <t>spring_phab_bfwd_rat|</t>
        </is>
      </c>
      <c r="B13" s="67" t="inlineStr">
        <is>
          <t>spring-phab-bfwd-rat</t>
        </is>
      </c>
      <c r="C13" s="67" t="inlineStr">
        <is>
          <t>Bankfull width:depth ratio</t>
        </is>
      </c>
      <c r="D13" s="67" t="inlineStr"/>
      <c r="E13" s="67" t="n">
        <v>8</v>
      </c>
      <c r="F13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required; net optimism +0.09, at most 0.05 allowed); confidence capped at 39.</t>
        </is>
      </c>
      <c r="G13" s="67" t="n">
        <v>0</v>
      </c>
      <c r="H13" s="67" t="n">
        <v>4.054068565368652</v>
      </c>
      <c r="I13" s="67" t="n">
        <v>9.562226510047912</v>
      </c>
      <c r="J13" s="67" t="n">
        <v>12.52815771102905</v>
      </c>
      <c r="K13" s="67" t="n">
        <v>21.00224685668945</v>
      </c>
      <c r="L13" s="67" t="n">
        <v>23.96817805767059</v>
      </c>
      <c r="M13" s="67" t="n">
        <v>29.47633600234985</v>
      </c>
      <c r="N13" s="67" t="n">
        <v>37.95042514801025</v>
      </c>
      <c r="O13" s="67" t="n">
        <v>0</v>
      </c>
      <c r="P13" s="67" t="n">
        <v>0.3</v>
      </c>
      <c r="Q13" s="67" t="n">
        <v>0.7</v>
      </c>
      <c r="R13" s="67" t="n">
        <v>1</v>
      </c>
      <c r="S13" s="67" t="n">
        <v>1</v>
      </c>
      <c r="T13" s="67" t="n">
        <v>0.7</v>
      </c>
      <c r="U13" s="67" t="n">
        <v>0.3</v>
      </c>
      <c r="V13" s="67" t="n">
        <v>0</v>
      </c>
    </row>
    <row r="14">
      <c r="A14" s="67" t="inlineStr">
        <is>
          <t>spring_phab_xembed|</t>
        </is>
      </c>
      <c r="B14" s="67" t="inlineStr">
        <is>
          <t>spring-phab-xembed</t>
        </is>
      </c>
      <c r="C14" s="67" t="inlineStr">
        <is>
          <t>Embeddedness</t>
        </is>
      </c>
      <c r="D14" s="67" t="inlineStr"/>
      <c r="E14" s="67" t="n">
        <v>4</v>
      </c>
      <c r="F14" s="67" t="inlineStr">
        <is>
          <t>17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4" s="67" t="n">
        <v>63.53409194946289</v>
      </c>
      <c r="H14" s="67" t="n">
        <v>73.75</v>
      </c>
      <c r="I14" s="67" t="n">
        <v>94.18181610107422</v>
      </c>
      <c r="J14" s="67" t="n">
        <v>100</v>
      </c>
      <c r="K14" s="67" t="n">
        <v>100</v>
      </c>
      <c r="L14" s="67" t="n">
        <v>100</v>
      </c>
      <c r="M14" s="67" t="n">
        <v>100</v>
      </c>
      <c r="N14" s="67" t="n">
        <v>100</v>
      </c>
      <c r="O14" s="67" t="n">
        <v>1</v>
      </c>
      <c r="P14" s="67" t="n">
        <v>1</v>
      </c>
      <c r="Q14" s="67" t="n">
        <v>0.7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0</v>
      </c>
    </row>
    <row r="15">
      <c r="A15" s="67" t="inlineStr">
        <is>
          <t>spring_phab_sinu|</t>
        </is>
      </c>
      <c r="B15" s="67" t="inlineStr">
        <is>
          <t>spring-phab-sinu</t>
        </is>
      </c>
      <c r="C15" s="67" t="inlineStr">
        <is>
          <t>Sinuosity</t>
        </is>
      </c>
      <c r="D15" s="67" t="inlineStr"/>
      <c r="E15" s="67" t="n">
        <v>4</v>
      </c>
      <c r="F15" s="67" t="inlineStr">
        <is>
          <t>17 least-disturbed stations borrowed from NARS-9 region CPL under the regional screen (agriculture at most 25 percent), transfer risk high</t>
        </is>
      </c>
      <c r="G15" s="67" t="n">
        <v>1</v>
      </c>
      <c r="H15" s="67" t="n">
        <v>1.092676758766174</v>
      </c>
      <c r="I15" s="67" t="n">
        <v>1.635733962059021</v>
      </c>
      <c r="J15" s="67" t="n">
        <v>1.907262563705444</v>
      </c>
      <c r="K15" s="67" t="n">
        <v>1.907262563705444</v>
      </c>
      <c r="L15" s="67" t="n">
        <v>1.907262563705444</v>
      </c>
      <c r="M15" s="67" t="n">
        <v>1.907262563705444</v>
      </c>
      <c r="N15" s="67" t="n">
        <v>1.907262563705444</v>
      </c>
      <c r="O15" s="67" t="n">
        <v>0</v>
      </c>
      <c r="P15" s="67" t="n">
        <v>0.7</v>
      </c>
      <c r="Q15" s="67" t="n">
        <v>1</v>
      </c>
      <c r="R15" s="67" t="n">
        <v>1</v>
      </c>
      <c r="S15" s="67" t="n">
        <v>1</v>
      </c>
      <c r="T15" s="67" t="n">
        <v>1</v>
      </c>
      <c r="U15" s="67" t="n">
        <v>1</v>
      </c>
      <c r="V15" s="67" t="n">
        <v>1</v>
      </c>
    </row>
    <row r="16">
      <c r="A16" s="67" t="inlineStr">
        <is>
          <t>spring_phab_xbka|</t>
        </is>
      </c>
      <c r="B16" s="67" t="inlineStr">
        <is>
          <t>spring-phab-xbka</t>
        </is>
      </c>
      <c r="C16" s="67" t="inlineStr">
        <is>
          <t>Bank angle</t>
        </is>
      </c>
      <c r="D16" s="67" t="inlineStr"/>
      <c r="E16" s="67" t="n">
        <v>7</v>
      </c>
      <c r="F16" s="67" t="inlineStr">
        <is>
          <t>17 least-disturbed stations borrowed from NARS-9 region CPL under the regional screen (agriculture at most 25 percent), transfer risk moderate</t>
        </is>
      </c>
      <c r="G16" s="67" t="n">
        <v>0</v>
      </c>
      <c r="H16" s="67" t="n">
        <v>8.590909814834596</v>
      </c>
      <c r="I16" s="67" t="n">
        <v>15.90909099578857</v>
      </c>
      <c r="J16" s="67" t="n">
        <v>36.81818008422852</v>
      </c>
      <c r="K16" s="67" t="n">
        <v>44.13636126518249</v>
      </c>
      <c r="L16" s="67" t="n">
        <v>57.72726917266846</v>
      </c>
      <c r="M16" s="67" t="n">
        <v>78.6363582611084</v>
      </c>
      <c r="N16" s="67" t="n">
        <v>78.6363582611084</v>
      </c>
      <c r="O16" s="67" t="n">
        <v>0.7</v>
      </c>
      <c r="P16" s="67" t="n">
        <v>0.7</v>
      </c>
      <c r="Q16" s="67" t="n">
        <v>1</v>
      </c>
      <c r="R16" s="67" t="n">
        <v>1</v>
      </c>
      <c r="S16" s="67" t="n">
        <v>0.7</v>
      </c>
      <c r="T16" s="67" t="n">
        <v>0.3</v>
      </c>
      <c r="U16" s="67" t="n">
        <v>0</v>
      </c>
      <c r="V16" s="67" t="n">
        <v>0</v>
      </c>
    </row>
    <row r="17">
      <c r="A17" s="67" t="inlineStr">
        <is>
          <t>spring_phab_lrbs_use|</t>
        </is>
      </c>
      <c r="B17" s="67" t="inlineStr">
        <is>
          <t>spring-phab-lrbs-use</t>
        </is>
      </c>
      <c r="C17" s="67" t="inlineStr">
        <is>
          <t>Relative bed stability</t>
        </is>
      </c>
      <c r="D17" s="67" t="inlineStr"/>
      <c r="E17" s="67" t="n">
        <v>8</v>
      </c>
      <c r="F17" s="67" t="inlineStr">
        <is>
          <t>20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17" s="67" t="n">
        <v>-4.524010837078094</v>
      </c>
      <c r="H17" s="67" t="n">
        <v>-3.512973487377167</v>
      </c>
      <c r="I17" s="67" t="n">
        <v>-2.855799210071564</v>
      </c>
      <c r="J17" s="67" t="n">
        <v>-2.501936137676239</v>
      </c>
      <c r="K17" s="67" t="n">
        <v>-1.490898787975311</v>
      </c>
      <c r="L17" s="67" t="n">
        <v>-1.137035715579987</v>
      </c>
      <c r="M17" s="67" t="n">
        <v>-0.4798614382743835</v>
      </c>
      <c r="N17" s="67" t="n">
        <v>0.5311759114265442</v>
      </c>
      <c r="O17" s="67" t="n">
        <v>0</v>
      </c>
      <c r="P17" s="67" t="n">
        <v>0.3</v>
      </c>
      <c r="Q17" s="67" t="n">
        <v>0.7</v>
      </c>
      <c r="R17" s="67" t="n">
        <v>1</v>
      </c>
      <c r="S17" s="67" t="n">
        <v>1</v>
      </c>
      <c r="T17" s="67" t="n">
        <v>0.7</v>
      </c>
      <c r="U17" s="67" t="n">
        <v>0.3</v>
      </c>
      <c r="V17" s="67" t="n">
        <v>0</v>
      </c>
    </row>
    <row r="18">
      <c r="A18" s="67" t="inlineStr">
        <is>
          <t>spring_phab_lwdeqvolm100|</t>
        </is>
      </c>
      <c r="B18" s="67" t="inlineStr">
        <is>
          <t>spring-phab-lwdeqvolm100</t>
        </is>
      </c>
      <c r="C18" s="67" t="inlineStr">
        <is>
          <t>Large wood volume</t>
        </is>
      </c>
      <c r="D18" s="67" t="inlineStr"/>
      <c r="E18" s="67" t="n">
        <v>5</v>
      </c>
      <c r="F18" s="67" t="inlineStr">
        <is>
          <t>Reference curve fitted to comparable least-disturbed stations drawn from the national pool, because this ecoregion and its parents hold too few of their own.</t>
        </is>
      </c>
      <c r="G18" s="67" t="n">
        <v>0</v>
      </c>
      <c r="H18" s="67" t="n">
        <v>0.09854081805263247</v>
      </c>
      <c r="I18" s="67" t="n">
        <v>0.2299285754561424</v>
      </c>
      <c r="J18" s="67" t="n">
        <v>14.45374011993408</v>
      </c>
      <c r="K18" s="67" t="n">
        <v>21.56564589217305</v>
      </c>
      <c r="L18" s="67" t="n">
        <v>21.56564589217305</v>
      </c>
      <c r="M18" s="67" t="n">
        <v>21.56564589217305</v>
      </c>
      <c r="N18" s="67" t="n">
        <v>21.56564589217305</v>
      </c>
      <c r="O18" s="67" t="n">
        <v>0</v>
      </c>
      <c r="P18" s="67" t="n">
        <v>0.3</v>
      </c>
      <c r="Q18" s="67" t="n">
        <v>0.7</v>
      </c>
      <c r="R18" s="67" t="n">
        <v>1</v>
      </c>
      <c r="S18" s="67" t="n">
        <v>1</v>
      </c>
      <c r="T18" s="67" t="n">
        <v>1</v>
      </c>
      <c r="U18" s="67" t="n">
        <v>1</v>
      </c>
      <c r="V18" s="67" t="n">
        <v>1</v>
      </c>
    </row>
    <row r="19">
      <c r="A19" s="67" t="inlineStr">
        <is>
          <t>spring_phab_xcdenmid|All streams (pooled)</t>
        </is>
      </c>
      <c r="B19" s="67" t="inlineStr">
        <is>
          <t>spring-phab-xcdenmid</t>
        </is>
      </c>
      <c r="C19" s="67" t="inlineStr">
        <is>
          <t>Canopy density, mid-channel</t>
        </is>
      </c>
      <c r="D19" s="67" t="inlineStr">
        <is>
          <t>All streams (pooled)</t>
        </is>
      </c>
      <c r="E19" s="67" t="n">
        <v>5</v>
      </c>
      <c r="F19" s="67" t="inlineStr">
        <is>
          <t>56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19" s="67" t="n">
        <v>0</v>
      </c>
      <c r="H19" s="67" t="n">
        <v>1.363158932753972</v>
      </c>
      <c r="I19" s="67" t="n">
        <v>3.180704176425934</v>
      </c>
      <c r="J19" s="67" t="n">
        <v>53.6430492401123</v>
      </c>
      <c r="K19" s="67" t="n">
        <v>78.87422177195549</v>
      </c>
      <c r="L19" s="67" t="n">
        <v>78.87422177195549</v>
      </c>
      <c r="M19" s="67" t="n">
        <v>78.87422177195549</v>
      </c>
      <c r="N19" s="67" t="n">
        <v>78.87422177195549</v>
      </c>
      <c r="O19" s="67" t="n">
        <v>0</v>
      </c>
      <c r="P19" s="67" t="n">
        <v>0.3</v>
      </c>
      <c r="Q19" s="67" t="n">
        <v>0.7</v>
      </c>
      <c r="R19" s="67" t="n">
        <v>1</v>
      </c>
      <c r="S19" s="67" t="n">
        <v>1</v>
      </c>
      <c r="T19" s="67" t="n">
        <v>1</v>
      </c>
      <c r="U19" s="67" t="n">
        <v>1</v>
      </c>
      <c r="V19" s="67" t="n">
        <v>1</v>
      </c>
    </row>
    <row r="20">
      <c r="A20" s="67" t="inlineStr">
        <is>
          <t>spring_phab_xcdenmid|Small stream (10 to 100 km2)</t>
        </is>
      </c>
      <c r="B20" s="67" t="inlineStr">
        <is>
          <t>spring-phab-xcdenmid</t>
        </is>
      </c>
      <c r="C20" s="67" t="inlineStr">
        <is>
          <t>Canopy density, mid-channel</t>
        </is>
      </c>
      <c r="D20" s="67" t="inlineStr">
        <is>
          <t>Small stream (10 to 100 km2)</t>
        </is>
      </c>
      <c r="E20" s="67" t="n">
        <v>5</v>
      </c>
      <c r="F20" s="67" t="inlineStr">
        <is>
          <t>56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0" s="67" t="n">
        <v>0</v>
      </c>
      <c r="H20" s="67" t="n">
        <v>13.06340708051409</v>
      </c>
      <c r="I20" s="67" t="n">
        <v>30.48128318786621</v>
      </c>
      <c r="J20" s="67" t="n">
        <v>62.96791458129883</v>
      </c>
      <c r="K20" s="67" t="n">
        <v>79.21123027801514</v>
      </c>
      <c r="L20" s="67" t="n">
        <v>79.21123027801514</v>
      </c>
      <c r="M20" s="67" t="n">
        <v>79.21123027801514</v>
      </c>
      <c r="N20" s="67" t="n">
        <v>79.21123027801514</v>
      </c>
      <c r="O20" s="67" t="n">
        <v>0</v>
      </c>
      <c r="P20" s="67" t="n">
        <v>0.3</v>
      </c>
      <c r="Q20" s="67" t="n">
        <v>0.7</v>
      </c>
      <c r="R20" s="67" t="n">
        <v>1</v>
      </c>
      <c r="S20" s="67" t="n">
        <v>1</v>
      </c>
      <c r="T20" s="67" t="n">
        <v>1</v>
      </c>
      <c r="U20" s="67" t="n">
        <v>1</v>
      </c>
      <c r="V20" s="67" t="n">
        <v>1</v>
      </c>
    </row>
    <row r="21">
      <c r="A21" s="67" t="inlineStr">
        <is>
          <t>spring_phab_xcdenmid|Large stream (over 100 km2)</t>
        </is>
      </c>
      <c r="B21" s="67" t="inlineStr">
        <is>
          <t>spring-phab-xcdenmid</t>
        </is>
      </c>
      <c r="C21" s="67" t="inlineStr">
        <is>
          <t>Canopy density, mid-channel</t>
        </is>
      </c>
      <c r="D21" s="67" t="inlineStr">
        <is>
          <t>Large stream (over 100 km2)</t>
        </is>
      </c>
      <c r="E21" s="67" t="n">
        <v>5</v>
      </c>
      <c r="F21" s="67" t="inlineStr">
        <is>
          <t>56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1" s="67" t="n">
        <v>0</v>
      </c>
      <c r="H21" s="67" t="n">
        <v>0.6183154923575265</v>
      </c>
      <c r="I21" s="67" t="n">
        <v>1.442736148834229</v>
      </c>
      <c r="J21" s="67" t="n">
        <v>44.45187187194824</v>
      </c>
      <c r="K21" s="67" t="n">
        <v>65.95643973350525</v>
      </c>
      <c r="L21" s="67" t="n">
        <v>65.95643973350525</v>
      </c>
      <c r="M21" s="67" t="n">
        <v>65.95643973350525</v>
      </c>
      <c r="N21" s="67" t="n">
        <v>65.95643973350525</v>
      </c>
      <c r="O21" s="67" t="n">
        <v>0</v>
      </c>
      <c r="P21" s="67" t="n">
        <v>0.3</v>
      </c>
      <c r="Q21" s="67" t="n">
        <v>0.7</v>
      </c>
      <c r="R21" s="67" t="n">
        <v>1</v>
      </c>
      <c r="S21" s="67" t="n">
        <v>1</v>
      </c>
      <c r="T21" s="67" t="n">
        <v>1</v>
      </c>
      <c r="U21" s="67" t="n">
        <v>1</v>
      </c>
      <c r="V21" s="67" t="n">
        <v>1</v>
      </c>
    </row>
    <row r="22">
      <c r="A22" s="67" t="inlineStr">
        <is>
          <t>spring_phab_xcmgw|</t>
        </is>
      </c>
      <c r="B22" s="67" t="inlineStr">
        <is>
          <t>spring-phab-xcmgw</t>
        </is>
      </c>
      <c r="C22" s="67" t="inlineStr">
        <is>
          <t>Riparian veg cover, woody</t>
        </is>
      </c>
      <c r="D22" s="67" t="inlineStr"/>
      <c r="E22" s="67" t="n">
        <v>5</v>
      </c>
      <c r="F22" s="67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2" s="67" t="n">
        <v>0</v>
      </c>
      <c r="H22" s="67" t="n">
        <v>0.1554991932851928</v>
      </c>
      <c r="I22" s="67" t="n">
        <v>0.3628314509987831</v>
      </c>
      <c r="J22" s="67" t="n">
        <v>0.8230113536119461</v>
      </c>
      <c r="K22" s="67" t="n">
        <v>1.053101304918528</v>
      </c>
      <c r="L22" s="67" t="n">
        <v>1.053101304918528</v>
      </c>
      <c r="M22" s="67" t="n">
        <v>1.053101304918528</v>
      </c>
      <c r="N22" s="67" t="n">
        <v>1.053101304918528</v>
      </c>
      <c r="O22" s="67" t="n">
        <v>0</v>
      </c>
      <c r="P22" s="67" t="n">
        <v>0.3</v>
      </c>
      <c r="Q22" s="67" t="n">
        <v>0.7</v>
      </c>
      <c r="R22" s="67" t="n">
        <v>1</v>
      </c>
      <c r="S22" s="67" t="n">
        <v>1</v>
      </c>
      <c r="T22" s="67" t="n">
        <v>1</v>
      </c>
      <c r="U22" s="67" t="n">
        <v>1</v>
      </c>
      <c r="V22" s="67" t="n">
        <v>1</v>
      </c>
    </row>
    <row r="23">
      <c r="A23" s="67" t="inlineStr">
        <is>
          <t>spring_chem_ntl|</t>
        </is>
      </c>
      <c r="B23" s="67" t="inlineStr">
        <is>
          <t>spring-chem-ntl</t>
        </is>
      </c>
      <c r="C23" s="67" t="inlineStr">
        <is>
          <t>Total nitrogen</t>
        </is>
      </c>
      <c r="D23" s="67" t="inlineStr"/>
      <c r="E23" s="67" t="n">
        <v>4</v>
      </c>
      <c r="F23" s="67" t="inlineStr">
        <is>
          <t>Scored against a published criterion rather than against stations from this ecoregion. The criterion carries its own definition of reference, which need not match this assessment's.</t>
        </is>
      </c>
      <c r="G23" s="67" t="n">
        <v>0</v>
      </c>
      <c r="H23" s="67" t="n">
        <v>0.6245000000000001</v>
      </c>
      <c r="I23" s="67" t="n">
        <v>1.081</v>
      </c>
      <c r="J23" s="67" t="n">
        <v>1.67445</v>
      </c>
      <c r="K23" s="67" t="n">
        <v>1.67445</v>
      </c>
      <c r="L23" s="67" t="n">
        <v>1.67445</v>
      </c>
      <c r="M23" s="67" t="n">
        <v>1.67445</v>
      </c>
      <c r="N23" s="67" t="n">
        <v>1.67445</v>
      </c>
      <c r="O23" s="67" t="n">
        <v>1</v>
      </c>
      <c r="P23" s="67" t="n">
        <v>0.6899999999999999</v>
      </c>
      <c r="Q23" s="67" t="n">
        <v>0.39</v>
      </c>
      <c r="R23" s="67" t="n">
        <v>0</v>
      </c>
      <c r="S23" s="67" t="n">
        <v>0</v>
      </c>
      <c r="T23" s="67" t="n">
        <v>0</v>
      </c>
      <c r="U23" s="67" t="n">
        <v>0</v>
      </c>
      <c r="V23" s="67" t="n">
        <v>0</v>
      </c>
    </row>
    <row r="24">
      <c r="A24" s="67" t="inlineStr">
        <is>
          <t>spring_chem_ptl|</t>
        </is>
      </c>
      <c r="B24" s="67" t="inlineStr">
        <is>
          <t>spring-chem-ptl</t>
        </is>
      </c>
      <c r="C24" s="67" t="inlineStr">
        <is>
          <t>Total phosphorus</t>
        </is>
      </c>
      <c r="D24" s="67" t="inlineStr"/>
      <c r="E24" s="67" t="n">
        <v>4</v>
      </c>
      <c r="F24" s="67" t="inlineStr">
        <is>
          <t>Scored against a published criterion rather than against stations from this ecoregion. The criterion carries its own definition of reference, which need not match this assessment's.</t>
        </is>
      </c>
      <c r="G24" s="67" t="n">
        <v>0</v>
      </c>
      <c r="H24" s="67" t="n">
        <v>55.95</v>
      </c>
      <c r="I24" s="67" t="n">
        <v>103</v>
      </c>
      <c r="J24" s="67" t="n">
        <v>164.165</v>
      </c>
      <c r="K24" s="67" t="n">
        <v>164.165</v>
      </c>
      <c r="L24" s="67" t="n">
        <v>164.165</v>
      </c>
      <c r="M24" s="67" t="n">
        <v>164.165</v>
      </c>
      <c r="N24" s="67" t="n">
        <v>164.165</v>
      </c>
      <c r="O24" s="67" t="n">
        <v>1</v>
      </c>
      <c r="P24" s="67" t="n">
        <v>0.6899999999999999</v>
      </c>
      <c r="Q24" s="67" t="n">
        <v>0.39</v>
      </c>
      <c r="R24" s="67" t="n">
        <v>0</v>
      </c>
      <c r="S24" s="67" t="n">
        <v>0</v>
      </c>
      <c r="T24" s="67" t="n">
        <v>0</v>
      </c>
      <c r="U24" s="67" t="n">
        <v>0</v>
      </c>
      <c r="V24" s="67" t="n">
        <v>0</v>
      </c>
    </row>
    <row r="25">
      <c r="A25" s="67" t="inlineStr">
        <is>
          <t>spring_chem_cond|</t>
        </is>
      </c>
      <c r="B25" s="67" t="inlineStr">
        <is>
          <t>spring-chem-cond</t>
        </is>
      </c>
      <c r="C25" s="67" t="inlineStr">
        <is>
          <t>Specific conductivity</t>
        </is>
      </c>
      <c r="D25" s="67" t="inlineStr"/>
      <c r="E25" s="67" t="n">
        <v>4</v>
      </c>
      <c r="F25" s="67" t="inlineStr">
        <is>
          <t>Scored against a published criterion rather than against stations from this ecoregion. The criterion carries its own definition of reference, which need not match this assessment's.</t>
        </is>
      </c>
      <c r="G25" s="67" t="n">
        <v>0</v>
      </c>
      <c r="H25" s="67" t="n">
        <v>500.05</v>
      </c>
      <c r="I25" s="67" t="n">
        <v>1000.05</v>
      </c>
      <c r="J25" s="67" t="n">
        <v>1650.05</v>
      </c>
      <c r="K25" s="67" t="n">
        <v>1650.05</v>
      </c>
      <c r="L25" s="67" t="n">
        <v>1650.05</v>
      </c>
      <c r="M25" s="67" t="n">
        <v>1650.05</v>
      </c>
      <c r="N25" s="67" t="n">
        <v>1650.05</v>
      </c>
      <c r="O25" s="67" t="n">
        <v>1</v>
      </c>
      <c r="P25" s="67" t="n">
        <v>0.6899999999999999</v>
      </c>
      <c r="Q25" s="67" t="n">
        <v>0.39</v>
      </c>
      <c r="R25" s="67" t="n">
        <v>0</v>
      </c>
      <c r="S25" s="67" t="n">
        <v>0</v>
      </c>
      <c r="T25" s="67" t="n">
        <v>0</v>
      </c>
      <c r="U25" s="67" t="n">
        <v>0</v>
      </c>
      <c r="V25" s="67" t="n">
        <v>0</v>
      </c>
    </row>
    <row r="26">
      <c r="A26" s="67" t="inlineStr">
        <is>
          <t>spring_phab_xfc_nat|All streams (pooled)</t>
        </is>
      </c>
      <c r="B26" s="67" t="inlineStr">
        <is>
          <t>spring-phab-xfc-nat</t>
        </is>
      </c>
      <c r="C26" s="67" t="inlineStr">
        <is>
          <t>Natural fish cover</t>
        </is>
      </c>
      <c r="D26" s="67" t="inlineStr">
        <is>
          <t>All streams (pooled)</t>
        </is>
      </c>
      <c r="E26" s="67" t="n">
        <v>5</v>
      </c>
      <c r="F26" s="67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6" s="67" t="n">
        <v>0</v>
      </c>
      <c r="H26" s="67" t="n">
        <v>0.06793831075940814</v>
      </c>
      <c r="I26" s="67" t="n">
        <v>0.1585227251052856</v>
      </c>
      <c r="J26" s="67" t="n">
        <v>0.3193181753158569</v>
      </c>
      <c r="K26" s="67" t="n">
        <v>0.3997159004211426</v>
      </c>
      <c r="L26" s="67" t="n">
        <v>0.3997159004211426</v>
      </c>
      <c r="M26" s="67" t="n">
        <v>0.3997159004211426</v>
      </c>
      <c r="N26" s="67" t="n">
        <v>0.3997159004211426</v>
      </c>
      <c r="O26" s="67" t="n">
        <v>0</v>
      </c>
      <c r="P26" s="67" t="n">
        <v>0.3</v>
      </c>
      <c r="Q26" s="67" t="n">
        <v>0.7</v>
      </c>
      <c r="R26" s="67" t="n">
        <v>1</v>
      </c>
      <c r="S26" s="67" t="n">
        <v>1</v>
      </c>
      <c r="T26" s="67" t="n">
        <v>1</v>
      </c>
      <c r="U26" s="67" t="n">
        <v>1</v>
      </c>
      <c r="V26" s="67" t="n">
        <v>1</v>
      </c>
    </row>
    <row r="27">
      <c r="A27" s="67" t="inlineStr">
        <is>
          <t>spring_phab_xfc_nat|Small stream (10 to 100 km2)</t>
        </is>
      </c>
      <c r="B27" s="67" t="inlineStr">
        <is>
          <t>spring-phab-xfc-nat</t>
        </is>
      </c>
      <c r="C27" s="67" t="inlineStr">
        <is>
          <t>Natural fish cover</t>
        </is>
      </c>
      <c r="D27" s="67" t="inlineStr">
        <is>
          <t>Small stream (10 to 100 km2)</t>
        </is>
      </c>
      <c r="E27" s="67" t="n">
        <v>5</v>
      </c>
      <c r="F27" s="67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7" s="67" t="n">
        <v>0</v>
      </c>
      <c r="H27" s="67" t="n">
        <v>0.07086038908788136</v>
      </c>
      <c r="I27" s="67" t="n">
        <v>0.1653409078717232</v>
      </c>
      <c r="J27" s="67" t="n">
        <v>0.4613636285066605</v>
      </c>
      <c r="K27" s="67" t="n">
        <v>0.6093749888241291</v>
      </c>
      <c r="L27" s="67" t="n">
        <v>0.6093749888241291</v>
      </c>
      <c r="M27" s="67" t="n">
        <v>0.6093749888241291</v>
      </c>
      <c r="N27" s="67" t="n">
        <v>0.6093749888241291</v>
      </c>
      <c r="O27" s="67" t="n">
        <v>0</v>
      </c>
      <c r="P27" s="67" t="n">
        <v>0.3</v>
      </c>
      <c r="Q27" s="67" t="n">
        <v>0.7</v>
      </c>
      <c r="R27" s="67" t="n">
        <v>1</v>
      </c>
      <c r="S27" s="67" t="n">
        <v>1</v>
      </c>
      <c r="T27" s="67" t="n">
        <v>1</v>
      </c>
      <c r="U27" s="67" t="n">
        <v>1</v>
      </c>
      <c r="V27" s="67" t="n">
        <v>1</v>
      </c>
    </row>
    <row r="28">
      <c r="A28" s="67" t="inlineStr">
        <is>
          <t>spring_phab_xfc_nat|Large stream (over 100 km2)</t>
        </is>
      </c>
      <c r="B28" s="67" t="inlineStr">
        <is>
          <t>spring-phab-xfc-nat</t>
        </is>
      </c>
      <c r="C28" s="67" t="inlineStr">
        <is>
          <t>Natural fish cover</t>
        </is>
      </c>
      <c r="D28" s="67" t="inlineStr">
        <is>
          <t>Large stream (over 100 km2)</t>
        </is>
      </c>
      <c r="E28" s="67" t="n">
        <v>5</v>
      </c>
      <c r="F28" s="67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8" s="67" t="n">
        <v>0</v>
      </c>
      <c r="H28" s="67" t="n">
        <v>0.0637986995279789</v>
      </c>
      <c r="I28" s="67" t="n">
        <v>0.1488636322319508</v>
      </c>
      <c r="J28" s="67" t="n">
        <v>0.2799715846776962</v>
      </c>
      <c r="K28" s="67" t="n">
        <v>0.345525560900569</v>
      </c>
      <c r="L28" s="67" t="n">
        <v>0.345525560900569</v>
      </c>
      <c r="M28" s="67" t="n">
        <v>0.345525560900569</v>
      </c>
      <c r="N28" s="67" t="n">
        <v>0.345525560900569</v>
      </c>
      <c r="O28" s="67" t="n">
        <v>0</v>
      </c>
      <c r="P28" s="67" t="n">
        <v>0.3</v>
      </c>
      <c r="Q28" s="67" t="n">
        <v>0.7</v>
      </c>
      <c r="R28" s="67" t="n">
        <v>1</v>
      </c>
      <c r="S28" s="67" t="n">
        <v>1</v>
      </c>
      <c r="T28" s="67" t="n">
        <v>1</v>
      </c>
      <c r="U28" s="67" t="n">
        <v>1</v>
      </c>
      <c r="V28" s="67" t="n">
        <v>1</v>
      </c>
    </row>
    <row r="29">
      <c r="A29" s="67" t="inlineStr">
        <is>
          <t>spring_fish_mmi_fish|</t>
        </is>
      </c>
      <c r="B29" s="67" t="inlineStr">
        <is>
          <t>spring-fish-mmi-fish</t>
        </is>
      </c>
      <c r="C29" s="67" t="inlineStr">
        <is>
          <t>Fish MMI</t>
        </is>
      </c>
      <c r="D29" s="67" t="inlineStr"/>
      <c r="E29" s="67" t="n">
        <v>4</v>
      </c>
      <c r="F29" s="67" t="inlineStr">
        <is>
          <t>Scored against a published criterion rather than against stations from this ecoregion. The criterion carries its own definition of reference, which need not match this assessment's.</t>
        </is>
      </c>
      <c r="G29" s="67" t="n">
        <v>33.145</v>
      </c>
      <c r="H29" s="67" t="n">
        <v>46.795</v>
      </c>
      <c r="I29" s="67" t="n">
        <v>57.295</v>
      </c>
      <c r="J29" s="67" t="n">
        <v>68.145</v>
      </c>
      <c r="K29" s="67" t="n">
        <v>68.145</v>
      </c>
      <c r="L29" s="67" t="n">
        <v>68.145</v>
      </c>
      <c r="M29" s="67" t="n">
        <v>68.145</v>
      </c>
      <c r="N29" s="67" t="n">
        <v>68.145</v>
      </c>
      <c r="O29" s="67" t="n">
        <v>0</v>
      </c>
      <c r="P29" s="67" t="n">
        <v>0.39</v>
      </c>
      <c r="Q29" s="67" t="n">
        <v>0.6899999999999999</v>
      </c>
      <c r="R29" s="67" t="n">
        <v>1</v>
      </c>
      <c r="S29" s="67" t="n">
        <v>1</v>
      </c>
      <c r="T29" s="67" t="n">
        <v>1</v>
      </c>
      <c r="U29" s="67" t="n">
        <v>1</v>
      </c>
      <c r="V29" s="67" t="n">
        <v>1</v>
      </c>
    </row>
    <row r="30">
      <c r="A30" s="67" t="inlineStr">
        <is>
          <t>spring_bent_mmi_bent|</t>
        </is>
      </c>
      <c r="B30" s="67" t="inlineStr">
        <is>
          <t>spring-bent-mmi-bent</t>
        </is>
      </c>
      <c r="C30" s="67" t="inlineStr">
        <is>
          <t>Benthic macroinvertebrate MMI</t>
        </is>
      </c>
      <c r="D30" s="67" t="inlineStr"/>
      <c r="E30" s="67" t="n">
        <v>4</v>
      </c>
      <c r="F30" s="67" t="inlineStr">
        <is>
          <t>Scored against a published criterion rather than against stations from this ecoregion. The criterion carries its own definition of reference, which need not match this assessment's.</t>
        </is>
      </c>
      <c r="G30" s="67" t="n">
        <v>22.235</v>
      </c>
      <c r="H30" s="67" t="n">
        <v>40.695</v>
      </c>
      <c r="I30" s="67" t="n">
        <v>54.895</v>
      </c>
      <c r="J30" s="67" t="n">
        <v>69.568333</v>
      </c>
      <c r="K30" s="67" t="n">
        <v>69.568333</v>
      </c>
      <c r="L30" s="67" t="n">
        <v>69.568333</v>
      </c>
      <c r="M30" s="67" t="n">
        <v>69.568333</v>
      </c>
      <c r="N30" s="67" t="n">
        <v>69.568333</v>
      </c>
      <c r="O30" s="67" t="n">
        <v>0</v>
      </c>
      <c r="P30" s="67" t="n">
        <v>0.39</v>
      </c>
      <c r="Q30" s="67" t="n">
        <v>0.6899999999999999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</row>
    <row r="31">
      <c r="A31" s="67" t="inlineStr">
        <is>
          <t>spring_nid_dams_1mi|</t>
        </is>
      </c>
      <c r="B31" s="67" t="inlineStr">
        <is>
          <t>spring-nid-dams-1mi</t>
        </is>
      </c>
      <c r="C31" s="67" t="inlineStr">
        <is>
          <t>Mapped dams within one mile</t>
        </is>
      </c>
      <c r="D31" s="67" t="inlineStr"/>
      <c r="E31" s="67" t="n">
        <v>4</v>
      </c>
      <c r="F31" s="67" t="inlineStr">
        <is>
          <t>Fixed criteria, the same in every region</t>
        </is>
      </c>
      <c r="G31" s="67" t="n">
        <v>0</v>
      </c>
      <c r="H31" s="67" t="n">
        <v>1</v>
      </c>
      <c r="I31" s="67" t="n">
        <v>2</v>
      </c>
      <c r="J31" s="67" t="n">
        <v>3</v>
      </c>
      <c r="K31" s="67" t="n">
        <v>3</v>
      </c>
      <c r="L31" s="67" t="n">
        <v>3</v>
      </c>
      <c r="M31" s="67" t="n">
        <v>3</v>
      </c>
      <c r="N31" s="67" t="n">
        <v>3</v>
      </c>
      <c r="O31" s="67" t="n">
        <v>1</v>
      </c>
      <c r="P31" s="67" t="n">
        <v>0.545</v>
      </c>
      <c r="Q31" s="67" t="n">
        <v>0.195</v>
      </c>
      <c r="R31" s="67" t="n">
        <v>0</v>
      </c>
      <c r="S31" s="67" t="n">
        <v>0</v>
      </c>
      <c r="T31" s="67" t="n">
        <v>0</v>
      </c>
      <c r="U31" s="67" t="n">
        <v>0</v>
      </c>
      <c r="V31" s="67" t="n">
        <v>0</v>
      </c>
    </row>
    <row r="34">
      <c r="A34" s="56" t="inlineStr">
        <is>
          <t>Curve sets by metric</t>
        </is>
      </c>
    </row>
    <row r="35">
      <c r="A35" s="67" t="inlineStr">
        <is>
          <t>All streams (pooled)</t>
        </is>
      </c>
      <c r="B35" s="4" t="inlineStr">
        <is>
          <t>Canopy density, mid-channel</t>
        </is>
      </c>
    </row>
    <row r="36">
      <c r="A36" s="67" t="inlineStr">
        <is>
          <t>Small stream (10 to 100 km2)</t>
        </is>
      </c>
      <c r="B36" s="4" t="inlineStr">
        <is>
          <t>Canopy density, mid-channel</t>
        </is>
      </c>
    </row>
    <row r="37">
      <c r="A37" s="67" t="inlineStr">
        <is>
          <t>Large stream (over 100 km2)</t>
        </is>
      </c>
      <c r="B37" s="4" t="inlineStr">
        <is>
          <t>Canopy density, mid-channel</t>
        </is>
      </c>
    </row>
    <row r="38">
      <c r="A38" s="67" t="inlineStr">
        <is>
          <t>All streams (pooled)</t>
        </is>
      </c>
      <c r="B38" s="4" t="inlineStr">
        <is>
          <t>Natural fish cover</t>
        </is>
      </c>
    </row>
    <row r="39">
      <c r="A39" s="67" t="inlineStr">
        <is>
          <t>Small stream (10 to 100 km2)</t>
        </is>
      </c>
      <c r="B39" s="4" t="inlineStr">
        <is>
          <t>Natural fish cover</t>
        </is>
      </c>
    </row>
    <row r="40">
      <c r="A40" s="67" t="inlineStr">
        <is>
          <t>Large stream (over 100 km2)</t>
        </is>
      </c>
      <c r="B40" s="4" t="inlineStr">
        <is>
          <t>Natural fish cover</t>
        </is>
      </c>
    </row>
    <row r="43">
      <c r="A43" s="56" t="inlineStr">
        <is>
          <t>Condition classes</t>
        </is>
      </c>
    </row>
    <row r="44">
      <c r="A44" t="inlineStr">
        <is>
          <t>Metric index: at or below 0.39 Non-Functioning, at or below 0.69 Functioning At-Risk, above Functioning.</t>
        </is>
      </c>
    </row>
    <row r="45">
      <c r="A45" t="inlineStr">
        <is>
          <t>Function score (0 to 15): at or below 5 Non-Functioning, at or below 10 Functioning At-Risk, above Functioning.</t>
        </is>
      </c>
    </row>
    <row r="46">
      <c r="A4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7" t="inlineStr">
        <is>
          <t>Assessment id</t>
        </is>
      </c>
      <c r="B4" s="67" t="inlineStr">
        <is>
          <t>western-gulf-coastal-plain</t>
        </is>
      </c>
    </row>
    <row r="5">
      <c r="A5" s="67" t="inlineStr">
        <is>
          <t>Assessment name</t>
        </is>
      </c>
      <c r="B5" s="67" t="inlineStr">
        <is>
          <t>Western Gulf Coastal Plain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/>
    </row>
    <row r="8">
      <c r="A8" s="67" t="inlineStr">
        <is>
          <t>Content digest</t>
        </is>
      </c>
      <c r="B8" s="67" t="inlineStr">
        <is>
          <t>sha256:5e5fa2b7d4658d1a0a9fec1ea953ce9f61c3610fc882279f3a9d2c5354499b79</t>
        </is>
      </c>
    </row>
    <row r="9">
      <c r="A9" s="67" t="inlineStr">
        <is>
          <t>Region</t>
        </is>
      </c>
      <c r="B9" s="67" t="inlineStr">
        <is>
          <t>ecoregion 34 Western Gulf Coastal Plain</t>
        </is>
      </c>
    </row>
    <row r="10">
      <c r="A10" s="67" t="inlineStr">
        <is>
          <t>Source</t>
        </is>
      </c>
      <c r="B10" s="67" t="inlineStr">
        <is>
          <t>USEPA NRSA 2013-24 (L3 ecoregion 34),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23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1.0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6" t="inlineStr">
        <is>
          <t>Function</t>
        </is>
      </c>
      <c r="B2" s="56" t="inlineStr">
        <is>
          <t>Score</t>
        </is>
      </c>
      <c r="C2" s="56" t="inlineStr">
        <is>
          <t>Non-Functioning (0-5)</t>
        </is>
      </c>
      <c r="D2" s="56" t="inlineStr">
        <is>
          <t>Functioning At-Risk (6-10)</t>
        </is>
      </c>
      <c r="E2" s="5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0">
        <f>IF(ISNUMBER('ChartData'!$B$15),IF('ChartData'!$B$15&lt;=5,'ChartData'!$B$15,NA()),NA())</f>
        <v/>
      </c>
      <c r="D15" s="70">
        <f>IF(ISNUMBER('ChartData'!$B$15),IF(AND('ChartData'!$B$15&gt;5,'ChartData'!$B$15&lt;=10),'ChartData'!$B$15,NA()),NA())</f>
        <v/>
      </c>
      <c r="E15" s="70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0">
        <f>IF(ISNUMBER('ChartData'!$B$16),IF('ChartData'!$B$16&lt;=5,'ChartData'!$B$16,NA()),NA())</f>
        <v/>
      </c>
      <c r="D16" s="70">
        <f>IF(ISNUMBER('ChartData'!$B$16),IF(AND('ChartData'!$B$16&gt;5,'ChartData'!$B$16&lt;=10),'ChartData'!$B$16,NA()),NA())</f>
        <v/>
      </c>
      <c r="E16" s="70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0">
        <f>IF(ISNUMBER('ChartData'!$B$17),IF('ChartData'!$B$17&lt;=5,'ChartData'!$B$17,NA()),NA())</f>
        <v/>
      </c>
      <c r="D17" s="70">
        <f>IF(ISNUMBER('ChartData'!$B$17),IF(AND('ChartData'!$B$17&gt;5,'ChartData'!$B$17&lt;=10),'ChartData'!$B$17,NA()),NA())</f>
        <v/>
      </c>
      <c r="E17" s="70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0">
        <f>IF(ISNUMBER('ChartData'!$B$18),IF('ChartData'!$B$18&lt;=5,'ChartData'!$B$18,NA()),NA())</f>
        <v/>
      </c>
      <c r="D18" s="70">
        <f>IF(ISNUMBER('ChartData'!$B$18),IF(AND('ChartData'!$B$18&gt;5,'ChartData'!$B$18&lt;=10),'ChartData'!$B$18,NA()),NA())</f>
        <v/>
      </c>
      <c r="E18" s="70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0">
        <f>IF(ISNUMBER('ChartData'!$B$19),IF('ChartData'!$B$19&lt;=5,'ChartData'!$B$19,NA()),NA())</f>
        <v/>
      </c>
      <c r="D19" s="70">
        <f>IF(ISNUMBER('ChartData'!$B$19),IF(AND('ChartData'!$B$19&gt;5,'ChartData'!$B$19&lt;=10),'ChartData'!$B$19,NA()),NA())</f>
        <v/>
      </c>
      <c r="E19" s="70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0">
        <f>IF(ISNUMBER('ChartData'!$B$20),IF('ChartData'!$B$20&lt;=5,'ChartData'!$B$20,NA()),NA())</f>
        <v/>
      </c>
      <c r="D20" s="70">
        <f>IF(ISNUMBER('ChartData'!$B$20),IF(AND('ChartData'!$B$20&gt;5,'ChartData'!$B$20&lt;=10),'ChartData'!$B$20,NA()),NA())</f>
        <v/>
      </c>
      <c r="E20" s="70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0">
        <f>IF(ISNUMBER('ChartData'!$B$21),IF('ChartData'!$B$21&lt;=5,'ChartData'!$B$21,NA()),NA())</f>
        <v/>
      </c>
      <c r="D21" s="70">
        <f>IF(ISNUMBER('ChartData'!$B$21),IF(AND('ChartData'!$B$21&gt;5,'ChartData'!$B$21&lt;=10),'ChartData'!$B$21,NA()),NA())</f>
        <v/>
      </c>
      <c r="E21" s="70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0">
        <f>IF(ISNUMBER('ChartData'!$B$22),IF('ChartData'!$B$22&lt;=5,'ChartData'!$B$22,NA()),NA())</f>
        <v/>
      </c>
      <c r="D22" s="70">
        <f>IF(ISNUMBER('ChartData'!$B$22),IF(AND('ChartData'!$B$22&gt;5,'ChartData'!$B$22&lt;=10),'ChartData'!$B$22,NA()),NA())</f>
        <v/>
      </c>
      <c r="E22" s="70">
        <f>IF(ISNUMBER('ChartData'!$B$22),IF('ChartData'!$B$22&gt;10,'ChartData'!$B$22,NA()),NA())</f>
        <v/>
      </c>
    </row>
    <row r="24">
      <c r="A24" s="56" t="inlineStr">
        <is>
          <t>Outcome</t>
        </is>
      </c>
      <c r="B24" s="56" t="inlineStr">
        <is>
          <t>Score</t>
        </is>
      </c>
      <c r="C24" s="56" t="inlineStr">
        <is>
          <t>Non-Functioning (0.00-0.39)</t>
        </is>
      </c>
      <c r="D24" s="56" t="inlineStr">
        <is>
          <t>Functioning At-Risk (0.40-0.69)</t>
        </is>
      </c>
      <c r="E24" s="5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1">
        <f>IF('ChartData'!$B$25&lt;=0.39,'ChartData'!$B$25,NA())</f>
        <v/>
      </c>
      <c r="D25" s="71">
        <f>IF(AND('ChartData'!$B$25&gt;0.39,'ChartData'!$B$25&lt;=0.69),'ChartData'!$B$25,NA())</f>
        <v/>
      </c>
      <c r="E25" s="71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1">
        <f>IF('ChartData'!$B$26&lt;=0.39,'ChartData'!$B$26,NA())</f>
        <v/>
      </c>
      <c r="D26" s="71">
        <f>IF(AND('ChartData'!$B$26&gt;0.39,'ChartData'!$B$26&lt;=0.69),'ChartData'!$B$26,NA())</f>
        <v/>
      </c>
      <c r="E26" s="71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1">
        <f>IF('ChartData'!$B$27&lt;=0.39,'ChartData'!$B$27,NA())</f>
        <v/>
      </c>
      <c r="D27" s="71">
        <f>IF(AND('ChartData'!$B$27&gt;0.39,'ChartData'!$B$27&lt;=0.69),'ChartData'!$B$27,NA())</f>
        <v/>
      </c>
      <c r="E27" s="71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2026-09-30T07:04:26Z</dcterms:created>
  <dcterms:modified xmlns:dcterms="http://purl.org/dc/terms/" xmlns:xsi="http://www.w3.org/2001/XMLSchema-instance" xsi:type="dcterms:W3CDTF">2026-09-30T07:04:26Z</dcterms:modified>
  <cp:lastModifiedBy>DEEP</cp:lastModifiedBy>
</cp:coreProperties>
</file>