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'Reference'!$A$5:$A$36</definedName>
    <definedName name="curve_x1">'Reference'!$G$5:$G$36</definedName>
    <definedName name="curve_y1">'Reference'!$O$5:$O$36</definedName>
    <definedName name="curve_x2">'Reference'!$H$5:$H$36</definedName>
    <definedName name="curve_y2">'Reference'!$P$5:$P$36</definedName>
    <definedName name="curve_x3">'Reference'!$I$5:$I$36</definedName>
    <definedName name="curve_y3">'Reference'!$Q$5:$Q$36</definedName>
    <definedName name="curve_x4">'Reference'!$J$5:$J$36</definedName>
    <definedName name="curve_y4">'Reference'!$R$5:$R$36</definedName>
    <definedName name="curve_x5">'Reference'!$K$5:$K$36</definedName>
    <definedName name="curve_y5">'Reference'!$S$5:$S$36</definedName>
    <definedName name="curve_x6">'Reference'!$L$5:$L$36</definedName>
    <definedName name="curve_y6">'Reference'!$T$5:$T$36</definedName>
    <definedName name="curve_x7">'Reference'!$M$5:$M$36</definedName>
    <definedName name="curve_y7">'Reference'!$U$5:$U$36</definedName>
    <definedName name="curve_x8">'Reference'!$N$5:$N$36</definedName>
    <definedName name="curve_y8">'Reference'!$V$5:$V$36</definedName>
    <definedName name="strata_spring_phab_bfwd_rat">'Reference'!$A$40:$A$42</definedName>
    <definedName name="strata_spring_phab_xbkf_h">'Reference'!$A$43:$A$45</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natural_riparian_cover">'Metrics'!$V$22</definedName>
    <definedName name="idx_spring_chem_ntl">'Metrics'!$V$23</definedName>
    <definedName name="idx_spring_chem_ptl">'Metrics'!$V$24</definedName>
    <definedName name="idx_spring_chem_cond">'Metrics'!$V$25</definedName>
    <definedName name="idx_spring_chem_turb">'Metrics'!$V$26</definedName>
    <definedName name="idx_spring_phab_pct_fast">'Metrics'!$V$27</definedName>
    <definedName name="idx_spring_phab_xfc_nat">'Metrics'!$V$28</definedName>
    <definedName name="idx_spring_bent_totlntax">'Metrics'!$V$29</definedName>
    <definedName name="idx_spring_bent_tolrpind">'Metrics'!$V$30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sub_dmm">'DEEP Score'!$E$31</definedName>
    <definedName name="in_spring_chem_chla">'DEEP Score'!$E$33</definedName>
    <definedName name="in_spring_phab_xcdenmid">'DEEP Score'!$E$34</definedName>
    <definedName name="in_spring_natural_riparian_cover">'DEEP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in_spring_phab_xfc_nat">'DEEP Score'!$E$41</definedName>
    <definedName name="in_spring_bent_totlntax">'DEEP Score'!$E$42</definedName>
    <definedName name="in_spring_bent_tolrpind">'DEEP Score'!$E$43</definedName>
    <definedName name="in_spring_bent_hprime">'DEEP Score'!$E$44</definedName>
    <definedName name="in_spring_nid_dams_1mi">'DEEP Score'!$E$45</definedName>
    <definedName name="site_notes">'DEEP Score'!$A$63</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0" fillId="4" borderId="9"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High Plains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225" customHeight="1">
      <c r="A5" s="4" t="inlineStr">
        <is>
          <t>Reference condition. Reference condition is set by a fixed landscape-pressure screen, never by a score. 5 curves are fitted to this ecoregion's own streams under the documented regional screen, which relaxes agriculture only. 14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10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8"/>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High Plains reference assessment</t>
        </is>
      </c>
    </row>
    <row r="3">
      <c r="A3" s="5" t="inlineStr">
        <is>
          <t>Version 1 | Draft | USEPA NRSA 2013-24 (L3 ecoregion 25),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43" t="inlineStr">
        <is>
          <t>All streams (pooled)</t>
        </is>
      </c>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4" t="inlineStr">
        <is>
          <t>All streams (pooled)</t>
        </is>
      </c>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5" t="inlineStr">
        <is>
          <t>Geomorphology</t>
        </is>
      </c>
      <c r="B25" s="12" t="inlineStr">
        <is>
          <t>Channel evolution</t>
        </is>
      </c>
      <c r="C25" s="13" t="inlineStr">
        <is>
          <t>Bankfull width:depth ratio</t>
        </is>
      </c>
      <c r="D25" s="14" t="inlineStr"/>
      <c r="E25" s="38">
        <f>IF('DEEP Score'!$E$21="","",'DEEP Score'!$E$21)</f>
        <v/>
      </c>
      <c r="F25" s="39">
        <f>IF('DEEP Score'!$F$21="","",'DEEP Score'!$F$21)</f>
        <v/>
      </c>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6">
        <f>IF('DEEP Score'!$E$22="","",'DEEP Score'!$E$22)</f>
        <v/>
      </c>
      <c r="F26" s="47">
        <f>IF('DEEP Score'!$F$22="","",'DEEP Score'!$F$22)</f>
        <v/>
      </c>
      <c r="G26" s="26">
        <f>IF('Metrics'!$V$13="","",'Metrics'!$V$13)</f>
        <v/>
      </c>
      <c r="H26" s="21" t="n"/>
      <c r="I26" s="27" t="n"/>
    </row>
    <row r="27">
      <c r="A27" s="45"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5" t="inlineStr">
        <is>
          <t>Geomorphology</t>
        </is>
      </c>
      <c r="B29" s="12" t="inlineStr">
        <is>
          <t>Sediment continuity</t>
        </is>
      </c>
      <c r="C29" s="13" t="inlineStr">
        <is>
          <t>Relative bed stability</t>
        </is>
      </c>
      <c r="D29" s="14" t="inlineStr">
        <is>
          <t>log</t>
        </is>
      </c>
      <c r="E29" s="15" t="n"/>
      <c r="F29" s="16" t="inlineStr"/>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6">
        <f>IF('DEEP Score'!$E$23="","",'DEEP Score'!$E$23)</f>
        <v/>
      </c>
      <c r="F30" s="47" t="inlineStr"/>
      <c r="G30" s="26">
        <f>IF('Metrics'!$V$14="","",'Metrics'!$V$14)</f>
        <v/>
      </c>
      <c r="H30" s="21" t="n"/>
      <c r="I30" s="27" t="n"/>
    </row>
    <row r="31">
      <c r="A31" s="45"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6">
        <f>IF('DEEP Score'!$E$24="","",'DEEP Score'!$E$24)</f>
        <v/>
      </c>
      <c r="F32" s="47" t="inlineStr"/>
      <c r="G32" s="26">
        <f>IF('Metrics'!$V$15="","",'Metrics'!$V$15)</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IF('Metrics'!$V$21="","",'Metrics'!$V$21)</f>
        <v/>
      </c>
      <c r="H34" s="21" t="n"/>
      <c r="I34" s="27" t="n"/>
    </row>
    <row r="35">
      <c r="A35" s="49" t="inlineStr">
        <is>
          <t>Physicochemistry</t>
        </is>
      </c>
      <c r="B35" s="29" t="inlineStr">
        <is>
          <t>Carbon processing</t>
        </is>
      </c>
      <c r="C35" s="30" t="inlineStr">
        <is>
          <t>Natural cover of the riparian corridor</t>
        </is>
      </c>
      <c r="D35" s="31" t="inlineStr">
        <is>
          <t>%</t>
        </is>
      </c>
      <c r="E35" s="32" t="n"/>
      <c r="F35" s="33" t="inlineStr"/>
      <c r="G35" s="34">
        <f>IF('Metrics'!$V$22="","",'Metrics'!$V$22)</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8" t="inlineStr">
        <is>
          <t>Physicochemistry</t>
        </is>
      </c>
      <c r="B38" s="12" t="inlineStr">
        <is>
          <t>Water &amp; soil quality</t>
        </is>
      </c>
      <c r="C38" s="13" t="inlineStr">
        <is>
          <t>Specific conductivity</t>
        </is>
      </c>
      <c r="D38" s="14" t="inlineStr">
        <is>
          <t>uS/cm</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IF('Metrics'!$V$26="","",'Metrics'!$V$26)</f>
        <v/>
      </c>
      <c r="H39" s="21" t="n"/>
      <c r="I39" s="27" t="n"/>
    </row>
    <row r="40">
      <c r="A40" s="50" t="inlineStr">
        <is>
          <t>Biology</t>
        </is>
      </c>
      <c r="B40" s="12" t="inlineStr">
        <is>
          <t>Habitat provision</t>
        </is>
      </c>
      <c r="C40" s="13" t="inlineStr">
        <is>
          <t>Fast-water / riffle habitat</t>
        </is>
      </c>
      <c r="D40" s="14" t="inlineStr">
        <is>
          <t>%</t>
        </is>
      </c>
      <c r="E40" s="15" t="n"/>
      <c r="F40" s="16" t="inlineStr"/>
      <c r="G40" s="17">
        <f>IF('Metrics'!$V$27="","",'Metrics'!$V$27)</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IF('Metrics'!$V$28="","",'Metrics'!$V$28)</f>
        <v/>
      </c>
      <c r="H41" s="21" t="n"/>
      <c r="I41" s="27" t="n"/>
    </row>
    <row r="42">
      <c r="A42" s="51" t="inlineStr">
        <is>
          <t>Biology</t>
        </is>
      </c>
      <c r="B42" s="29" t="inlineStr">
        <is>
          <t>Population support</t>
        </is>
      </c>
      <c r="C42" s="30" t="inlineStr">
        <is>
          <t>Benthic total taxa richness</t>
        </is>
      </c>
      <c r="D42" s="31" t="inlineStr"/>
      <c r="E42" s="32" t="n"/>
      <c r="F42" s="33" t="inlineStr"/>
      <c r="G42" s="34">
        <f>IF('Metrics'!$V$29="","",'Metrics'!$V$29)</f>
        <v/>
      </c>
      <c r="H42" s="35">
        <f>IF('Results'!$B$21="","",'Results'!$B$21)</f>
        <v/>
      </c>
      <c r="I42" s="36">
        <f>IF('DEEP Score'!$H$42="","",IF('DEEP Score'!$H$42&lt;=5,"Non-Functioning",IF('DEEP Score'!$H$42&lt;=10,"Functioning At-Risk","Functioning")))</f>
        <v/>
      </c>
    </row>
    <row r="43">
      <c r="A43" s="50" t="inlineStr">
        <is>
          <t>Biology</t>
        </is>
      </c>
      <c r="B43" s="12" t="inlineStr">
        <is>
          <t>Community dynamics</t>
        </is>
      </c>
      <c r="C43" s="13" t="inlineStr">
        <is>
          <t>Tolerant individuals (%) ~ HBI</t>
        </is>
      </c>
      <c r="D43" s="14" t="inlineStr"/>
      <c r="E43" s="15" t="n"/>
      <c r="F43" s="16" t="inlineStr"/>
      <c r="G43" s="17">
        <f>IF('Metrics'!$V$30="","",'Metrics'!$V$30)</f>
        <v/>
      </c>
      <c r="H43" s="18">
        <f>IF('Results'!$B$22="","",'Results'!$B$22)</f>
        <v/>
      </c>
      <c r="I43" s="19">
        <f>IF('DEEP Score'!$H$43="","",IF('DEEP Score'!$H$43&lt;=5,"Non-Functioning",IF('DEEP Score'!$H$43&lt;=10,"Functioning At-Risk","Functioning")))</f>
        <v/>
      </c>
    </row>
    <row r="44">
      <c r="A44" s="20" t="n"/>
      <c r="B44" s="21" t="n"/>
      <c r="C44" s="22" t="inlineStr">
        <is>
          <t>Shannon diversity (H')</t>
        </is>
      </c>
      <c r="D44" s="23" t="inlineStr">
        <is>
          <t>H'</t>
        </is>
      </c>
      <c r="E44" s="24" t="n"/>
      <c r="F44" s="25" t="inlineStr"/>
      <c r="G44" s="26">
        <f>IF('Metrics'!$V$31="","",'Metrics'!$V$31)</f>
        <v/>
      </c>
      <c r="H44" s="21" t="n"/>
      <c r="I44" s="27" t="n"/>
    </row>
    <row r="45">
      <c r="A45" s="51" t="inlineStr">
        <is>
          <t>Biology</t>
        </is>
      </c>
      <c r="B45" s="29" t="inlineStr">
        <is>
          <t>Watershed connectivity</t>
        </is>
      </c>
      <c r="C45" s="30" t="inlineStr">
        <is>
          <t>Mapped dams within one mile</t>
        </is>
      </c>
      <c r="D45" s="31" t="inlineStr">
        <is>
          <t>dams</t>
        </is>
      </c>
      <c r="E45" s="32" t="n"/>
      <c r="F45" s="33" t="inlineStr"/>
      <c r="G45" s="34">
        <f>IF('Metrics'!$V$32="","",'Metrics'!$V$32)</f>
        <v/>
      </c>
      <c r="H45" s="35">
        <f>IF('Results'!$B$23="","",'Results'!$B$23)</f>
        <v/>
      </c>
      <c r="I45" s="36">
        <f>IF('DEEP Score'!$H$45="","",IF('DEEP Score'!$H$45&lt;=5,"Non-Functioning",IF('DEEP Score'!$H$45&lt;=10,"Functioning At-Risk","Functioning")))</f>
        <v/>
      </c>
    </row>
    <row r="47">
      <c r="A47" s="52" t="inlineStr">
        <is>
          <t>Summary</t>
        </is>
      </c>
    </row>
    <row r="48">
      <c r="A48" s="10" t="inlineStr">
        <is>
          <t>Outcome</t>
        </is>
      </c>
      <c r="B48" s="10" t="inlineStr">
        <is>
          <t>Sub-index (0 to 1)</t>
        </is>
      </c>
      <c r="C48" s="10"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8" t="inlineStr">
        <is>
          <t>Withheld for insufficient reference support (not scored)</t>
        </is>
      </c>
    </row>
    <row r="57">
      <c r="A57" t="inlineStr">
        <is>
          <t>pH</t>
        </is>
      </c>
      <c r="C57" s="5" t="inlineStr">
        <is>
          <t>Water and soil quality</t>
        </is>
      </c>
    </row>
    <row r="58">
      <c r="A58" t="inlineStr">
        <is>
          <t>Native fish taxa richness</t>
        </is>
      </c>
      <c r="C58" s="5" t="inlineStr">
        <is>
          <t>Population support</t>
        </is>
      </c>
    </row>
    <row r="59">
      <c r="A59" t="inlineStr">
        <is>
          <t>Large wood volume</t>
        </is>
      </c>
      <c r="C59" s="5" t="inlineStr">
        <is>
          <t>Bed composition and bedform dynamics</t>
        </is>
      </c>
    </row>
    <row r="60">
      <c r="A60" t="inlineStr">
        <is>
          <t>Riparian veg cover, woody</t>
        </is>
      </c>
      <c r="C60" s="5" t="inlineStr">
        <is>
          <t>Carbon processing</t>
        </is>
      </c>
    </row>
    <row r="62">
      <c r="A62" s="6" t="inlineStr">
        <is>
          <t>Notes</t>
        </is>
      </c>
    </row>
    <row r="63">
      <c r="A63" s="59" t="n"/>
      <c r="B63" s="60" t="n"/>
      <c r="C63" s="60" t="n"/>
      <c r="D63" s="60" t="n"/>
      <c r="E63" s="60" t="n"/>
      <c r="F63" s="60" t="n"/>
      <c r="G63" s="60" t="n"/>
      <c r="H63" s="60" t="n"/>
      <c r="I63" s="61"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2" t="n"/>
      <c r="B66" s="63" t="n"/>
      <c r="C66" s="63" t="n"/>
      <c r="D66" s="63" t="n"/>
      <c r="E66" s="63" t="n"/>
      <c r="F66" s="63" t="n"/>
      <c r="G66" s="63" t="n"/>
      <c r="H66" s="63" t="n"/>
      <c r="I66" s="64" t="n"/>
    </row>
    <row r="67">
      <c r="A67" s="62" t="n"/>
      <c r="B67" s="63" t="n"/>
      <c r="C67" s="63" t="n"/>
      <c r="D67" s="63" t="n"/>
      <c r="E67" s="63" t="n"/>
      <c r="F67" s="63" t="n"/>
      <c r="G67" s="63" t="n"/>
      <c r="H67" s="63" t="n"/>
      <c r="I67" s="64" t="n"/>
    </row>
    <row r="68">
      <c r="A68" s="65" t="n"/>
      <c r="B68" s="66" t="n"/>
      <c r="C68" s="66" t="n"/>
      <c r="D68" s="66" t="n"/>
      <c r="E68" s="66" t="n"/>
      <c r="F68" s="66" t="n"/>
      <c r="G68" s="66" t="n"/>
      <c r="H68" s="66" t="n"/>
      <c r="I68" s="67"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A63:I6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H16:H17"/>
    <mergeCell ref="B36:B37"/>
    <mergeCell ref="H12:H13"/>
    <mergeCell ref="A33:A34"/>
    <mergeCell ref="A29:A30"/>
    <mergeCell ref="B33:B34"/>
    <mergeCell ref="A23:A24"/>
    <mergeCell ref="I38:I39"/>
    <mergeCell ref="I29:I30"/>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f>
        <v/>
      </c>
      <c r="D11" s="70">
        <f>"spring_phab_rp100_cm|"&amp;'Metrics'!$C$11</f>
        <v/>
      </c>
      <c r="E11" s="70">
        <f>IFERROR(MATCH('Metrics'!$D$11,curve_key,0),MATCH("spring_phab_rp100_cm|",curve_key,0))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IF('DEEP Score'!$F$21="","All streams (pooled)",'DEEP Score'!$F$21)</f>
        <v/>
      </c>
      <c r="D12" s="70">
        <f>"spring_phab_bfwd_rat|"&amp;'Metrics'!$C$12</f>
        <v/>
      </c>
      <c r="E12" s="70">
        <f>IFERROR(MATCH('Metrics'!$D$12,curve_key,0),MATCH("spring_phab_bfwd_rat|All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IF('DEEP Score'!$F$22="","All streams (pooled)",'DEEP Score'!$F$22)</f>
        <v/>
      </c>
      <c r="D13" s="70">
        <f>"spring_phab_xbkf_h|"&amp;'Metrics'!$C$13</f>
        <v/>
      </c>
      <c r="E13" s="70">
        <f>IFERROR(MATCH('Metrics'!$D$13,curve_key,0),MATCH("spring_phab_xbkf_h|All streams (pooled)",curve_key,0))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Embeddedness</t>
        </is>
      </c>
      <c r="B15" s="70">
        <f>IF('DEEP Score'!$E$24="","",'DEEP Score'!$E$24)</f>
        <v/>
      </c>
      <c r="C15" s="70">
        <f>""</f>
        <v/>
      </c>
      <c r="D15" s="70">
        <f>"spring_phab_xembed|"&amp;'Metrics'!$C$15</f>
        <v/>
      </c>
      <c r="E15" s="70">
        <f>IFERROR(MATCH('Metrics'!$D$15,curve_key,0),MATCH("spring_phab_xembed|",curve_key,0))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Sinuosity</t>
        </is>
      </c>
      <c r="B16" s="70">
        <f>IF('DEEP Score'!$E$27="","",'DEEP Score'!$E$27)</f>
        <v/>
      </c>
      <c r="C16" s="70">
        <f>""</f>
        <v/>
      </c>
      <c r="D16" s="70">
        <f>"spring_phab_sinu|"&amp;'Metrics'!$C$16</f>
        <v/>
      </c>
      <c r="E16" s="70">
        <f>IFERROR(MATCH('Metrics'!$D$16,curve_key,0),MATCH("spring_phab_sinu|",curve_key,0))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Bank angle</t>
        </is>
      </c>
      <c r="B17" s="70">
        <f>IF('DEEP Score'!$E$28="","",'DEEP Score'!$E$28)</f>
        <v/>
      </c>
      <c r="C17" s="70">
        <f>""</f>
        <v/>
      </c>
      <c r="D17" s="70">
        <f>"spring_phab_xbka|"&amp;'Metrics'!$C$17</f>
        <v/>
      </c>
      <c r="E17" s="70">
        <f>IFERROR(MATCH('Metrics'!$D$17,curve_key,0),MATCH("spring_phab_xbka|",curve_key,0))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Relative bed stability</t>
        </is>
      </c>
      <c r="B18" s="70">
        <f>IF('DEEP Score'!$E$29="","",'DEEP Score'!$E$29)</f>
        <v/>
      </c>
      <c r="C18" s="70">
        <f>""</f>
        <v/>
      </c>
      <c r="D18" s="70">
        <f>"spring_phab_lrbs_use|"&amp;'Metrics'!$C$18</f>
        <v/>
      </c>
      <c r="E18" s="70">
        <f>IFERROR(MATCH('Metrics'!$D$18,curve_key,0),MATCH("spring_phab_lrbs_use|",curve_key,0))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Substrate size</t>
        </is>
      </c>
      <c r="B19" s="70">
        <f>IF('DEEP Score'!$E$31="","",'DEEP Score'!$E$31)</f>
        <v/>
      </c>
      <c r="C19" s="70">
        <f>""</f>
        <v/>
      </c>
      <c r="D19" s="70">
        <f>"spring_phab_lsub_dmm|"&amp;'Metrics'!$C$19</f>
        <v/>
      </c>
      <c r="E19" s="70">
        <f>IFERROR(MATCH('Metrics'!$D$19,curve_key,0),MATCH("spring_phab_lsub_dmm|",curve_key,0))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Chlorophyll a</t>
        </is>
      </c>
      <c r="B20" s="70">
        <f>IF('DEEP Score'!$E$33="","",'DEEP Score'!$E$33)</f>
        <v/>
      </c>
      <c r="C20" s="70">
        <f>""</f>
        <v/>
      </c>
      <c r="D20" s="70">
        <f>"spring_chem_chla|"&amp;'Metrics'!$C$20</f>
        <v/>
      </c>
      <c r="E20" s="70">
        <f>IFERROR(MATCH('Metrics'!$D$20,curve_key,0),MATCH("spring_chem_chla|",curve_key,0))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Canopy density, mid-channel</t>
        </is>
      </c>
      <c r="B21" s="70">
        <f>IF('DEEP Score'!$E$34="","",'DEEP Score'!$E$34)</f>
        <v/>
      </c>
      <c r="C21" s="70">
        <f>""</f>
        <v/>
      </c>
      <c r="D21" s="70">
        <f>"spring_phab_xcdenmid|"&amp;'Metrics'!$C$21</f>
        <v/>
      </c>
      <c r="E21" s="70">
        <f>IFERROR(MATCH('Metrics'!$D$21,curve_key,0),MATCH("spring_phab_xcdenmid|",curve_key,0))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Natural cover of the riparian corridor</t>
        </is>
      </c>
      <c r="B22" s="70">
        <f>IF('DEEP Score'!$E$35="","",'DEEP Score'!$E$35)</f>
        <v/>
      </c>
      <c r="C22" s="70">
        <f>""</f>
        <v/>
      </c>
      <c r="D22" s="70">
        <f>"spring_natural_riparian_cover|"&amp;'Metrics'!$C$22</f>
        <v/>
      </c>
      <c r="E22" s="70">
        <f>IFERROR(MATCH('Metrics'!$D$22,curve_key,0),MATCH("spring_natural_riparian_cover|",curve_key,0))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nitrogen</t>
        </is>
      </c>
      <c r="B23" s="70">
        <f>IF('DEEP Score'!$E$36="","",'DEEP Score'!$E$36)</f>
        <v/>
      </c>
      <c r="C23" s="70">
        <f>""</f>
        <v/>
      </c>
      <c r="D23" s="70">
        <f>"spring_chem_ntl|"&amp;'Metrics'!$C$23</f>
        <v/>
      </c>
      <c r="E23" s="70">
        <f>IFERROR(MATCH('Metrics'!$D$23,curve_key,0),MATCH("spring_chem_ntl|",curve_key,0))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Total phosphorus</t>
        </is>
      </c>
      <c r="B24" s="70">
        <f>IF('DEEP Score'!$E$37="","",'DEEP Score'!$E$37)</f>
        <v/>
      </c>
      <c r="C24" s="70">
        <f>""</f>
        <v/>
      </c>
      <c r="D24" s="70">
        <f>"spring_chem_ptl|"&amp;'Metrics'!$C$24</f>
        <v/>
      </c>
      <c r="E24" s="70">
        <f>IFERROR(MATCH('Metrics'!$D$24,curve_key,0),MATCH("spring_chem_ptl|",curve_key,0))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Specific conductivity</t>
        </is>
      </c>
      <c r="B25" s="70">
        <f>IF('DEEP Score'!$E$38="","",'DEEP Score'!$E$38)</f>
        <v/>
      </c>
      <c r="C25" s="70">
        <f>""</f>
        <v/>
      </c>
      <c r="D25" s="70">
        <f>"spring_chem_cond|"&amp;'Metrics'!$C$25</f>
        <v/>
      </c>
      <c r="E25" s="70">
        <f>IFERROR(MATCH('Metrics'!$D$25,curve_key,0),MATCH("spring_chem_cond|",curve_key,0))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Turbidity</t>
        </is>
      </c>
      <c r="B26" s="70">
        <f>IF('DEEP Score'!$E$39="","",'DEEP Score'!$E$39)</f>
        <v/>
      </c>
      <c r="C26" s="70">
        <f>""</f>
        <v/>
      </c>
      <c r="D26" s="70">
        <f>"spring_chem_turb|"&amp;'Metrics'!$C$26</f>
        <v/>
      </c>
      <c r="E26" s="70">
        <f>IFERROR(MATCH('Metrics'!$D$26,curve_key,0),MATCH("spring_chem_turb|",curve_key,0))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Fast-water / riffle habitat</t>
        </is>
      </c>
      <c r="B27" s="70">
        <f>IF('DEEP Score'!$E$40="","",'DEEP Score'!$E$40)</f>
        <v/>
      </c>
      <c r="C27" s="70">
        <f>""</f>
        <v/>
      </c>
      <c r="D27" s="70">
        <f>"spring_phab_pct_fast|"&amp;'Metrics'!$C$27</f>
        <v/>
      </c>
      <c r="E27" s="70">
        <f>IFERROR(MATCH('Metrics'!$D$27,curve_key,0),MATCH("spring_phab_pct_fast|",curve_key,0))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Natural fish cover</t>
        </is>
      </c>
      <c r="B28" s="70">
        <f>IF('DEEP Score'!$E$41="","",'DEEP Score'!$E$41)</f>
        <v/>
      </c>
      <c r="C28" s="70">
        <f>""</f>
        <v/>
      </c>
      <c r="D28" s="70">
        <f>"spring_phab_xfc_nat|"&amp;'Metrics'!$C$28</f>
        <v/>
      </c>
      <c r="E28" s="70">
        <f>IFERROR(MATCH('Metrics'!$D$28,curve_key,0),MATCH("spring_phab_xfc_nat|",curve_key,0))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Benthic total taxa richness</t>
        </is>
      </c>
      <c r="B29" s="70">
        <f>IF('DEEP Score'!$E$42="","",'DEEP Score'!$E$42)</f>
        <v/>
      </c>
      <c r="C29" s="70">
        <f>""</f>
        <v/>
      </c>
      <c r="D29" s="70">
        <f>"spring_bent_totlntax|"&amp;'Metrics'!$C$29</f>
        <v/>
      </c>
      <c r="E29" s="70">
        <f>IFERROR(MATCH('Metrics'!$D$29,curve_key,0),MATCH("spring_bent_totlntax|",curve_key,0))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Tolerant individuals (%) ~ HBI</t>
        </is>
      </c>
      <c r="B30" s="70">
        <f>IF('DEEP Score'!$E$43="","",'DEEP Score'!$E$43)</f>
        <v/>
      </c>
      <c r="C30" s="70">
        <f>""</f>
        <v/>
      </c>
      <c r="D30" s="70">
        <f>"spring_bent_tolrpind|"&amp;'Metrics'!$C$30</f>
        <v/>
      </c>
      <c r="E30" s="70">
        <f>IFERROR(MATCH('Metrics'!$D$30,curve_key,0),MATCH("spring_bent_tolrpind|",curve_key,0))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Shannon diversity (H')</t>
        </is>
      </c>
      <c r="B31" s="70">
        <f>IF('DEEP Score'!$E$44="","",'DEEP Score'!$E$44)</f>
        <v/>
      </c>
      <c r="C31" s="70">
        <f>""</f>
        <v/>
      </c>
      <c r="D31" s="70">
        <f>"spring_bent_hprime|"&amp;'Metrics'!$C$31</f>
        <v/>
      </c>
      <c r="E31" s="70">
        <f>IFERROR(MATCH('Metrics'!$D$31,curve_key,0),MATCH("spring_bent_hprime|",curve_key,0))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Mapped dams within one mile</t>
        </is>
      </c>
      <c r="B32" s="70">
        <f>IF('DEEP Score'!$E$45="","",'DEEP Score'!$E$45)</f>
        <v/>
      </c>
      <c r="C32" s="70">
        <f>""</f>
        <v/>
      </c>
      <c r="D32" s="70">
        <f>"spring_nid_dams_1mi|"&amp;'Metrics'!$C$32</f>
        <v/>
      </c>
      <c r="E32" s="70">
        <f>IFERROR(MATCH('Metrics'!$D$32,curve_key,0),MATCH("spring_nid_dams_1mi|",curve_key,0))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Score'!G42:G42)=0,"",SUM('DEEP Score'!G42:G42)/COUNT('DEEP Score'!G42:G42)*15)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51"/>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41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0.1071428571428571</v>
      </c>
      <c r="I7" s="69" t="n">
        <v>0.25</v>
      </c>
      <c r="J7" s="69" t="n">
        <v>2.23</v>
      </c>
      <c r="K7" s="69" t="n">
        <v>3.22</v>
      </c>
      <c r="L7" s="69" t="n">
        <v>3.22</v>
      </c>
      <c r="M7" s="69" t="n">
        <v>3.22</v>
      </c>
      <c r="N7" s="69" t="n">
        <v>3.22</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41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21.03715714285714</v>
      </c>
      <c r="I9" s="69" t="n">
        <v>49.0867</v>
      </c>
      <c r="J9" s="69" t="n">
        <v>69.3814</v>
      </c>
      <c r="K9" s="69" t="n">
        <v>79.52875</v>
      </c>
      <c r="L9" s="69" t="n">
        <v>79.52875</v>
      </c>
      <c r="M9" s="69" t="n">
        <v>79.52875</v>
      </c>
      <c r="N9" s="69" t="n">
        <v>79.52875</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spring_phab_rp100_cm|</t>
        </is>
      </c>
      <c r="B11" s="69" t="inlineStr">
        <is>
          <t>spring-phab-rp100-cm</t>
        </is>
      </c>
      <c r="C11" s="69" t="inlineStr">
        <is>
          <t>Residual pool depth</t>
        </is>
      </c>
      <c r="D11" s="69" t="inlineStr"/>
      <c r="E11" s="69" t="n">
        <v>5</v>
      </c>
      <c r="F11" s="69" t="inlineStr">
        <is>
          <t>33 least-disturbed stations borrowed from Level II ecoregion 9.4 (South Central Semi-Arid Prairies) under the regional screen (agriculture at most 25 percent), transfer risk moderate</t>
        </is>
      </c>
      <c r="G11" s="69" t="n">
        <v>0</v>
      </c>
      <c r="H11" s="69" t="n">
        <v>5.378922189985003</v>
      </c>
      <c r="I11" s="69" t="n">
        <v>12.55081844329834</v>
      </c>
      <c r="J11" s="69" t="n">
        <v>34.91913223266602</v>
      </c>
      <c r="K11" s="69" t="n">
        <v>46.10328912734985</v>
      </c>
      <c r="L11" s="69" t="n">
        <v>46.10328912734985</v>
      </c>
      <c r="M11" s="69" t="n">
        <v>46.10328912734985</v>
      </c>
      <c r="N11" s="69" t="n">
        <v>46.10328912734985</v>
      </c>
      <c r="O11" s="69" t="n">
        <v>0</v>
      </c>
      <c r="P11" s="69" t="n">
        <v>0.3</v>
      </c>
      <c r="Q11" s="69" t="n">
        <v>0.7</v>
      </c>
      <c r="R11" s="69" t="n">
        <v>1</v>
      </c>
      <c r="S11" s="69" t="n">
        <v>1</v>
      </c>
      <c r="T11" s="69" t="n">
        <v>1</v>
      </c>
      <c r="U11" s="69" t="n">
        <v>1</v>
      </c>
      <c r="V11" s="69" t="n">
        <v>1</v>
      </c>
    </row>
    <row r="12">
      <c r="A12" s="69" t="inlineStr">
        <is>
          <t>spring_phab_bfwd_rat|All streams (pooled)</t>
        </is>
      </c>
      <c r="B12" s="69" t="inlineStr">
        <is>
          <t>spring-phab-bfwd-rat</t>
        </is>
      </c>
      <c r="C12" s="69" t="inlineStr">
        <is>
          <t>Bankfull width:depth ratio</t>
        </is>
      </c>
      <c r="D12" s="69" t="inlineStr">
        <is>
          <t>All streams (pooled)</t>
        </is>
      </c>
      <c r="E12" s="69" t="n">
        <v>7</v>
      </c>
      <c r="F12" s="69" t="inlineStr">
        <is>
          <t>33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0</v>
      </c>
      <c r="H12" s="69" t="n">
        <v>3.014444041252136</v>
      </c>
      <c r="I12" s="69" t="n">
        <v>5.378676891326904</v>
      </c>
      <c r="J12" s="69" t="n">
        <v>12.13362789154053</v>
      </c>
      <c r="K12" s="69" t="n">
        <v>14.49786074161529</v>
      </c>
      <c r="L12" s="69" t="n">
        <v>18.88857889175415</v>
      </c>
      <c r="M12" s="69" t="n">
        <v>25.64352989196777</v>
      </c>
      <c r="N12" s="69" t="n">
        <v>25.64352989196777</v>
      </c>
      <c r="O12" s="69" t="n">
        <v>0</v>
      </c>
      <c r="P12" s="69" t="n">
        <v>0.7</v>
      </c>
      <c r="Q12" s="69" t="n">
        <v>1</v>
      </c>
      <c r="R12" s="69" t="n">
        <v>1</v>
      </c>
      <c r="S12" s="69" t="n">
        <v>0.7</v>
      </c>
      <c r="T12" s="69" t="n">
        <v>0.3</v>
      </c>
      <c r="U12" s="69" t="n">
        <v>0</v>
      </c>
      <c r="V12" s="69" t="n">
        <v>0</v>
      </c>
    </row>
    <row r="13">
      <c r="A13" s="69" t="inlineStr">
        <is>
          <t>spring_phab_bfwd_rat|Small stream (10 to 100 km2)</t>
        </is>
      </c>
      <c r="B13" s="69" t="inlineStr">
        <is>
          <t>spring-phab-bfwd-rat</t>
        </is>
      </c>
      <c r="C13" s="69" t="inlineStr">
        <is>
          <t>Bankfull width:depth ratio</t>
        </is>
      </c>
      <c r="D13" s="69" t="inlineStr">
        <is>
          <t>Small stream (10 to 100 km2)</t>
        </is>
      </c>
      <c r="E13" s="69" t="n">
        <v>7</v>
      </c>
      <c r="F13" s="69" t="inlineStr">
        <is>
          <t>33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3.425990009307862</v>
      </c>
      <c r="I13" s="69" t="n">
        <v>5.392398834228516</v>
      </c>
      <c r="J13" s="69" t="n">
        <v>11.01070976257324</v>
      </c>
      <c r="K13" s="69" t="n">
        <v>12.9771185874939</v>
      </c>
      <c r="L13" s="69" t="n">
        <v>16.62902069091797</v>
      </c>
      <c r="M13" s="69" t="n">
        <v>22.2473316192627</v>
      </c>
      <c r="N13" s="69" t="n">
        <v>22.2473316192627</v>
      </c>
      <c r="O13" s="69" t="n">
        <v>0</v>
      </c>
      <c r="P13" s="69" t="n">
        <v>0.7</v>
      </c>
      <c r="Q13" s="69" t="n">
        <v>1</v>
      </c>
      <c r="R13" s="69" t="n">
        <v>1</v>
      </c>
      <c r="S13" s="69" t="n">
        <v>0.7</v>
      </c>
      <c r="T13" s="69" t="n">
        <v>0.3</v>
      </c>
      <c r="U13" s="69" t="n">
        <v>0</v>
      </c>
      <c r="V13" s="69" t="n">
        <v>0</v>
      </c>
    </row>
    <row r="14">
      <c r="A14" s="69" t="inlineStr">
        <is>
          <t>spring_phab_bfwd_rat|Large stream (over 100 km2)</t>
        </is>
      </c>
      <c r="B14" s="69" t="inlineStr">
        <is>
          <t>spring-phab-bfwd-rat</t>
        </is>
      </c>
      <c r="C14" s="69" t="inlineStr">
        <is>
          <t>Bankfull width:depth ratio</t>
        </is>
      </c>
      <c r="D14" s="69" t="inlineStr">
        <is>
          <t>Large stream (over 100 km2)</t>
        </is>
      </c>
      <c r="E14" s="69" t="n">
        <v>7</v>
      </c>
      <c r="F14" s="69" t="inlineStr">
        <is>
          <t>33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9" t="n">
        <v>0</v>
      </c>
      <c r="H14" s="69" t="n">
        <v>2.851091629266739</v>
      </c>
      <c r="I14" s="69" t="n">
        <v>5.364985823631287</v>
      </c>
      <c r="J14" s="69" t="n">
        <v>12.54754066467285</v>
      </c>
      <c r="K14" s="69" t="n">
        <v>15.0614348590374</v>
      </c>
      <c r="L14" s="69" t="n">
        <v>19.73009550571442</v>
      </c>
      <c r="M14" s="69" t="n">
        <v>26.91265034675598</v>
      </c>
      <c r="N14" s="69" t="n">
        <v>26.91265034675598</v>
      </c>
      <c r="O14" s="69" t="n">
        <v>0</v>
      </c>
      <c r="P14" s="69" t="n">
        <v>0.7</v>
      </c>
      <c r="Q14" s="69" t="n">
        <v>1</v>
      </c>
      <c r="R14" s="69" t="n">
        <v>1</v>
      </c>
      <c r="S14" s="69" t="n">
        <v>0.7</v>
      </c>
      <c r="T14" s="69" t="n">
        <v>0.3</v>
      </c>
      <c r="U14" s="69" t="n">
        <v>0</v>
      </c>
      <c r="V14" s="69" t="n">
        <v>0</v>
      </c>
    </row>
    <row r="15">
      <c r="A15" s="69" t="inlineStr">
        <is>
          <t>spring_phab_xbkf_h|All streams (pooled)</t>
        </is>
      </c>
      <c r="B15" s="69" t="inlineStr">
        <is>
          <t>spring-phab-xbkf-h</t>
        </is>
      </c>
      <c r="C15" s="69" t="inlineStr">
        <is>
          <t>Bankfull height above channel</t>
        </is>
      </c>
      <c r="D15" s="69" t="inlineStr">
        <is>
          <t>All streams (pooled)</t>
        </is>
      </c>
      <c r="E15" s="69" t="n">
        <v>7</v>
      </c>
      <c r="F15" s="69" t="inlineStr">
        <is>
          <t>82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9" t="n">
        <v>0</v>
      </c>
      <c r="H15" s="69" t="n">
        <v>0.1595454543828964</v>
      </c>
      <c r="I15" s="69" t="n">
        <v>0.3090909123420715</v>
      </c>
      <c r="J15" s="69" t="n">
        <v>0.7363636493682861</v>
      </c>
      <c r="K15" s="69" t="n">
        <v>0.8859091073274612</v>
      </c>
      <c r="L15" s="69" t="n">
        <v>1.163636386394501</v>
      </c>
      <c r="M15" s="69" t="n">
        <v>1.590909123420715</v>
      </c>
      <c r="N15" s="69" t="n">
        <v>1.590909123420715</v>
      </c>
      <c r="O15" s="69" t="n">
        <v>0</v>
      </c>
      <c r="P15" s="69" t="n">
        <v>0.7</v>
      </c>
      <c r="Q15" s="69" t="n">
        <v>1</v>
      </c>
      <c r="R15" s="69" t="n">
        <v>1</v>
      </c>
      <c r="S15" s="69" t="n">
        <v>0.7</v>
      </c>
      <c r="T15" s="69" t="n">
        <v>0.3</v>
      </c>
      <c r="U15" s="69" t="n">
        <v>0</v>
      </c>
      <c r="V15" s="69" t="n">
        <v>0</v>
      </c>
    </row>
    <row r="16">
      <c r="A16" s="69" t="inlineStr">
        <is>
          <t>spring_phab_xbkf_h|Small stream (10 to 100 km2)</t>
        </is>
      </c>
      <c r="B16" s="69" t="inlineStr">
        <is>
          <t>spring-phab-xbkf-h</t>
        </is>
      </c>
      <c r="C16" s="69" t="inlineStr">
        <is>
          <t>Bankfull height above channel</t>
        </is>
      </c>
      <c r="D16" s="69" t="inlineStr">
        <is>
          <t>Small stream (10 to 100 km2)</t>
        </is>
      </c>
      <c r="E16" s="69" t="n">
        <v>7</v>
      </c>
      <c r="F16" s="69" t="inlineStr">
        <is>
          <t>82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9" t="n">
        <v>0</v>
      </c>
      <c r="H16" s="69" t="n">
        <v>0.1410681903362274</v>
      </c>
      <c r="I16" s="69" t="n">
        <v>0.2697727382183075</v>
      </c>
      <c r="J16" s="69" t="n">
        <v>0.6375000178813934</v>
      </c>
      <c r="K16" s="69" t="n">
        <v>0.7662045657634735</v>
      </c>
      <c r="L16" s="69" t="n">
        <v>1.005227297544479</v>
      </c>
      <c r="M16" s="69" t="n">
        <v>1.372954577207565</v>
      </c>
      <c r="N16" s="69" t="n">
        <v>1.372954577207565</v>
      </c>
      <c r="O16" s="69" t="n">
        <v>0</v>
      </c>
      <c r="P16" s="69" t="n">
        <v>0.7</v>
      </c>
      <c r="Q16" s="69" t="n">
        <v>1</v>
      </c>
      <c r="R16" s="69" t="n">
        <v>1</v>
      </c>
      <c r="S16" s="69" t="n">
        <v>0.7</v>
      </c>
      <c r="T16" s="69" t="n">
        <v>0.3</v>
      </c>
      <c r="U16" s="69" t="n">
        <v>0</v>
      </c>
      <c r="V16" s="69" t="n">
        <v>0</v>
      </c>
    </row>
    <row r="17">
      <c r="A17" s="69" t="inlineStr">
        <is>
          <t>spring_phab_xbkf_h|Large stream (over 100 km2)</t>
        </is>
      </c>
      <c r="B17" s="69" t="inlineStr">
        <is>
          <t>spring-phab-xbkf-h</t>
        </is>
      </c>
      <c r="C17" s="69" t="inlineStr">
        <is>
          <t>Bankfull height above channel</t>
        </is>
      </c>
      <c r="D17" s="69" t="inlineStr">
        <is>
          <t>Large stream (over 100 km2)</t>
        </is>
      </c>
      <c r="E17" s="69" t="n">
        <v>7</v>
      </c>
      <c r="F17" s="69" t="inlineStr">
        <is>
          <t>82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69" t="n">
        <v>0</v>
      </c>
      <c r="H17" s="69" t="n">
        <v>0.1750454537570477</v>
      </c>
      <c r="I17" s="69" t="n">
        <v>0.3490909039974213</v>
      </c>
      <c r="J17" s="69" t="n">
        <v>0.8463636189699173</v>
      </c>
      <c r="K17" s="69" t="n">
        <v>1.020409069210291</v>
      </c>
      <c r="L17" s="69" t="n">
        <v>1.343636333942413</v>
      </c>
      <c r="M17" s="69" t="n">
        <v>1.840909048914909</v>
      </c>
      <c r="N17" s="69" t="n">
        <v>1.840909048914909</v>
      </c>
      <c r="O17" s="69" t="n">
        <v>0</v>
      </c>
      <c r="P17" s="69" t="n">
        <v>0.7</v>
      </c>
      <c r="Q17" s="69" t="n">
        <v>1</v>
      </c>
      <c r="R17" s="69" t="n">
        <v>1</v>
      </c>
      <c r="S17" s="69" t="n">
        <v>0.7</v>
      </c>
      <c r="T17" s="69" t="n">
        <v>0.3</v>
      </c>
      <c r="U17" s="69" t="n">
        <v>0</v>
      </c>
      <c r="V17" s="69" t="n">
        <v>0</v>
      </c>
    </row>
    <row r="18">
      <c r="A18" s="69" t="inlineStr">
        <is>
          <t>spring_phab_pct_safn|</t>
        </is>
      </c>
      <c r="B18" s="69" t="inlineStr">
        <is>
          <t>spring-phab-pct-safn</t>
        </is>
      </c>
      <c r="C18" s="69" t="inlineStr">
        <is>
          <t>Sand + fines</t>
        </is>
      </c>
      <c r="D18" s="69" t="inlineStr"/>
      <c r="E18" s="69" t="n">
        <v>4</v>
      </c>
      <c r="F18" s="69" t="inlineStr">
        <is>
          <t>34 least-disturbed stations borrowed from Level II ecoregion 9.4 (South Central Semi-Arid Prairies) under the regional screen (agriculture at most 25 percent), transfer risk low</t>
        </is>
      </c>
      <c r="G18" s="69" t="n">
        <v>12.02381086349487</v>
      </c>
      <c r="H18" s="69" t="n">
        <v>30.7142858505249</v>
      </c>
      <c r="I18" s="69" t="n">
        <v>68.09523582458496</v>
      </c>
      <c r="J18" s="69" t="n">
        <v>100</v>
      </c>
      <c r="K18" s="69" t="n">
        <v>100</v>
      </c>
      <c r="L18" s="69" t="n">
        <v>100</v>
      </c>
      <c r="M18" s="69" t="n">
        <v>100</v>
      </c>
      <c r="N18" s="69" t="n">
        <v>100</v>
      </c>
      <c r="O18" s="69" t="n">
        <v>1</v>
      </c>
      <c r="P18" s="69" t="n">
        <v>1</v>
      </c>
      <c r="Q18" s="69" t="n">
        <v>0.7</v>
      </c>
      <c r="R18" s="69" t="n">
        <v>0</v>
      </c>
      <c r="S18" s="69" t="n">
        <v>0</v>
      </c>
      <c r="T18" s="69" t="n">
        <v>0</v>
      </c>
      <c r="U18" s="69" t="n">
        <v>0</v>
      </c>
      <c r="V18" s="69" t="n">
        <v>0</v>
      </c>
    </row>
    <row r="19">
      <c r="A19" s="69" t="inlineStr">
        <is>
          <t>spring_phab_xembed|</t>
        </is>
      </c>
      <c r="B19" s="69" t="inlineStr">
        <is>
          <t>spring-phab-xembed</t>
        </is>
      </c>
      <c r="C19" s="69" t="inlineStr">
        <is>
          <t>Embeddedness</t>
        </is>
      </c>
      <c r="D19" s="69" t="inlineStr"/>
      <c r="E19" s="69" t="n">
        <v>4</v>
      </c>
      <c r="F19" s="69" t="inlineStr">
        <is>
          <t>13 least-disturbed streams of this ecoregion under the regional screen (agriculture at most 25 percent)</t>
        </is>
      </c>
      <c r="G19" s="69" t="n">
        <v>73.31818771362305</v>
      </c>
      <c r="H19" s="69" t="n">
        <v>80.09091186523438</v>
      </c>
      <c r="I19" s="69" t="n">
        <v>93.63636016845703</v>
      </c>
      <c r="J19" s="69" t="n">
        <v>100</v>
      </c>
      <c r="K19" s="69" t="n">
        <v>100</v>
      </c>
      <c r="L19" s="69" t="n">
        <v>100</v>
      </c>
      <c r="M19" s="69" t="n">
        <v>100</v>
      </c>
      <c r="N19" s="69" t="n">
        <v>100</v>
      </c>
      <c r="O19" s="69" t="n">
        <v>1</v>
      </c>
      <c r="P19" s="69" t="n">
        <v>1</v>
      </c>
      <c r="Q19" s="69" t="n">
        <v>0.7</v>
      </c>
      <c r="R19" s="69" t="n">
        <v>0</v>
      </c>
      <c r="S19" s="69" t="n">
        <v>0</v>
      </c>
      <c r="T19" s="69" t="n">
        <v>0</v>
      </c>
      <c r="U19" s="69" t="n">
        <v>0</v>
      </c>
      <c r="V19" s="69" t="n">
        <v>0</v>
      </c>
    </row>
    <row r="20">
      <c r="A20" s="69" t="inlineStr">
        <is>
          <t>spring_phab_sinu|</t>
        </is>
      </c>
      <c r="B20" s="69" t="inlineStr">
        <is>
          <t>spring-phab-sinu</t>
        </is>
      </c>
      <c r="C20" s="69" t="inlineStr">
        <is>
          <t>Sinuosity</t>
        </is>
      </c>
      <c r="D20" s="69" t="inlineStr"/>
      <c r="E20" s="69" t="n">
        <v>4</v>
      </c>
      <c r="F20" s="69" t="inlineStr">
        <is>
          <t>31 least-disturbed stations borrowed from Level II ecoregion 9.4 (South Central Semi-Arid Prairies) under the regional screen (agriculture at most 25 percent), transfer risk moderate</t>
        </is>
      </c>
      <c r="G20" s="69" t="n">
        <v>1</v>
      </c>
      <c r="H20" s="69" t="n">
        <v>1.125664710998535</v>
      </c>
      <c r="I20" s="69" t="n">
        <v>1.569019198417664</v>
      </c>
      <c r="J20" s="69" t="n">
        <v>1.790696442127228</v>
      </c>
      <c r="K20" s="69" t="n">
        <v>1.790696442127228</v>
      </c>
      <c r="L20" s="69" t="n">
        <v>1.790696442127228</v>
      </c>
      <c r="M20" s="69" t="n">
        <v>1.790696442127228</v>
      </c>
      <c r="N20" s="69" t="n">
        <v>1.790696442127228</v>
      </c>
      <c r="O20" s="69" t="n">
        <v>0</v>
      </c>
      <c r="P20" s="69" t="n">
        <v>0.7</v>
      </c>
      <c r="Q20" s="69" t="n">
        <v>1</v>
      </c>
      <c r="R20" s="69" t="n">
        <v>1</v>
      </c>
      <c r="S20" s="69" t="n">
        <v>1</v>
      </c>
      <c r="T20" s="69" t="n">
        <v>1</v>
      </c>
      <c r="U20" s="69" t="n">
        <v>1</v>
      </c>
      <c r="V20" s="69" t="n">
        <v>1</v>
      </c>
    </row>
    <row r="21">
      <c r="A21" s="69" t="inlineStr">
        <is>
          <t>spring_phab_xbka|</t>
        </is>
      </c>
      <c r="B21" s="69" t="inlineStr">
        <is>
          <t>spring-phab-xbka</t>
        </is>
      </c>
      <c r="C21" s="69" t="inlineStr">
        <is>
          <t>Bank angle</t>
        </is>
      </c>
      <c r="D21" s="69" t="inlineStr"/>
      <c r="E21" s="69" t="n">
        <v>7</v>
      </c>
      <c r="F21" s="69" t="inlineStr">
        <is>
          <t>13 least-disturbed streams of this ecoregion under the regional screen (agriculture at most 25 percent)</t>
        </is>
      </c>
      <c r="G21" s="69" t="n">
        <v>3.590911865234375</v>
      </c>
      <c r="H21" s="69" t="n">
        <v>20.01590957641601</v>
      </c>
      <c r="I21" s="69" t="n">
        <v>23.5</v>
      </c>
      <c r="J21" s="69" t="n">
        <v>33.45454406738281</v>
      </c>
      <c r="K21" s="69" t="n">
        <v>36.9386344909668</v>
      </c>
      <c r="L21" s="69" t="n">
        <v>43.40908813476562</v>
      </c>
      <c r="M21" s="69" t="n">
        <v>53.36363220214844</v>
      </c>
      <c r="N21" s="69" t="n">
        <v>53.36363220214844</v>
      </c>
      <c r="O21" s="69" t="n">
        <v>0.7</v>
      </c>
      <c r="P21" s="69" t="n">
        <v>0.7</v>
      </c>
      <c r="Q21" s="69" t="n">
        <v>1</v>
      </c>
      <c r="R21" s="69" t="n">
        <v>1</v>
      </c>
      <c r="S21" s="69" t="n">
        <v>0.7</v>
      </c>
      <c r="T21" s="69" t="n">
        <v>0.3</v>
      </c>
      <c r="U21" s="69" t="n">
        <v>0</v>
      </c>
      <c r="V21" s="69" t="n">
        <v>0</v>
      </c>
    </row>
    <row r="22">
      <c r="A22" s="69" t="inlineStr">
        <is>
          <t>spring_phab_lrbs_use|</t>
        </is>
      </c>
      <c r="B22" s="69" t="inlineStr">
        <is>
          <t>spring-phab-lrbs-use</t>
        </is>
      </c>
      <c r="C22" s="69" t="inlineStr">
        <is>
          <t>Relative bed stability</t>
        </is>
      </c>
      <c r="D22" s="69" t="inlineStr"/>
      <c r="E22" s="69" t="n">
        <v>8</v>
      </c>
      <c r="F22" s="69" t="inlineStr">
        <is>
          <t>13 least-disturbed streams of this ecoregion under the regional screen (agriculture at most 25 percent). Scored on a reference pool whose transfer to this ecoregion was not confirmed by the recovery test (class agreement 0.29 of evaluation regions; two thirds required); confidence capped at 39.</t>
        </is>
      </c>
      <c r="G22" s="69" t="n">
        <v>-4.203244209289551</v>
      </c>
      <c r="H22" s="69" t="n">
        <v>-3.464682936668396</v>
      </c>
      <c r="I22" s="69" t="n">
        <v>-2.984618109464646</v>
      </c>
      <c r="J22" s="69" t="n">
        <v>-2.726121664047241</v>
      </c>
      <c r="K22" s="69" t="n">
        <v>-1.987560391426086</v>
      </c>
      <c r="L22" s="69" t="n">
        <v>-1.729063946008682</v>
      </c>
      <c r="M22" s="69" t="n">
        <v>-1.248999118804932</v>
      </c>
      <c r="N22" s="69" t="n">
        <v>-0.5104378461837769</v>
      </c>
      <c r="O22" s="69" t="n">
        <v>0</v>
      </c>
      <c r="P22" s="69" t="n">
        <v>0.3</v>
      </c>
      <c r="Q22" s="69" t="n">
        <v>0.7</v>
      </c>
      <c r="R22" s="69" t="n">
        <v>1</v>
      </c>
      <c r="S22" s="69" t="n">
        <v>1</v>
      </c>
      <c r="T22" s="69" t="n">
        <v>0.7</v>
      </c>
      <c r="U22" s="69" t="n">
        <v>0.3</v>
      </c>
      <c r="V22" s="69" t="n">
        <v>0</v>
      </c>
    </row>
    <row r="23">
      <c r="A23" s="69" t="inlineStr">
        <is>
          <t>spring_phab_lsub_dmm|</t>
        </is>
      </c>
      <c r="B23" s="69" t="inlineStr">
        <is>
          <t>spring-phab-lsub-dmm</t>
        </is>
      </c>
      <c r="C23" s="69" t="inlineStr">
        <is>
          <t>Substrate size</t>
        </is>
      </c>
      <c r="D23" s="69" t="inlineStr"/>
      <c r="E23" s="69" t="n">
        <v>5</v>
      </c>
      <c r="F23" s="69" t="inlineStr">
        <is>
          <t>34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3" s="69" t="n">
        <v>-4.881273232400417</v>
      </c>
      <c r="H23" s="69" t="n">
        <v>-3.295472837984562</v>
      </c>
      <c r="I23" s="69" t="n">
        <v>-0.9167722463607788</v>
      </c>
      <c r="J23" s="69" t="n">
        <v>0.6690281480550766</v>
      </c>
      <c r="K23" s="69" t="n">
        <v>1.461928345263004</v>
      </c>
      <c r="L23" s="69" t="n">
        <v>1.461928345263004</v>
      </c>
      <c r="M23" s="69" t="n">
        <v>1.461928345263004</v>
      </c>
      <c r="N23" s="69" t="n">
        <v>1.461928345263004</v>
      </c>
      <c r="O23" s="69" t="n">
        <v>0</v>
      </c>
      <c r="P23" s="69" t="n">
        <v>0.3</v>
      </c>
      <c r="Q23" s="69" t="n">
        <v>0.7</v>
      </c>
      <c r="R23" s="69" t="n">
        <v>1</v>
      </c>
      <c r="S23" s="69" t="n">
        <v>1</v>
      </c>
      <c r="T23" s="69" t="n">
        <v>1</v>
      </c>
      <c r="U23" s="69" t="n">
        <v>1</v>
      </c>
      <c r="V23" s="69" t="n">
        <v>1</v>
      </c>
    </row>
    <row r="24">
      <c r="A24" s="69" t="inlineStr">
        <is>
          <t>spring_chem_chla|</t>
        </is>
      </c>
      <c r="B24" s="69" t="inlineStr">
        <is>
          <t>spring-chem-chla</t>
        </is>
      </c>
      <c r="C24" s="69" t="inlineStr">
        <is>
          <t>Chlorophyll a</t>
        </is>
      </c>
      <c r="D24" s="69" t="inlineStr"/>
      <c r="E24" s="69" t="n">
        <v>5</v>
      </c>
      <c r="F24" s="69" t="inlineStr">
        <is>
          <t>46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+0.18, at most 0.05 allowed); confidence capped at 39.</t>
        </is>
      </c>
      <c r="G24" s="69" t="n">
        <v>0</v>
      </c>
      <c r="H24" s="69" t="n">
        <v>1.180166631937027</v>
      </c>
      <c r="I24" s="69" t="n">
        <v>6.627500176429749</v>
      </c>
      <c r="J24" s="69" t="n">
        <v>14.79850049316883</v>
      </c>
      <c r="K24" s="69" t="n">
        <v>20.24583403766155</v>
      </c>
      <c r="L24" s="69" t="n">
        <v>20.24583403766155</v>
      </c>
      <c r="M24" s="69" t="n">
        <v>20.24583403766155</v>
      </c>
      <c r="N24" s="69" t="n">
        <v>20.24583403766155</v>
      </c>
      <c r="O24" s="69" t="n">
        <v>1</v>
      </c>
      <c r="P24" s="69" t="n">
        <v>1</v>
      </c>
      <c r="Q24" s="69" t="n">
        <v>0.7</v>
      </c>
      <c r="R24" s="69" t="n">
        <v>0.3</v>
      </c>
      <c r="S24" s="69" t="n">
        <v>0</v>
      </c>
      <c r="T24" s="69" t="n">
        <v>0</v>
      </c>
      <c r="U24" s="69" t="n">
        <v>0</v>
      </c>
      <c r="V24" s="69" t="n">
        <v>0</v>
      </c>
    </row>
    <row r="25">
      <c r="A25" s="69" t="inlineStr">
        <is>
          <t>spring_phab_xcdenmid|</t>
        </is>
      </c>
      <c r="B25" s="69" t="inlineStr">
        <is>
          <t>spring-phab-xcdenmid</t>
        </is>
      </c>
      <c r="C25" s="69" t="inlineStr">
        <is>
          <t>Canopy density, mid-channel</t>
        </is>
      </c>
      <c r="D25" s="69" t="inlineStr"/>
      <c r="E25" s="69" t="n">
        <v>5</v>
      </c>
      <c r="F25" s="69" t="inlineStr">
        <is>
          <t>13 least-disturbed streams of this ecoregion under the regional screen (agriculture at most 25 percent). Scored on a reference pool whose transfer to this ecoregion was not confirmed by the recovery test (class agreement 0.71 of evaluation regions; two thirds required; net optimism +0.12, at most 0.05 allowed); confidence capped at 39.</t>
        </is>
      </c>
      <c r="G25" s="69" t="n">
        <v>0</v>
      </c>
      <c r="H25" s="69" t="n">
        <v>2.406417029244559</v>
      </c>
      <c r="I25" s="69" t="n">
        <v>5.614973068237305</v>
      </c>
      <c r="J25" s="69" t="n">
        <v>69.91978454589844</v>
      </c>
      <c r="K25" s="69" t="n">
        <v>100</v>
      </c>
      <c r="L25" s="69" t="n">
        <v>100</v>
      </c>
      <c r="M25" s="69" t="n">
        <v>100</v>
      </c>
      <c r="N25" s="69" t="n">
        <v>100</v>
      </c>
      <c r="O25" s="69" t="n">
        <v>0</v>
      </c>
      <c r="P25" s="69" t="n">
        <v>0.3</v>
      </c>
      <c r="Q25" s="69" t="n">
        <v>0.7</v>
      </c>
      <c r="R25" s="69" t="n">
        <v>1</v>
      </c>
      <c r="S25" s="69" t="n">
        <v>1</v>
      </c>
      <c r="T25" s="69" t="n">
        <v>1</v>
      </c>
      <c r="U25" s="69" t="n">
        <v>1</v>
      </c>
      <c r="V25" s="69" t="n">
        <v>1</v>
      </c>
    </row>
    <row r="26">
      <c r="A26" s="69" t="inlineStr">
        <is>
          <t>spring_natural_riparian_cover|</t>
        </is>
      </c>
      <c r="B26" s="69" t="inlineStr">
        <is>
          <t>spring-natural-riparian-cover</t>
        </is>
      </c>
      <c r="C26" s="69" t="inlineStr">
        <is>
          <t>Natural cover of the riparian corridor</t>
        </is>
      </c>
      <c r="D26" s="69" t="inlineStr"/>
      <c r="E26" s="69" t="n">
        <v>5</v>
      </c>
      <c r="F26" s="69" t="inlineStr">
        <is>
          <t>Adopted from EASI's national screening method (provisional)</t>
        </is>
      </c>
      <c r="G26" s="69" t="n">
        <v>0</v>
      </c>
      <c r="H26" s="69" t="n">
        <v>41.138571</v>
      </c>
      <c r="I26" s="69" t="n">
        <v>95.989998</v>
      </c>
      <c r="J26" s="69" t="n">
        <v>99.949997</v>
      </c>
      <c r="K26" s="69" t="n">
        <v>100</v>
      </c>
      <c r="L26" s="69" t="n">
        <v>100</v>
      </c>
      <c r="M26" s="69" t="n">
        <v>100</v>
      </c>
      <c r="N26" s="69" t="n">
        <v>100</v>
      </c>
      <c r="O26" s="69" t="n">
        <v>0</v>
      </c>
      <c r="P26" s="69" t="n">
        <v>0.3</v>
      </c>
      <c r="Q26" s="69" t="n">
        <v>0.7</v>
      </c>
      <c r="R26" s="69" t="n">
        <v>1</v>
      </c>
      <c r="S26" s="69" t="n">
        <v>1</v>
      </c>
      <c r="T26" s="69" t="n">
        <v>1</v>
      </c>
      <c r="U26" s="69" t="n">
        <v>1</v>
      </c>
      <c r="V26" s="69" t="n">
        <v>1</v>
      </c>
    </row>
    <row r="27">
      <c r="A27" s="69" t="inlineStr">
        <is>
          <t>spring_chem_ntl|</t>
        </is>
      </c>
      <c r="B27" s="69" t="inlineStr">
        <is>
          <t>spring-chem-ntl</t>
        </is>
      </c>
      <c r="C27" s="69" t="inlineStr">
        <is>
          <t>Total nitrogen</t>
        </is>
      </c>
      <c r="D27" s="69" t="inlineStr"/>
      <c r="E27" s="69" t="n">
        <v>4</v>
      </c>
      <c r="F27" s="69" t="inlineStr">
        <is>
          <t>Scored against a published criterion rather than against stations from this ecoregion. The criterion carries its own definition of reference, which need not match this assessment's.</t>
        </is>
      </c>
      <c r="G27" s="69" t="n">
        <v>0</v>
      </c>
      <c r="H27" s="69" t="n">
        <v>0.5815</v>
      </c>
      <c r="I27" s="69" t="n">
        <v>1.069</v>
      </c>
      <c r="J27" s="69" t="n">
        <v>1.70275</v>
      </c>
      <c r="K27" s="69" t="n">
        <v>1.70275</v>
      </c>
      <c r="L27" s="69" t="n">
        <v>1.70275</v>
      </c>
      <c r="M27" s="69" t="n">
        <v>1.70275</v>
      </c>
      <c r="N27" s="69" t="n">
        <v>1.70275</v>
      </c>
      <c r="O27" s="69" t="n">
        <v>1</v>
      </c>
      <c r="P27" s="69" t="n">
        <v>0.6899999999999999</v>
      </c>
      <c r="Q27" s="69" t="n">
        <v>0.39</v>
      </c>
      <c r="R27" s="69" t="n">
        <v>0</v>
      </c>
      <c r="S27" s="69" t="n">
        <v>0</v>
      </c>
      <c r="T27" s="69" t="n">
        <v>0</v>
      </c>
      <c r="U27" s="69" t="n">
        <v>0</v>
      </c>
      <c r="V27" s="69" t="n">
        <v>0</v>
      </c>
    </row>
    <row r="28">
      <c r="A28" s="69" t="inlineStr">
        <is>
          <t>spring_chem_ptl|</t>
        </is>
      </c>
      <c r="B28" s="69" t="inlineStr">
        <is>
          <t>spring-chem-ptl</t>
        </is>
      </c>
      <c r="C28" s="69" t="inlineStr">
        <is>
          <t>Total phosphorus</t>
        </is>
      </c>
      <c r="D28" s="69" t="inlineStr"/>
      <c r="E28" s="69" t="n">
        <v>4</v>
      </c>
      <c r="F28" s="69" t="inlineStr">
        <is>
          <t>Scored against a published criterion rather than against stations from this ecoregion. The criterion carries its own definition of reference, which need not match this assessment's.</t>
        </is>
      </c>
      <c r="G28" s="69" t="n">
        <v>0</v>
      </c>
      <c r="H28" s="69" t="n">
        <v>55.85</v>
      </c>
      <c r="I28" s="69" t="n">
        <v>127</v>
      </c>
      <c r="J28" s="69" t="n">
        <v>219.495</v>
      </c>
      <c r="K28" s="69" t="n">
        <v>219.495</v>
      </c>
      <c r="L28" s="69" t="n">
        <v>219.495</v>
      </c>
      <c r="M28" s="69" t="n">
        <v>219.495</v>
      </c>
      <c r="N28" s="69" t="n">
        <v>219.495</v>
      </c>
      <c r="O28" s="69" t="n">
        <v>1</v>
      </c>
      <c r="P28" s="69" t="n">
        <v>0.6899999999999999</v>
      </c>
      <c r="Q28" s="69" t="n">
        <v>0.39</v>
      </c>
      <c r="R28" s="69" t="n">
        <v>0</v>
      </c>
      <c r="S28" s="69" t="n">
        <v>0</v>
      </c>
      <c r="T28" s="69" t="n">
        <v>0</v>
      </c>
      <c r="U28" s="69" t="n">
        <v>0</v>
      </c>
      <c r="V28" s="69" t="n">
        <v>0</v>
      </c>
    </row>
    <row r="29">
      <c r="A29" s="69" t="inlineStr">
        <is>
          <t>spring_chem_cond|</t>
        </is>
      </c>
      <c r="B29" s="69" t="inlineStr">
        <is>
          <t>spring-chem-cond</t>
        </is>
      </c>
      <c r="C29" s="69" t="inlineStr">
        <is>
          <t>Specific conductivity</t>
        </is>
      </c>
      <c r="D29" s="69" t="inlineStr"/>
      <c r="E29" s="69" t="n">
        <v>4</v>
      </c>
      <c r="F29" s="69" t="inlineStr">
        <is>
          <t>Scored against a published criterion rather than against stations from this ecoregion. The criterion carries its own definition of reference, which need not match this assessment's.</t>
        </is>
      </c>
      <c r="G29" s="69" t="n">
        <v>0</v>
      </c>
      <c r="H29" s="69" t="n">
        <v>1000.05</v>
      </c>
      <c r="I29" s="69" t="n">
        <v>2000.05</v>
      </c>
      <c r="J29" s="69" t="n">
        <v>3300.05</v>
      </c>
      <c r="K29" s="69" t="n">
        <v>3300.05</v>
      </c>
      <c r="L29" s="69" t="n">
        <v>3300.05</v>
      </c>
      <c r="M29" s="69" t="n">
        <v>3300.05</v>
      </c>
      <c r="N29" s="69" t="n">
        <v>3300.05</v>
      </c>
      <c r="O29" s="69" t="n">
        <v>1</v>
      </c>
      <c r="P29" s="69" t="n">
        <v>0.6899999999999999</v>
      </c>
      <c r="Q29" s="69" t="n">
        <v>0.39</v>
      </c>
      <c r="R29" s="69" t="n">
        <v>0</v>
      </c>
      <c r="S29" s="69" t="n">
        <v>0</v>
      </c>
      <c r="T29" s="69" t="n">
        <v>0</v>
      </c>
      <c r="U29" s="69" t="n">
        <v>0</v>
      </c>
      <c r="V29" s="69" t="n">
        <v>0</v>
      </c>
    </row>
    <row r="30">
      <c r="A30" s="69" t="inlineStr">
        <is>
          <t>spring_chem_turb|</t>
        </is>
      </c>
      <c r="B30" s="69" t="inlineStr">
        <is>
          <t>spring-chem-turb</t>
        </is>
      </c>
      <c r="C30" s="69" t="inlineStr">
        <is>
          <t>Turbidity</t>
        </is>
      </c>
      <c r="D30" s="69" t="inlineStr"/>
      <c r="E30" s="69" t="n">
        <v>5</v>
      </c>
      <c r="F30" s="69" t="inlineStr">
        <is>
          <t>Reference curve from a modeled expectation. The response to landscape pressure is estimated nationally and this ecoregion's own level is added, because the ecoregion holds too few streams clean enough to observe reference condition directly.</t>
        </is>
      </c>
      <c r="G30" s="69" t="n">
        <v>0</v>
      </c>
      <c r="H30" s="69" t="n">
        <v>2.312384844007923</v>
      </c>
      <c r="I30" s="69" t="n">
        <v>9.528841586565305</v>
      </c>
      <c r="J30" s="69" t="n">
        <v>20.35352670040137</v>
      </c>
      <c r="K30" s="69" t="n">
        <v>27.56998344295876</v>
      </c>
      <c r="L30" s="69" t="n">
        <v>27.56998344295876</v>
      </c>
      <c r="M30" s="69" t="n">
        <v>27.56998344295876</v>
      </c>
      <c r="N30" s="69" t="n">
        <v>27.56998344295876</v>
      </c>
      <c r="O30" s="69" t="n">
        <v>1</v>
      </c>
      <c r="P30" s="69" t="n">
        <v>1</v>
      </c>
      <c r="Q30" s="69" t="n">
        <v>0.7</v>
      </c>
      <c r="R30" s="69" t="n">
        <v>0.3</v>
      </c>
      <c r="S30" s="69" t="n">
        <v>0</v>
      </c>
      <c r="T30" s="69" t="n">
        <v>0</v>
      </c>
      <c r="U30" s="69" t="n">
        <v>0</v>
      </c>
      <c r="V30" s="69" t="n">
        <v>0</v>
      </c>
    </row>
    <row r="31">
      <c r="A31" s="69" t="inlineStr">
        <is>
          <t>spring_phab_pct_fast|</t>
        </is>
      </c>
      <c r="B31" s="69" t="inlineStr">
        <is>
          <t>spring-phab-pct-fast</t>
        </is>
      </c>
      <c r="C31" s="69" t="inlineStr">
        <is>
          <t>Fast-water / riffle habitat</t>
        </is>
      </c>
      <c r="D31" s="69" t="inlineStr"/>
      <c r="E31" s="69" t="n">
        <v>5</v>
      </c>
      <c r="F31" s="69" t="inlineStr">
        <is>
          <t>34 least-disturbed stations borrowed from Level II ecoregion 9.4 (South Central Semi-Arid Prairies) under the regional screen (agriculture at most 25 percent), transfer risk low</t>
        </is>
      </c>
      <c r="G31" s="69" t="n">
        <v>0</v>
      </c>
      <c r="H31" s="69" t="n">
        <v>0.6428571428571429</v>
      </c>
      <c r="I31" s="69" t="n">
        <v>1.5</v>
      </c>
      <c r="J31" s="69" t="n">
        <v>22.3175630569458</v>
      </c>
      <c r="K31" s="69" t="n">
        <v>32.7263445854187</v>
      </c>
      <c r="L31" s="69" t="n">
        <v>32.7263445854187</v>
      </c>
      <c r="M31" s="69" t="n">
        <v>32.7263445854187</v>
      </c>
      <c r="N31" s="69" t="n">
        <v>32.7263445854187</v>
      </c>
      <c r="O31" s="69" t="n">
        <v>0</v>
      </c>
      <c r="P31" s="69" t="n">
        <v>0.3</v>
      </c>
      <c r="Q31" s="69" t="n">
        <v>0.7</v>
      </c>
      <c r="R31" s="69" t="n">
        <v>1</v>
      </c>
      <c r="S31" s="69" t="n">
        <v>1</v>
      </c>
      <c r="T31" s="69" t="n">
        <v>1</v>
      </c>
      <c r="U31" s="69" t="n">
        <v>1</v>
      </c>
      <c r="V31" s="69" t="n">
        <v>1</v>
      </c>
    </row>
    <row r="32">
      <c r="A32" s="69" t="inlineStr">
        <is>
          <t>spring_phab_xfc_nat|</t>
        </is>
      </c>
      <c r="B32" s="69" t="inlineStr">
        <is>
          <t>spring-phab-xfc-nat</t>
        </is>
      </c>
      <c r="C32" s="69" t="inlineStr">
        <is>
          <t>Natural fish cover</t>
        </is>
      </c>
      <c r="D32" s="69" t="inlineStr"/>
      <c r="E32" s="69" t="n">
        <v>5</v>
      </c>
      <c r="F32" s="69" t="inlineStr">
        <is>
          <t>13 least-disturbed streams of this ecoregion under the regional screen (agriculture at most 25 percent)</t>
        </is>
      </c>
      <c r="G32" s="69" t="n">
        <v>0</v>
      </c>
      <c r="H32" s="69" t="n">
        <v>0.08084415537970406</v>
      </c>
      <c r="I32" s="69" t="n">
        <v>0.1886363625526428</v>
      </c>
      <c r="J32" s="69" t="n">
        <v>0.625</v>
      </c>
      <c r="K32" s="69" t="n">
        <v>0.8431818187236786</v>
      </c>
      <c r="L32" s="69" t="n">
        <v>0.8431818187236786</v>
      </c>
      <c r="M32" s="69" t="n">
        <v>0.8431818187236786</v>
      </c>
      <c r="N32" s="69" t="n">
        <v>0.8431818187236786</v>
      </c>
      <c r="O32" s="69" t="n">
        <v>0</v>
      </c>
      <c r="P32" s="69" t="n">
        <v>0.3</v>
      </c>
      <c r="Q32" s="69" t="n">
        <v>0.7</v>
      </c>
      <c r="R32" s="69" t="n">
        <v>1</v>
      </c>
      <c r="S32" s="69" t="n">
        <v>1</v>
      </c>
      <c r="T32" s="69" t="n">
        <v>1</v>
      </c>
      <c r="U32" s="69" t="n">
        <v>1</v>
      </c>
      <c r="V32" s="69" t="n">
        <v>1</v>
      </c>
    </row>
    <row r="33">
      <c r="A33" s="69" t="inlineStr">
        <is>
          <t>spring_bent_totlntax|</t>
        </is>
      </c>
      <c r="B33" s="69" t="inlineStr">
        <is>
          <t>spring-bent-totlntax</t>
        </is>
      </c>
      <c r="C33" s="69" t="inlineStr">
        <is>
          <t>Benthic total taxa richness</t>
        </is>
      </c>
      <c r="D33" s="69" t="inlineStr"/>
      <c r="E33" s="69" t="n">
        <v>5</v>
      </c>
      <c r="F33" s="69" t="inlineStr">
        <is>
          <t>Reference curve fitted to comparable least-disturbed stations drawn from the national pool, because this ecoregion and its parents hold too few of their own.</t>
        </is>
      </c>
      <c r="G33" s="69" t="n">
        <v>0</v>
      </c>
      <c r="H33" s="69" t="n">
        <v>10.39285714285714</v>
      </c>
      <c r="I33" s="69" t="n">
        <v>24.25</v>
      </c>
      <c r="J33" s="69" t="n">
        <v>38.75</v>
      </c>
      <c r="K33" s="69" t="n">
        <v>46</v>
      </c>
      <c r="L33" s="69" t="n">
        <v>46</v>
      </c>
      <c r="M33" s="69" t="n">
        <v>46</v>
      </c>
      <c r="N33" s="69" t="n">
        <v>46</v>
      </c>
      <c r="O33" s="69" t="n">
        <v>0</v>
      </c>
      <c r="P33" s="69" t="n">
        <v>0.3</v>
      </c>
      <c r="Q33" s="69" t="n">
        <v>0.7</v>
      </c>
      <c r="R33" s="69" t="n">
        <v>1</v>
      </c>
      <c r="S33" s="69" t="n">
        <v>1</v>
      </c>
      <c r="T33" s="69" t="n">
        <v>1</v>
      </c>
      <c r="U33" s="69" t="n">
        <v>1</v>
      </c>
      <c r="V33" s="69" t="n">
        <v>1</v>
      </c>
    </row>
    <row r="34">
      <c r="A34" s="69" t="inlineStr">
        <is>
          <t>spring_bent_tolrpind|</t>
        </is>
      </c>
      <c r="B34" s="69" t="inlineStr">
        <is>
          <t>spring-bent-tolrpind</t>
        </is>
      </c>
      <c r="C34" s="69" t="inlineStr">
        <is>
          <t>Tolerant individuals (%) ~ HBI</t>
        </is>
      </c>
      <c r="D34" s="69" t="inlineStr"/>
      <c r="E34" s="69" t="n">
        <v>5</v>
      </c>
      <c r="F34" s="69" t="inlineStr">
        <is>
          <t>62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0.39 of evaluation regions; two thirds required; net optimism +0.15, at most 0.05 allowed); confidence capped at 39.</t>
        </is>
      </c>
      <c r="G34" s="69" t="n">
        <v>0</v>
      </c>
      <c r="H34" s="69" t="n">
        <v>7.497499942779541</v>
      </c>
      <c r="I34" s="69" t="n">
        <v>29.16499996185303</v>
      </c>
      <c r="J34" s="69" t="n">
        <v>61.66624999046326</v>
      </c>
      <c r="K34" s="69" t="n">
        <v>83.33375000953674</v>
      </c>
      <c r="L34" s="69" t="n">
        <v>83.33375000953674</v>
      </c>
      <c r="M34" s="69" t="n">
        <v>83.33375000953674</v>
      </c>
      <c r="N34" s="69" t="n">
        <v>83.33375000953674</v>
      </c>
      <c r="O34" s="69" t="n">
        <v>1</v>
      </c>
      <c r="P34" s="69" t="n">
        <v>1</v>
      </c>
      <c r="Q34" s="69" t="n">
        <v>0.7</v>
      </c>
      <c r="R34" s="69" t="n">
        <v>0.3</v>
      </c>
      <c r="S34" s="69" t="n">
        <v>0</v>
      </c>
      <c r="T34" s="69" t="n">
        <v>0</v>
      </c>
      <c r="U34" s="69" t="n">
        <v>0</v>
      </c>
      <c r="V34" s="69" t="n">
        <v>0</v>
      </c>
    </row>
    <row r="35">
      <c r="A35" s="69" t="inlineStr">
        <is>
          <t>spring_bent_hprime|</t>
        </is>
      </c>
      <c r="B35" s="69" t="inlineStr">
        <is>
          <t>spring-bent-hprime</t>
        </is>
      </c>
      <c r="C35" s="69" t="inlineStr">
        <is>
          <t>Shannon diversity (H')</t>
        </is>
      </c>
      <c r="D35" s="69" t="inlineStr"/>
      <c r="E35" s="69" t="n">
        <v>5</v>
      </c>
      <c r="F35" s="69" t="inlineStr">
        <is>
          <t>Reference curve fitted to comparable least-disturbed stations drawn from the national pool, because this ecoregion and its parents hold too few of their own.</t>
        </is>
      </c>
      <c r="G35" s="69" t="n">
        <v>0</v>
      </c>
      <c r="H35" s="69" t="n">
        <v>0.9942856856754848</v>
      </c>
      <c r="I35" s="69" t="n">
        <v>2.319999933242798</v>
      </c>
      <c r="J35" s="69" t="n">
        <v>2.839999914169312</v>
      </c>
      <c r="K35" s="69" t="n">
        <v>3.099999904632568</v>
      </c>
      <c r="L35" s="69" t="n">
        <v>3.099999904632568</v>
      </c>
      <c r="M35" s="69" t="n">
        <v>3.099999904632568</v>
      </c>
      <c r="N35" s="69" t="n">
        <v>3.099999904632568</v>
      </c>
      <c r="O35" s="69" t="n">
        <v>0</v>
      </c>
      <c r="P35" s="69" t="n">
        <v>0.3</v>
      </c>
      <c r="Q35" s="69" t="n">
        <v>0.7</v>
      </c>
      <c r="R35" s="69" t="n">
        <v>1</v>
      </c>
      <c r="S35" s="69" t="n">
        <v>1</v>
      </c>
      <c r="T35" s="69" t="n">
        <v>1</v>
      </c>
      <c r="U35" s="69" t="n">
        <v>1</v>
      </c>
      <c r="V35" s="69" t="n">
        <v>1</v>
      </c>
    </row>
    <row r="36">
      <c r="A36" s="69" t="inlineStr">
        <is>
          <t>spring_nid_dams_1mi|</t>
        </is>
      </c>
      <c r="B36" s="69" t="inlineStr">
        <is>
          <t>spring-nid-dams-1mi</t>
        </is>
      </c>
      <c r="C36" s="69" t="inlineStr">
        <is>
          <t>Mapped dams within one mile</t>
        </is>
      </c>
      <c r="D36" s="69" t="inlineStr"/>
      <c r="E36" s="69" t="n">
        <v>4</v>
      </c>
      <c r="F36" s="69" t="inlineStr">
        <is>
          <t>Fixed criteria, the same in every region</t>
        </is>
      </c>
      <c r="G36" s="69" t="n">
        <v>0</v>
      </c>
      <c r="H36" s="69" t="n">
        <v>1</v>
      </c>
      <c r="I36" s="69" t="n">
        <v>2</v>
      </c>
      <c r="J36" s="69" t="n">
        <v>3</v>
      </c>
      <c r="K36" s="69" t="n">
        <v>3</v>
      </c>
      <c r="L36" s="69" t="n">
        <v>3</v>
      </c>
      <c r="M36" s="69" t="n">
        <v>3</v>
      </c>
      <c r="N36" s="69" t="n">
        <v>3</v>
      </c>
      <c r="O36" s="69" t="n">
        <v>1</v>
      </c>
      <c r="P36" s="69" t="n">
        <v>0.545</v>
      </c>
      <c r="Q36" s="69" t="n">
        <v>0.195</v>
      </c>
      <c r="R36" s="69" t="n">
        <v>0</v>
      </c>
      <c r="S36" s="69" t="n">
        <v>0</v>
      </c>
      <c r="T36" s="69" t="n">
        <v>0</v>
      </c>
      <c r="U36" s="69" t="n">
        <v>0</v>
      </c>
      <c r="V36" s="69" t="n">
        <v>0</v>
      </c>
    </row>
    <row r="39">
      <c r="A39" s="58" t="inlineStr">
        <is>
          <t>Curve sets by metric</t>
        </is>
      </c>
    </row>
    <row r="40">
      <c r="A40" s="69" t="inlineStr">
        <is>
          <t>All streams (pooled)</t>
        </is>
      </c>
      <c r="B40" s="5" t="inlineStr">
        <is>
          <t>Bankfull width:depth ratio</t>
        </is>
      </c>
    </row>
    <row r="41">
      <c r="A41" s="69" t="inlineStr">
        <is>
          <t>Small stream (10 to 100 km2)</t>
        </is>
      </c>
      <c r="B41" s="5" t="inlineStr">
        <is>
          <t>Bankfull width:depth ratio</t>
        </is>
      </c>
    </row>
    <row r="42">
      <c r="A42" s="69" t="inlineStr">
        <is>
          <t>Large stream (over 100 km2)</t>
        </is>
      </c>
      <c r="B42" s="5" t="inlineStr">
        <is>
          <t>Bankfull width:depth ratio</t>
        </is>
      </c>
    </row>
    <row r="43">
      <c r="A43" s="69" t="inlineStr">
        <is>
          <t>All streams (pooled)</t>
        </is>
      </c>
      <c r="B43" s="5" t="inlineStr">
        <is>
          <t>Bankfull height above channel</t>
        </is>
      </c>
    </row>
    <row r="44">
      <c r="A44" s="69" t="inlineStr">
        <is>
          <t>Small stream (10 to 100 km2)</t>
        </is>
      </c>
      <c r="B44" s="5" t="inlineStr">
        <is>
          <t>Bankfull height above channel</t>
        </is>
      </c>
    </row>
    <row r="45">
      <c r="A45" s="69" t="inlineStr">
        <is>
          <t>Large stream (over 100 km2)</t>
        </is>
      </c>
      <c r="B45" s="5" t="inlineStr">
        <is>
          <t>Bankfull height above channel</t>
        </is>
      </c>
    </row>
    <row r="48">
      <c r="A48" s="58" t="inlineStr">
        <is>
          <t>Condition classes</t>
        </is>
      </c>
    </row>
    <row r="49">
      <c r="A49" t="inlineStr">
        <is>
          <t>Metric index: at or below 0.39 Non-Functioning, at or below 0.69 Functioning At-Risk, above Functioning.</t>
        </is>
      </c>
    </row>
    <row r="50">
      <c r="A50" t="inlineStr">
        <is>
          <t>Function score (0 to 15): at or below 5 Non-Functioning, at or below 10 Functioning At-Risk, above Functioning.</t>
        </is>
      </c>
    </row>
    <row r="51">
      <c r="A51"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high-plains</t>
        </is>
      </c>
    </row>
    <row r="5">
      <c r="A5" s="69" t="inlineStr">
        <is>
          <t>Assessment name</t>
        </is>
      </c>
      <c r="B5" s="69" t="inlineStr">
        <is>
          <t>High Plains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sha256:67c58200e3e02d38d26e241a33792fe24ddf61c7332dddfa6b5d94be135c8c92</t>
        </is>
      </c>
    </row>
    <row r="9">
      <c r="A9" s="69" t="inlineStr">
        <is>
          <t>Region</t>
        </is>
      </c>
      <c r="B9" s="69" t="inlineStr">
        <is>
          <t>ecoregion 25 High Plains</t>
        </is>
      </c>
    </row>
    <row r="10">
      <c r="A10" s="69" t="inlineStr">
        <is>
          <t>Source</t>
        </is>
      </c>
      <c r="B10" s="69" t="inlineStr">
        <is>
          <t>USEPA NRSA 2013-24 (L3 ecoregion 25),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28</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2026-09-30T07:05:19Z</dcterms:created>
  <dcterms:modified xmlns:dcterms="http://purl.org/dc/terms/" xmlns:xsi="http://www.w3.org/2001/XMLSchema-instance" xsi:type="dcterms:W3CDTF">2026-09-30T07:05:19Z</dcterms:modified>
  <cp:lastModifiedBy>DEEP</cp:lastModifiedBy>
  <cp:contentStatus>Draft</cp:contentStatus>
</cp:coreProperties>
</file>