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hab_rp100_cm">'Reference'!$A$41:$A$43</definedName>
    <definedName name="strata_spring_phab_pct_fast">'Reference'!$A$44:$A$46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pct_fast">'Metrics'!$V$27</definedName>
    <definedName name="idx_spring_phab_xfc_na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in_spring_fish_nat_totlntax">'DEEP Score'!$E$42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Snake River Plain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Snake River Plain reference assessment</t>
        </is>
      </c>
    </row>
    <row r="3">
      <c r="A3" s="5" t="inlineStr">
        <is>
          <t>Version 1 | Draft | USEPA NRSA 2013-24 (L3 ecoregion 12),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t="inlineStr"/>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IF('Metrics'!$V$15="","",'Metrics'!$V$15)</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49" t="inlineStr">
        <is>
          <t>Biology</t>
        </is>
      </c>
      <c r="B40" s="12" t="inlineStr">
        <is>
          <t>Habitat provision</t>
        </is>
      </c>
      <c r="C40" s="13" t="inlineStr">
        <is>
          <t>Fast-water / riffle habitat</t>
        </is>
      </c>
      <c r="D40" s="14" t="inlineStr">
        <is>
          <t>%</t>
        </is>
      </c>
      <c r="E40" s="15" t="n"/>
      <c r="F40" s="50"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49" t="inlineStr">
        <is>
          <t>Biology</t>
        </is>
      </c>
      <c r="B42" s="12" t="inlineStr">
        <is>
          <t>Population support</t>
        </is>
      </c>
      <c r="C42" s="13" t="inlineStr">
        <is>
          <t>Native fish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IF('Metrics'!$V$30="","",'Metrics'!$V$30)</f>
        <v/>
      </c>
      <c r="H43" s="21" t="n"/>
      <c r="I43" s="27" t="n"/>
    </row>
    <row r="44">
      <c r="A44" s="49"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Large wood volume</t>
        </is>
      </c>
      <c r="C58" s="5" t="inlineStr">
        <is>
          <t>Bed composition and bedform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19" showDropDown="0" showInputMessage="0" showErrorMessage="1" allowBlank="1" errorTitle="Curve set" error="Choose a curve set from the list." type="list">
      <formula1>=strata_spring_phab_rp100_cm</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IF('DEEP Score'!$F$19="","All streams (pooled)",'DEEP Score'!$F$19)</f>
        <v/>
      </c>
      <c r="D11" s="70">
        <f>"spring_phab_rp100_cm|"&amp;'Metrics'!$C$11</f>
        <v/>
      </c>
      <c r="E11" s="70">
        <f>IFERROR(MATCH('Metrics'!$D$11,curve_key,0),MATCH("spring_phab_rp100_cm|All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f>
        <v/>
      </c>
      <c r="D12" s="70">
        <f>"spring_phab_bfwd_rat|"&amp;'Metrics'!$C$12</f>
        <v/>
      </c>
      <c r="E12" s="70">
        <f>IFERROR(MATCH('Metrics'!$D$12,curve_key,0),MATCH("spring_phab_bfwd_rat|",curve_key,0))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f>
        <v/>
      </c>
      <c r="D18" s="70">
        <f>"spring_phab_lrbs_use|"&amp;'Metrics'!$C$18</f>
        <v/>
      </c>
      <c r="E18" s="70">
        <f>IFERROR(MATCH('Metrics'!$D$18,curve_key,0),MATCH("spring_phab_lrbs_use|",curve_key,0))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Substrate size</t>
        </is>
      </c>
      <c r="B19" s="70">
        <f>IF('DEEP Score'!$E$31="","",'DEEP Score'!$E$31)</f>
        <v/>
      </c>
      <c r="C19" s="70">
        <f>""</f>
        <v/>
      </c>
      <c r="D19" s="70">
        <f>"spring_phab_lsub_dmm|"&amp;'Metrics'!$C$19</f>
        <v/>
      </c>
      <c r="E19" s="70">
        <f>IFERROR(MATCH('Metrics'!$D$19,curve_key,0),MATCH("spring_phab_lsub_dmm|",curve_key,0))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f>
        <v/>
      </c>
      <c r="D21" s="70">
        <f>"spring_phab_xcdenmid|"&amp;'Metrics'!$C$21</f>
        <v/>
      </c>
      <c r="E21" s="70">
        <f>IFERROR(MATCH('Metrics'!$D$21,curve_key,0),MATCH("spring_phab_xcdenmid|",curve_key,0))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pH</t>
        </is>
      </c>
      <c r="B25" s="70">
        <f>IF('DEEP Score'!$E$38="","",'DEEP Score'!$E$38)</f>
        <v/>
      </c>
      <c r="C25" s="70">
        <f>""</f>
        <v/>
      </c>
      <c r="D25" s="70">
        <f>"spring_chem_ph|"&amp;'Metrics'!$C$25</f>
        <v/>
      </c>
      <c r="E25" s="70">
        <f>IFERROR(MATCH('Metrics'!$D$25,curve_key,0),MATCH("spring_chem_ph|",curve_key,0))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Specific conductivity</t>
        </is>
      </c>
      <c r="B26" s="70">
        <f>IF('DEEP Score'!$E$39="","",'DEEP Score'!$E$39)</f>
        <v/>
      </c>
      <c r="C26" s="70">
        <f>""</f>
        <v/>
      </c>
      <c r="D26" s="70">
        <f>"spring_chem_cond|"&amp;'Metrics'!$C$26</f>
        <v/>
      </c>
      <c r="E26" s="70">
        <f>IFERROR(MATCH('Metrics'!$D$26,curve_key,0),MATCH("spring_chem_cond|",curve_key,0))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Fast-water / riffle habitat</t>
        </is>
      </c>
      <c r="B27" s="70">
        <f>IF('DEEP Score'!$E$40="","",'DEEP Score'!$E$40)</f>
        <v/>
      </c>
      <c r="C27" s="70">
        <f>IF('DEEP Score'!$F$40="","All streams (pooled)",'DEEP Score'!$F$40)</f>
        <v/>
      </c>
      <c r="D27" s="70">
        <f>"spring_phab_pct_fast|"&amp;'Metrics'!$C$27</f>
        <v/>
      </c>
      <c r="E27" s="70">
        <f>IFERROR(MATCH('Metrics'!$D$27,curve_key,0),MATCH("spring_phab_pct_fast|All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Natural fish cover</t>
        </is>
      </c>
      <c r="B28" s="70">
        <f>IF('DEEP Score'!$E$41="","",'DEEP Score'!$E$41)</f>
        <v/>
      </c>
      <c r="C28" s="70">
        <f>""</f>
        <v/>
      </c>
      <c r="D28" s="70">
        <f>"spring_phab_xfc_nat|"&amp;'Metrics'!$C$28</f>
        <v/>
      </c>
      <c r="E28" s="70">
        <f>IFERROR(MATCH('Metrics'!$D$28,curve_key,0),MATCH("spring_phab_xfc_nat|",curve_key,0))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Score'!$E$42="","",'DEEP Score'!$E$42)</f>
        <v/>
      </c>
      <c r="C29" s="70">
        <f>""</f>
        <v/>
      </c>
      <c r="D29" s="70">
        <f>"spring_fish_nat_totlntax|"&amp;'Metrics'!$C$29</f>
        <v/>
      </c>
      <c r="E29" s="70">
        <f>IFERROR(MATCH('Metrics'!$D$29,curve_key,0),MATCH("spring_fish_nat_totlntax|",curve_key,0))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total taxa richness</t>
        </is>
      </c>
      <c r="B30" s="70">
        <f>IF('DEEP Score'!$E$43="","",'DEEP Score'!$E$43)</f>
        <v/>
      </c>
      <c r="C30" s="70">
        <f>""</f>
        <v/>
      </c>
      <c r="D30" s="70">
        <f>"spring_bent_totlntax|"&amp;'Metrics'!$C$30</f>
        <v/>
      </c>
      <c r="E30" s="70">
        <f>IFERROR(MATCH('Metrics'!$D$30,curve_key,0),MATCH("spring_bent_totlntax|",curve_key,0))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EPT taxa richness</t>
        </is>
      </c>
      <c r="B31" s="70">
        <f>IF('DEEP Score'!$E$44="","",'DEEP Score'!$E$44)</f>
        <v/>
      </c>
      <c r="C31" s="70">
        <f>""</f>
        <v/>
      </c>
      <c r="D31" s="70">
        <f>"spring_bent_ept_ntax|"&amp;'Metrics'!$C$31</f>
        <v/>
      </c>
      <c r="E31" s="70">
        <f>IFERROR(MATCH('Metrics'!$D$31,curve_key,0),MATCH("spring_bent_ept_ntax|",curve_key,0))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Shannon diversity (H')</t>
        </is>
      </c>
      <c r="B32" s="70">
        <f>IF('DEEP Score'!$E$45="","",'DEEP Score'!$E$45)</f>
        <v/>
      </c>
      <c r="C32" s="70">
        <f>""</f>
        <v/>
      </c>
      <c r="D32" s="70">
        <f>"spring_bent_hprime|"&amp;'Metrics'!$C$32</f>
        <v/>
      </c>
      <c r="E32" s="70">
        <f>IFERROR(MATCH('Metrics'!$D$32,curve_key,0),MATCH("spring_bent_hprime|",curve_key,0))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Mapped dams within one mile</t>
        </is>
      </c>
      <c r="B33" s="70">
        <f>IF('DEEP Score'!$E$46="","",'DEEP Score'!$E$46)</f>
        <v/>
      </c>
      <c r="C33" s="70">
        <f>""</f>
        <v/>
      </c>
      <c r="D33" s="70">
        <f>"spring_nid_dams_1mi|"&amp;'Metrics'!$C$33</f>
        <v/>
      </c>
      <c r="E33" s="70">
        <f>IFERROR(MATCH('Metrics'!$D$33,curve_key,0),MATCH("spring_nid_dams_1mi|",curve_key,0))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31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0.1585714285714286</v>
      </c>
      <c r="I7" s="69" t="n">
        <v>0.37</v>
      </c>
      <c r="J7" s="69" t="n">
        <v>3.705</v>
      </c>
      <c r="K7" s="69" t="n">
        <v>5.3725</v>
      </c>
      <c r="L7" s="69" t="n">
        <v>5.3725</v>
      </c>
      <c r="M7" s="69" t="n">
        <v>5.3725</v>
      </c>
      <c r="N7" s="69" t="n">
        <v>5.3725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31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26.05365</v>
      </c>
      <c r="I9" s="69" t="n">
        <v>60.79185</v>
      </c>
      <c r="J9" s="69" t="n">
        <v>70.30945</v>
      </c>
      <c r="K9" s="69" t="n">
        <v>75.06825000000001</v>
      </c>
      <c r="L9" s="69" t="n">
        <v>75.06825000000001</v>
      </c>
      <c r="M9" s="69" t="n">
        <v>75.06825000000001</v>
      </c>
      <c r="N9" s="69" t="n">
        <v>75.06825000000001</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spring_phab_rp100_cm|All streams (pooled)</t>
        </is>
      </c>
      <c r="B11" s="69" t="inlineStr">
        <is>
          <t>spring-phab-rp100-cm</t>
        </is>
      </c>
      <c r="C11" s="69" t="inlineStr">
        <is>
          <t>Residual pool depth</t>
        </is>
      </c>
      <c r="D11" s="69" t="inlineStr">
        <is>
          <t>All streams (pooled)</t>
        </is>
      </c>
      <c r="E11" s="69" t="n">
        <v>5</v>
      </c>
      <c r="F11" s="69" t="inlineStr">
        <is>
          <t>53 least-disturbed stations borrowed from Level II ecoregion 10.1 (Cold Deserts) under the regional screen (agriculture at most 25 percent), transfer risk moderate</t>
        </is>
      </c>
      <c r="G11" s="69" t="n">
        <v>0</v>
      </c>
      <c r="H11" s="69" t="n">
        <v>4.023801939828055</v>
      </c>
      <c r="I11" s="69" t="n">
        <v>9.388871192932129</v>
      </c>
      <c r="J11" s="69" t="n">
        <v>22.74325561523438</v>
      </c>
      <c r="K11" s="69" t="n">
        <v>29.4204478263855</v>
      </c>
      <c r="L11" s="69" t="n">
        <v>29.4204478263855</v>
      </c>
      <c r="M11" s="69" t="n">
        <v>29.4204478263855</v>
      </c>
      <c r="N11" s="69" t="n">
        <v>29.4204478263855</v>
      </c>
      <c r="O11" s="69" t="n">
        <v>0</v>
      </c>
      <c r="P11" s="69" t="n">
        <v>0.3</v>
      </c>
      <c r="Q11" s="69" t="n">
        <v>0.7</v>
      </c>
      <c r="R11" s="69" t="n">
        <v>1</v>
      </c>
      <c r="S11" s="69" t="n">
        <v>1</v>
      </c>
      <c r="T11" s="69" t="n">
        <v>1</v>
      </c>
      <c r="U11" s="69" t="n">
        <v>1</v>
      </c>
      <c r="V11" s="69" t="n">
        <v>1</v>
      </c>
    </row>
    <row r="12">
      <c r="A12" s="69" t="inlineStr">
        <is>
          <t>spring_phab_rp100_cm|Low gradient (under 0.5 percent)</t>
        </is>
      </c>
      <c r="B12" s="69" t="inlineStr">
        <is>
          <t>spring-phab-rp100-cm</t>
        </is>
      </c>
      <c r="C12" s="69" t="inlineStr">
        <is>
          <t>Residual pool depth</t>
        </is>
      </c>
      <c r="D12" s="69" t="inlineStr">
        <is>
          <t>Low gradient (under 0.5 percent)</t>
        </is>
      </c>
      <c r="E12" s="69" t="n">
        <v>5</v>
      </c>
      <c r="F12" s="69" t="inlineStr">
        <is>
          <t>53 least-disturbed stations borrowed from Level II ecoregion 10.1 (Cold Deserts) under the regional screen (agriculture at most 25 percent), transfer risk moderate</t>
        </is>
      </c>
      <c r="G12" s="69" t="n">
        <v>0</v>
      </c>
      <c r="H12" s="69" t="n">
        <v>6.032461064202445</v>
      </c>
      <c r="I12" s="69" t="n">
        <v>14.07574248313904</v>
      </c>
      <c r="J12" s="69" t="n">
        <v>25.37412643432617</v>
      </c>
      <c r="K12" s="69" t="n">
        <v>31.02331840991974</v>
      </c>
      <c r="L12" s="69" t="n">
        <v>31.02331840991974</v>
      </c>
      <c r="M12" s="69" t="n">
        <v>31.02331840991974</v>
      </c>
      <c r="N12" s="69" t="n">
        <v>31.02331840991974</v>
      </c>
      <c r="O12" s="69" t="n">
        <v>0</v>
      </c>
      <c r="P12" s="69" t="n">
        <v>0.3</v>
      </c>
      <c r="Q12" s="69" t="n">
        <v>0.7</v>
      </c>
      <c r="R12" s="69" t="n">
        <v>1</v>
      </c>
      <c r="S12" s="69" t="n">
        <v>1</v>
      </c>
      <c r="T12" s="69" t="n">
        <v>1</v>
      </c>
      <c r="U12" s="69" t="n">
        <v>1</v>
      </c>
      <c r="V12" s="69" t="n">
        <v>1</v>
      </c>
    </row>
    <row r="13">
      <c r="A13" s="69" t="inlineStr">
        <is>
          <t>spring_phab_rp100_cm|Moderate gradient (0.5 to 2 percent)</t>
        </is>
      </c>
      <c r="B13" s="69" t="inlineStr">
        <is>
          <t>spring-phab-rp100-cm</t>
        </is>
      </c>
      <c r="C13" s="69" t="inlineStr">
        <is>
          <t>Residual pool depth</t>
        </is>
      </c>
      <c r="D13" s="69" t="inlineStr">
        <is>
          <t>Moderate gradient (0.5 to 2 percent)</t>
        </is>
      </c>
      <c r="E13" s="69" t="n">
        <v>5</v>
      </c>
      <c r="F13" s="69" t="inlineStr">
        <is>
          <t>53 least-disturbed stations borrowed from Level II ecoregion 10.1 (Cold Deserts) under the regional screen (agriculture at most 25 percent), transfer risk moderate</t>
        </is>
      </c>
      <c r="G13" s="69" t="n">
        <v>0</v>
      </c>
      <c r="H13" s="69" t="n">
        <v>4.635134696960449</v>
      </c>
      <c r="I13" s="69" t="n">
        <v>10.81531429290771</v>
      </c>
      <c r="J13" s="69" t="n">
        <v>22.36740112304688</v>
      </c>
      <c r="K13" s="69" t="n">
        <v>28.14344453811646</v>
      </c>
      <c r="L13" s="69" t="n">
        <v>28.14344453811646</v>
      </c>
      <c r="M13" s="69" t="n">
        <v>28.14344453811646</v>
      </c>
      <c r="N13" s="69" t="n">
        <v>28.14344453811646</v>
      </c>
      <c r="O13" s="69" t="n">
        <v>0</v>
      </c>
      <c r="P13" s="69" t="n">
        <v>0.3</v>
      </c>
      <c r="Q13" s="69" t="n">
        <v>0.7</v>
      </c>
      <c r="R13" s="69" t="n">
        <v>1</v>
      </c>
      <c r="S13" s="69" t="n">
        <v>1</v>
      </c>
      <c r="T13" s="69" t="n">
        <v>1</v>
      </c>
      <c r="U13" s="69" t="n">
        <v>1</v>
      </c>
      <c r="V13" s="69" t="n">
        <v>1</v>
      </c>
    </row>
    <row r="14">
      <c r="A14" s="69" t="inlineStr">
        <is>
          <t>spring_phab_bfwd_rat|</t>
        </is>
      </c>
      <c r="B14" s="69" t="inlineStr">
        <is>
          <t>spring-phab-bfwd-rat</t>
        </is>
      </c>
      <c r="C14" s="69" t="inlineStr">
        <is>
          <t>Bankfull width:depth ratio</t>
        </is>
      </c>
      <c r="D14" s="69" t="inlineStr"/>
      <c r="E14" s="69" t="n">
        <v>8</v>
      </c>
      <c r="F14" s="69" t="inlineStr">
        <is>
          <t>53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2.062789916992188</v>
      </c>
      <c r="I14" s="69" t="n">
        <v>5.611360049247741</v>
      </c>
      <c r="J14" s="69" t="n">
        <v>7.522128582000732</v>
      </c>
      <c r="K14" s="69" t="n">
        <v>12.98146724700928</v>
      </c>
      <c r="L14" s="69" t="n">
        <v>14.89223577976227</v>
      </c>
      <c r="M14" s="69" t="n">
        <v>18.44080591201782</v>
      </c>
      <c r="N14" s="69" t="n">
        <v>23.90014457702637</v>
      </c>
      <c r="O14" s="69" t="n">
        <v>0</v>
      </c>
      <c r="P14" s="69" t="n">
        <v>0.3</v>
      </c>
      <c r="Q14" s="69" t="n">
        <v>0.7</v>
      </c>
      <c r="R14" s="69" t="n">
        <v>1</v>
      </c>
      <c r="S14" s="69" t="n">
        <v>1</v>
      </c>
      <c r="T14" s="69" t="n">
        <v>0.7</v>
      </c>
      <c r="U14" s="69" t="n">
        <v>0.3</v>
      </c>
      <c r="V14" s="69" t="n">
        <v>0</v>
      </c>
    </row>
    <row r="15">
      <c r="A15" s="69" t="inlineStr">
        <is>
          <t>spring_phab_xbkf_h|</t>
        </is>
      </c>
      <c r="B15" s="69" t="inlineStr">
        <is>
          <t>spring-phab-xbkf-h</t>
        </is>
      </c>
      <c r="C15" s="69" t="inlineStr">
        <is>
          <t>Bankfull height above channel</t>
        </is>
      </c>
      <c r="D15" s="69" t="inlineStr"/>
      <c r="E15" s="69" t="n">
        <v>7</v>
      </c>
      <c r="F15" s="69" t="inlineStr">
        <is>
          <t>53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0.1946818262338638</v>
      </c>
      <c r="I15" s="69" t="n">
        <v>0.300000011920929</v>
      </c>
      <c r="J15" s="69" t="n">
        <v>0.6009091138839722</v>
      </c>
      <c r="K15" s="69" t="n">
        <v>0.7062272995710372</v>
      </c>
      <c r="L15" s="69" t="n">
        <v>0.9018182158470154</v>
      </c>
      <c r="M15" s="69" t="n">
        <v>1.202727317810059</v>
      </c>
      <c r="N15" s="69" t="n">
        <v>1.202727317810059</v>
      </c>
      <c r="O15" s="69" t="n">
        <v>0</v>
      </c>
      <c r="P15" s="69" t="n">
        <v>0.7</v>
      </c>
      <c r="Q15" s="69" t="n">
        <v>1</v>
      </c>
      <c r="R15" s="69" t="n">
        <v>1</v>
      </c>
      <c r="S15" s="69" t="n">
        <v>0.7</v>
      </c>
      <c r="T15" s="69" t="n">
        <v>0.3</v>
      </c>
      <c r="U15" s="69" t="n">
        <v>0</v>
      </c>
      <c r="V15" s="69" t="n">
        <v>0</v>
      </c>
    </row>
    <row r="16">
      <c r="A16" s="69" t="inlineStr">
        <is>
          <t>spring_phab_pct_safn|</t>
        </is>
      </c>
      <c r="B16" s="69" t="inlineStr">
        <is>
          <t>spring-phab-pct-safn</t>
        </is>
      </c>
      <c r="C16" s="69" t="inlineStr">
        <is>
          <t>Sand + fines</t>
        </is>
      </c>
      <c r="D16" s="69" t="inlineStr"/>
      <c r="E16" s="69" t="n">
        <v>5</v>
      </c>
      <c r="F16" s="69" t="inlineStr">
        <is>
          <t>53 least-disturbed stations borrowed from Level II ecoregion 10.1 (Cold Deserts) under the regional screen (agriculture at most 25 percent), transfer risk low</t>
        </is>
      </c>
      <c r="G16" s="69" t="n">
        <v>7.310924530029297</v>
      </c>
      <c r="H16" s="69" t="n">
        <v>20.9523811340332</v>
      </c>
      <c r="I16" s="69" t="n">
        <v>48.23529434204102</v>
      </c>
      <c r="J16" s="69" t="n">
        <v>89.15966415405273</v>
      </c>
      <c r="K16" s="69" t="n">
        <v>100</v>
      </c>
      <c r="L16" s="69" t="n">
        <v>100</v>
      </c>
      <c r="M16" s="69" t="n">
        <v>100</v>
      </c>
      <c r="N16" s="69" t="n">
        <v>100</v>
      </c>
      <c r="O16" s="69" t="n">
        <v>1</v>
      </c>
      <c r="P16" s="69" t="n">
        <v>1</v>
      </c>
      <c r="Q16" s="69" t="n">
        <v>0.7</v>
      </c>
      <c r="R16" s="69" t="n">
        <v>0.3</v>
      </c>
      <c r="S16" s="69" t="n">
        <v>0</v>
      </c>
      <c r="T16" s="69" t="n">
        <v>0</v>
      </c>
      <c r="U16" s="69" t="n">
        <v>0</v>
      </c>
      <c r="V16" s="69" t="n">
        <v>0</v>
      </c>
    </row>
    <row r="17">
      <c r="A17" s="69" t="inlineStr">
        <is>
          <t>spring_phab_xembed|</t>
        </is>
      </c>
      <c r="B17" s="69" t="inlineStr">
        <is>
          <t>spring-phab-xembed</t>
        </is>
      </c>
      <c r="C17" s="69" t="inlineStr">
        <is>
          <t>Embeddedness</t>
        </is>
      </c>
      <c r="D17" s="69" t="inlineStr"/>
      <c r="E17" s="69" t="n">
        <v>4</v>
      </c>
      <c r="F17" s="69" t="inlineStr">
        <is>
          <t>49 least-disturbed stations borrowed from Level II ecoregion 10.1 (Cold Deserts) under the regional screen (agriculture at most 25 percent), transfer risk low</t>
        </is>
      </c>
      <c r="G17" s="69" t="n">
        <v>33.90909385681152</v>
      </c>
      <c r="H17" s="69" t="n">
        <v>48.18181991577148</v>
      </c>
      <c r="I17" s="69" t="n">
        <v>76.72727203369141</v>
      </c>
      <c r="J17" s="69" t="n">
        <v>100</v>
      </c>
      <c r="K17" s="69" t="n">
        <v>100</v>
      </c>
      <c r="L17" s="69" t="n">
        <v>100</v>
      </c>
      <c r="M17" s="69" t="n">
        <v>100</v>
      </c>
      <c r="N17" s="69" t="n">
        <v>100</v>
      </c>
      <c r="O17" s="69" t="n">
        <v>1</v>
      </c>
      <c r="P17" s="69" t="n">
        <v>1</v>
      </c>
      <c r="Q17" s="69" t="n">
        <v>0.7</v>
      </c>
      <c r="R17" s="69" t="n">
        <v>0</v>
      </c>
      <c r="S17" s="69" t="n">
        <v>0</v>
      </c>
      <c r="T17" s="69" t="n">
        <v>0</v>
      </c>
      <c r="U17" s="69" t="n">
        <v>0</v>
      </c>
      <c r="V17" s="69" t="n">
        <v>0</v>
      </c>
    </row>
    <row r="18">
      <c r="A18" s="69" t="inlineStr">
        <is>
          <t>spring_phab_sinu|</t>
        </is>
      </c>
      <c r="B18" s="69" t="inlineStr">
        <is>
          <t>spring-phab-sinu</t>
        </is>
      </c>
      <c r="C18" s="69" t="inlineStr">
        <is>
          <t>Sinuosity</t>
        </is>
      </c>
      <c r="D18" s="69" t="inlineStr"/>
      <c r="E18" s="69" t="n">
        <v>4</v>
      </c>
      <c r="F18" s="69" t="inlineStr">
        <is>
          <t>49 least-disturbed stations borrowed from Level II ecoregion 10.1 (Cold Deserts) under the regional screen (agriculture at most 25 percent), transfer risk moderate</t>
        </is>
      </c>
      <c r="G18" s="69" t="n">
        <v>1</v>
      </c>
      <c r="H18" s="69" t="n">
        <v>1.137279868125916</v>
      </c>
      <c r="I18" s="69" t="n">
        <v>1.389761090278625</v>
      </c>
      <c r="J18" s="69" t="n">
        <v>1.51600170135498</v>
      </c>
      <c r="K18" s="69" t="n">
        <v>1.51600170135498</v>
      </c>
      <c r="L18" s="69" t="n">
        <v>1.51600170135498</v>
      </c>
      <c r="M18" s="69" t="n">
        <v>1.51600170135498</v>
      </c>
      <c r="N18" s="69" t="n">
        <v>1.51600170135498</v>
      </c>
      <c r="O18" s="69" t="n">
        <v>0</v>
      </c>
      <c r="P18" s="69" t="n">
        <v>0.7</v>
      </c>
      <c r="Q18" s="69" t="n">
        <v>1</v>
      </c>
      <c r="R18" s="69" t="n">
        <v>1</v>
      </c>
      <c r="S18" s="69" t="n">
        <v>1</v>
      </c>
      <c r="T18" s="69" t="n">
        <v>1</v>
      </c>
      <c r="U18" s="69" t="n">
        <v>1</v>
      </c>
      <c r="V18" s="69" t="n">
        <v>1</v>
      </c>
    </row>
    <row r="19">
      <c r="A19" s="69" t="inlineStr">
        <is>
          <t>spring_phab_xbka|</t>
        </is>
      </c>
      <c r="B19" s="69" t="inlineStr">
        <is>
          <t>spring-phab-xbka</t>
        </is>
      </c>
      <c r="C19" s="69" t="inlineStr">
        <is>
          <t>Bank angle</t>
        </is>
      </c>
      <c r="D19" s="69" t="inlineStr"/>
      <c r="E19" s="69" t="n">
        <v>7</v>
      </c>
      <c r="F19" s="69" t="inlineStr">
        <is>
          <t>49 least-disturbed stations borrowed from Level II ecoregion 10.1 (Cold Deserts) under the regional screen (agriculture at most 25 percent), transfer risk low</t>
        </is>
      </c>
      <c r="G19" s="69" t="n">
        <v>0</v>
      </c>
      <c r="H19" s="69" t="n">
        <v>21.3246506690979</v>
      </c>
      <c r="I19" s="69" t="n">
        <v>27.03846168518066</v>
      </c>
      <c r="J19" s="69" t="n">
        <v>43.3636360168457</v>
      </c>
      <c r="K19" s="69" t="n">
        <v>49.07744703292847</v>
      </c>
      <c r="L19" s="69" t="n">
        <v>59.68881034851074</v>
      </c>
      <c r="M19" s="69" t="n">
        <v>76.01398468017578</v>
      </c>
      <c r="N19" s="69" t="n">
        <v>76.01398468017578</v>
      </c>
      <c r="O19" s="69" t="n">
        <v>0.7</v>
      </c>
      <c r="P19" s="69" t="n">
        <v>0.7</v>
      </c>
      <c r="Q19" s="69" t="n">
        <v>1</v>
      </c>
      <c r="R19" s="69" t="n">
        <v>1</v>
      </c>
      <c r="S19" s="69" t="n">
        <v>0.7</v>
      </c>
      <c r="T19" s="69" t="n">
        <v>0.3</v>
      </c>
      <c r="U19" s="69" t="n">
        <v>0</v>
      </c>
      <c r="V19" s="69" t="n">
        <v>0</v>
      </c>
    </row>
    <row r="20">
      <c r="A20" s="69" t="inlineStr">
        <is>
          <t>spring_phab_lrbs_use|</t>
        </is>
      </c>
      <c r="B20" s="69" t="inlineStr">
        <is>
          <t>spring-phab-lrbs-use</t>
        </is>
      </c>
      <c r="C20" s="69" t="inlineStr">
        <is>
          <t>Relative bed stability</t>
        </is>
      </c>
      <c r="D20" s="69" t="inlineStr"/>
      <c r="E20" s="69" t="n">
        <v>8</v>
      </c>
      <c r="F20" s="69" t="inlineStr">
        <is>
          <t>57 least-disturbed stations borrowed from Level I ecoregion 10 (North American Deserts) under the regional screen (agriculture at most 25 percent), transfer risk high</t>
        </is>
      </c>
      <c r="G20" s="69" t="n">
        <v>-3.532351911067963</v>
      </c>
      <c r="H20" s="69" t="n">
        <v>-2.495882004499435</v>
      </c>
      <c r="I20" s="69" t="n">
        <v>-1.822176565229893</v>
      </c>
      <c r="J20" s="69" t="n">
        <v>-1.459412097930908</v>
      </c>
      <c r="K20" s="69" t="n">
        <v>-0.422942191362381</v>
      </c>
      <c r="L20" s="69" t="n">
        <v>-0.0601777240633965</v>
      </c>
      <c r="M20" s="69" t="n">
        <v>0.6135277152061462</v>
      </c>
      <c r="N20" s="69" t="n">
        <v>1.649997621774673</v>
      </c>
      <c r="O20" s="69" t="n">
        <v>0</v>
      </c>
      <c r="P20" s="69" t="n">
        <v>0.3</v>
      </c>
      <c r="Q20" s="69" t="n">
        <v>0.7</v>
      </c>
      <c r="R20" s="69" t="n">
        <v>1</v>
      </c>
      <c r="S20" s="69" t="n">
        <v>1</v>
      </c>
      <c r="T20" s="69" t="n">
        <v>0.7</v>
      </c>
      <c r="U20" s="69" t="n">
        <v>0.3</v>
      </c>
      <c r="V20" s="69" t="n">
        <v>0</v>
      </c>
    </row>
    <row r="21">
      <c r="A21" s="69" t="inlineStr">
        <is>
          <t>spring_phab_lsub_dmm|</t>
        </is>
      </c>
      <c r="B21" s="69" t="inlineStr">
        <is>
          <t>spring-phab-lsub-dmm</t>
        </is>
      </c>
      <c r="C21" s="69" t="inlineStr">
        <is>
          <t>Substrate size</t>
        </is>
      </c>
      <c r="D21" s="69" t="inlineStr"/>
      <c r="E21" s="69" t="n">
        <v>5</v>
      </c>
      <c r="F21" s="69" t="inlineStr">
        <is>
          <t>53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1" s="69" t="n">
        <v>-3.084993274882436</v>
      </c>
      <c r="H21" s="69" t="n">
        <v>-1.857915407046676</v>
      </c>
      <c r="I21" s="69" t="n">
        <v>-0.01729860529303551</v>
      </c>
      <c r="J21" s="69" t="n">
        <v>1.209779262542725</v>
      </c>
      <c r="K21" s="69" t="n">
        <v>1.823318196460605</v>
      </c>
      <c r="L21" s="69" t="n">
        <v>1.823318196460605</v>
      </c>
      <c r="M21" s="69" t="n">
        <v>1.823318196460605</v>
      </c>
      <c r="N21" s="69" t="n">
        <v>1.823318196460605</v>
      </c>
      <c r="O21" s="69" t="n">
        <v>0</v>
      </c>
      <c r="P21" s="69" t="n">
        <v>0.3</v>
      </c>
      <c r="Q21" s="69" t="n">
        <v>0.7</v>
      </c>
      <c r="R21" s="69" t="n">
        <v>1</v>
      </c>
      <c r="S21" s="69" t="n">
        <v>1</v>
      </c>
      <c r="T21" s="69" t="n">
        <v>1</v>
      </c>
      <c r="U21" s="69" t="n">
        <v>1</v>
      </c>
      <c r="V21" s="69" t="n">
        <v>1</v>
      </c>
    </row>
    <row r="22">
      <c r="A22" s="69" t="inlineStr">
        <is>
          <t>spring_chem_chla|</t>
        </is>
      </c>
      <c r="B22" s="69" t="inlineStr">
        <is>
          <t>spring-chem-chla</t>
        </is>
      </c>
      <c r="C22" s="69" t="inlineStr">
        <is>
          <t>Chlorophyll a</t>
        </is>
      </c>
      <c r="D22" s="69" t="inlineStr"/>
      <c r="E22" s="69" t="n">
        <v>5</v>
      </c>
      <c r="F22" s="69" t="inlineStr">
        <is>
          <t>96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2" s="69" t="n">
        <v>0.1939999461174011</v>
      </c>
      <c r="H22" s="69" t="n">
        <v>1.034999966621399</v>
      </c>
      <c r="I22" s="69" t="n">
        <v>2.717000007629395</v>
      </c>
      <c r="J22" s="69" t="n">
        <v>5.240000069141388</v>
      </c>
      <c r="K22" s="69" t="n">
        <v>6.922000110149384</v>
      </c>
      <c r="L22" s="69" t="n">
        <v>6.922000110149384</v>
      </c>
      <c r="M22" s="69" t="n">
        <v>6.922000110149384</v>
      </c>
      <c r="N22" s="69" t="n">
        <v>6.922000110149384</v>
      </c>
      <c r="O22" s="69" t="n">
        <v>1</v>
      </c>
      <c r="P22" s="69" t="n">
        <v>1</v>
      </c>
      <c r="Q22" s="69" t="n">
        <v>0.7</v>
      </c>
      <c r="R22" s="69" t="n">
        <v>0.3</v>
      </c>
      <c r="S22" s="69" t="n">
        <v>0</v>
      </c>
      <c r="T22" s="69" t="n">
        <v>0</v>
      </c>
      <c r="U22" s="69" t="n">
        <v>0</v>
      </c>
      <c r="V22" s="69" t="n">
        <v>0</v>
      </c>
    </row>
    <row r="23">
      <c r="A23" s="69" t="inlineStr">
        <is>
          <t>spring_phab_xcdenmid|</t>
        </is>
      </c>
      <c r="B23" s="69" t="inlineStr">
        <is>
          <t>spring-phab-xcdenmid</t>
        </is>
      </c>
      <c r="C23" s="69" t="inlineStr">
        <is>
          <t>Canopy density, mid-channel</t>
        </is>
      </c>
      <c r="D23" s="69" t="inlineStr"/>
      <c r="E23" s="69" t="n">
        <v>5</v>
      </c>
      <c r="F23" s="69" t="inlineStr">
        <is>
          <t>47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9" t="n">
        <v>0</v>
      </c>
      <c r="H23" s="69" t="n">
        <v>4.01069518498012</v>
      </c>
      <c r="I23" s="69" t="n">
        <v>9.358288764953613</v>
      </c>
      <c r="J23" s="69" t="n">
        <v>36.3636360168457</v>
      </c>
      <c r="K23" s="69" t="n">
        <v>49.86630964279175</v>
      </c>
      <c r="L23" s="69" t="n">
        <v>49.86630964279175</v>
      </c>
      <c r="M23" s="69" t="n">
        <v>49.86630964279175</v>
      </c>
      <c r="N23" s="69" t="n">
        <v>49.86630964279175</v>
      </c>
      <c r="O23" s="69" t="n">
        <v>0</v>
      </c>
      <c r="P23" s="69" t="n">
        <v>0.3</v>
      </c>
      <c r="Q23" s="69" t="n">
        <v>0.7</v>
      </c>
      <c r="R23" s="69" t="n">
        <v>1</v>
      </c>
      <c r="S23" s="69" t="n">
        <v>1</v>
      </c>
      <c r="T23" s="69" t="n">
        <v>1</v>
      </c>
      <c r="U23" s="69" t="n">
        <v>1</v>
      </c>
      <c r="V23" s="69" t="n">
        <v>1</v>
      </c>
    </row>
    <row r="24">
      <c r="A24" s="69" t="inlineStr">
        <is>
          <t>spring_phab_xcmgw|</t>
        </is>
      </c>
      <c r="B24" s="69" t="inlineStr">
        <is>
          <t>spring-phab-xcmgw</t>
        </is>
      </c>
      <c r="C24" s="69" t="inlineStr">
        <is>
          <t>Riparian veg cover, woody</t>
        </is>
      </c>
      <c r="D24" s="69" t="inlineStr"/>
      <c r="E24" s="69" t="n">
        <v>5</v>
      </c>
      <c r="F24" s="69" t="inlineStr">
        <is>
          <t>52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4" s="69" t="n">
        <v>0</v>
      </c>
      <c r="H24" s="69" t="n">
        <v>0.1450081222823688</v>
      </c>
      <c r="I24" s="69" t="n">
        <v>0.3383522853255272</v>
      </c>
      <c r="J24" s="69" t="n">
        <v>0.8920454531908035</v>
      </c>
      <c r="K24" s="69" t="n">
        <v>1.168892037123442</v>
      </c>
      <c r="L24" s="69" t="n">
        <v>1.168892037123442</v>
      </c>
      <c r="M24" s="69" t="n">
        <v>1.168892037123442</v>
      </c>
      <c r="N24" s="69" t="n">
        <v>1.168892037123442</v>
      </c>
      <c r="O24" s="69" t="n">
        <v>0</v>
      </c>
      <c r="P24" s="69" t="n">
        <v>0.3</v>
      </c>
      <c r="Q24" s="69" t="n">
        <v>0.7</v>
      </c>
      <c r="R24" s="69" t="n">
        <v>1</v>
      </c>
      <c r="S24" s="69" t="n">
        <v>1</v>
      </c>
      <c r="T24" s="69" t="n">
        <v>1</v>
      </c>
      <c r="U24" s="69" t="n">
        <v>1</v>
      </c>
      <c r="V24" s="69" t="n">
        <v>1</v>
      </c>
    </row>
    <row r="25">
      <c r="A25" s="69" t="inlineStr">
        <is>
          <t>spring_chem_ntl|</t>
        </is>
      </c>
      <c r="B25" s="69" t="inlineStr">
        <is>
          <t>spring-chem-ntl</t>
        </is>
      </c>
      <c r="C25" s="69" t="inlineStr">
        <is>
          <t>Total nitrogen</t>
        </is>
      </c>
      <c r="D25" s="69" t="inlineStr"/>
      <c r="E25" s="69" t="n">
        <v>4</v>
      </c>
      <c r="F25" s="69" t="inlineStr">
        <is>
          <t>Scored against a published criterion rather than against stations from this ecoregion. The criterion carries its own definition of reference, which need not match this assessment's.</t>
        </is>
      </c>
      <c r="G25" s="69" t="n">
        <v>0</v>
      </c>
      <c r="H25" s="69" t="n">
        <v>0.2855</v>
      </c>
      <c r="I25" s="69" t="n">
        <v>0.529</v>
      </c>
      <c r="J25" s="69" t="n">
        <v>0.84555</v>
      </c>
      <c r="K25" s="69" t="n">
        <v>0.84555</v>
      </c>
      <c r="L25" s="69" t="n">
        <v>0.84555</v>
      </c>
      <c r="M25" s="69" t="n">
        <v>0.84555</v>
      </c>
      <c r="N25" s="69" t="n">
        <v>0.84555</v>
      </c>
      <c r="O25" s="69" t="n">
        <v>1</v>
      </c>
      <c r="P25" s="69" t="n">
        <v>0.6899999999999999</v>
      </c>
      <c r="Q25" s="69" t="n">
        <v>0.39</v>
      </c>
      <c r="R25" s="69" t="n">
        <v>0</v>
      </c>
      <c r="S25" s="69" t="n">
        <v>0</v>
      </c>
      <c r="T25" s="69" t="n">
        <v>0</v>
      </c>
      <c r="U25" s="69" t="n">
        <v>0</v>
      </c>
      <c r="V25" s="69" t="n">
        <v>0</v>
      </c>
    </row>
    <row r="26">
      <c r="A26" s="69" t="inlineStr">
        <is>
          <t>spring_chem_ptl|</t>
        </is>
      </c>
      <c r="B26" s="69" t="inlineStr">
        <is>
          <t>spring-chem-ptl</t>
        </is>
      </c>
      <c r="C26" s="69" t="inlineStr">
        <is>
          <t>Total phosphorus</t>
        </is>
      </c>
      <c r="D26" s="69" t="inlineStr"/>
      <c r="E26" s="69" t="n">
        <v>4</v>
      </c>
      <c r="F26" s="69" t="inlineStr">
        <is>
          <t>Scored against a published criterion rather than against stations from this ecoregion. The criterion carries its own definition of reference, which need not match this assessment's.</t>
        </is>
      </c>
      <c r="G26" s="69" t="n">
        <v>0</v>
      </c>
      <c r="H26" s="69" t="n">
        <v>52.05</v>
      </c>
      <c r="I26" s="69" t="n">
        <v>95.90000000000001</v>
      </c>
      <c r="J26" s="69" t="n">
        <v>152.905</v>
      </c>
      <c r="K26" s="69" t="n">
        <v>152.905</v>
      </c>
      <c r="L26" s="69" t="n">
        <v>152.905</v>
      </c>
      <c r="M26" s="69" t="n">
        <v>152.905</v>
      </c>
      <c r="N26" s="69" t="n">
        <v>152.905</v>
      </c>
      <c r="O26" s="69" t="n">
        <v>1</v>
      </c>
      <c r="P26" s="69" t="n">
        <v>0.6899999999999999</v>
      </c>
      <c r="Q26" s="69" t="n">
        <v>0.39</v>
      </c>
      <c r="R26" s="69" t="n">
        <v>0</v>
      </c>
      <c r="S26" s="69" t="n">
        <v>0</v>
      </c>
      <c r="T26" s="69" t="n">
        <v>0</v>
      </c>
      <c r="U26" s="69" t="n">
        <v>0</v>
      </c>
      <c r="V26" s="69" t="n">
        <v>0</v>
      </c>
    </row>
    <row r="27">
      <c r="A27" s="69" t="inlineStr">
        <is>
          <t>spring_chem_ph|</t>
        </is>
      </c>
      <c r="B27" s="69" t="inlineStr">
        <is>
          <t>spring-chem-ph</t>
        </is>
      </c>
      <c r="C27" s="69" t="inlineStr">
        <is>
          <t>pH</t>
        </is>
      </c>
      <c r="D27" s="69" t="inlineStr"/>
      <c r="E27" s="69" t="n">
        <v>8</v>
      </c>
      <c r="F27" s="69" t="inlineStr">
        <is>
          <t>97 least-disturbed stations borrowed from Level II ecoregion 10.1 (Cold Deserts) under the regional screen (agriculture at most 25 percent), transfer risk low</t>
        </is>
      </c>
      <c r="G27" s="69" t="n">
        <v>6.920000553131104</v>
      </c>
      <c r="H27" s="69" t="n">
        <v>7.390000343322754</v>
      </c>
      <c r="I27" s="69" t="n">
        <v>7.695500206947327</v>
      </c>
      <c r="J27" s="69" t="n">
        <v>7.860000133514404</v>
      </c>
      <c r="K27" s="69" t="n">
        <v>8.329999923706055</v>
      </c>
      <c r="L27" s="69" t="n">
        <v>8.494499850273133</v>
      </c>
      <c r="M27" s="69" t="n">
        <v>8.799999713897705</v>
      </c>
      <c r="N27" s="69" t="n">
        <v>9.269999504089355</v>
      </c>
      <c r="O27" s="69" t="n">
        <v>0</v>
      </c>
      <c r="P27" s="69" t="n">
        <v>0.3</v>
      </c>
      <c r="Q27" s="69" t="n">
        <v>0.7</v>
      </c>
      <c r="R27" s="69" t="n">
        <v>1</v>
      </c>
      <c r="S27" s="69" t="n">
        <v>1</v>
      </c>
      <c r="T27" s="69" t="n">
        <v>0.7</v>
      </c>
      <c r="U27" s="69" t="n">
        <v>0.3</v>
      </c>
      <c r="V27" s="69" t="n">
        <v>0</v>
      </c>
    </row>
    <row r="28">
      <c r="A28" s="69" t="inlineStr">
        <is>
          <t>spring_chem_cond|</t>
        </is>
      </c>
      <c r="B28" s="69" t="inlineStr">
        <is>
          <t>spring-chem-cond</t>
        </is>
      </c>
      <c r="C28" s="69" t="inlineStr">
        <is>
          <t>Specific conductivity</t>
        </is>
      </c>
      <c r="D28" s="69" t="inlineStr"/>
      <c r="E28" s="69" t="n">
        <v>4</v>
      </c>
      <c r="F28" s="69" t="inlineStr">
        <is>
          <t>Scored against a published criterion rather than against stations from this ecoregion. The criterion carries its own definition of reference, which need not match this assessment's.</t>
        </is>
      </c>
      <c r="G28" s="69" t="n">
        <v>0</v>
      </c>
      <c r="H28" s="69" t="n">
        <v>500.05</v>
      </c>
      <c r="I28" s="69" t="n">
        <v>1000.05</v>
      </c>
      <c r="J28" s="69" t="n">
        <v>1650.05</v>
      </c>
      <c r="K28" s="69" t="n">
        <v>1650.05</v>
      </c>
      <c r="L28" s="69" t="n">
        <v>1650.05</v>
      </c>
      <c r="M28" s="69" t="n">
        <v>1650.05</v>
      </c>
      <c r="N28" s="69" t="n">
        <v>1650.05</v>
      </c>
      <c r="O28" s="69" t="n">
        <v>1</v>
      </c>
      <c r="P28" s="69" t="n">
        <v>0.6899999999999999</v>
      </c>
      <c r="Q28" s="69" t="n">
        <v>0.39</v>
      </c>
      <c r="R28" s="69" t="n">
        <v>0</v>
      </c>
      <c r="S28" s="69" t="n">
        <v>0</v>
      </c>
      <c r="T28" s="69" t="n">
        <v>0</v>
      </c>
      <c r="U28" s="69" t="n">
        <v>0</v>
      </c>
      <c r="V28" s="69" t="n">
        <v>0</v>
      </c>
    </row>
    <row r="29">
      <c r="A29" s="69" t="inlineStr">
        <is>
          <t>spring_phab_pct_fast|All streams (pooled)</t>
        </is>
      </c>
      <c r="B29" s="69" t="inlineStr">
        <is>
          <t>spring-phab-pct-fast</t>
        </is>
      </c>
      <c r="C29" s="69" t="inlineStr">
        <is>
          <t>Fast-water / riffle habitat</t>
        </is>
      </c>
      <c r="D29" s="69" t="inlineStr">
        <is>
          <t>All streams (pooled)</t>
        </is>
      </c>
      <c r="E29" s="69" t="n">
        <v>5</v>
      </c>
      <c r="F29" s="69" t="inlineStr">
        <is>
          <t>53 least-disturbed stations borrowed from Level II ecoregion 10.1 (Cold Deserts) under the regional screen (agriculture at most 25 percent), transfer risk low</t>
        </is>
      </c>
      <c r="G29" s="69" t="n">
        <v>0</v>
      </c>
      <c r="H29" s="69" t="n">
        <v>3.325123173849923</v>
      </c>
      <c r="I29" s="69" t="n">
        <v>7.758620738983154</v>
      </c>
      <c r="J29" s="69" t="n">
        <v>56</v>
      </c>
      <c r="K29" s="69" t="n">
        <v>80.12068963050842</v>
      </c>
      <c r="L29" s="69" t="n">
        <v>80.12068963050842</v>
      </c>
      <c r="M29" s="69" t="n">
        <v>80.12068963050842</v>
      </c>
      <c r="N29" s="69" t="n">
        <v>80.12068963050842</v>
      </c>
      <c r="O29" s="69" t="n">
        <v>0</v>
      </c>
      <c r="P29" s="69" t="n">
        <v>0.3</v>
      </c>
      <c r="Q29" s="69" t="n">
        <v>0.7</v>
      </c>
      <c r="R29" s="69" t="n">
        <v>1</v>
      </c>
      <c r="S29" s="69" t="n">
        <v>1</v>
      </c>
      <c r="T29" s="69" t="n">
        <v>1</v>
      </c>
      <c r="U29" s="69" t="n">
        <v>1</v>
      </c>
      <c r="V29" s="69" t="n">
        <v>1</v>
      </c>
    </row>
    <row r="30">
      <c r="A30" s="69" t="inlineStr">
        <is>
          <t>spring_phab_pct_fast|Low gradient (under 0.5 percent)</t>
        </is>
      </c>
      <c r="B30" s="69" t="inlineStr">
        <is>
          <t>spring-phab-pct-fast</t>
        </is>
      </c>
      <c r="C30" s="69" t="inlineStr">
        <is>
          <t>Fast-water / riffle habitat</t>
        </is>
      </c>
      <c r="D30" s="69" t="inlineStr">
        <is>
          <t>Low gradient (under 0.5 percent)</t>
        </is>
      </c>
      <c r="E30" s="69" t="n">
        <v>5</v>
      </c>
      <c r="F30" s="69" t="inlineStr">
        <is>
          <t>53 least-disturbed stations borrowed from Level II ecoregion 10.1 (Cold Deserts) under the regional screen (agriculture at most 25 percent), transfer risk low</t>
        </is>
      </c>
      <c r="G30" s="69" t="n">
        <v>0</v>
      </c>
      <c r="H30" s="69" t="n">
        <v>1.285714285714286</v>
      </c>
      <c r="I30" s="69" t="n">
        <v>3</v>
      </c>
      <c r="J30" s="69" t="n">
        <v>30.59595966339111</v>
      </c>
      <c r="K30" s="69" t="n">
        <v>44.39393949508667</v>
      </c>
      <c r="L30" s="69" t="n">
        <v>44.39393949508667</v>
      </c>
      <c r="M30" s="69" t="n">
        <v>44.39393949508667</v>
      </c>
      <c r="N30" s="69" t="n">
        <v>44.39393949508667</v>
      </c>
      <c r="O30" s="69" t="n">
        <v>0</v>
      </c>
      <c r="P30" s="69" t="n">
        <v>0.3</v>
      </c>
      <c r="Q30" s="69" t="n">
        <v>0.7</v>
      </c>
      <c r="R30" s="69" t="n">
        <v>1</v>
      </c>
      <c r="S30" s="69" t="n">
        <v>1</v>
      </c>
      <c r="T30" s="69" t="n">
        <v>1</v>
      </c>
      <c r="U30" s="69" t="n">
        <v>1</v>
      </c>
      <c r="V30" s="69" t="n">
        <v>1</v>
      </c>
    </row>
    <row r="31">
      <c r="A31" s="69" t="inlineStr">
        <is>
          <t>spring_phab_pct_fast|Moderate gradient (0.5 to 2 percent)</t>
        </is>
      </c>
      <c r="B31" s="69" t="inlineStr">
        <is>
          <t>spring-phab-pct-fast</t>
        </is>
      </c>
      <c r="C31" s="69" t="inlineStr">
        <is>
          <t>Fast-water / riffle habitat</t>
        </is>
      </c>
      <c r="D31" s="69" t="inlineStr">
        <is>
          <t>Moderate gradient (0.5 to 2 percent)</t>
        </is>
      </c>
      <c r="E31" s="69" t="n">
        <v>5</v>
      </c>
      <c r="F31" s="69" t="inlineStr">
        <is>
          <t>53 least-disturbed stations borrowed from Level II ecoregion 10.1 (Cold Deserts) under the regional screen (agriculture at most 25 percent), transfer risk low</t>
        </is>
      </c>
      <c r="G31" s="69" t="n">
        <v>0</v>
      </c>
      <c r="H31" s="69" t="n">
        <v>5.428571564810617</v>
      </c>
      <c r="I31" s="69" t="n">
        <v>12.66666698455811</v>
      </c>
      <c r="J31" s="69" t="n">
        <v>45</v>
      </c>
      <c r="K31" s="69" t="n">
        <v>61.16666650772095</v>
      </c>
      <c r="L31" s="69" t="n">
        <v>61.16666650772095</v>
      </c>
      <c r="M31" s="69" t="n">
        <v>61.16666650772095</v>
      </c>
      <c r="N31" s="69" t="n">
        <v>61.16666650772095</v>
      </c>
      <c r="O31" s="69" t="n">
        <v>0</v>
      </c>
      <c r="P31" s="69" t="n">
        <v>0.3</v>
      </c>
      <c r="Q31" s="69" t="n">
        <v>0.7</v>
      </c>
      <c r="R31" s="69" t="n">
        <v>1</v>
      </c>
      <c r="S31" s="69" t="n">
        <v>1</v>
      </c>
      <c r="T31" s="69" t="n">
        <v>1</v>
      </c>
      <c r="U31" s="69" t="n">
        <v>1</v>
      </c>
      <c r="V31" s="69" t="n">
        <v>1</v>
      </c>
    </row>
    <row r="32">
      <c r="A32" s="69" t="inlineStr">
        <is>
          <t>spring_phab_xfc_nat|</t>
        </is>
      </c>
      <c r="B32" s="69" t="inlineStr">
        <is>
          <t>spring-phab-xfc-nat</t>
        </is>
      </c>
      <c r="C32" s="69" t="inlineStr">
        <is>
          <t>Natural fish cover</t>
        </is>
      </c>
      <c r="D32" s="69" t="inlineStr"/>
      <c r="E32" s="69" t="n">
        <v>5</v>
      </c>
      <c r="F32" s="69" t="inlineStr">
        <is>
          <t>52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2" s="69" t="n">
        <v>0</v>
      </c>
      <c r="H32" s="69" t="n">
        <v>0.06780303003532547</v>
      </c>
      <c r="I32" s="69" t="n">
        <v>0.1582070700824261</v>
      </c>
      <c r="J32" s="69" t="n">
        <v>0.4886363744735718</v>
      </c>
      <c r="K32" s="69" t="n">
        <v>0.6538510266691446</v>
      </c>
      <c r="L32" s="69" t="n">
        <v>0.6538510266691446</v>
      </c>
      <c r="M32" s="69" t="n">
        <v>0.6538510266691446</v>
      </c>
      <c r="N32" s="69" t="n">
        <v>0.6538510266691446</v>
      </c>
      <c r="O32" s="69" t="n">
        <v>0</v>
      </c>
      <c r="P32" s="69" t="n">
        <v>0.3</v>
      </c>
      <c r="Q32" s="69" t="n">
        <v>0.7</v>
      </c>
      <c r="R32" s="69" t="n">
        <v>1</v>
      </c>
      <c r="S32" s="69" t="n">
        <v>1</v>
      </c>
      <c r="T32" s="69" t="n">
        <v>1</v>
      </c>
      <c r="U32" s="69" t="n">
        <v>1</v>
      </c>
      <c r="V32" s="69" t="n">
        <v>1</v>
      </c>
    </row>
    <row r="33">
      <c r="A33" s="69" t="inlineStr">
        <is>
          <t>spring_fish_nat_totlntax|</t>
        </is>
      </c>
      <c r="B33" s="69" t="inlineStr">
        <is>
          <t>spring-fish-nat-totlntax</t>
        </is>
      </c>
      <c r="C33" s="69" t="inlineStr">
        <is>
          <t>Native fish taxa richness</t>
        </is>
      </c>
      <c r="D33" s="69" t="inlineStr"/>
      <c r="E33" s="69" t="n">
        <v>5</v>
      </c>
      <c r="F33" s="69" t="inlineStr">
        <is>
          <t>20 least-disturbed stations borrowed from NARS-9 region XER under the regional screen (agriculture at most 25 percent), transfer risk moderate</t>
        </is>
      </c>
      <c r="G33" s="69" t="n">
        <v>0</v>
      </c>
      <c r="H33" s="69" t="n">
        <v>0.4285714285714285</v>
      </c>
      <c r="I33" s="69" t="n">
        <v>1</v>
      </c>
      <c r="J33" s="69" t="n">
        <v>4</v>
      </c>
      <c r="K33" s="69" t="n">
        <v>5.5</v>
      </c>
      <c r="L33" s="69" t="n">
        <v>5.5</v>
      </c>
      <c r="M33" s="69" t="n">
        <v>5.5</v>
      </c>
      <c r="N33" s="69" t="n">
        <v>5.5</v>
      </c>
      <c r="O33" s="69" t="n">
        <v>0</v>
      </c>
      <c r="P33" s="69" t="n">
        <v>0.3</v>
      </c>
      <c r="Q33" s="69" t="n">
        <v>0.7</v>
      </c>
      <c r="R33" s="69" t="n">
        <v>1</v>
      </c>
      <c r="S33" s="69" t="n">
        <v>1</v>
      </c>
      <c r="T33" s="69" t="n">
        <v>1</v>
      </c>
      <c r="U33" s="69" t="n">
        <v>1</v>
      </c>
      <c r="V33" s="69" t="n">
        <v>1</v>
      </c>
    </row>
    <row r="34">
      <c r="A34" s="69" t="inlineStr">
        <is>
          <t>spring_bent_totlntax|</t>
        </is>
      </c>
      <c r="B34" s="69" t="inlineStr">
        <is>
          <t>spring-bent-totlntax</t>
        </is>
      </c>
      <c r="C34" s="69" t="inlineStr">
        <is>
          <t>Benthic total taxa richness</t>
        </is>
      </c>
      <c r="D34" s="69" t="inlineStr"/>
      <c r="E34" s="69" t="n">
        <v>5</v>
      </c>
      <c r="F34" s="69" t="inlineStr">
        <is>
          <t>Reference curve fitted to comparable least-disturbed stations drawn from the national pool, because this ecoregion and its parents hold too few of their own.</t>
        </is>
      </c>
      <c r="G34" s="69" t="n">
        <v>0</v>
      </c>
      <c r="H34" s="69" t="n">
        <v>13.71428571428571</v>
      </c>
      <c r="I34" s="69" t="n">
        <v>32</v>
      </c>
      <c r="J34" s="69" t="n">
        <v>42.25</v>
      </c>
      <c r="K34" s="69" t="n">
        <v>47.375</v>
      </c>
      <c r="L34" s="69" t="n">
        <v>47.375</v>
      </c>
      <c r="M34" s="69" t="n">
        <v>47.375</v>
      </c>
      <c r="N34" s="69" t="n">
        <v>47.375</v>
      </c>
      <c r="O34" s="69" t="n">
        <v>0</v>
      </c>
      <c r="P34" s="69" t="n">
        <v>0.3</v>
      </c>
      <c r="Q34" s="69" t="n">
        <v>0.7</v>
      </c>
      <c r="R34" s="69" t="n">
        <v>1</v>
      </c>
      <c r="S34" s="69" t="n">
        <v>1</v>
      </c>
      <c r="T34" s="69" t="n">
        <v>1</v>
      </c>
      <c r="U34" s="69" t="n">
        <v>1</v>
      </c>
      <c r="V34" s="69" t="n">
        <v>1</v>
      </c>
    </row>
    <row r="35">
      <c r="A35" s="69" t="inlineStr">
        <is>
          <t>spring_bent_ept_ntax|</t>
        </is>
      </c>
      <c r="B35" s="69" t="inlineStr">
        <is>
          <t>spring-bent-ept-ntax</t>
        </is>
      </c>
      <c r="C35" s="69" t="inlineStr">
        <is>
          <t>EPT taxa richness</t>
        </is>
      </c>
      <c r="D35" s="69" t="inlineStr"/>
      <c r="E35" s="69" t="n">
        <v>5</v>
      </c>
      <c r="F35" s="69" t="inlineStr">
        <is>
          <t>26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35" s="69" t="n">
        <v>0</v>
      </c>
      <c r="H35" s="69" t="n">
        <v>2.678571428571428</v>
      </c>
      <c r="I35" s="69" t="n">
        <v>6.25</v>
      </c>
      <c r="J35" s="69" t="n">
        <v>14.75</v>
      </c>
      <c r="K35" s="69" t="n">
        <v>19</v>
      </c>
      <c r="L35" s="69" t="n">
        <v>19</v>
      </c>
      <c r="M35" s="69" t="n">
        <v>19</v>
      </c>
      <c r="N35" s="69" t="n">
        <v>19</v>
      </c>
      <c r="O35" s="69" t="n">
        <v>0</v>
      </c>
      <c r="P35" s="69" t="n">
        <v>0.3</v>
      </c>
      <c r="Q35" s="69" t="n">
        <v>0.7</v>
      </c>
      <c r="R35" s="69" t="n">
        <v>1</v>
      </c>
      <c r="S35" s="69" t="n">
        <v>1</v>
      </c>
      <c r="T35" s="69" t="n">
        <v>1</v>
      </c>
      <c r="U35" s="69" t="n">
        <v>1</v>
      </c>
      <c r="V35" s="69" t="n">
        <v>1</v>
      </c>
    </row>
    <row r="36">
      <c r="A36" s="69" t="inlineStr">
        <is>
          <t>spring_bent_hprime|</t>
        </is>
      </c>
      <c r="B36" s="69" t="inlineStr">
        <is>
          <t>spring-bent-hprime</t>
        </is>
      </c>
      <c r="C36" s="69" t="inlineStr">
        <is>
          <t>Shannon diversity (H')</t>
        </is>
      </c>
      <c r="D36" s="69" t="inlineStr"/>
      <c r="E36" s="69" t="n">
        <v>5</v>
      </c>
      <c r="F36" s="69" t="inlineStr">
        <is>
          <t>Reference curve fitted to comparable least-disturbed stations drawn from the national pool, because this ecoregion and its parents hold too few of their own.</t>
        </is>
      </c>
      <c r="G36" s="69" t="n">
        <v>0</v>
      </c>
      <c r="H36" s="69" t="n">
        <v>1.077857136726379</v>
      </c>
      <c r="I36" s="69" t="n">
        <v>2.514999985694885</v>
      </c>
      <c r="J36" s="69" t="n">
        <v>3.012499988079071</v>
      </c>
      <c r="K36" s="69" t="n">
        <v>3.261249989271164</v>
      </c>
      <c r="L36" s="69" t="n">
        <v>3.261249989271164</v>
      </c>
      <c r="M36" s="69" t="n">
        <v>3.261249989271164</v>
      </c>
      <c r="N36" s="69" t="n">
        <v>3.261249989271164</v>
      </c>
      <c r="O36" s="69" t="n">
        <v>0</v>
      </c>
      <c r="P36" s="69" t="n">
        <v>0.3</v>
      </c>
      <c r="Q36" s="69" t="n">
        <v>0.7</v>
      </c>
      <c r="R36" s="69" t="n">
        <v>1</v>
      </c>
      <c r="S36" s="69" t="n">
        <v>1</v>
      </c>
      <c r="T36" s="69" t="n">
        <v>1</v>
      </c>
      <c r="U36" s="69" t="n">
        <v>1</v>
      </c>
      <c r="V36" s="69" t="n">
        <v>1</v>
      </c>
    </row>
    <row r="37">
      <c r="A37" s="69" t="inlineStr">
        <is>
          <t>spring_nid_dams_1mi|</t>
        </is>
      </c>
      <c r="B37" s="69" t="inlineStr">
        <is>
          <t>spring-nid-dams-1mi</t>
        </is>
      </c>
      <c r="C37" s="69" t="inlineStr">
        <is>
          <t>Mapped dams within one mile</t>
        </is>
      </c>
      <c r="D37" s="69" t="inlineStr"/>
      <c r="E37" s="69" t="n">
        <v>4</v>
      </c>
      <c r="F37" s="69" t="inlineStr">
        <is>
          <t>Fixed criteria, the same in every region</t>
        </is>
      </c>
      <c r="G37" s="69" t="n">
        <v>0</v>
      </c>
      <c r="H37" s="69" t="n">
        <v>1</v>
      </c>
      <c r="I37" s="69" t="n">
        <v>2</v>
      </c>
      <c r="J37" s="69" t="n">
        <v>3</v>
      </c>
      <c r="K37" s="69" t="n">
        <v>3</v>
      </c>
      <c r="L37" s="69" t="n">
        <v>3</v>
      </c>
      <c r="M37" s="69" t="n">
        <v>3</v>
      </c>
      <c r="N37" s="69" t="n">
        <v>3</v>
      </c>
      <c r="O37" s="69" t="n">
        <v>1</v>
      </c>
      <c r="P37" s="69" t="n">
        <v>0.545</v>
      </c>
      <c r="Q37" s="69" t="n">
        <v>0.195</v>
      </c>
      <c r="R37" s="69" t="n">
        <v>0</v>
      </c>
      <c r="S37" s="69" t="n">
        <v>0</v>
      </c>
      <c r="T37" s="69" t="n">
        <v>0</v>
      </c>
      <c r="U37" s="69" t="n">
        <v>0</v>
      </c>
      <c r="V37" s="69" t="n">
        <v>0</v>
      </c>
    </row>
    <row r="40">
      <c r="A40" s="58" t="inlineStr">
        <is>
          <t>Curve sets by metric</t>
        </is>
      </c>
    </row>
    <row r="41">
      <c r="A41" s="69" t="inlineStr">
        <is>
          <t>All streams (pooled)</t>
        </is>
      </c>
      <c r="B41" s="5" t="inlineStr">
        <is>
          <t>Residual pool depth</t>
        </is>
      </c>
    </row>
    <row r="42">
      <c r="A42" s="69" t="inlineStr">
        <is>
          <t>Low gradient (under 0.5 percent)</t>
        </is>
      </c>
      <c r="B42" s="5" t="inlineStr">
        <is>
          <t>Residual pool depth</t>
        </is>
      </c>
    </row>
    <row r="43">
      <c r="A43" s="69" t="inlineStr">
        <is>
          <t>Moderate gradient (0.5 to 2 percent)</t>
        </is>
      </c>
      <c r="B43" s="5" t="inlineStr">
        <is>
          <t>Residual pool depth</t>
        </is>
      </c>
    </row>
    <row r="44">
      <c r="A44" s="69" t="inlineStr">
        <is>
          <t>All streams (pooled)</t>
        </is>
      </c>
      <c r="B44" s="5" t="inlineStr">
        <is>
          <t>Fast-water / riffle habitat</t>
        </is>
      </c>
    </row>
    <row r="45">
      <c r="A45" s="69" t="inlineStr">
        <is>
          <t>Low gradient (under 0.5 percent)</t>
        </is>
      </c>
      <c r="B45" s="5" t="inlineStr">
        <is>
          <t>Fast-water / riffle habitat</t>
        </is>
      </c>
    </row>
    <row r="46">
      <c r="A46" s="69" t="inlineStr">
        <is>
          <t>Moderate gradient (0.5 to 2 percent)</t>
        </is>
      </c>
      <c r="B46" s="5" t="inlineStr">
        <is>
          <t>Fast-water / riffle habitat</t>
        </is>
      </c>
    </row>
    <row r="49">
      <c r="A49" s="58" t="inlineStr">
        <is>
          <t>Condition classes</t>
        </is>
      </c>
    </row>
    <row r="50">
      <c r="A50" t="inlineStr">
        <is>
          <t>Metric index: at or below 0.39 Non-Functioning, at or below 0.69 Functioning At-Risk, above Functioning.</t>
        </is>
      </c>
    </row>
    <row r="51">
      <c r="A51" t="inlineStr">
        <is>
          <t>Function score (0 to 15): at or below 5 Non-Functioning, at or below 10 Functioning At-Risk, above Functioning.</t>
        </is>
      </c>
    </row>
    <row r="52">
      <c r="A5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snake-river-plain</t>
        </is>
      </c>
    </row>
    <row r="5">
      <c r="A5" s="69" t="inlineStr">
        <is>
          <t>Assessment name</t>
        </is>
      </c>
      <c r="B5" s="69" t="inlineStr">
        <is>
          <t>Snake River Plain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sha256:507919d17c919c6c2c5e298aed3e207a0e5105d4e38654b055fd606ac8a86ad5</t>
        </is>
      </c>
    </row>
    <row r="9">
      <c r="A9" s="69" t="inlineStr">
        <is>
          <t>Region</t>
        </is>
      </c>
      <c r="B9" s="69" t="inlineStr">
        <is>
          <t>ecoregion 12 Snake River Plain</t>
        </is>
      </c>
    </row>
    <row r="10">
      <c r="A10" s="69" t="inlineStr">
        <is>
          <t>Source</t>
        </is>
      </c>
      <c r="B10" s="69" t="inlineStr">
        <is>
          <t>USEPA NRSA 2013-24 (L3 ecoregion 12),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29</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2026-09-30T07:07:11Z</dcterms:created>
  <dcterms:modified xmlns:dcterms="http://purl.org/dc/terms/" xmlns:xsi="http://www.w3.org/2001/XMLSchema-instance" xsi:type="dcterms:W3CDTF">2026-09-30T07:07:11Z</dcterms:modified>
  <cp:lastModifiedBy>DEEP</cp:lastModifiedBy>
  <cp:contentStatus>Draft</cp:contentStatus>
</cp:coreProperties>
</file>